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livejaverianaedu.sharepoint.com/sites/ProyeccinSocialFING/Documentos compartidos/5 HISTORICOS/"/>
    </mc:Choice>
  </mc:AlternateContent>
  <xr:revisionPtr revIDLastSave="0" documentId="8_{AF4D771E-FE1B-4A1A-B68F-F8DAE28ABE95}" xr6:coauthVersionLast="47" xr6:coauthVersionMax="47" xr10:uidLastSave="{00000000-0000-0000-0000-000000000000}"/>
  <bookViews>
    <workbookView xWindow="-28920" yWindow="480" windowWidth="29040" windowHeight="15720" tabRatio="551" firstSheet="6" activeTab="6" xr2:uid="{00000000-000D-0000-FFFF-FFFF00000000}"/>
  </bookViews>
  <sheets>
    <sheet name="INICIO" sheetId="12" r:id="rId1"/>
    <sheet name="Actores" sheetId="2" r:id="rId2"/>
    <sheet name="Proyectos" sheetId="1" r:id="rId3"/>
    <sheet name="Entidades" sheetId="3" r:id="rId4"/>
    <sheet name="Proyecto_Socios" sheetId="7" r:id="rId5"/>
    <sheet name="Metas_Indicador" sheetId="9" r:id="rId6"/>
    <sheet name="Bateria_Indicadores" sheetId="8" r:id="rId7"/>
    <sheet name="Seguimiento_Indicador" sheetId="10" r:id="rId8"/>
    <sheet name="Listas" sheetId="6" r:id="rId9"/>
    <sheet name="TablasODS" sheetId="11" r:id="rId10"/>
  </sheets>
  <definedNames>
    <definedName name="_xlnm._FilterDatabase" localSheetId="1" hidden="1">Actores!$C$1:$Q$1</definedName>
    <definedName name="_xlnm._FilterDatabase" localSheetId="3" hidden="1">Entidades!$A$1:$U$1</definedName>
    <definedName name="_xlnm._FilterDatabase" localSheetId="2" hidden="1">Proyectos!$A$1:$Q$1</definedName>
    <definedName name="AMAZONAS">Listas!$T$1090:$V$1100</definedName>
    <definedName name="ANTIOQUIA">Listas!$T$2:$V$126</definedName>
    <definedName name="ARAUCA">Listas!$T$1049:$V$1055</definedName>
    <definedName name="ARCHIPIELAGO_DE_SAN_ANDRES">Listas!$T$1088:$V$1089</definedName>
    <definedName name="ATLÁNTICO">Listas!$T$127:$V$149</definedName>
    <definedName name="BOGOTA">Listas!$T$150:$V$150</definedName>
    <definedName name="BOLÍVAR">Listas!$T$151:$V$196</definedName>
    <definedName name="BOYACÁ">Listas!$T$197:$V$319</definedName>
    <definedName name="CALDAS">Listas!$T$320:$V$346</definedName>
    <definedName name="CAQUETÁ">Listas!$T$347:$V$362</definedName>
    <definedName name="CASANARE">Listas!$T$1056:$V$1074</definedName>
    <definedName name="CAUCA">Listas!$T$363:$V$404</definedName>
    <definedName name="CESAR">Listas!$T$405:$V$429</definedName>
    <definedName name="CHOCÓ">Listas!$T$576:$V$605</definedName>
    <definedName name="CÓRDOBA">Listas!$T$430:$V$459</definedName>
    <definedName name="CUNDINAMARCA">Listas!$T$460:$V$575</definedName>
    <definedName name="GUAINÍA">Listas!$T$1101:$V$1108</definedName>
    <definedName name="GUAVIARE">Listas!$T$1109:$V$1112</definedName>
    <definedName name="HUILA">Listas!$T$606:$V$642</definedName>
    <definedName name="LA_GUAJIRA">Listas!$T$643:$V$657</definedName>
    <definedName name="LST_ACTIVIDAD_ECONOMICA">Listas!#REF!</definedName>
    <definedName name="LST_ASIGNATURA">Listas!$E$2:$E$4</definedName>
    <definedName name="LST_ESTADO_CONVENIO">Listas!$H$2:$H$12</definedName>
    <definedName name="LST_FACULTAD">Listas!$G$2:$G$18</definedName>
    <definedName name="LST_MUNICIPIO">Listas!$T$2:$T$1041</definedName>
    <definedName name="LST_SECTOR_ECONOMICO">Listas!$J$2:$J$5</definedName>
    <definedName name="LST_SEXO">Listas!$K$2:$K$5</definedName>
    <definedName name="LST_TEMATICAS">Listas!$D$2:$D$28</definedName>
    <definedName name="LST_TIPO_DE_ACTIVIDAD">Listas!$C$2:$C$5</definedName>
    <definedName name="LST_TIPO_DE_ACTOR">Listas!$A$2:$A$11</definedName>
    <definedName name="LST_TIPO_DE_PROYECTO">Listas!$B$2:$B$6</definedName>
    <definedName name="LST_TIPO_ID">Listas!$I$2:$I$7</definedName>
    <definedName name="MAGDALENA">Listas!$T$658:$V$687</definedName>
    <definedName name="META">Listas!$T$688:$V$716</definedName>
    <definedName name="NARIÑO">Listas!$T$717:$V$781</definedName>
    <definedName name="NORTE_DE_SANTANDER">Listas!$T$781:$V$820</definedName>
    <definedName name="PUTUMAYO">Listas!$T$1075:$V$1087</definedName>
    <definedName name="QUINDÍO">Listas!$T$821:$V$832</definedName>
    <definedName name="RISARALDA">Listas!$T$833:$V$846</definedName>
    <definedName name="SANTANDER">Listas!$T$847:$V$933</definedName>
    <definedName name="SUCRE">Listas!$T$934:$V$959</definedName>
    <definedName name="TIPOREL">Listas!$L$2:$L$4</definedName>
    <definedName name="TOLIMA">Listas!$T$960:$V$1006</definedName>
    <definedName name="VALLE_DEL_CAUCA">Listas!$T$1007:$V$1048</definedName>
    <definedName name="VAUPÉS">Listas!$T$1113:$V$1118</definedName>
    <definedName name="VICHADA">Listas!$T$1119:$V$1122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 i="1" l="1"/>
  <c r="O41" i="1"/>
  <c r="N72" i="1"/>
  <c r="O72" i="1"/>
  <c r="N169" i="1"/>
  <c r="O169" i="1"/>
  <c r="N273" i="1"/>
  <c r="O27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A2" i="8"/>
  <c r="A3" i="8"/>
  <c r="A4" i="8"/>
  <c r="C4" i="9"/>
  <c r="B273" i="1"/>
  <c r="C4" i="10"/>
  <c r="C5" i="10"/>
  <c r="C3" i="10"/>
  <c r="C2" i="10"/>
  <c r="C3" i="9"/>
  <c r="C2" i="9"/>
  <c r="J2" i="10" l="1"/>
  <c r="J3" i="10"/>
  <c r="J4" i="10"/>
  <c r="J5" i="10"/>
  <c r="D2" i="10"/>
  <c r="K2" i="10"/>
  <c r="K3" i="10"/>
  <c r="K4" i="10"/>
  <c r="K5" i="10"/>
  <c r="E2" i="10"/>
  <c r="E3" i="10"/>
  <c r="E5" i="10"/>
  <c r="E4" i="10"/>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 i="1"/>
  <c r="C190" i="7"/>
  <c r="C191" i="7"/>
  <c r="C192" i="7"/>
  <c r="C198" i="7"/>
  <c r="C200" i="7"/>
  <c r="C203" i="7"/>
  <c r="C204" i="7"/>
  <c r="C207" i="7"/>
  <c r="C218" i="7"/>
  <c r="C219" i="7"/>
  <c r="C265" i="7"/>
  <c r="C266" i="7"/>
  <c r="C267" i="7"/>
  <c r="C268" i="7"/>
  <c r="C269" i="7"/>
  <c r="C270"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B69" i="3" a="1"/>
  <c r="B69" i="3" s="1"/>
  <c r="B34" i="3" a="1"/>
  <c r="B34" i="3" s="1"/>
  <c r="B127" i="3" a="1"/>
  <c r="B127" i="3" s="1"/>
  <c r="B126" i="3" a="1"/>
  <c r="B126" i="3" s="1"/>
  <c r="B125" i="3" a="1"/>
  <c r="B125" i="3" s="1"/>
  <c r="B121" i="3" a="1"/>
  <c r="B121" i="3" s="1"/>
  <c r="B119" i="3" a="1"/>
  <c r="B119" i="3" s="1"/>
  <c r="B118" i="3" a="1"/>
  <c r="B118" i="3" s="1"/>
  <c r="B123" i="3" a="1"/>
  <c r="B123" i="3" s="1"/>
  <c r="B122" i="3" a="1"/>
  <c r="B122" i="3" s="1"/>
  <c r="B120" i="3" a="1"/>
  <c r="B120" i="3" s="1"/>
  <c r="B117" i="3" a="1"/>
  <c r="B117" i="3" s="1"/>
  <c r="B124" i="3" a="1"/>
  <c r="B124" i="3" s="1"/>
  <c r="B116" i="3" a="1"/>
  <c r="B116" i="3" s="1"/>
  <c r="B115" i="3" a="1"/>
  <c r="B115" i="3" s="1"/>
  <c r="B114" i="3" a="1"/>
  <c r="B114" i="3" s="1"/>
  <c r="B113" i="3" a="1"/>
  <c r="B113" i="3" s="1"/>
  <c r="B4" i="3" a="1"/>
  <c r="B4" i="3" s="1"/>
  <c r="B112" i="3" a="1"/>
  <c r="B112" i="3" s="1"/>
  <c r="B111" i="3" a="1"/>
  <c r="B111" i="3" s="1"/>
  <c r="B27" i="3" a="1"/>
  <c r="B27" i="3" s="1"/>
  <c r="B30" i="3" a="1"/>
  <c r="B30" i="3" s="1"/>
  <c r="B110" i="3" a="1"/>
  <c r="B110" i="3" s="1"/>
  <c r="C138" i="7" s="1"/>
  <c r="B109" i="3" a="1"/>
  <c r="B109" i="3" s="1"/>
  <c r="B108" i="3" a="1"/>
  <c r="B108" i="3" s="1"/>
  <c r="B107" i="3" a="1"/>
  <c r="B107" i="3" s="1"/>
  <c r="B8" i="3" a="1"/>
  <c r="B8" i="3" s="1"/>
  <c r="B106" i="3" a="1"/>
  <c r="B106" i="3" s="1"/>
  <c r="B105" i="3" a="1"/>
  <c r="B105" i="3" s="1"/>
  <c r="B104" i="3" a="1"/>
  <c r="B104" i="3" s="1"/>
  <c r="B2" i="3" a="1"/>
  <c r="B2" i="3" s="1"/>
  <c r="B13" i="3" a="1"/>
  <c r="B13" i="3" s="1"/>
  <c r="B103" i="3" a="1"/>
  <c r="B103" i="3" s="1"/>
  <c r="B18" i="3" a="1"/>
  <c r="B18" i="3" s="1"/>
  <c r="C127" i="7" s="1"/>
  <c r="B24" i="3" a="1"/>
  <c r="B24" i="3" s="1"/>
  <c r="B35" i="3" a="1"/>
  <c r="B35" i="3" s="1"/>
  <c r="B101" i="3" a="1"/>
  <c r="B101" i="3" s="1"/>
  <c r="B102" i="3" a="1"/>
  <c r="B102" i="3" s="1"/>
  <c r="B100" i="3" a="1"/>
  <c r="B100" i="3" s="1"/>
  <c r="B40" i="3" a="1"/>
  <c r="B40" i="3" s="1"/>
  <c r="B59" i="3" a="1"/>
  <c r="B59" i="3" s="1"/>
  <c r="C120" i="7" s="1"/>
  <c r="B99" i="3" a="1"/>
  <c r="B99" i="3" s="1"/>
  <c r="B46" i="3" a="1"/>
  <c r="B46" i="3" s="1"/>
  <c r="C231" i="7" s="1"/>
  <c r="B60" i="3" a="1"/>
  <c r="B60" i="3" s="1"/>
  <c r="C114" i="7" s="1"/>
  <c r="B36" i="3" a="1"/>
  <c r="B36" i="3" s="1"/>
  <c r="C112" i="7" s="1"/>
  <c r="B51" i="3" a="1"/>
  <c r="B51" i="3" s="1"/>
  <c r="B65" i="3" a="1"/>
  <c r="B65" i="3" s="1"/>
  <c r="C107" i="7" s="1"/>
  <c r="B52" i="3" a="1"/>
  <c r="B52" i="3" s="1"/>
  <c r="B5" i="3" a="1"/>
  <c r="B5" i="3" s="1"/>
  <c r="C227" i="7" s="1"/>
  <c r="B68" i="3" a="1"/>
  <c r="B68" i="3" s="1"/>
  <c r="C94" i="7" s="1"/>
  <c r="B12" i="3" a="1"/>
  <c r="B12" i="3" s="1"/>
  <c r="C93" i="7" s="1"/>
  <c r="B62" i="3" a="1"/>
  <c r="B62" i="3" s="1"/>
  <c r="B10" i="3" a="1"/>
  <c r="B10" i="3" s="1"/>
  <c r="B28" i="3" a="1"/>
  <c r="B28" i="3" s="1"/>
  <c r="C91" i="7" s="1"/>
  <c r="B56" i="3" a="1"/>
  <c r="B56" i="3" s="1"/>
  <c r="C84" i="7" s="1"/>
  <c r="B98" i="3" a="1"/>
  <c r="B98" i="3" s="1"/>
  <c r="B63" i="3" a="1"/>
  <c r="B63" i="3" s="1"/>
  <c r="C80" i="7" s="1"/>
  <c r="B97" i="3" a="1"/>
  <c r="B97" i="3" s="1"/>
  <c r="B49" i="3" a="1"/>
  <c r="B49" i="3" s="1"/>
  <c r="B96" i="3" a="1"/>
  <c r="B96" i="3" s="1"/>
  <c r="C221" i="7" s="1"/>
  <c r="B95" i="3" a="1"/>
  <c r="B95" i="3" s="1"/>
  <c r="B57" i="3" a="1"/>
  <c r="B57" i="3" s="1"/>
  <c r="B71" i="3" a="1"/>
  <c r="B71" i="3" s="1"/>
  <c r="C220" i="7" s="1"/>
  <c r="B22" i="3" a="1"/>
  <c r="B22" i="3" s="1"/>
  <c r="B94" i="3" a="1"/>
  <c r="B94" i="3" s="1"/>
  <c r="B67" i="3" a="1"/>
  <c r="B67" i="3" s="1"/>
  <c r="B14" i="3" a="1"/>
  <c r="B14" i="3" s="1"/>
  <c r="B93" i="3" a="1"/>
  <c r="B93" i="3" s="1"/>
  <c r="B55" i="3" a="1"/>
  <c r="B55" i="3" s="1"/>
  <c r="C74" i="7" s="1"/>
  <c r="B66" i="3" a="1"/>
  <c r="B66" i="3" s="1"/>
  <c r="B31" i="3" a="1"/>
  <c r="B31" i="3" s="1"/>
  <c r="B6" i="3" a="1"/>
  <c r="B6" i="3" s="1"/>
  <c r="B92" i="3" a="1"/>
  <c r="B92" i="3" s="1"/>
  <c r="C73" i="7" s="1"/>
  <c r="B15" i="3" a="1"/>
  <c r="B15" i="3" s="1"/>
  <c r="B64" i="3" a="1"/>
  <c r="B64" i="3" s="1"/>
  <c r="B47" i="3" a="1"/>
  <c r="B47" i="3" s="1"/>
  <c r="C72" i="7" s="1"/>
  <c r="B11" i="3" a="1"/>
  <c r="B11" i="3" s="1"/>
  <c r="B39" i="3" a="1"/>
  <c r="B39" i="3" s="1"/>
  <c r="B58" i="3" a="1"/>
  <c r="B58" i="3" s="1"/>
  <c r="C62" i="7" s="1"/>
  <c r="B26" i="3" a="1"/>
  <c r="B26" i="3" s="1"/>
  <c r="B21" i="3" a="1"/>
  <c r="B21" i="3" s="1"/>
  <c r="C53" i="7" s="1"/>
  <c r="B73" i="3" a="1"/>
  <c r="B73" i="3" s="1"/>
  <c r="B70" i="3" a="1"/>
  <c r="B70" i="3" s="1"/>
  <c r="C46" i="7" s="1"/>
  <c r="B61" i="3" a="1"/>
  <c r="B61" i="3" s="1"/>
  <c r="B42" i="3" a="1"/>
  <c r="B42" i="3" s="1"/>
  <c r="B38" i="3" a="1"/>
  <c r="B38" i="3" s="1"/>
  <c r="B91" i="3" a="1"/>
  <c r="B91" i="3" s="1"/>
  <c r="B90" i="3" a="1"/>
  <c r="B90" i="3" s="1"/>
  <c r="B89" i="3" a="1"/>
  <c r="B89" i="3" s="1"/>
  <c r="B87" i="3" a="1"/>
  <c r="B87" i="3" s="1"/>
  <c r="B86" i="3" a="1"/>
  <c r="B86" i="3" s="1"/>
  <c r="B3" i="3" a="1"/>
  <c r="B3" i="3" s="1"/>
  <c r="B88" i="3" a="1"/>
  <c r="B88" i="3" s="1"/>
  <c r="B85" i="3" a="1"/>
  <c r="B85" i="3" s="1"/>
  <c r="B84" i="3" a="1"/>
  <c r="B84" i="3" s="1"/>
  <c r="B23" i="3" a="1"/>
  <c r="B23" i="3" s="1"/>
  <c r="C41" i="7" s="1"/>
  <c r="B41" i="3" a="1"/>
  <c r="B41" i="3" s="1"/>
  <c r="B50" i="3" a="1"/>
  <c r="B50" i="3" s="1"/>
  <c r="C37" i="7" s="1"/>
  <c r="B9" i="3" a="1"/>
  <c r="B9" i="3" s="1"/>
  <c r="B7" i="3" a="1"/>
  <c r="B7" i="3" s="1"/>
  <c r="B33" i="3" a="1"/>
  <c r="B33" i="3" s="1"/>
  <c r="C206" i="7" s="1"/>
  <c r="B16" i="3" a="1"/>
  <c r="B16" i="3" s="1"/>
  <c r="B83" i="3" a="1"/>
  <c r="B83" i="3" s="1"/>
  <c r="B82" i="3" a="1"/>
  <c r="B82" i="3" s="1"/>
  <c r="B81" i="3" a="1"/>
  <c r="B81" i="3" s="1"/>
  <c r="B80" i="3" a="1"/>
  <c r="B80" i="3" s="1"/>
  <c r="B79" i="3" a="1"/>
  <c r="B79" i="3" s="1"/>
  <c r="B32" i="3" a="1"/>
  <c r="B32" i="3" s="1"/>
  <c r="C33" i="7" s="1"/>
  <c r="B78" i="3" a="1"/>
  <c r="B78" i="3" s="1"/>
  <c r="B44" i="3" a="1"/>
  <c r="B44" i="3" s="1"/>
  <c r="C29" i="7" s="1"/>
  <c r="B77" i="3" a="1"/>
  <c r="B77" i="3" s="1"/>
  <c r="B43" i="3" a="1"/>
  <c r="B43" i="3" s="1"/>
  <c r="C205" i="7" s="1"/>
  <c r="B17" i="3" a="1"/>
  <c r="B17" i="3" s="1"/>
  <c r="B20" i="3" a="1"/>
  <c r="B20" i="3" s="1"/>
  <c r="B76" i="3" a="1"/>
  <c r="B76" i="3" s="1"/>
  <c r="B48" i="3" a="1"/>
  <c r="B48" i="3" s="1"/>
  <c r="B75" i="3" a="1"/>
  <c r="B75" i="3" s="1"/>
  <c r="B25" i="3" a="1"/>
  <c r="B25" i="3" s="1"/>
  <c r="B53" i="3" a="1"/>
  <c r="B53" i="3" s="1"/>
  <c r="B37" i="3" a="1"/>
  <c r="B37" i="3" s="1"/>
  <c r="B29" i="3" a="1"/>
  <c r="B29" i="3" s="1"/>
  <c r="B74" i="3" a="1"/>
  <c r="B74" i="3" s="1"/>
  <c r="C202" i="7" s="1"/>
  <c r="B45" i="3" a="1"/>
  <c r="B45" i="3" s="1"/>
  <c r="C201" i="7" s="1"/>
  <c r="B19" i="3" a="1"/>
  <c r="B19" i="3" s="1"/>
  <c r="B72" i="3" a="1"/>
  <c r="B72" i="3" s="1"/>
  <c r="B54" i="3" a="1"/>
  <c r="B54" i="3" s="1"/>
  <c r="C199" i="7" s="1"/>
  <c r="C111" i="7"/>
  <c r="C101" i="7"/>
  <c r="C82" i="7"/>
  <c r="C78" i="7"/>
  <c r="C77" i="7"/>
  <c r="C76" i="7"/>
  <c r="C71" i="7"/>
  <c r="C70" i="7"/>
  <c r="C69" i="7"/>
  <c r="C68" i="7"/>
  <c r="C67" i="7"/>
  <c r="C66" i="7"/>
  <c r="C65" i="7"/>
  <c r="C64" i="7"/>
  <c r="C61" i="7"/>
  <c r="C49" i="7"/>
  <c r="C47" i="7"/>
  <c r="C44" i="7"/>
  <c r="C43" i="7"/>
  <c r="C42" i="7"/>
  <c r="C40" i="7"/>
  <c r="C39" i="7"/>
  <c r="C38" i="7"/>
  <c r="C35" i="7"/>
  <c r="C34" i="7"/>
  <c r="C30" i="7"/>
  <c r="C28" i="7"/>
  <c r="C27" i="7"/>
  <c r="C26" i="7"/>
  <c r="C25" i="7"/>
  <c r="C24" i="7"/>
  <c r="C23" i="7"/>
  <c r="C22" i="7"/>
  <c r="C21" i="7"/>
  <c r="C20" i="7"/>
  <c r="C19" i="7"/>
  <c r="C18" i="7"/>
  <c r="C17" i="7"/>
  <c r="C16" i="7"/>
  <c r="C15" i="7"/>
  <c r="C14" i="7"/>
  <c r="C11" i="7"/>
  <c r="C10" i="7"/>
  <c r="C9" i="7"/>
  <c r="C8" i="7"/>
  <c r="C7" i="7"/>
  <c r="C6" i="7"/>
  <c r="C5" i="7"/>
  <c r="C4" i="7"/>
  <c r="C3" i="7"/>
  <c r="C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F127" i="3"/>
  <c r="F126" i="3"/>
  <c r="F125" i="3"/>
  <c r="F121" i="3"/>
  <c r="F119" i="3"/>
  <c r="F118" i="3"/>
  <c r="F123" i="3"/>
  <c r="F122" i="3"/>
  <c r="F120" i="3"/>
  <c r="F117" i="3"/>
  <c r="F124" i="3"/>
  <c r="F116" i="3"/>
  <c r="F115" i="3"/>
  <c r="F114" i="3"/>
  <c r="F113" i="3"/>
  <c r="F4" i="3"/>
  <c r="F112" i="3"/>
  <c r="F111" i="3"/>
  <c r="F27" i="3"/>
  <c r="F30" i="3"/>
  <c r="F110" i="3"/>
  <c r="F109" i="3"/>
  <c r="F108" i="3"/>
  <c r="F107" i="3"/>
  <c r="F8" i="3"/>
  <c r="F106" i="3"/>
  <c r="F105" i="3"/>
  <c r="F104" i="3"/>
  <c r="F2" i="3"/>
  <c r="F69" i="3"/>
  <c r="F13" i="3"/>
  <c r="F103" i="3"/>
  <c r="F18" i="3"/>
  <c r="F24" i="3"/>
  <c r="F35" i="3"/>
  <c r="F34" i="3"/>
  <c r="F101" i="3"/>
  <c r="F102" i="3"/>
  <c r="F100" i="3"/>
  <c r="F40" i="3"/>
  <c r="F59" i="3"/>
  <c r="F99" i="3"/>
  <c r="F46" i="3"/>
  <c r="F60" i="3"/>
  <c r="F36" i="3"/>
  <c r="F51" i="3"/>
  <c r="F65" i="3"/>
  <c r="F52" i="3"/>
  <c r="F5" i="3"/>
  <c r="F68" i="3"/>
  <c r="F12" i="3"/>
  <c r="F62" i="3"/>
  <c r="F10" i="3"/>
  <c r="F28" i="3"/>
  <c r="F56" i="3"/>
  <c r="F98" i="3"/>
  <c r="F63" i="3"/>
  <c r="F97" i="3"/>
  <c r="F49" i="3"/>
  <c r="F96" i="3"/>
  <c r="F95" i="3"/>
  <c r="F57" i="3"/>
  <c r="F71" i="3"/>
  <c r="F22" i="3"/>
  <c r="F94" i="3"/>
  <c r="F67" i="3"/>
  <c r="F14" i="3"/>
  <c r="F93" i="3"/>
  <c r="F55" i="3"/>
  <c r="F66" i="3"/>
  <c r="F31" i="3"/>
  <c r="F6" i="3"/>
  <c r="F92" i="3"/>
  <c r="F15" i="3"/>
  <c r="F64" i="3"/>
  <c r="F47" i="3"/>
  <c r="F11" i="3"/>
  <c r="F39" i="3"/>
  <c r="F58" i="3"/>
  <c r="F26" i="3"/>
  <c r="F21" i="3"/>
  <c r="F73" i="3"/>
  <c r="F70" i="3"/>
  <c r="F61" i="3"/>
  <c r="F42" i="3"/>
  <c r="F38" i="3"/>
  <c r="F91" i="3"/>
  <c r="F90" i="3"/>
  <c r="F89" i="3"/>
  <c r="F87" i="3"/>
  <c r="F86" i="3"/>
  <c r="F3" i="3"/>
  <c r="F88" i="3"/>
  <c r="F85" i="3"/>
  <c r="F84" i="3"/>
  <c r="F23" i="3"/>
  <c r="F41" i="3"/>
  <c r="F50" i="3"/>
  <c r="F7" i="3"/>
  <c r="F33" i="3"/>
  <c r="F16" i="3"/>
  <c r="F83" i="3"/>
  <c r="F82" i="3"/>
  <c r="F81" i="3"/>
  <c r="F80" i="3"/>
  <c r="F79" i="3"/>
  <c r="F32" i="3"/>
  <c r="F78" i="3"/>
  <c r="F44" i="3"/>
  <c r="F77" i="3"/>
  <c r="F43" i="3"/>
  <c r="F17" i="3"/>
  <c r="F20" i="3"/>
  <c r="F76" i="3"/>
  <c r="F48" i="3"/>
  <c r="F75" i="3"/>
  <c r="F25" i="3"/>
  <c r="F53" i="3"/>
  <c r="F37" i="3"/>
  <c r="F29" i="3"/>
  <c r="F74" i="3"/>
  <c r="F45" i="3"/>
  <c r="F19" i="3"/>
  <c r="F72" i="3"/>
  <c r="F54" i="3"/>
  <c r="O250" i="1"/>
  <c r="N222" i="1"/>
  <c r="O121" i="1"/>
  <c r="N159" i="1"/>
  <c r="N121" i="1"/>
  <c r="O18" i="1"/>
  <c r="O130" i="1"/>
  <c r="N102" i="1"/>
  <c r="N7" i="1"/>
  <c r="N39" i="1"/>
  <c r="N167" i="1"/>
  <c r="O114" i="1"/>
  <c r="N38" i="1"/>
  <c r="O69" i="1"/>
  <c r="O83" i="1"/>
  <c r="N151" i="1"/>
  <c r="O32" i="1"/>
  <c r="O232" i="1"/>
  <c r="N204" i="1"/>
  <c r="O103" i="1"/>
  <c r="N141" i="1"/>
  <c r="N269" i="1"/>
  <c r="O216" i="1"/>
  <c r="N140" i="1"/>
  <c r="O171" i="1"/>
  <c r="N221" i="1"/>
  <c r="O8" i="1"/>
  <c r="N203" i="1"/>
  <c r="O150" i="1"/>
  <c r="N74" i="1"/>
  <c r="O105" i="1"/>
  <c r="O90" i="1"/>
  <c r="N162" i="1"/>
  <c r="O48" i="1"/>
  <c r="N33" i="1"/>
  <c r="O67" i="1"/>
  <c r="O82" i="1"/>
  <c r="O65" i="1"/>
  <c r="N57" i="1"/>
  <c r="O174" i="1"/>
  <c r="O204" i="1"/>
  <c r="N13" i="1"/>
  <c r="N58" i="1"/>
  <c r="O217" i="1"/>
  <c r="N76" i="1"/>
  <c r="O175" i="1"/>
  <c r="O246" i="1"/>
  <c r="N92" i="1"/>
  <c r="N145" i="1"/>
  <c r="N114" i="1"/>
  <c r="N51" i="1"/>
  <c r="O210" i="1"/>
  <c r="O165" i="1"/>
  <c r="N253" i="1"/>
  <c r="N230" i="1"/>
  <c r="O51" i="1"/>
  <c r="N187" i="1"/>
  <c r="O184" i="1"/>
  <c r="O211" i="1"/>
  <c r="N50" i="1"/>
  <c r="O54" i="1"/>
  <c r="O132" i="1"/>
  <c r="N240" i="1"/>
  <c r="O147" i="1"/>
  <c r="N2" i="1"/>
  <c r="N224" i="1"/>
  <c r="O146" i="1"/>
  <c r="O180" i="1"/>
  <c r="O149" i="1"/>
  <c r="O98" i="1"/>
  <c r="N186" i="1"/>
  <c r="N154" i="1"/>
  <c r="N206" i="1"/>
  <c r="N82" i="1"/>
  <c r="O96" i="1"/>
  <c r="O185" i="1"/>
  <c r="N14" i="1"/>
  <c r="O9" i="1"/>
  <c r="O25" i="1"/>
  <c r="N177" i="1"/>
  <c r="N65" i="1"/>
  <c r="O6" i="1"/>
  <c r="O199" i="1"/>
  <c r="N231" i="1"/>
  <c r="N271" i="1"/>
  <c r="N55" i="1"/>
  <c r="O202" i="1"/>
  <c r="N174" i="1"/>
  <c r="O73" i="1"/>
  <c r="N111" i="1"/>
  <c r="N239" i="1"/>
  <c r="O186" i="1"/>
  <c r="N110" i="1"/>
  <c r="O141" i="1"/>
  <c r="O155" i="1"/>
  <c r="N229" i="1"/>
  <c r="O104" i="1"/>
  <c r="N47" i="1"/>
  <c r="O258" i="1"/>
  <c r="O181" i="1"/>
  <c r="N213" i="1"/>
  <c r="N166" i="1"/>
  <c r="N31" i="1"/>
  <c r="N212" i="1"/>
  <c r="O162" i="1"/>
  <c r="N208" i="1"/>
  <c r="O152" i="1"/>
  <c r="O267" i="1"/>
  <c r="O222" i="1"/>
  <c r="N146" i="1"/>
  <c r="O177" i="1"/>
  <c r="N49" i="1"/>
  <c r="O168" i="1"/>
  <c r="N85" i="1"/>
  <c r="O148" i="1"/>
  <c r="O57" i="1"/>
  <c r="N113" i="1"/>
  <c r="O102" i="1"/>
  <c r="O201" i="1"/>
  <c r="N211" i="1"/>
  <c r="N128" i="1"/>
  <c r="N46" i="1"/>
  <c r="N242" i="1"/>
  <c r="N209" i="1"/>
  <c r="N80" i="1"/>
  <c r="O133" i="1"/>
  <c r="O30" i="1"/>
  <c r="N255" i="1"/>
  <c r="N254" i="1"/>
  <c r="N36" i="1"/>
  <c r="O248" i="1"/>
  <c r="O138" i="1"/>
  <c r="O93" i="1"/>
  <c r="N181" i="1"/>
  <c r="N86" i="1"/>
  <c r="O35" i="1"/>
  <c r="N109" i="1"/>
  <c r="O261" i="1"/>
  <c r="O183" i="1"/>
  <c r="N124" i="1"/>
  <c r="N262" i="1"/>
  <c r="O241" i="1"/>
  <c r="O126" i="1"/>
  <c r="N192" i="1"/>
  <c r="N48" i="1"/>
  <c r="N26" i="1"/>
  <c r="O95" i="1"/>
  <c r="N105" i="1"/>
  <c r="O268" i="1"/>
  <c r="N194" i="1"/>
  <c r="O188" i="1"/>
  <c r="N201" i="1"/>
  <c r="O2" i="1"/>
  <c r="O228" i="1"/>
  <c r="N152" i="1"/>
  <c r="N71" i="1"/>
  <c r="N158" i="1"/>
  <c r="N161" i="1"/>
  <c r="O108" i="1"/>
  <c r="N32" i="1"/>
  <c r="O63" i="1"/>
  <c r="O77" i="1"/>
  <c r="O26" i="1"/>
  <c r="O142" i="1"/>
  <c r="O13" i="1"/>
  <c r="N263" i="1"/>
  <c r="N134" i="1"/>
  <c r="O179" i="1"/>
  <c r="O128" i="1"/>
  <c r="N234" i="1"/>
  <c r="O113" i="1"/>
  <c r="O62" i="1"/>
  <c r="O55" i="1"/>
  <c r="N266" i="1"/>
  <c r="N122" i="1"/>
  <c r="O14" i="1"/>
  <c r="O225" i="1"/>
  <c r="N195" i="1"/>
  <c r="N43" i="1"/>
  <c r="N215" i="1"/>
  <c r="N233" i="1"/>
  <c r="O135" i="1"/>
  <c r="N223" i="1"/>
  <c r="O214" i="1"/>
  <c r="O85" i="1"/>
  <c r="N25" i="1"/>
  <c r="O237" i="1"/>
  <c r="O74" i="1"/>
  <c r="O22" i="1"/>
  <c r="O134" i="1"/>
  <c r="N236" i="1"/>
  <c r="N91" i="1"/>
  <c r="N16" i="1"/>
  <c r="N137" i="1"/>
  <c r="O84" i="1"/>
  <c r="O271" i="1"/>
  <c r="O111" i="1"/>
  <c r="N256" i="1"/>
  <c r="O249" i="1"/>
  <c r="N11" i="1"/>
  <c r="N246" i="1"/>
  <c r="O145" i="1"/>
  <c r="N183" i="1"/>
  <c r="N100" i="1"/>
  <c r="O264" i="1"/>
  <c r="N182" i="1"/>
  <c r="O213" i="1"/>
  <c r="O227" i="1"/>
  <c r="N40" i="1"/>
  <c r="O176" i="1"/>
  <c r="N119" i="1"/>
  <c r="O60" i="1"/>
  <c r="O253" i="1"/>
  <c r="O21" i="1"/>
  <c r="O29" i="1"/>
  <c r="N103" i="1"/>
  <c r="O255" i="1"/>
  <c r="O127" i="1"/>
  <c r="O131" i="1"/>
  <c r="N27" i="1"/>
  <c r="N172" i="1"/>
  <c r="N37" i="1"/>
  <c r="N218" i="1"/>
  <c r="O39" i="1"/>
  <c r="N199" i="1"/>
  <c r="N127" i="1"/>
  <c r="N202" i="1"/>
  <c r="O89" i="1"/>
  <c r="O161" i="1"/>
  <c r="O17" i="1"/>
  <c r="N133" i="1"/>
  <c r="O154" i="1"/>
  <c r="N98" i="1"/>
  <c r="N129" i="1"/>
  <c r="O163" i="1"/>
  <c r="N200" i="1"/>
  <c r="O230" i="1"/>
  <c r="O158" i="1"/>
  <c r="O156" i="1"/>
  <c r="O112" i="1"/>
  <c r="O205" i="1"/>
  <c r="N89" i="1"/>
  <c r="O223" i="1"/>
  <c r="N5" i="1"/>
  <c r="N73" i="1"/>
  <c r="O70" i="1"/>
  <c r="N190" i="1"/>
  <c r="N191" i="1"/>
  <c r="N62" i="1"/>
  <c r="O107" i="1"/>
  <c r="O56" i="1"/>
  <c r="N243" i="1"/>
  <c r="N12" i="1"/>
  <c r="N104" i="1"/>
  <c r="O3" i="1"/>
  <c r="O200" i="1"/>
  <c r="O256" i="1"/>
  <c r="O231" i="1"/>
  <c r="N10" i="1"/>
  <c r="O182" i="1"/>
  <c r="O80" i="1"/>
  <c r="O251" i="1"/>
  <c r="N259" i="1"/>
  <c r="O254" i="1"/>
  <c r="N251" i="1"/>
  <c r="N184" i="1"/>
  <c r="O119" i="1"/>
  <c r="N193" i="1"/>
  <c r="O68" i="1"/>
  <c r="O125" i="1"/>
  <c r="O189" i="1"/>
  <c r="O40" i="1"/>
  <c r="N226" i="1"/>
  <c r="N67" i="1"/>
  <c r="N248" i="1"/>
  <c r="O64" i="1"/>
  <c r="N30" i="1"/>
  <c r="N178" i="1"/>
  <c r="O242" i="1"/>
  <c r="N101" i="1"/>
  <c r="O42" i="1"/>
  <c r="O235" i="1"/>
  <c r="O4" i="1"/>
  <c r="O101" i="1"/>
  <c r="N175" i="1"/>
  <c r="O50" i="1"/>
  <c r="O166" i="1"/>
  <c r="N138" i="1"/>
  <c r="O37" i="1"/>
  <c r="N75" i="1"/>
  <c r="N93" i="1"/>
  <c r="N205" i="1"/>
  <c r="O100" i="1"/>
  <c r="N66" i="1"/>
  <c r="N244" i="1"/>
  <c r="N9" i="1"/>
  <c r="N52" i="1"/>
  <c r="N21" i="1"/>
  <c r="N171" i="1"/>
  <c r="O153" i="1"/>
  <c r="N126" i="1"/>
  <c r="O97" i="1"/>
  <c r="O247" i="1"/>
  <c r="N179" i="1"/>
  <c r="N63" i="1"/>
  <c r="O91" i="1"/>
  <c r="N135" i="1"/>
  <c r="N35" i="1"/>
  <c r="N214" i="1"/>
  <c r="N235" i="1"/>
  <c r="O191" i="1"/>
  <c r="N265" i="1"/>
  <c r="O140" i="1"/>
  <c r="O269" i="1"/>
  <c r="O262" i="1"/>
  <c r="O46" i="1"/>
  <c r="O71" i="1"/>
  <c r="N139" i="1"/>
  <c r="O20" i="1"/>
  <c r="O136" i="1"/>
  <c r="N108" i="1"/>
  <c r="O7" i="1"/>
  <c r="N45" i="1"/>
  <c r="N173" i="1"/>
  <c r="O120" i="1"/>
  <c r="N44" i="1"/>
  <c r="O10" i="1"/>
  <c r="O173" i="1"/>
  <c r="N247" i="1"/>
  <c r="O122" i="1"/>
  <c r="O238" i="1"/>
  <c r="N210" i="1"/>
  <c r="O109" i="1"/>
  <c r="N147" i="1"/>
  <c r="N237" i="1"/>
  <c r="N136" i="1"/>
  <c r="O172" i="1"/>
  <c r="N144" i="1"/>
  <c r="O43" i="1"/>
  <c r="N81" i="1"/>
  <c r="O53" i="1"/>
  <c r="O117" i="1"/>
  <c r="O76" i="1"/>
  <c r="O159" i="1"/>
  <c r="N163" i="1"/>
  <c r="O81" i="1"/>
  <c r="N272" i="1"/>
  <c r="N120" i="1"/>
  <c r="O15" i="1"/>
  <c r="O110" i="1"/>
  <c r="N29" i="1"/>
  <c r="N142" i="1"/>
  <c r="N18" i="1"/>
  <c r="N123" i="1"/>
  <c r="O34" i="1"/>
  <c r="O263" i="1"/>
  <c r="N112" i="1"/>
  <c r="O212" i="1"/>
  <c r="N156" i="1"/>
  <c r="N149" i="1"/>
  <c r="O52" i="1"/>
  <c r="O143" i="1"/>
  <c r="N217" i="1"/>
  <c r="O92" i="1"/>
  <c r="O208" i="1"/>
  <c r="N180" i="1"/>
  <c r="O79" i="1"/>
  <c r="N117" i="1"/>
  <c r="N245" i="1"/>
  <c r="O192" i="1"/>
  <c r="N116" i="1"/>
  <c r="O16" i="1"/>
  <c r="O245" i="1"/>
  <c r="N70" i="1"/>
  <c r="O194" i="1"/>
  <c r="N53" i="1"/>
  <c r="N106" i="1"/>
  <c r="O187" i="1"/>
  <c r="N219" i="1"/>
  <c r="O45" i="1"/>
  <c r="O61" i="1"/>
  <c r="O244" i="1"/>
  <c r="N216" i="1"/>
  <c r="O115" i="1"/>
  <c r="N153" i="1"/>
  <c r="O197" i="1"/>
  <c r="O190" i="1"/>
  <c r="N107" i="1"/>
  <c r="O124" i="1"/>
  <c r="O44" i="1"/>
  <c r="O209" i="1"/>
  <c r="O260" i="1"/>
  <c r="N157" i="1"/>
  <c r="O106" i="1"/>
  <c r="N87" i="1"/>
  <c r="N24" i="1"/>
  <c r="O36" i="1"/>
  <c r="N79" i="1"/>
  <c r="O31" i="1"/>
  <c r="N68" i="1"/>
  <c r="N131" i="1"/>
  <c r="N228" i="1"/>
  <c r="N227" i="1"/>
  <c r="O196" i="1"/>
  <c r="O239" i="1"/>
  <c r="O116" i="1"/>
  <c r="N28" i="1"/>
  <c r="O266" i="1"/>
  <c r="N6" i="1"/>
  <c r="O139" i="1"/>
  <c r="N19" i="1"/>
  <c r="O178" i="1"/>
  <c r="N160" i="1"/>
  <c r="N260" i="1"/>
  <c r="O99" i="1"/>
  <c r="O203" i="1"/>
  <c r="O198" i="1"/>
  <c r="N165" i="1"/>
  <c r="O170" i="1"/>
  <c r="N4" i="1"/>
  <c r="O218" i="1"/>
  <c r="O224" i="1"/>
  <c r="O75" i="1"/>
  <c r="N78" i="1"/>
  <c r="O164" i="1"/>
  <c r="N125" i="1"/>
  <c r="O193" i="1"/>
  <c r="N249" i="1"/>
  <c r="O24" i="1"/>
  <c r="O144" i="1"/>
  <c r="N268" i="1"/>
  <c r="O220" i="1"/>
  <c r="N22" i="1"/>
  <c r="N258" i="1"/>
  <c r="O28" i="1"/>
  <c r="O38" i="1"/>
  <c r="O215" i="1"/>
  <c r="N59" i="1"/>
  <c r="O123" i="1"/>
  <c r="N196" i="1"/>
  <c r="O252" i="1"/>
  <c r="N34" i="1"/>
  <c r="O157" i="1"/>
  <c r="O243" i="1"/>
  <c r="O272" i="1"/>
  <c r="O257" i="1"/>
  <c r="N8" i="1"/>
  <c r="N198" i="1"/>
  <c r="O137" i="1"/>
  <c r="N270" i="1"/>
  <c r="O12" i="1"/>
  <c r="O151" i="1"/>
  <c r="N188" i="1"/>
  <c r="O27" i="1"/>
  <c r="N64" i="1"/>
  <c r="N168" i="1"/>
  <c r="O234" i="1"/>
  <c r="O229" i="1"/>
  <c r="N69" i="1"/>
  <c r="O78" i="1"/>
  <c r="O87" i="1"/>
  <c r="O129" i="1"/>
  <c r="O47" i="1"/>
  <c r="N176" i="1"/>
  <c r="O94" i="1"/>
  <c r="N94" i="1"/>
  <c r="N220" i="1"/>
  <c r="N83" i="1"/>
  <c r="O59" i="1"/>
  <c r="N189" i="1"/>
  <c r="O88" i="1"/>
  <c r="O118" i="1"/>
  <c r="O11" i="1"/>
  <c r="O226" i="1"/>
  <c r="N132" i="1"/>
  <c r="O33" i="1"/>
  <c r="O233" i="1"/>
  <c r="N88" i="1"/>
  <c r="N97" i="1"/>
  <c r="N143" i="1"/>
  <c r="N264" i="1"/>
  <c r="N252" i="1"/>
  <c r="N84" i="1"/>
  <c r="N56" i="1"/>
  <c r="O270" i="1"/>
  <c r="N232" i="1"/>
  <c r="N150" i="1"/>
  <c r="N90" i="1"/>
  <c r="O236" i="1"/>
  <c r="N261" i="1"/>
  <c r="O160" i="1"/>
  <c r="N197" i="1"/>
  <c r="N77" i="1"/>
  <c r="O265" i="1"/>
  <c r="N42" i="1"/>
  <c r="N155" i="1"/>
  <c r="O167" i="1"/>
  <c r="N61" i="1"/>
  <c r="N115" i="1"/>
  <c r="N99" i="1"/>
  <c r="O207" i="1"/>
  <c r="N23" i="1"/>
  <c r="O23" i="1"/>
  <c r="N60" i="1"/>
  <c r="O240" i="1"/>
  <c r="O206" i="1"/>
  <c r="N207" i="1"/>
  <c r="N267" i="1"/>
  <c r="N170" i="1"/>
  <c r="N148" i="1"/>
  <c r="N250" i="1"/>
  <c r="N3" i="1"/>
  <c r="N17" i="1"/>
  <c r="N118" i="1"/>
  <c r="N54" i="1"/>
  <c r="O66" i="1"/>
  <c r="N20" i="1"/>
  <c r="N225" i="1"/>
  <c r="N96" i="1"/>
  <c r="O195" i="1"/>
  <c r="N130" i="1"/>
  <c r="O86" i="1"/>
  <c r="O49" i="1"/>
  <c r="O58" i="1"/>
  <c r="N95" i="1"/>
  <c r="O5" i="1"/>
  <c r="N164" i="1"/>
  <c r="O19" i="1"/>
  <c r="O221" i="1"/>
  <c r="N238" i="1"/>
  <c r="N185" i="1"/>
  <c r="N257" i="1"/>
  <c r="N15" i="1"/>
  <c r="O259" i="1"/>
  <c r="O219" i="1"/>
  <c r="N241" i="1"/>
  <c r="E4" i="9" l="1"/>
  <c r="F4" i="9"/>
  <c r="G4" i="9"/>
  <c r="D4" i="9"/>
  <c r="C63" i="7"/>
  <c r="C81" i="7"/>
  <c r="C87" i="7"/>
  <c r="C95" i="7"/>
  <c r="C31" i="7"/>
  <c r="C50" i="7"/>
  <c r="C32" i="7"/>
  <c r="C51" i="7"/>
  <c r="C52" i="7"/>
  <c r="C54" i="7"/>
  <c r="C55" i="7"/>
  <c r="C56" i="7"/>
  <c r="C57" i="7"/>
  <c r="C58" i="7"/>
  <c r="C45" i="7"/>
  <c r="C96" i="7"/>
  <c r="C98" i="7"/>
  <c r="C48" i="7"/>
  <c r="C140" i="7"/>
  <c r="C88" i="7"/>
  <c r="C89" i="7"/>
  <c r="C92" i="7"/>
  <c r="C137" i="7"/>
  <c r="C85" i="7"/>
  <c r="C104" i="7"/>
  <c r="C105" i="7"/>
  <c r="C106" i="7"/>
  <c r="C119" i="7"/>
  <c r="C59" i="7"/>
  <c r="C121" i="7"/>
  <c r="C60" i="7"/>
  <c r="C75" i="7"/>
  <c r="C122" i="7"/>
  <c r="C128" i="7"/>
  <c r="C139" i="7"/>
  <c r="C103" i="7"/>
  <c r="C141" i="7"/>
  <c r="C108" i="7"/>
  <c r="C130" i="7"/>
  <c r="C109" i="7"/>
  <c r="C131" i="7"/>
  <c r="C110" i="7"/>
  <c r="C132" i="7"/>
  <c r="C133" i="7"/>
  <c r="C83" i="7"/>
  <c r="C99" i="7"/>
  <c r="C116" i="7"/>
  <c r="C134" i="7"/>
  <c r="C117" i="7"/>
  <c r="C135" i="7"/>
  <c r="C86" i="7"/>
  <c r="C102" i="7"/>
  <c r="C118" i="7"/>
  <c r="C136" i="7"/>
  <c r="C222" i="7"/>
  <c r="C129" i="7"/>
  <c r="C236" i="7"/>
  <c r="C126" i="7"/>
  <c r="C125" i="7"/>
  <c r="C124" i="7"/>
  <c r="C13" i="7"/>
  <c r="C97" i="7"/>
  <c r="C123" i="7"/>
  <c r="C100" i="7"/>
  <c r="C113" i="7"/>
  <c r="C90" i="7"/>
  <c r="C79" i="7"/>
  <c r="C115" i="7"/>
  <c r="C12" i="7"/>
  <c r="C36" i="7"/>
  <c r="D4" i="10"/>
  <c r="D5" i="10"/>
  <c r="D2" i="9"/>
  <c r="D3" i="9"/>
  <c r="E2" i="9"/>
  <c r="E3" i="9"/>
  <c r="F2" i="9"/>
  <c r="F3" i="9"/>
  <c r="G2" i="9"/>
  <c r="G3" i="9"/>
  <c r="C208" i="7"/>
  <c r="C209" i="7"/>
  <c r="C210" i="7"/>
  <c r="C211" i="7"/>
  <c r="C212" i="7"/>
  <c r="C213" i="7"/>
  <c r="C214" i="7"/>
  <c r="C215" i="7"/>
  <c r="C216" i="7"/>
  <c r="C217" i="7"/>
  <c r="C223" i="7"/>
  <c r="C224" i="7"/>
  <c r="C225" i="7"/>
  <c r="C226" i="7"/>
  <c r="C228" i="7"/>
  <c r="C229" i="7"/>
  <c r="C230" i="7"/>
  <c r="C232" i="7"/>
  <c r="C233" i="7"/>
  <c r="C234" i="7"/>
  <c r="C235"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193" i="7"/>
  <c r="C194" i="7"/>
  <c r="C195" i="7"/>
  <c r="C196" i="7"/>
  <c r="C197" i="7"/>
  <c r="C271" i="7"/>
  <c r="C27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<sst xmlns="http://schemas.openxmlformats.org/spreadsheetml/2006/main" count="49374" uniqueCount="14603">
  <si>
    <t>BASE DE DATOS HISTÓRICA DE PROYECTOS</t>
  </si>
  <si>
    <t>Hoja de inicio | Mapa de navegación y guía rápida de uso</t>
  </si>
  <si>
    <t> </t>
  </si>
  <si>
    <t>OBJETIVO DEL ARCHIVO</t>
  </si>
  <si>
    <t>Centralizar, organizar y dar seguimiento a la información histórica de proyectos, actores, entidades aliadas, indicadores, metas y avances de la facultad.</t>
  </si>
  <si>
    <t>MAPA DE NAVEGACIÓN</t>
  </si>
  <si>
    <t>Hoja / módulo</t>
  </si>
  <si>
    <t>Descripción</t>
  </si>
  <si>
    <t>Cuándo usarla</t>
  </si>
  <si>
    <t>Campo clave</t>
  </si>
  <si>
    <t>Actores</t>
  </si>
  <si>
    <t>Registra las personas vinculadas a los proyectos y sus datos de identificación, contacto, rol y relación académica.</t>
  </si>
  <si>
    <t>Agregar o consultar participantes, docentes, estudiantes u otros actores asociados a un proyecto.</t>
  </si>
  <si>
    <t>numero_documento</t>
  </si>
  <si>
    <t>Proyectos</t>
  </si>
  <si>
    <t>Consolida la información principal de cada proyecto: código, semestre, título, tipo, objetivos, temática, fechas, responsable y estado.</t>
  </si>
  <si>
    <t>Crear, revisar o actualizar la ficha general de cada proyecto.</t>
  </si>
  <si>
    <t>codigo_proyecto</t>
  </si>
  <si>
    <t>Entidades</t>
  </si>
  <si>
    <t>Directorio maestro de organizaciones externas, con NIT o código interno, sector, CIIU, contacto, ubicación y convenio.</t>
  </si>
  <si>
    <t>Registrar aliados antes de asociarlos a proyectos.</t>
  </si>
  <si>
    <t>codigo_entidad / NIT</t>
  </si>
  <si>
    <t>Proyecto_Socios</t>
  </si>
  <si>
    <t>Relaciona cada proyecto con sus entidades aliadas y define el tipo de vínculo o participación de cada socio.</t>
  </si>
  <si>
    <t>Vincular uno o varios socios a un proyecto específico.</t>
  </si>
  <si>
    <t>codigo_proyecto + codigo_entidad</t>
  </si>
  <si>
    <t>Metas_Indicador</t>
  </si>
  <si>
    <t>Define las metas asociadas a cada proyecto e indicador, incluyendo periodicidad, tipo de indicador y valor objetivo.</t>
  </si>
  <si>
    <t>Establecer la línea base y la meta contra la cual se medirá el avance.</t>
  </si>
  <si>
    <t>codigo_meta</t>
  </si>
  <si>
    <t>Seguimiento_Indicador</t>
  </si>
  <si>
    <t>Registra los avances de los indicadores por periodo y calcula el cumplimiento frente a la meta definida.</t>
  </si>
  <si>
    <t>Actualizar resultados, evidencias de avance y porcentaje de cumplimiento.</t>
  </si>
  <si>
    <t>codigo_meta + periodo</t>
  </si>
  <si>
    <t>Bateria_Indicadores</t>
  </si>
  <si>
    <t>Catálogo maestro de indicadores disponibles para seleccionar familias, subfamilias, descripciones y tipos.</t>
  </si>
  <si>
    <t>Consultar o ampliar el banco de indicadores disponibles para los proyectos.</t>
  </si>
  <si>
    <t>codigo_indicador</t>
  </si>
  <si>
    <t>Listas</t>
  </si>
  <si>
    <t>Tablas de referencia técnica para alimentar validaciones y listas desplegables del sistema</t>
  </si>
  <si>
    <t>Mantener opciones de selección como tipos, estados, sectores, municipios y periodicidades.</t>
  </si>
  <si>
    <t>categorías de validación</t>
  </si>
  <si>
    <t>TablasODS</t>
  </si>
  <si>
    <t>Catálogo de ODS, nombres y metas relacionadas para clasificar proyectos e indicadores según la Agenda 2030.</t>
  </si>
  <si>
    <t>Mapear proyectos e indicadores con Objetivos de Desarrollo Sostenible y metas ODS.</t>
  </si>
  <si>
    <t>ODS / meta ODS</t>
  </si>
  <si>
    <t>tipo_documento</t>
  </si>
  <si>
    <t>semestre_periodo</t>
  </si>
  <si>
    <t>tipo_actor</t>
  </si>
  <si>
    <t>nombres_apellidos</t>
  </si>
  <si>
    <t>fecha_nacimiento</t>
  </si>
  <si>
    <t>sexo</t>
  </si>
  <si>
    <t>correo_electronico</t>
  </si>
  <si>
    <t>telefono</t>
  </si>
  <si>
    <t>direccion</t>
  </si>
  <si>
    <t>carrera_programa</t>
  </si>
  <si>
    <t>facultad</t>
  </si>
  <si>
    <t>asignatura</t>
  </si>
  <si>
    <t>titulo_proyecto</t>
  </si>
  <si>
    <t>informe_final(link)</t>
  </si>
  <si>
    <t>observaciones</t>
  </si>
  <si>
    <t>CC</t>
  </si>
  <si>
    <t>2019-10</t>
  </si>
  <si>
    <t>Practicante</t>
  </si>
  <si>
    <t>MARÍA JOSE CASTILLO MORENO</t>
  </si>
  <si>
    <t>F</t>
  </si>
  <si>
    <t>maria_castillo@javeriana.edu.co</t>
  </si>
  <si>
    <t>310/613-5065</t>
  </si>
  <si>
    <t>Ingeniería de Sistemas</t>
  </si>
  <si>
    <t>Ingeniería</t>
  </si>
  <si>
    <t>PSU</t>
  </si>
  <si>
    <t>1910NULOS-2410</t>
  </si>
  <si>
    <t>MIGUEL ÁNGEL GUTIÉRREZ IBAGUE</t>
  </si>
  <si>
    <t>M</t>
  </si>
  <si>
    <t>miguel_gutierrez@javeriana.edu.co</t>
  </si>
  <si>
    <t>310/810-8579</t>
  </si>
  <si>
    <t>DANIELA LÓPEZ BARAHONA</t>
  </si>
  <si>
    <t>lo-daniela@javeriana.edu.co</t>
  </si>
  <si>
    <t>316/452-6691</t>
  </si>
  <si>
    <t>DAVID ALEJANDRO MOLANO VÁSQUEZ</t>
  </si>
  <si>
    <t>david-molano@javeriana.edu.co</t>
  </si>
  <si>
    <t>304/587-1500</t>
  </si>
  <si>
    <t>Murillo Castillo,Johan Sebastian</t>
  </si>
  <si>
    <t>johanmurillo@javeriana.edu.co</t>
  </si>
  <si>
    <t>305/791-8469</t>
  </si>
  <si>
    <t>KANEKO BOJACA,RIE</t>
  </si>
  <si>
    <t>rkaneko@javeriana.edu.co</t>
  </si>
  <si>
    <t>321/356-0042</t>
  </si>
  <si>
    <t>SANDOVAL ACOSTA,IVAN DARIO</t>
  </si>
  <si>
    <t>sandoval.i@javeriana.edu.co</t>
  </si>
  <si>
    <t>310/372-0631</t>
  </si>
  <si>
    <t>MARIÑO GUERRA,ANDRES FELIPE</t>
  </si>
  <si>
    <t>marinoandres@javeriana.edu.co</t>
  </si>
  <si>
    <t>301/632-5339</t>
  </si>
  <si>
    <t>Torres Rodríguez,Oscar Daniel</t>
  </si>
  <si>
    <t>oscar_torres@javeriana.edu.co</t>
  </si>
  <si>
    <t>320/553-6492</t>
  </si>
  <si>
    <t>AMANDA CAROLINA SOTO VALENCIA</t>
  </si>
  <si>
    <t>amandasoto@javeriana.edu.co</t>
  </si>
  <si>
    <t>316/696-5901</t>
  </si>
  <si>
    <t>JUAN SEBASTIÁN GONZÁLEZ MORENO</t>
  </si>
  <si>
    <t>gonzalezju@javeriana.edu.co</t>
  </si>
  <si>
    <t>747-3508</t>
  </si>
  <si>
    <t>JUAN DAVID GAMA PEÑA</t>
  </si>
  <si>
    <t>gamaj@javeriana.edu.co</t>
  </si>
  <si>
    <t>312/330-2066</t>
  </si>
  <si>
    <t>WILLIAM ALEXANDER MORENO PRIETO</t>
  </si>
  <si>
    <t>williammoreno@javeriana.edu.co</t>
  </si>
  <si>
    <t>305/792-7706</t>
  </si>
  <si>
    <t>VALENTINA ESCOBAR GÓMEZ</t>
  </si>
  <si>
    <t>valentina.escobar@javeriana.edu.co</t>
  </si>
  <si>
    <t>091/845-8904</t>
  </si>
  <si>
    <t>ANDRES DAVID MARIÑO SÁNCHEZ</t>
  </si>
  <si>
    <t>andres.marino@javeriana.edu.co</t>
  </si>
  <si>
    <t>317/825-5577</t>
  </si>
  <si>
    <t>JAVIER ESTEBAN MARÍN LÓPEZ</t>
  </si>
  <si>
    <t>javier-marin@javeriana.edu.co</t>
  </si>
  <si>
    <t>313/360-6588</t>
  </si>
  <si>
    <t>SANTIAGO SALAMANCA LEÓN</t>
  </si>
  <si>
    <t>s_salamanca@javeriana.edu.co</t>
  </si>
  <si>
    <t>320/840-9799</t>
  </si>
  <si>
    <t>JARAMILLO BENAVIDES,MARIA CAMILA</t>
  </si>
  <si>
    <t>mjaramillob@javeriana.edu.co</t>
  </si>
  <si>
    <t>625-4562</t>
  </si>
  <si>
    <t>Rodriguez Pulido,Juan Pablo</t>
  </si>
  <si>
    <t>jp-rodriguez@javeriana.edu.co</t>
  </si>
  <si>
    <t>320/368-4334</t>
  </si>
  <si>
    <t>JESÚS GILBERTO PINEDA ARTEAGA</t>
  </si>
  <si>
    <t>jesuspineda@javeriana.edu.co</t>
  </si>
  <si>
    <t>318/569-4224</t>
  </si>
  <si>
    <t>JUAN DAVID OCAMPO FERIA</t>
  </si>
  <si>
    <t>ocampojuan@javeriana.edu.co</t>
  </si>
  <si>
    <t>318/699-9970</t>
  </si>
  <si>
    <t>RICARDO ALEXANDER MONTAÑO BARRERA</t>
  </si>
  <si>
    <t>montanor@javeriana.edu.co</t>
  </si>
  <si>
    <t>315/928-8018</t>
  </si>
  <si>
    <t>EDWIN MAURICIO VARGAS BALLESTEROS</t>
  </si>
  <si>
    <t>vargas.edwin@javeriana.edu.co</t>
  </si>
  <si>
    <t>322/344-9757</t>
  </si>
  <si>
    <t xml:space="preserve">NICOLAS SUAREZ JIMENEZ </t>
  </si>
  <si>
    <t>n_suarez@javeriana.edu.co</t>
  </si>
  <si>
    <t>315/233-3321</t>
  </si>
  <si>
    <t>Bustos Ayala,Anyi Paola</t>
  </si>
  <si>
    <t>anyibustos@javeriana.edu.co</t>
  </si>
  <si>
    <t>320/373-9166</t>
  </si>
  <si>
    <t>VALERO GALEANO,DANIEL ESTEBAN</t>
  </si>
  <si>
    <t>daniel-valero@javeriana.edu.co</t>
  </si>
  <si>
    <t>314/442-9560</t>
  </si>
  <si>
    <t>DIEGO ALEJANDRO GAMBOA PACHON</t>
  </si>
  <si>
    <t>diegogamboa@javeriana.edu.co</t>
  </si>
  <si>
    <t>310/776-8907</t>
  </si>
  <si>
    <t>MORENO GALEANO,OSCAR ALEJANDRO</t>
  </si>
  <si>
    <t>oscarmoreno@javeriana.edu.co</t>
  </si>
  <si>
    <t>305/771-1368</t>
  </si>
  <si>
    <t>BARRETO MORA,JUAN SEBASTIAN</t>
  </si>
  <si>
    <t>jbarretom@javeriana.edu.co</t>
  </si>
  <si>
    <t>300/747-8003</t>
  </si>
  <si>
    <t>Cabrales Morales,Santiago</t>
  </si>
  <si>
    <t>santiagocabrales@javeriana.edu.co</t>
  </si>
  <si>
    <t>310/681-8006</t>
  </si>
  <si>
    <t>COMBITA REYES,JAIRO ALBERTO</t>
  </si>
  <si>
    <t>jcombita@javeriana.edu.co</t>
  </si>
  <si>
    <t>312/455-8438</t>
  </si>
  <si>
    <t>Huertas Munevar,Jorge Steve</t>
  </si>
  <si>
    <t>j.huertas@javeriana.edu.co</t>
  </si>
  <si>
    <t>311/467-5549</t>
  </si>
  <si>
    <t>MENESES CAYCEDO,LAURA DAYANA</t>
  </si>
  <si>
    <t>laura_meneses@javeriana.edu.co</t>
  </si>
  <si>
    <t>314/339-2952</t>
  </si>
  <si>
    <t>Ingeniería Industrial</t>
  </si>
  <si>
    <t>CDIO-3</t>
  </si>
  <si>
    <t>MASMELA PINILLA,CARLOS ANDRES</t>
  </si>
  <si>
    <t>c_masmela@javeriana.edu.co</t>
  </si>
  <si>
    <t>722-5717</t>
  </si>
  <si>
    <t>PRADA RODRIGUEZ,JUAN PABLO</t>
  </si>
  <si>
    <t>pradajuan@javeriana.edu.co</t>
  </si>
  <si>
    <t>322/943-0195</t>
  </si>
  <si>
    <t>María Alejandra Angel Vergara</t>
  </si>
  <si>
    <t>angel_m@javeriana.edu.co</t>
  </si>
  <si>
    <t>310/343-4559</t>
  </si>
  <si>
    <t>Karen Faride Santos Carretero</t>
  </si>
  <si>
    <t>santos-karen@javeriana.edu.co</t>
  </si>
  <si>
    <t>311/267-5209</t>
  </si>
  <si>
    <t>Catalina Ruiz Amaya</t>
  </si>
  <si>
    <t>catalinaruiz@javeriana.edu.co</t>
  </si>
  <si>
    <t>310/813-3740</t>
  </si>
  <si>
    <t>Yudy Tatiana Pedraza Torres</t>
  </si>
  <si>
    <t>pedraza_yudy@javeriana.edu.co</t>
  </si>
  <si>
    <t>321/925-3148</t>
  </si>
  <si>
    <t>Daniela Ramírez Alfonso</t>
  </si>
  <si>
    <t>daniela_ramirez@javeriana.edu.co</t>
  </si>
  <si>
    <t>301/739-2580</t>
  </si>
  <si>
    <t>Andrade Devia,Maria Camila</t>
  </si>
  <si>
    <t>mandraded@javeriana.edu.co</t>
  </si>
  <si>
    <t>350/619-8777</t>
  </si>
  <si>
    <t>Cuadros Castiblanco,Mario Andres</t>
  </si>
  <si>
    <t>cuadros.m@javeriana.edu.co</t>
  </si>
  <si>
    <t>320/274-9414</t>
  </si>
  <si>
    <t>Estefania Arias Bula</t>
  </si>
  <si>
    <t>estefania-arias@javeriana.edu.co</t>
  </si>
  <si>
    <t>678-1345</t>
  </si>
  <si>
    <t>Juan Pablo Ballen Blanco</t>
  </si>
  <si>
    <t>j-ballen@javeriana.edu.co</t>
  </si>
  <si>
    <t>463-7447</t>
  </si>
  <si>
    <t>María Camila Ávila Motta</t>
  </si>
  <si>
    <t>mavilam@javeriana.edu.co</t>
  </si>
  <si>
    <t>320/208-7722</t>
  </si>
  <si>
    <t>Verónica Calle Hoyos</t>
  </si>
  <si>
    <t>vcalle@javeriana.edu.co</t>
  </si>
  <si>
    <t>310/255-7338</t>
  </si>
  <si>
    <t>María Camila Charry Cruz</t>
  </si>
  <si>
    <t>maria-charry@javeriana.edu.co</t>
  </si>
  <si>
    <t>313/498-1140</t>
  </si>
  <si>
    <t>Alejandro Rojas Carranza</t>
  </si>
  <si>
    <t>rojas_a@javeriana.edu.co</t>
  </si>
  <si>
    <t>734-5022</t>
  </si>
  <si>
    <t>Daniela Pallares Jerez</t>
  </si>
  <si>
    <t>dpallares@javeriana.edu.co</t>
  </si>
  <si>
    <t>315/712-1621</t>
  </si>
  <si>
    <t>Laura Valentina Usaquén Góngora</t>
  </si>
  <si>
    <t>usaquen_laura@javeriana.edu.co</t>
  </si>
  <si>
    <t>322/291-2810</t>
  </si>
  <si>
    <t>Juan Pablo Ramírez Loza</t>
  </si>
  <si>
    <t>juramirez@javeriana.edu.co</t>
  </si>
  <si>
    <t>300/587-0700</t>
  </si>
  <si>
    <t>Néstor Eduardo Rodríguez Rubio</t>
  </si>
  <si>
    <t>rodrigueznestor@javeriana.edu.co</t>
  </si>
  <si>
    <t>301/562-1306</t>
  </si>
  <si>
    <t>Valeria Farré Zambrano</t>
  </si>
  <si>
    <t>vfarre@javeriana.edu.co</t>
  </si>
  <si>
    <t>876-4200</t>
  </si>
  <si>
    <t>Laura Agudelo Henao</t>
  </si>
  <si>
    <t>agudelolaura@javeriana.edu.co</t>
  </si>
  <si>
    <t>304/525-7718</t>
  </si>
  <si>
    <t>Luis Francisco Acevedo Quintero</t>
  </si>
  <si>
    <t>acevedo.luis@javeriana.edu.co</t>
  </si>
  <si>
    <t>300/612-7075</t>
  </si>
  <si>
    <t>Karen Santos Garavito</t>
  </si>
  <si>
    <t>karen.santos@javeriana.edu.co</t>
  </si>
  <si>
    <t>301/463-8851</t>
  </si>
  <si>
    <t>Oscar David López Guzmán</t>
  </si>
  <si>
    <t>o.lopezg@javeriana.edu.co</t>
  </si>
  <si>
    <t>310/482-7392</t>
  </si>
  <si>
    <t>Alejandro Pedro Vélez García</t>
  </si>
  <si>
    <t>velez.alejandro@javeriana.edu.co</t>
  </si>
  <si>
    <t>313/572-0361</t>
  </si>
  <si>
    <t>Natalia  Arrieta Aycardi</t>
  </si>
  <si>
    <t>narrieta@javeriana.edu.co</t>
  </si>
  <si>
    <t>764-1418</t>
  </si>
  <si>
    <t>Daniel Salomon Barrios De La Hoz</t>
  </si>
  <si>
    <t>daniel-barrios@javeriana.edu.co</t>
  </si>
  <si>
    <t>301/446-7430</t>
  </si>
  <si>
    <t>CARDOZO BAQUERO,CHRISTIAN JAVIER</t>
  </si>
  <si>
    <t>c_cardozo@javeriana.edu.co</t>
  </si>
  <si>
    <t>759-7457</t>
  </si>
  <si>
    <t>Kevin Andrés Villamil Calderón</t>
  </si>
  <si>
    <t>kevin_villamil@javeriana.edu.co</t>
  </si>
  <si>
    <t>333-1022</t>
  </si>
  <si>
    <t>Héctor Adolfo Granados Vera</t>
  </si>
  <si>
    <t>h-granados@javeriana.edu.co</t>
  </si>
  <si>
    <t>301/290-3528</t>
  </si>
  <si>
    <t>Paula Cristina Rivera Daschmann</t>
  </si>
  <si>
    <t>rivera.paula@javeriana.edu.co</t>
  </si>
  <si>
    <t>316/624-2196</t>
  </si>
  <si>
    <t>Bonilla Pérez,Lina María</t>
  </si>
  <si>
    <t>bonilla-lina@javeriana.edu.co</t>
  </si>
  <si>
    <t>312/371-7247</t>
  </si>
  <si>
    <t>Valdes Hernandez,Ana Maria</t>
  </si>
  <si>
    <t>ana.valdes@javeriana.edu.co</t>
  </si>
  <si>
    <t>792-1337</t>
  </si>
  <si>
    <t>AYALA JAIMES,CAMILO ANDRES</t>
  </si>
  <si>
    <t>camilo-ayala@javeriana.edu.co</t>
  </si>
  <si>
    <t>317/489-1665</t>
  </si>
  <si>
    <t>Barrera Ortiz,Santiago</t>
  </si>
  <si>
    <t>santiago.barrera@javeriana.edu.co</t>
  </si>
  <si>
    <t>316/330-8903</t>
  </si>
  <si>
    <t>MONTOYA CASTILLO,LUIS ALFONSO</t>
  </si>
  <si>
    <t>montoya_luis@javeriana.edu.co</t>
  </si>
  <si>
    <t>320/369-2309</t>
  </si>
  <si>
    <t>PIÑEROS SIERRA,MARIA ANGELICA</t>
  </si>
  <si>
    <t>m_pineros@javeriana.edu.co</t>
  </si>
  <si>
    <t>310/564-5484</t>
  </si>
  <si>
    <t>Stefany Tatiana Alvarez Mantilla</t>
  </si>
  <si>
    <t>stefany_alvarez@javeriana.edu.co</t>
  </si>
  <si>
    <t>318/658-0644</t>
  </si>
  <si>
    <t>Juan Camilo Castro Petro</t>
  </si>
  <si>
    <t>jcastrop@javeriana.edu.co</t>
  </si>
  <si>
    <t>318/375-7993</t>
  </si>
  <si>
    <t>María Daniela Garzón Sanabria</t>
  </si>
  <si>
    <t>garzon_m@javeriana.edu.co</t>
  </si>
  <si>
    <t>300/719-0104</t>
  </si>
  <si>
    <t>Erika Jeniffer Harker Gutierrez</t>
  </si>
  <si>
    <t>eharker@javeriana.edu.co</t>
  </si>
  <si>
    <t>301/341-2386</t>
  </si>
  <si>
    <t>Sofía Catalina Rodríguez Giraldo</t>
  </si>
  <si>
    <t>sofiarodriguez@javeriana.edu.co</t>
  </si>
  <si>
    <t>316/795-1517</t>
  </si>
  <si>
    <t>Daniela  Betancourt Martínez</t>
  </si>
  <si>
    <t>daniela.betancourt@javeriana.edu.co</t>
  </si>
  <si>
    <t>316/351-3381</t>
  </si>
  <si>
    <t>Maryam Alejandra Páez Barreto</t>
  </si>
  <si>
    <t>maryan.paez@javeriana.edu.co</t>
  </si>
  <si>
    <t>320/369-8998</t>
  </si>
  <si>
    <t>Juan Pablo Torres Clavijo</t>
  </si>
  <si>
    <t>ju-torres@javeriana.edu.co</t>
  </si>
  <si>
    <t>320/397-9147</t>
  </si>
  <si>
    <t>Laura Andrea Villamil Granados</t>
  </si>
  <si>
    <t>lauravillamil@javeriana.edu.co</t>
  </si>
  <si>
    <t>301/544-4865</t>
  </si>
  <si>
    <t>Delgado Castillo,Maria Jose</t>
  </si>
  <si>
    <t>maria_delgado@javeriana.edu.co</t>
  </si>
  <si>
    <t>314/892-2665</t>
  </si>
  <si>
    <t>DUQUE BORRERO,NATALIA</t>
  </si>
  <si>
    <t>natalia-duque@javeriana.edu.co</t>
  </si>
  <si>
    <t>315/670-1193</t>
  </si>
  <si>
    <t>Rosado Cuervo,Daniela</t>
  </si>
  <si>
    <t>drosado@javeriana.edu.co</t>
  </si>
  <si>
    <t>317/669-7675</t>
  </si>
  <si>
    <t>María Alejandra Pérez Uribe</t>
  </si>
  <si>
    <t>maria_perez@javeriana.edu.co</t>
  </si>
  <si>
    <t>314/334-5156</t>
  </si>
  <si>
    <t>PEREZ LIZCANO,SERGIO DAVID</t>
  </si>
  <si>
    <t>sergioperez@javeriana.edu.co</t>
  </si>
  <si>
    <t>312/451-8841</t>
  </si>
  <si>
    <t>PEREZ MORALES,MONICA JULIANA</t>
  </si>
  <si>
    <t>perezmonica@javeriana.edu.co</t>
  </si>
  <si>
    <t>301/787-3209</t>
  </si>
  <si>
    <t>MORA HERNANDEZ,LORENA PATRICIA</t>
  </si>
  <si>
    <t>lorenamora@javeriana.edu.co</t>
  </si>
  <si>
    <t>313/422-2801</t>
  </si>
  <si>
    <t>Puentes Guzman,Cristian Nicolas</t>
  </si>
  <si>
    <t>c-puentes@javeriana.edu.co</t>
  </si>
  <si>
    <t>321/341-4830</t>
  </si>
  <si>
    <t>Lopez Castro,Laura Maria</t>
  </si>
  <si>
    <t>la.lopez@javeriana.edu.co</t>
  </si>
  <si>
    <t>317/876-6800</t>
  </si>
  <si>
    <t>Martinez Mayorga,Sonia Geraldine</t>
  </si>
  <si>
    <t>soniamartinez@javeriana.edu.co</t>
  </si>
  <si>
    <t>321/358-6417</t>
  </si>
  <si>
    <t>Gamboa Guzmán,Jenny Carolina</t>
  </si>
  <si>
    <t>j-gamboa@javeriana.edu.co</t>
  </si>
  <si>
    <t>316/242-2863</t>
  </si>
  <si>
    <t>Carole Estephania García Pinzón</t>
  </si>
  <si>
    <t>garciacarole@javeriana.edu.co</t>
  </si>
  <si>
    <t>314/246-7152</t>
  </si>
  <si>
    <t>Juan Sebastian Meneses Salas</t>
  </si>
  <si>
    <t>menesesjuan@javeriana.edu.co</t>
  </si>
  <si>
    <t>+373479924817</t>
  </si>
  <si>
    <t>VARGAS ROJAS,ANA MARIA</t>
  </si>
  <si>
    <t>avargas.r@javeriana.edu.co</t>
  </si>
  <si>
    <t>320/371-7005</t>
  </si>
  <si>
    <t>VIVAS VIVAS,ALEJANDRO</t>
  </si>
  <si>
    <t>vivas.alejandro@javeriana.edu.co</t>
  </si>
  <si>
    <t>301/597-7597</t>
  </si>
  <si>
    <t>MORENO ZABALA,DIEGO FELIPE</t>
  </si>
  <si>
    <t>dmorenoz@javeriana.edu.co</t>
  </si>
  <si>
    <t>318/273-1104</t>
  </si>
  <si>
    <t>Fuentes Méndez,Juan Felipe</t>
  </si>
  <si>
    <t>fuentesjuan@javeriana.edu.co</t>
  </si>
  <si>
    <t>314/893-5858</t>
  </si>
  <si>
    <t>Laura Alejandra Reyes Herreño</t>
  </si>
  <si>
    <t>laura_reyes@javeriana.edu.co</t>
  </si>
  <si>
    <t>320/214-3680</t>
  </si>
  <si>
    <t>Laura Isabel Gonzalez Fernandez</t>
  </si>
  <si>
    <t>golaura@javeriana.edu.co</t>
  </si>
  <si>
    <t>317/429-9135</t>
  </si>
  <si>
    <t>Luisa Fernanda Díaz Amaya</t>
  </si>
  <si>
    <t>ldiaza@javeriana.edu.co</t>
  </si>
  <si>
    <t>317/426-6400</t>
  </si>
  <si>
    <t>Burgos Mosquera,Juan José</t>
  </si>
  <si>
    <t>juanburgos@javeriana.edu.co</t>
  </si>
  <si>
    <t>321/379-3296</t>
  </si>
  <si>
    <t>FONSECA CONTRERAS,MARIA PAULA</t>
  </si>
  <si>
    <t>m_fonseca@javeriana.edu.co</t>
  </si>
  <si>
    <t>627-2958</t>
  </si>
  <si>
    <t>LOVERA CAMACHO,JORGE DANIEL</t>
  </si>
  <si>
    <t>jlovera@javeriana.edu.co</t>
  </si>
  <si>
    <t>311/255-6844</t>
  </si>
  <si>
    <t>VARGAS MENDEZ,JULIAN CAMILO</t>
  </si>
  <si>
    <t>j-vargasm@javeriana.edu.co</t>
  </si>
  <si>
    <t>320/466-1015</t>
  </si>
  <si>
    <t>Geraldine  Beltran Pérez</t>
  </si>
  <si>
    <t>geraldine.beltran@javeriana.edu.co</t>
  </si>
  <si>
    <t>311/251-6921</t>
  </si>
  <si>
    <t>Juan Felipe Gonzalez Sanmiguel</t>
  </si>
  <si>
    <t>jf.gonzalez@javeriana.edu.co</t>
  </si>
  <si>
    <t>320/842-0320</t>
  </si>
  <si>
    <t>Sebastián Herrera Monterrosa</t>
  </si>
  <si>
    <t>herrera_sebastian@javeriana.edu.co</t>
  </si>
  <si>
    <t>+573103049306</t>
  </si>
  <si>
    <t>Sebastián Ladino Bravo</t>
  </si>
  <si>
    <t>ladinosebastian@javeriana.edu.co</t>
  </si>
  <si>
    <t>317/369-9462</t>
  </si>
  <si>
    <t>Fernando Andrés Ávila Chaparro</t>
  </si>
  <si>
    <t>fernando_avila@javeriana.edu.co</t>
  </si>
  <si>
    <t>314/368-8482</t>
  </si>
  <si>
    <t>LOVERA ABELLA,LUNA VIOLETA</t>
  </si>
  <si>
    <t>lunalovera@javeriana.edu.co</t>
  </si>
  <si>
    <t>318/553-1132</t>
  </si>
  <si>
    <t>María Cristina Castro Pachón</t>
  </si>
  <si>
    <t>m_castro@javeriana.edu.co</t>
  </si>
  <si>
    <t>310/293-7148</t>
  </si>
  <si>
    <t>María Camila Sterling Espinal</t>
  </si>
  <si>
    <t>sterling_maria@javeriana.edu.co</t>
  </si>
  <si>
    <t>320/931-0706</t>
  </si>
  <si>
    <t>MARTINEZ SAMBONI,LITZI SOFIA</t>
  </si>
  <si>
    <t>litzi.martinez@javeriana.edu.co</t>
  </si>
  <si>
    <t>316/499-1047</t>
  </si>
  <si>
    <t>Cruz Villarraga,Carlos David</t>
  </si>
  <si>
    <t>ccruzv@javeriana.edu.co</t>
  </si>
  <si>
    <t>311/867-4012</t>
  </si>
  <si>
    <t>Natalia Romero Arrieta</t>
  </si>
  <si>
    <t>natalia_romero@javeriana.edu.co</t>
  </si>
  <si>
    <t>320/878-3813</t>
  </si>
  <si>
    <t>Miguel Angel Méndez Hernández</t>
  </si>
  <si>
    <t>miguelmendez@javeriana.edu.co</t>
  </si>
  <si>
    <t>301/529-9589</t>
  </si>
  <si>
    <t>Jaime Alejandro Avellaneda Machetá</t>
  </si>
  <si>
    <t>avellanedajaime@javeriana.edu.co</t>
  </si>
  <si>
    <t>305/791-4319</t>
  </si>
  <si>
    <t>Juan Diego Bautista Vasquez</t>
  </si>
  <si>
    <t>bautistajuan@javeriana.edu.co</t>
  </si>
  <si>
    <t>318/693-7598</t>
  </si>
  <si>
    <t>María Julia Guao Guerra</t>
  </si>
  <si>
    <t>mguao@javeriana.edu.co</t>
  </si>
  <si>
    <t>345-0928</t>
  </si>
  <si>
    <t>Natalia Pallares Pérez</t>
  </si>
  <si>
    <t>npallares@javeriana.edu.co</t>
  </si>
  <si>
    <t>318/336-5534</t>
  </si>
  <si>
    <t>Víctor Alexander Garzón Montenegro</t>
  </si>
  <si>
    <t>victor_garzon@javeriana.edu.co</t>
  </si>
  <si>
    <t>310/775-5797</t>
  </si>
  <si>
    <t>Cristian Camilo Vasquez Sanchez</t>
  </si>
  <si>
    <t>cristianvasquez@javeriana.edu.co</t>
  </si>
  <si>
    <t>302/667-0531</t>
  </si>
  <si>
    <t>Daniel Sebastian Kempe Quiroga</t>
  </si>
  <si>
    <t>daniel_kempe@javeriana.edu.co</t>
  </si>
  <si>
    <t>647-3802</t>
  </si>
  <si>
    <t>Francisco Javier Lozano Otálora</t>
  </si>
  <si>
    <t>franciscolozano@javeriana.edu.co</t>
  </si>
  <si>
    <t>320-7834</t>
  </si>
  <si>
    <t>Laura Alejandra Pai Zambrano</t>
  </si>
  <si>
    <t>pai.laura@javeriana.edu.co</t>
  </si>
  <si>
    <t>317/648-9177</t>
  </si>
  <si>
    <t>Daniel Felipe Gonzalez Rivera</t>
  </si>
  <si>
    <t>da-gonzalez@javeriana.edu.co</t>
  </si>
  <si>
    <t>800-3798</t>
  </si>
  <si>
    <t>Ángela María Jiménez Cubides</t>
  </si>
  <si>
    <t>angelajimenez@javeriana.edu.co</t>
  </si>
  <si>
    <t>314/309-5898</t>
  </si>
  <si>
    <t>Daniela Alejandra Ramos Arias</t>
  </si>
  <si>
    <t>daniela-ramos@javeriana.edu.co</t>
  </si>
  <si>
    <t>456-8795</t>
  </si>
  <si>
    <t>Angélica María Nieto Abril</t>
  </si>
  <si>
    <t>a_nieto@javeriana.edu.co</t>
  </si>
  <si>
    <t>321/435-0165</t>
  </si>
  <si>
    <t>Oscar David Melo Cupitra</t>
  </si>
  <si>
    <t>oscar-melo@javeriana.edu.co</t>
  </si>
  <si>
    <t>350/522-9618</t>
  </si>
  <si>
    <t>Pablo Nicolás Ramos Buitrago</t>
  </si>
  <si>
    <t>pablo.ramos@javeriana.edu.co</t>
  </si>
  <si>
    <t>310/284-8191</t>
  </si>
  <si>
    <t>Haddad Gomez,Melba Maria</t>
  </si>
  <si>
    <t>m_haddad@javeriana.edu.co</t>
  </si>
  <si>
    <t>300/800-0421</t>
  </si>
  <si>
    <t>Pantoja Echeverry,Maria Paula</t>
  </si>
  <si>
    <t>pantoja-m@javeriana.edu.co</t>
  </si>
  <si>
    <t>300/293-0089</t>
  </si>
  <si>
    <t>SANABRIA CANO,DANYELA</t>
  </si>
  <si>
    <t>danyela.sanabria@javeriana.edu.co</t>
  </si>
  <si>
    <t>322/906-0354</t>
  </si>
  <si>
    <t>Mora Duarte,Valeria</t>
  </si>
  <si>
    <t>v-mora@javeriana.edu.co</t>
  </si>
  <si>
    <t>321/484-3360</t>
  </si>
  <si>
    <t>HERNANDEZ ARANA,ANDREA CAROLINA</t>
  </si>
  <si>
    <t>andrea_hernandez@javeriana.edu.co</t>
  </si>
  <si>
    <t>472-5021</t>
  </si>
  <si>
    <t>Callejas Gamba,Juan José</t>
  </si>
  <si>
    <t>callejas.juan@javeriana.edu.co</t>
  </si>
  <si>
    <t>304/545-2438</t>
  </si>
  <si>
    <t>Orozco Quiroz,María José</t>
  </si>
  <si>
    <t>m-orozco@javeriana.edu.co</t>
  </si>
  <si>
    <t>322/568-6579</t>
  </si>
  <si>
    <t>Gacharná Díaz,Juan José</t>
  </si>
  <si>
    <t>gacharna.juan@javeriana.edu.co</t>
  </si>
  <si>
    <t>317/370-7899</t>
  </si>
  <si>
    <t>Romero Moreno,Juan Esteban</t>
  </si>
  <si>
    <t>juan_romero@javeriana.edu.co</t>
  </si>
  <si>
    <t>311/567-0078</t>
  </si>
  <si>
    <t>BASTOS CRUZ,JUAN SEBASTIAN</t>
  </si>
  <si>
    <t>juan-bastos@javeriana.edu.co</t>
  </si>
  <si>
    <t>301/312-5327</t>
  </si>
  <si>
    <t>CARRIZOSA BERNAL,JUAN ESTEBAN</t>
  </si>
  <si>
    <t>carrizosaj@javeriana.edu.co</t>
  </si>
  <si>
    <t>314 3941212</t>
  </si>
  <si>
    <t>Ingeniería Civil</t>
  </si>
  <si>
    <t>OLAYA SANTOS,SANTIAGO</t>
  </si>
  <si>
    <t>olaya.s@javeriana.edu.co</t>
  </si>
  <si>
    <t>318/340-5982</t>
  </si>
  <si>
    <t>TARAZONA ARELLANO,MARIA GABRIELA</t>
  </si>
  <si>
    <t>tarazona.maria@javeriana.edu.co</t>
  </si>
  <si>
    <t>316/817-2585</t>
  </si>
  <si>
    <t>BEDON LIMAS,JOSE ALEJANDRO</t>
  </si>
  <si>
    <t>jose.bedon@javeriana.edu.co</t>
  </si>
  <si>
    <t>316/692-1143</t>
  </si>
  <si>
    <t>VARGAS MONTES,ANTONIO JOSE</t>
  </si>
  <si>
    <t>antonio.vargas@javeriana.edu.co</t>
  </si>
  <si>
    <t>311/427-1872</t>
  </si>
  <si>
    <t>ARCHBOLD CARDENAS,CAMILO ANDRES</t>
  </si>
  <si>
    <t>carchbold@javeriana.edu.co</t>
  </si>
  <si>
    <t>315/378-8583</t>
  </si>
  <si>
    <t>Raga Rodriguez,Maria De Los Angeles</t>
  </si>
  <si>
    <t>m_raga@javeriana.edu.co</t>
  </si>
  <si>
    <t>321/408-1218</t>
  </si>
  <si>
    <t>Buitrago Contreras,Laura Alejandra</t>
  </si>
  <si>
    <t>laura_buitrago@javeriana.edu.co</t>
  </si>
  <si>
    <t>320/475-9003</t>
  </si>
  <si>
    <t>CARDONA MORA,ANDRES FELIPE</t>
  </si>
  <si>
    <t>andrescardona@javeriana.edu.co</t>
  </si>
  <si>
    <t>314/448-8271</t>
  </si>
  <si>
    <t>Padilla Cuevas,Ana María</t>
  </si>
  <si>
    <t>ana.padilla@javeriana.edu.co</t>
  </si>
  <si>
    <t>314/433-2921</t>
  </si>
  <si>
    <t>Paez Rincón,Lisseth Tatiana</t>
  </si>
  <si>
    <t>lisseth.paez@javeriana.edu.co</t>
  </si>
  <si>
    <t>318/821-6386</t>
  </si>
  <si>
    <t>Quintero Torres,Paola Andrea</t>
  </si>
  <si>
    <t>quinteropaola@javeriana.edu.co</t>
  </si>
  <si>
    <t>305/263-4892</t>
  </si>
  <si>
    <t>TERREROS CARRILLO,DIEGO EDISON</t>
  </si>
  <si>
    <t>terrerosdiego@javeriana.edu.co</t>
  </si>
  <si>
    <t>313/369-5866</t>
  </si>
  <si>
    <t>ZAMBRANO MACIAS,DEICY MELISA</t>
  </si>
  <si>
    <t>deicy.zambrano@javeriana.edu.co</t>
  </si>
  <si>
    <t>300/339-7393</t>
  </si>
  <si>
    <t>Arcila Saldarriaga,Santiago</t>
  </si>
  <si>
    <t>santiago.arcila@javeriana.edu.co</t>
  </si>
  <si>
    <t>571/464-7869</t>
  </si>
  <si>
    <t>CABRERA PINZON,ERNESTO</t>
  </si>
  <si>
    <t>e.cabrera@javeriana.edu.co</t>
  </si>
  <si>
    <t>320/472-7834</t>
  </si>
  <si>
    <t>GARCIA CONTRERAS,EDGAR ANDRES</t>
  </si>
  <si>
    <t>e_garcia@javeriana.edu.co</t>
  </si>
  <si>
    <t>321/370-1967</t>
  </si>
  <si>
    <t>VARGAS CAJICA,JAIRO ANDRES</t>
  </si>
  <si>
    <t>jairo-vargas@javeriana.edu.co</t>
  </si>
  <si>
    <t>313/406-7333</t>
  </si>
  <si>
    <t>VERGNAUD CRISTANCHO,JEAN PHILIPPE</t>
  </si>
  <si>
    <t>jean.vergnaud@javeriana.edu.co</t>
  </si>
  <si>
    <t>317/461-0943</t>
  </si>
  <si>
    <t>ARCE CARRERO,JUAN PABLO</t>
  </si>
  <si>
    <t>arcejuan@javeriana.edu.co</t>
  </si>
  <si>
    <t>320/468-9880</t>
  </si>
  <si>
    <t>Bermúdez Mahecha,Sergio Andrés</t>
  </si>
  <si>
    <t>sergio-bermudez@javeriana.edu.co</t>
  </si>
  <si>
    <t>298-7288</t>
  </si>
  <si>
    <t>GARZON ROJAS,CRISTIAN JAVIER</t>
  </si>
  <si>
    <t>cristian.garzon@javeriana.edu.co</t>
  </si>
  <si>
    <t>320/890-2957</t>
  </si>
  <si>
    <t>POLANCO PORRAS,JOSE DANIEL</t>
  </si>
  <si>
    <t>jose.polanco@javeriana.edu.co</t>
  </si>
  <si>
    <t>310/699-8135</t>
  </si>
  <si>
    <t>ALEJO PINZON,ESTEBAN DAVID</t>
  </si>
  <si>
    <t>esteban_alejo@javeriana.edu.co</t>
  </si>
  <si>
    <t>316/538-0828</t>
  </si>
  <si>
    <t>DUARTE MONTAÑO,CARLOS DANIEL</t>
  </si>
  <si>
    <t>carlosduarte@javeriana.edu.co</t>
  </si>
  <si>
    <t>312/537-2943</t>
  </si>
  <si>
    <t>Sánchez Bolivar,Osvaldo Enrique</t>
  </si>
  <si>
    <t>osvaldosanchez@javeriana.edu.co</t>
  </si>
  <si>
    <t>317/427-0263</t>
  </si>
  <si>
    <t>Ladino Delgado,Sergio Daniel</t>
  </si>
  <si>
    <t>sergioladino@javeriana.edu.co</t>
  </si>
  <si>
    <t>321/438-0982</t>
  </si>
  <si>
    <t>MONTOYA LEAL,NATALIA</t>
  </si>
  <si>
    <t>montoyanatalia@javeriana.edu.co</t>
  </si>
  <si>
    <t>321/416-0561</t>
  </si>
  <si>
    <t>Niño Rodriguez,Paula Vanessa</t>
  </si>
  <si>
    <t>paula_nino@javeriana.edu.co</t>
  </si>
  <si>
    <t>300/544-4100</t>
  </si>
  <si>
    <t>Ávila Medina,Juan Sebastián</t>
  </si>
  <si>
    <t>juan_avila@javeriana.edu.co</t>
  </si>
  <si>
    <t>747-0274</t>
  </si>
  <si>
    <t>Piñeros Caro,Juan David</t>
  </si>
  <si>
    <t>j_pineros@javeriana.edu.co</t>
  </si>
  <si>
    <t>312/434-6343</t>
  </si>
  <si>
    <t>QUINTERO RESTREPO,JUAN CAMILO</t>
  </si>
  <si>
    <t>juquintero@javeriana.edu.co</t>
  </si>
  <si>
    <t>315/874-9513</t>
  </si>
  <si>
    <t>Ahumada Acosta,Juan David</t>
  </si>
  <si>
    <t>juan_ahumada@javeriana.edu.co</t>
  </si>
  <si>
    <t>320/458-4102</t>
  </si>
  <si>
    <t>QUINTERO CABALLERO,JOSE DEL CARMEN</t>
  </si>
  <si>
    <t>jose_quintero@javeriana.edu.co</t>
  </si>
  <si>
    <t>311/440-9802</t>
  </si>
  <si>
    <t>RODRIGUEZ GONZALEZ,DANIEL</t>
  </si>
  <si>
    <t>danielrg@javeriana.edu.co</t>
  </si>
  <si>
    <t>314/443-5941</t>
  </si>
  <si>
    <t>USECHE ESPINOSA,CESAR ESTEBAN</t>
  </si>
  <si>
    <t>cesar.useche@javeriana.edu.co</t>
  </si>
  <si>
    <t>800-8925</t>
  </si>
  <si>
    <t>ARCILA GUT,DAVID ANDRES</t>
  </si>
  <si>
    <t>arcila.d@javeriana.edu.co</t>
  </si>
  <si>
    <t>321/225-9232</t>
  </si>
  <si>
    <t>CUBIDES HERNANDEZ,ANDRES ENRIQUE</t>
  </si>
  <si>
    <t>cubides_andres@javeriana.edu.co</t>
  </si>
  <si>
    <t>317/435-3388</t>
  </si>
  <si>
    <t>GONZALEZ SAENZ,JUAN SEBASTIAN</t>
  </si>
  <si>
    <t>ju_gonzalez@javeriana.edu.co</t>
  </si>
  <si>
    <t>216-6170</t>
  </si>
  <si>
    <t>Rivera Hernandez,Alejandro</t>
  </si>
  <si>
    <t>alejandro.rivera@javeriana.edu.co</t>
  </si>
  <si>
    <t>305/354-6016</t>
  </si>
  <si>
    <t>ROJAS BONILLA,SANTIAGO ARIEL</t>
  </si>
  <si>
    <t>santiagorojas@javeriana.edu.co</t>
  </si>
  <si>
    <t>302-8226</t>
  </si>
  <si>
    <t>Giedelmann Guzman,Andres</t>
  </si>
  <si>
    <t>andresgiedelmann@javeriana.edu.co</t>
  </si>
  <si>
    <t>301/784-7256</t>
  </si>
  <si>
    <t>ACEVEDO SANCHEZ,STEVEN ALFONSO</t>
  </si>
  <si>
    <t>s_acevedo@javeriana.edu.co</t>
  </si>
  <si>
    <t>320/473-4944</t>
  </si>
  <si>
    <t>BOGOTA MORA,BRAYAN LEONARDO</t>
  </si>
  <si>
    <t>bogota_brayan@javeriana.edu.co</t>
  </si>
  <si>
    <t>322/408-6382</t>
  </si>
  <si>
    <t>SARMIENTO MOJICA,MIGUEL ALEJANDRO</t>
  </si>
  <si>
    <t>sarmiento.miguel@javeriana.edu.co</t>
  </si>
  <si>
    <t>312/380-1211</t>
  </si>
  <si>
    <t>Sánchez Hernández,Laura Ximena</t>
  </si>
  <si>
    <t>sanchez_laura@javeriana.edu.co</t>
  </si>
  <si>
    <t>322/282-2505</t>
  </si>
  <si>
    <t>URBINA ARIZA,DANIEL ENRIQUE</t>
  </si>
  <si>
    <t>urbinad@javeriana.edu.co</t>
  </si>
  <si>
    <t>301/769-9843</t>
  </si>
  <si>
    <t>2019-30</t>
  </si>
  <si>
    <t>MUÑOZ USAMA,ANDRES CAMILO</t>
  </si>
  <si>
    <t>munozandres@javeriana.edu.co</t>
  </si>
  <si>
    <t>302/318-5193</t>
  </si>
  <si>
    <t>JUAN PABLO RODRÍGUEZ LÓPEZ</t>
  </si>
  <si>
    <t>jp-rodriguezl@javeriana.edu.co</t>
  </si>
  <si>
    <t>311/280-3739</t>
  </si>
  <si>
    <t>LINA MARCELA VARON OVALLE</t>
  </si>
  <si>
    <t>lina-varon@javeriana.edu.co</t>
  </si>
  <si>
    <t>310/811-1892</t>
  </si>
  <si>
    <t>JUAN DIEGO OSORIO HERNÁNDEZ</t>
  </si>
  <si>
    <t>j_osorio@javeriana.edu.co</t>
  </si>
  <si>
    <t>319/494-2837</t>
  </si>
  <si>
    <t>BELTRAN SAAVEDRA,DANIELA PAOLA</t>
  </si>
  <si>
    <t>d_beltran@javeriana.edu.co</t>
  </si>
  <si>
    <t>311/236-8644</t>
  </si>
  <si>
    <t>Triana Perez,Juan Sebastian</t>
  </si>
  <si>
    <t>juan_triana@javeriana.edu.co</t>
  </si>
  <si>
    <t>318/622-8897</t>
  </si>
  <si>
    <t>CESAR ALEJANDRO GUAYARA RODRÍGUEZ</t>
  </si>
  <si>
    <t>c_guayara@javeriana.edu.co</t>
  </si>
  <si>
    <t>316/529-6135</t>
  </si>
  <si>
    <t>RINCON TELLEZ,MICHAEL STEVEN</t>
  </si>
  <si>
    <t>michael.rincon@javeriana.edu.co</t>
  </si>
  <si>
    <t>320/918-2402</t>
  </si>
  <si>
    <t>GUEVARA BERNAL,DIEGO GUSTAVO</t>
  </si>
  <si>
    <t>d_guevara@javeriana.edu.co</t>
  </si>
  <si>
    <t>312/360-6059</t>
  </si>
  <si>
    <t>FELIPE ANDRES GUTIERREZ NARANJO</t>
  </si>
  <si>
    <t>felipe_gutierrez@javeriana.edu.co</t>
  </si>
  <si>
    <t>221-2436</t>
  </si>
  <si>
    <t>ERICKA JULIETH TORRES PAEZ</t>
  </si>
  <si>
    <t>ericka-torres@javeriana.edu.co</t>
  </si>
  <si>
    <t>312/476-8795</t>
  </si>
  <si>
    <t>JUAN DAVID OROZCO LLERENA</t>
  </si>
  <si>
    <t>orozco_juan@javeriana.edu.co</t>
  </si>
  <si>
    <t>322/568-6346</t>
  </si>
  <si>
    <t>CARLOS DAVID YAÑEZ BARAJAS</t>
  </si>
  <si>
    <t>carlosyanez@javeriana.edu.co</t>
  </si>
  <si>
    <t>314/387-7752</t>
  </si>
  <si>
    <t>DAVID ALFREDO VASQUEZ RODRIGUEZ</t>
  </si>
  <si>
    <t>vasquez_david@javeriana.edu.co</t>
  </si>
  <si>
    <t>313/807-2366</t>
  </si>
  <si>
    <t>MIGUEL ALEJANDRO BARÓN ROJAS</t>
  </si>
  <si>
    <t>baron.miguel@javeriana.edu.co</t>
  </si>
  <si>
    <t>310/808-2200</t>
  </si>
  <si>
    <t>DAVID LEONARDO GÓMEZ MACARENO</t>
  </si>
  <si>
    <t>go-david@javeriana.edu.co</t>
  </si>
  <si>
    <t>302/295-6154</t>
  </si>
  <si>
    <t>RANDY DARRELL LANCHEROS MOLANO</t>
  </si>
  <si>
    <t>randy.lancheros@javeriana.edu.co</t>
  </si>
  <si>
    <t>321/409-5273</t>
  </si>
  <si>
    <t>BELTRAN RODRIGUEZ,MIGUEL ANGEL</t>
  </si>
  <si>
    <t>miguel_beltran@javeriana.edu.co</t>
  </si>
  <si>
    <t>305/327-9922</t>
  </si>
  <si>
    <t>PARRA BARRERA,JHONNY ALEXANDER</t>
  </si>
  <si>
    <t>jhonny_parra@javeriana.edu.co</t>
  </si>
  <si>
    <t>311/522-2088</t>
  </si>
  <si>
    <t>NICOLAS  DUARTE OSPINA</t>
  </si>
  <si>
    <t>nicolas-duarte@javeriana.edu.co</t>
  </si>
  <si>
    <t>300/516-9383</t>
  </si>
  <si>
    <t>JUAN PABLO PEÑALOZA BOTERO</t>
  </si>
  <si>
    <t>juan-penaloza@javeriana.edu.co</t>
  </si>
  <si>
    <t>310/317-9283</t>
  </si>
  <si>
    <t>LEMUS PEÑA,ESTEBAN</t>
  </si>
  <si>
    <t>esteban.lemus@javeriana.edu.co</t>
  </si>
  <si>
    <t>304/376-4867</t>
  </si>
  <si>
    <t>CELIS BUITRAGO,KAREN JULIANA</t>
  </si>
  <si>
    <t>k-celis@javeriana.edu.co</t>
  </si>
  <si>
    <t>312/557-9127</t>
  </si>
  <si>
    <t>ESCOBAR GOMEZ,PEDRO MARTIN</t>
  </si>
  <si>
    <t>pedro-escobar@javeriana.edu.co</t>
  </si>
  <si>
    <t>320/854-1404</t>
  </si>
  <si>
    <t>MIRANDA MORENO,NICOLAS</t>
  </si>
  <si>
    <t>nicolasmiranda@javeriana.edu.co</t>
  </si>
  <si>
    <t>316/278-4178</t>
  </si>
  <si>
    <t>OTALORA FAJARDO,SANTIAGO</t>
  </si>
  <si>
    <t>santiago.otalora@javeriana.edu.co</t>
  </si>
  <si>
    <t>311/484-9343</t>
  </si>
  <si>
    <t>RODRIGUEZ MARTINEZ LAURA GISSELLE</t>
  </si>
  <si>
    <t>lg_rodriguez@javeriana.edu.co</t>
  </si>
  <si>
    <t>315/602-6766</t>
  </si>
  <si>
    <t>SERRANO CASTILLO MARIA MARGARITA</t>
  </si>
  <si>
    <t>maria_serrano@javeriana.edu.co</t>
  </si>
  <si>
    <t>317/643-3530</t>
  </si>
  <si>
    <t>ORDOÑEZ TRIANA SANTIAGO</t>
  </si>
  <si>
    <t>santiago.ordonez@javeriana.edu.co</t>
  </si>
  <si>
    <t>320/493-7107</t>
  </si>
  <si>
    <t>QUIJANO OSPINA DIANA MARÍA</t>
  </si>
  <si>
    <t>quijanodiana@javeriana.edu.co</t>
  </si>
  <si>
    <t>311/451-3103</t>
  </si>
  <si>
    <t>FORERO PIRAQUIVE SERGIO ANDRÉS</t>
  </si>
  <si>
    <t>s-forero@javeriana.edu.co</t>
  </si>
  <si>
    <t>310/290-3919</t>
  </si>
  <si>
    <t>GÓMEZ RIVERO DAVID FELIPE</t>
  </si>
  <si>
    <t>go_david@javeriana.edu.co</t>
  </si>
  <si>
    <t>312/440-9308</t>
  </si>
  <si>
    <t>PABON VISBAL MARIA JOSE</t>
  </si>
  <si>
    <t>maria_pabon@javeriana.edu.co</t>
  </si>
  <si>
    <t>350/728-1950</t>
  </si>
  <si>
    <t>REY LOZANO ASTRID CAROLINA</t>
  </si>
  <si>
    <t>a-rey@javeriana.edu.co</t>
  </si>
  <si>
    <t>316/226-4707</t>
  </si>
  <si>
    <t>SANCHEZ SAMPER MARIA ALEJANDRA</t>
  </si>
  <si>
    <t>msanchez.s@javeriana.edu.co</t>
  </si>
  <si>
    <t>319/299-6577</t>
  </si>
  <si>
    <t>WALTEROS GOMEZ SOFIA</t>
  </si>
  <si>
    <t>sofia-walteros@javeriana.edu.co</t>
  </si>
  <si>
    <t>314/866-3267</t>
  </si>
  <si>
    <t>DIEGO FELIPE RODRIGUEZ CASTELLANOS</t>
  </si>
  <si>
    <t>df-rodriguez@javeriana.edu.co</t>
  </si>
  <si>
    <t>310/565-3017</t>
  </si>
  <si>
    <t>MARTHA CAROLINA RIVEROS SIERRA</t>
  </si>
  <si>
    <t>martha_riveros@javeriana.edu.co</t>
  </si>
  <si>
    <t>311/503-9139</t>
  </si>
  <si>
    <t>ANDREA CAROLINA ALBOR ARENAS</t>
  </si>
  <si>
    <t>alborandrea@javeriana.edu.co</t>
  </si>
  <si>
    <t>301/739-7050</t>
  </si>
  <si>
    <t>RAUL FERNANDO GUZMAN CARDENAS</t>
  </si>
  <si>
    <t>guzman_raul@javeriana.edu.co</t>
  </si>
  <si>
    <t>318/437-6272</t>
  </si>
  <si>
    <t>CASTILLO GORDILLO,JULIAN RICARDO</t>
  </si>
  <si>
    <t>julian_castillo@javeriana.edu.co</t>
  </si>
  <si>
    <t>321/372-6573</t>
  </si>
  <si>
    <t>Caicedo Narvaez,Daniel</t>
  </si>
  <si>
    <t>daniel-caicedo@javeriana.edu.co</t>
  </si>
  <si>
    <t>316/622-8145</t>
  </si>
  <si>
    <t>Carrascal Henao,Francisco Javier</t>
  </si>
  <si>
    <t>f.carrascal@javeriana.edu.co</t>
  </si>
  <si>
    <t>305/710-8694</t>
  </si>
  <si>
    <t>CHICUE SUAREZ,NICOLLE ALEJANDRA</t>
  </si>
  <si>
    <t>nicolle.chicue@javeriana.edu.co</t>
  </si>
  <si>
    <t>320/398-2760</t>
  </si>
  <si>
    <t>CORTES FERNANDEZ,DANIEL FELIPE</t>
  </si>
  <si>
    <t>danielcortes@javeriana.edu.co</t>
  </si>
  <si>
    <t>300/318-9428</t>
  </si>
  <si>
    <t>CUESTA TORRES,MELANNIE</t>
  </si>
  <si>
    <t>cuesta.melannie@javeriana.edu.co</t>
  </si>
  <si>
    <t>350/619-4765</t>
  </si>
  <si>
    <t>RODRIGUEZ CALDERON,VALENTINA</t>
  </si>
  <si>
    <t>valentinarodriguez@javeriana.edu.co</t>
  </si>
  <si>
    <t>313/336-3650</t>
  </si>
  <si>
    <t>JIMÉNEZ POVEDA CARLOS SANTIAGO</t>
  </si>
  <si>
    <t>jimenezcarlos@javeriana.edu.co</t>
  </si>
  <si>
    <t>315/927-4473</t>
  </si>
  <si>
    <t>RODRÍGUEZ MAYORGA DANIEL ROLANDO</t>
  </si>
  <si>
    <t>rodaniel@javeriana.edu.co</t>
  </si>
  <si>
    <t>314/383-6672</t>
  </si>
  <si>
    <t>SILVA GUZMÁN KAREN DANIELA</t>
  </si>
  <si>
    <t>karensilva@javeriana.edu.co</t>
  </si>
  <si>
    <t>318/201-0411</t>
  </si>
  <si>
    <t>LLANOS DIAZ,EDWARD MAURICIO</t>
  </si>
  <si>
    <t>llanos-edward@javeriana.edu.co</t>
  </si>
  <si>
    <t>310/870-9895</t>
  </si>
  <si>
    <t>PERDOMO CAMPOS,JOHAN DAVID</t>
  </si>
  <si>
    <t>johan.perdomo@javeriana.edu.co</t>
  </si>
  <si>
    <t>319/520-3188</t>
  </si>
  <si>
    <t>AMEZQUITA ORTIZ,DANIEL SANTIAGO</t>
  </si>
  <si>
    <t>amezquita.daniel@javeriana.edu.co</t>
  </si>
  <si>
    <t>316/744-1405</t>
  </si>
  <si>
    <t>VILLADA PEÑARANDA,JUAN CAMILO</t>
  </si>
  <si>
    <t>j_villada@javeriana.edu.co</t>
  </si>
  <si>
    <t>317/558-9605</t>
  </si>
  <si>
    <t>Benitez Hernandez,Kevin David</t>
  </si>
  <si>
    <t>kevin.benitez@javeriana.edu.co</t>
  </si>
  <si>
    <t>302/382-7303</t>
  </si>
  <si>
    <t>Guevara Gongora,William Alejandro</t>
  </si>
  <si>
    <t>guevara_w@javeriana.edu.co</t>
  </si>
  <si>
    <t>317/698-0808</t>
  </si>
  <si>
    <t>Infante Vega,Valentina</t>
  </si>
  <si>
    <t>v.infante@javeriana.edu.co</t>
  </si>
  <si>
    <t>318/548-3566</t>
  </si>
  <si>
    <t>PEREZ PAEZ,LAURA NATALIA</t>
  </si>
  <si>
    <t>perez_laura@javeriana.edu.co</t>
  </si>
  <si>
    <t>320/902-7009</t>
  </si>
  <si>
    <t>RAMOS FAJARDO JENNIFER ALEJANDRA</t>
  </si>
  <si>
    <t>jennifer.ramos@javeriana.edu.co</t>
  </si>
  <si>
    <t>312/427-9219</t>
  </si>
  <si>
    <t>YUNEZ CHARRY MARÍA JULIANA</t>
  </si>
  <si>
    <t>myunez@javeriana.edu.co</t>
  </si>
  <si>
    <t>313/242-9342</t>
  </si>
  <si>
    <t>CLAUDIA PATRICIA MARTINEZ SANTIAGO</t>
  </si>
  <si>
    <t>martinez_claudia@javeriana.edu.co</t>
  </si>
  <si>
    <t>323/229-3659</t>
  </si>
  <si>
    <t>HOLMES MARIN HIGUERA</t>
  </si>
  <si>
    <t>holmesmarin@javeriana.edu.co</t>
  </si>
  <si>
    <t>525-9372</t>
  </si>
  <si>
    <t>JORGE EDUARDO POLANCO PULIDO</t>
  </si>
  <si>
    <t>jorgepolanco@javeriana.edu.co</t>
  </si>
  <si>
    <t>313/403-6039</t>
  </si>
  <si>
    <t>JUAN PABLO GARCÍA CÁLIZ</t>
  </si>
  <si>
    <t>garciajuan@javeriana.edu.co</t>
  </si>
  <si>
    <t>300/537-2048</t>
  </si>
  <si>
    <t>JUAN PABLO HERNÁNDEZ VERGARA</t>
  </si>
  <si>
    <t>ju-hernandez@javeriana.edu.co</t>
  </si>
  <si>
    <t>316/466-2501</t>
  </si>
  <si>
    <t>JULIAN MATEO PUERTO CORTES</t>
  </si>
  <si>
    <t>puerto.julian@javeriana.edu.co</t>
  </si>
  <si>
    <t>+39 3317353791</t>
  </si>
  <si>
    <t>SANTIAGO NIKOLAS SEPULVEDA GUEVARA</t>
  </si>
  <si>
    <t>sepulveda-santiago@javeriana.edu.co</t>
  </si>
  <si>
    <t>320/418-6912</t>
  </si>
  <si>
    <t>SALAMANCA MORENO VALENTINA</t>
  </si>
  <si>
    <t>valentinasalamanca@javeriana.edu.co</t>
  </si>
  <si>
    <t>318/301-3187</t>
  </si>
  <si>
    <t>SANABRIA HOLGUIN MARIA PAULA</t>
  </si>
  <si>
    <t>m_sanabria@javeriana.edu.co</t>
  </si>
  <si>
    <t>313/359-6440</t>
  </si>
  <si>
    <t>ANDRES FELIPE VASQUEZ CUELLAR</t>
  </si>
  <si>
    <t>andresvasquez@javeriana.edu.co</t>
  </si>
  <si>
    <t>321/373-3363</t>
  </si>
  <si>
    <t>DANIELA RUIZ VALENCIA</t>
  </si>
  <si>
    <t>druizv@javeriana.edu.co</t>
  </si>
  <si>
    <t>316/759-8291</t>
  </si>
  <si>
    <t>MATEO RAMIREZ MARTINEZ</t>
  </si>
  <si>
    <t>mateoramirez@javeriana.edu.co</t>
  </si>
  <si>
    <t>313/251-0426</t>
  </si>
  <si>
    <t>MELISSA ISABEL BONILLA SALON</t>
  </si>
  <si>
    <t>melissa-bonilla@javeriana.edu.co</t>
  </si>
  <si>
    <t>300/665-4420</t>
  </si>
  <si>
    <t>NELSON ANDRÉS CALDERÓN MURCIA</t>
  </si>
  <si>
    <t>nelson_calderon@javeriana.edu.co</t>
  </si>
  <si>
    <t>313/593-5170</t>
  </si>
  <si>
    <t>RONALD ENRIQUE GUARNIZO MACIAS</t>
  </si>
  <si>
    <t>guarnizo_ronald@javeriana.edu.co</t>
  </si>
  <si>
    <t>319/319-6689</t>
  </si>
  <si>
    <t>Penagos Roberto,Maria Paula</t>
  </si>
  <si>
    <t>maria.penagos@javeriana.edu.co</t>
  </si>
  <si>
    <t>319/335-3206</t>
  </si>
  <si>
    <t>MEDINA CARABALLO,NICOLAS</t>
  </si>
  <si>
    <t>medina-nicolas@javeriana.edu.co</t>
  </si>
  <si>
    <t>301/454-3191</t>
  </si>
  <si>
    <t>Casallas Vargas,Paula Andrea</t>
  </si>
  <si>
    <t>casallasp@javeriana.edu.co</t>
  </si>
  <si>
    <t>313/234-0528</t>
  </si>
  <si>
    <t>Blanco Morales,Juan Sebastian</t>
  </si>
  <si>
    <t>blancojuan@javeriana.edu.co</t>
  </si>
  <si>
    <t>301/385-2594</t>
  </si>
  <si>
    <t>GARZON HORTUA,MARIA CAMILA</t>
  </si>
  <si>
    <t>ma.garzon@javeriana.edu.co</t>
  </si>
  <si>
    <t>320/939-2682</t>
  </si>
  <si>
    <t>GONZALEZ GONZALEZ,JULIANA CATALINA</t>
  </si>
  <si>
    <t>gonzalezjuliana@javeriana.edu.co</t>
  </si>
  <si>
    <t>310/615-4653</t>
  </si>
  <si>
    <t>RODRIGUEZ CONTRERAS,MARIA PAULA</t>
  </si>
  <si>
    <t>mp-rodriguezc@javeriana.edu.co</t>
  </si>
  <si>
    <t>321/252-2238</t>
  </si>
  <si>
    <t>MENA IBARRA CARMEN DEL CARMEN</t>
  </si>
  <si>
    <t>menacarmen@javeriana.edu.co</t>
  </si>
  <si>
    <t>316/748-9301</t>
  </si>
  <si>
    <t>BARON GUTIERREZ,LAURA CAMILA</t>
  </si>
  <si>
    <t>baron_laura@javeriana.edu.co</t>
  </si>
  <si>
    <t>314/315-6206</t>
  </si>
  <si>
    <t>COLORADO CASTELLANOS,MANUEL ALEJANDRO</t>
  </si>
  <si>
    <t>manuel.colorado@javeriana.edu.co</t>
  </si>
  <si>
    <t>312/484-3457</t>
  </si>
  <si>
    <t>Suárez Cuervo,Juan Francisco</t>
  </si>
  <si>
    <t>jsuarez.c@javeriana.edu.co</t>
  </si>
  <si>
    <t>801-2735</t>
  </si>
  <si>
    <t>ZAMORA SANABRIA,NICOLAS</t>
  </si>
  <si>
    <t>zamora.n@javeriana.edu.co</t>
  </si>
  <si>
    <t>304/484-4123</t>
  </si>
  <si>
    <t>DUQUE MUÑOZ,MATILDA</t>
  </si>
  <si>
    <t>matilda.duque@javeriana.edu.co</t>
  </si>
  <si>
    <t>318/552-9801</t>
  </si>
  <si>
    <t>LOPEZ OVALLE,JAVIER DAVID</t>
  </si>
  <si>
    <t>javier_lopez@javeriana.edu.co</t>
  </si>
  <si>
    <t>301/666-2360</t>
  </si>
  <si>
    <t>RINCON ALBARRACIN,ANDRES CAMILO</t>
  </si>
  <si>
    <t>rinconandres@javeriana.edu.co</t>
  </si>
  <si>
    <t>316/621-1277</t>
  </si>
  <si>
    <t>MANUELA RODRIGUEZ ESCOBAR</t>
  </si>
  <si>
    <t>manuelarodriguez@javeriana.edu.co</t>
  </si>
  <si>
    <t>316/872-4672</t>
  </si>
  <si>
    <t>Hurtado Mendez,Laura Camila</t>
  </si>
  <si>
    <t>hurtado_laura@javeriana.edu.co</t>
  </si>
  <si>
    <t>305/793-7538</t>
  </si>
  <si>
    <t>ROJAS LOSADA,EDNA CONSTANZA</t>
  </si>
  <si>
    <t>ednarojas@javeriana.edu.co</t>
  </si>
  <si>
    <t>310/856-5408</t>
  </si>
  <si>
    <t>CASTRO CARDENAS,JOSUE NICOLAS</t>
  </si>
  <si>
    <t>josuecastro@javeriana.edu.co</t>
  </si>
  <si>
    <t>310/783-5975</t>
  </si>
  <si>
    <t>PORTILLA ROJAS,DANIELA</t>
  </si>
  <si>
    <t>d_portilla@javeriana.edu.co</t>
  </si>
  <si>
    <t>318/754-4109</t>
  </si>
  <si>
    <t>HERNANDEZ CASTRO,JEFFERSON FABIAN</t>
  </si>
  <si>
    <t>jefferson_hernandez@javeriana.edu.co</t>
  </si>
  <si>
    <t>320/592-2070</t>
  </si>
  <si>
    <t>MESA BACCA,SHARICK DANIELA</t>
  </si>
  <si>
    <t>sharick_mesa@javeriana.edu.co</t>
  </si>
  <si>
    <t>310/629-1689</t>
  </si>
  <si>
    <t>BARAJAS JAIMES CAROLINA</t>
  </si>
  <si>
    <t>cbarajas@javeriana.edu.co</t>
  </si>
  <si>
    <t>315/781-6804</t>
  </si>
  <si>
    <t>VALERO RAMIREZ JORGE ANDRES</t>
  </si>
  <si>
    <t>jorge.valero@javeriana.edu.co</t>
  </si>
  <si>
    <t>321/375-6169</t>
  </si>
  <si>
    <t>IBARRA CIFUENTES JUAN CAMILO</t>
  </si>
  <si>
    <t>juan.ibarra@javeriana.edu.co</t>
  </si>
  <si>
    <t>312/544-4508</t>
  </si>
  <si>
    <t>PÉREZ ACEVEDO SOFIA</t>
  </si>
  <si>
    <t>sofia-perez@javeriana.edu.co</t>
  </si>
  <si>
    <t>310/333-3689</t>
  </si>
  <si>
    <t>RODRIGUEZ GALIANO ALVARO ANDRES</t>
  </si>
  <si>
    <t>alvaro_rodriguez@javeriana.edu.co</t>
  </si>
  <si>
    <t>317/403-8319</t>
  </si>
  <si>
    <t>SALINAS SEFAIR NICOLÁS</t>
  </si>
  <si>
    <t>salinasnicolas@javeriana.edu.co</t>
  </si>
  <si>
    <t>312/529-2764</t>
  </si>
  <si>
    <t>PALOMINO MENDEZ,JORGE DANIEL</t>
  </si>
  <si>
    <t>palominoj@javeriana.edu.co</t>
  </si>
  <si>
    <t>301/767-8668</t>
  </si>
  <si>
    <t>DAZA ACEVEDO,JUAN CAMILO</t>
  </si>
  <si>
    <t>jdazaa@javeriana.edu.co</t>
  </si>
  <si>
    <t>301/563-1375</t>
  </si>
  <si>
    <t>Pineda Martinez,Angie Natalia</t>
  </si>
  <si>
    <t>angie.pineda@javeriana.edu.co</t>
  </si>
  <si>
    <t>801-8119</t>
  </si>
  <si>
    <t>CONCHA VALLECILLA CARLOS ANDRES</t>
  </si>
  <si>
    <t>carlos.concha@javeriana.edu.co</t>
  </si>
  <si>
    <t>310/307-3030</t>
  </si>
  <si>
    <t>MORALES CASTRO FELIPE NATANAEL</t>
  </si>
  <si>
    <t>felipe.morales@javeriana.edu.co</t>
  </si>
  <si>
    <t>321/300-6491</t>
  </si>
  <si>
    <t>ORDONEZ HERNANDEZ TOMAS</t>
  </si>
  <si>
    <t>tordonez@javeriana.edu.co</t>
  </si>
  <si>
    <t>314/831-9820</t>
  </si>
  <si>
    <t>CLOPATOFSKY URRUTIA CATALINA</t>
  </si>
  <si>
    <t>c.clopatofsky@javeriana.edu.co</t>
  </si>
  <si>
    <t>312/597-9088</t>
  </si>
  <si>
    <t>CUÉLLAR ARRIETA LAURA MELISSA</t>
  </si>
  <si>
    <t>laura.cuellar@javeriana.edu.co</t>
  </si>
  <si>
    <t>317/680-2161</t>
  </si>
  <si>
    <t>VAUGHAN NAAR RICHARD MICHAEL</t>
  </si>
  <si>
    <t>rvaughan@javeriana.edu.co</t>
  </si>
  <si>
    <t>316/831-6089</t>
  </si>
  <si>
    <t>Bernal Betancourt,Jose Alejandro</t>
  </si>
  <si>
    <t>j_bernal@javeriana.edu.co</t>
  </si>
  <si>
    <t>316/268-4937</t>
  </si>
  <si>
    <t>HOLGUIN GOMEZ,DANNA GABRIELA</t>
  </si>
  <si>
    <t>dannaholguin@javeriana.edu.co</t>
  </si>
  <si>
    <t>300/517-9484</t>
  </si>
  <si>
    <t>ARDILA REY JUAN CAMILO</t>
  </si>
  <si>
    <t>ardilajuan@javeriana.edu.co</t>
  </si>
  <si>
    <t>317/371-4482</t>
  </si>
  <si>
    <t>FERRO RUGELES VIVIANA LUCÍA</t>
  </si>
  <si>
    <t>vferro@javeriana.edu.co</t>
  </si>
  <si>
    <t>300/497-7296</t>
  </si>
  <si>
    <t>PASTRANA LÓPEZ WILLIAM DAVID</t>
  </si>
  <si>
    <t>wpastrana@javeriana.edu.co</t>
  </si>
  <si>
    <t>057/862-0560</t>
  </si>
  <si>
    <t>TRUJILLO MANJARRES LADY DI</t>
  </si>
  <si>
    <t>lady_trujillo@javeriana.edu.co</t>
  </si>
  <si>
    <t>322/470-3144</t>
  </si>
  <si>
    <t>CAMACHO PEREZ,ANDREI SEBASTIAN</t>
  </si>
  <si>
    <t>andrei.camacho@javeriana.edu.co</t>
  </si>
  <si>
    <t>320/459-9934</t>
  </si>
  <si>
    <t>Carvajal Hernandez,Juan David</t>
  </si>
  <si>
    <t>jcarvajalh@javeriana.edu.co</t>
  </si>
  <si>
    <t>487-1544</t>
  </si>
  <si>
    <t>RENDON OLIVEROS,JUAN CAMILO</t>
  </si>
  <si>
    <t>juan.rendon@javeriana.edu.co</t>
  </si>
  <si>
    <t>318/206-0312</t>
  </si>
  <si>
    <t>ABELLA ULLOA,ALEJANDRA</t>
  </si>
  <si>
    <t>abella-a@javeriana.edu.co</t>
  </si>
  <si>
    <t>757-1070</t>
  </si>
  <si>
    <t>ALARCON ROBLES,JUAN SEBASTIAN</t>
  </si>
  <si>
    <t>jalarconr@javeriana.edu.co</t>
  </si>
  <si>
    <t>318/742-6062</t>
  </si>
  <si>
    <t>ENCISO AGUDELO JORGE EDUARDO</t>
  </si>
  <si>
    <t>enciso.j@javeriana.edu.co</t>
  </si>
  <si>
    <t>316/334-0402</t>
  </si>
  <si>
    <t>GUZMAN ROJAS AURA CRISTINA</t>
  </si>
  <si>
    <t>auraguzman@javeriana.edu.co</t>
  </si>
  <si>
    <t>310/302-5552</t>
  </si>
  <si>
    <t>MELO AGUILERA LEIDY PAOLA</t>
  </si>
  <si>
    <t>melo.leidy@javeriana.edu.co</t>
  </si>
  <si>
    <t>320/637-5618</t>
  </si>
  <si>
    <t>VANEGAS ROJAS JUAN CAMILO</t>
  </si>
  <si>
    <t>juanvanegas@javeriana.edu.co</t>
  </si>
  <si>
    <t>313/853-4531</t>
  </si>
  <si>
    <t>ZAPATA PEREZ JUANITA</t>
  </si>
  <si>
    <t>juanitazapata@javeriana.edu.co</t>
  </si>
  <si>
    <t>318/686-5266</t>
  </si>
  <si>
    <t>CEBALLOS AGUILAR,NICOLAS</t>
  </si>
  <si>
    <t>nicolasceballos@javeriana.edu.co</t>
  </si>
  <si>
    <t>316/490-6055</t>
  </si>
  <si>
    <t>FORERO ORTIZ,GABRIEL FERNANDO</t>
  </si>
  <si>
    <t>forero-gabriel@javeriana.edu.co</t>
  </si>
  <si>
    <t>320/276-1323</t>
  </si>
  <si>
    <t>Sanchez Alfonso,Sebastian Camilo</t>
  </si>
  <si>
    <t>sanchez_sebastian@javeriana.edu.co</t>
  </si>
  <si>
    <t>300/484-5450</t>
  </si>
  <si>
    <t>MANRIQUE LARA JUAN CAMILO</t>
  </si>
  <si>
    <t>juan-manrique@javeriana.edu.co</t>
  </si>
  <si>
    <t>314/314-0125</t>
  </si>
  <si>
    <t>CAMARGO PINZÓN SERGIO</t>
  </si>
  <si>
    <t>sergio.camargo@javeriana.edu.co</t>
  </si>
  <si>
    <t>304/336-8857</t>
  </si>
  <si>
    <t>CARVAJAL MENDOZA JULIANA ANDREA</t>
  </si>
  <si>
    <t>carvajaljuliana01@javeriana.edu.co</t>
  </si>
  <si>
    <t>313/200-6085</t>
  </si>
  <si>
    <t>CAMILA ANDREA SOLORZANO GARCIA</t>
  </si>
  <si>
    <t>c.solorzano@javeriana.edu.co</t>
  </si>
  <si>
    <t>350/766-4258</t>
  </si>
  <si>
    <t>VALENTINA VARGAS ZAMBRANO</t>
  </si>
  <si>
    <t>valentina-vargas@javeriana.edu.co</t>
  </si>
  <si>
    <t>322/366-9064</t>
  </si>
  <si>
    <t>CLAUDIA PATRICIA CONSUEGRA PEÑALOZA</t>
  </si>
  <si>
    <t>consuegraclaudia@javeriana.edu.co</t>
  </si>
  <si>
    <t>310/847-1792</t>
  </si>
  <si>
    <t>VARGAS DUEÑAS,ANGELICA ROCIO</t>
  </si>
  <si>
    <t>a-vargasd@javeriana.edu.co</t>
  </si>
  <si>
    <t>322/875-7920</t>
  </si>
  <si>
    <t>GAITAN HEMELBERG,MARIA ANDREA</t>
  </si>
  <si>
    <t>ma.gaitan@javeriana.edu.co</t>
  </si>
  <si>
    <t>527-4910</t>
  </si>
  <si>
    <t>GUTIERREZ APONTE,IVAN GUSTAVO</t>
  </si>
  <si>
    <t>i_gutierrez@javeriana.edu.co</t>
  </si>
  <si>
    <t>300/850-8040</t>
  </si>
  <si>
    <t>DIAZ RUEDA NICOLAS</t>
  </si>
  <si>
    <t>nicolas_diaz@javeriana.edu.co</t>
  </si>
  <si>
    <t>311/229-3595</t>
  </si>
  <si>
    <t>MUÑOZ CASTANO DAVID</t>
  </si>
  <si>
    <t>munoz.david@javeriana.edu.co</t>
  </si>
  <si>
    <t>319/543-0660</t>
  </si>
  <si>
    <t>CORREA CANO EDWIN ELIECER</t>
  </si>
  <si>
    <t>edwincorrea@javeriana.edu.co</t>
  </si>
  <si>
    <t>311/287-9764</t>
  </si>
  <si>
    <t>GONZALEZ RINCON JUAN MANUEL</t>
  </si>
  <si>
    <t>gonzalezj.u@javeriana.edu.co</t>
  </si>
  <si>
    <t>320/277-7231</t>
  </si>
  <si>
    <t>NIETO BORRERO MATEO</t>
  </si>
  <si>
    <t>m_nieto@javeriana.edu.co</t>
  </si>
  <si>
    <t>316/246-0860</t>
  </si>
  <si>
    <t>RODRÍGUEZ AGUILAR JUAN DAVID</t>
  </si>
  <si>
    <t>rodriguezj_u@javeriana.edu.co</t>
  </si>
  <si>
    <t>321/380-0143</t>
  </si>
  <si>
    <t>BONILLA RAMOS JULIÁN ANDRÉS</t>
  </si>
  <si>
    <t>julian_bonilla@javeriana.edu.co</t>
  </si>
  <si>
    <t>300/772-1441</t>
  </si>
  <si>
    <t>ÁNGEL CRUZ JUANITA DANIELA</t>
  </si>
  <si>
    <t>j_angel@javeriana.edu.co</t>
  </si>
  <si>
    <t>321/373-4755</t>
  </si>
  <si>
    <t>BENJUMEA MEDINA CAMILO</t>
  </si>
  <si>
    <t>camilobenjumea@javeriana.edu.co</t>
  </si>
  <si>
    <t>304/368-2814</t>
  </si>
  <si>
    <t>CARREÑO ESCOBAR MANUELA</t>
  </si>
  <si>
    <t>manuela.carreno@javeriana.edu.co</t>
  </si>
  <si>
    <t>318/651-9239</t>
  </si>
  <si>
    <t>GARCÍA CRUZ MARÍA ALEJANDRA</t>
  </si>
  <si>
    <t>maria-garciac@javeriana.edu.co</t>
  </si>
  <si>
    <t>312/555-8994</t>
  </si>
  <si>
    <t>MILLAN MARTINEZ,MARIA PAULA</t>
  </si>
  <si>
    <t>millan_maria@javeriana.edu.co</t>
  </si>
  <si>
    <t>316/623-3758</t>
  </si>
  <si>
    <t>SUAREZ MARTINEZ,MANUELA</t>
  </si>
  <si>
    <t>manuelasuarez@javeriana.edu.co</t>
  </si>
  <si>
    <t>321/435-5208</t>
  </si>
  <si>
    <t>AMORTEGUI PULIDO,VIVIANA ANDREA</t>
  </si>
  <si>
    <t>amorteguiviviana@javeriana.edu.co</t>
  </si>
  <si>
    <t>315/724-4954</t>
  </si>
  <si>
    <t>Franco Carrillo,María Camila</t>
  </si>
  <si>
    <t>m_franco@javeriana.edu.co</t>
  </si>
  <si>
    <t>305/255-8957</t>
  </si>
  <si>
    <t>CASTAÑEDA GONZALEZ,JUANITA</t>
  </si>
  <si>
    <t>juanitacastaneda@javeriana.edu.co</t>
  </si>
  <si>
    <t>304/546-5568</t>
  </si>
  <si>
    <t>MORALES GUTIERREZ,JUAN MANUEL</t>
  </si>
  <si>
    <t>j-moralesg@javeriana.edu.co</t>
  </si>
  <si>
    <t>315/552-8454</t>
  </si>
  <si>
    <t>AFANADOR PAEZ,JUAN CAMILO</t>
  </si>
  <si>
    <t>jafanador@javeriana.edu.co</t>
  </si>
  <si>
    <t>315/891-3831</t>
  </si>
  <si>
    <t>Galindo Medina,Kerly Gisell</t>
  </si>
  <si>
    <t>galindo.k@javeriana.edu.co</t>
  </si>
  <si>
    <t>320/260-5287</t>
  </si>
  <si>
    <t>GOMEZ LEMA,ANA CAROLINA</t>
  </si>
  <si>
    <t>a-gomezl@javeriana.edu.co</t>
  </si>
  <si>
    <t>310/206-8202</t>
  </si>
  <si>
    <t>ARAQUE PINZON,NATALIA LYNETTE</t>
  </si>
  <si>
    <t>araque.natalia@javeriana.edu.co</t>
  </si>
  <si>
    <t>313/862-2430</t>
  </si>
  <si>
    <t>CASTILLO DIAZ,ANDRES FELIPE</t>
  </si>
  <si>
    <t>acastillod@javeriana.edu.co</t>
  </si>
  <si>
    <t>312/396-3738</t>
  </si>
  <si>
    <t>FUENTES MENDOZA,JORGE ANDRES</t>
  </si>
  <si>
    <t>j_fuentes@javeriana.edu.co</t>
  </si>
  <si>
    <t>321/257-8061</t>
  </si>
  <si>
    <t>CAÑON DIAZ,MARIA CAMILA</t>
  </si>
  <si>
    <t>maria_canon@javeriana.edu.co</t>
  </si>
  <si>
    <t>312/592-3515</t>
  </si>
  <si>
    <t>PARRA ARANGO,ANGIE CAROLINA</t>
  </si>
  <si>
    <t>parra.angie@javeriana.edu.co</t>
  </si>
  <si>
    <t>313/412-1827</t>
  </si>
  <si>
    <t>Joves Prada,Juan Carlos</t>
  </si>
  <si>
    <t>juan.joves@javeriana.edu.co</t>
  </si>
  <si>
    <t>664-4911</t>
  </si>
  <si>
    <t>VARGAS MACIAS,DIANA CAROLINA</t>
  </si>
  <si>
    <t>vargas_diana@javeriana.edu.co</t>
  </si>
  <si>
    <t>317/892-0331</t>
  </si>
  <si>
    <t>BRAVO QUIROGA,RICARDO ANDRES</t>
  </si>
  <si>
    <t>r.bravo@javeriana.edu.co</t>
  </si>
  <si>
    <t>300/591-0814</t>
  </si>
  <si>
    <t>ARQUITECTURA</t>
  </si>
  <si>
    <t>BOTERO JIMENEZ,VALERIA</t>
  </si>
  <si>
    <t>valeria-botero@javeriana.edu.co</t>
  </si>
  <si>
    <t>675-6059</t>
  </si>
  <si>
    <t>CHILITO BENAVIDES,SARA LUCIA</t>
  </si>
  <si>
    <t>sara_chilito@javeriana.edu.co</t>
  </si>
  <si>
    <t>313/697-6074</t>
  </si>
  <si>
    <t>HOYOS BELTRAN,JUAN PABLO</t>
  </si>
  <si>
    <t>hoyos_juan@javeriana.edu.co</t>
  </si>
  <si>
    <t>312/806-3488</t>
  </si>
  <si>
    <t>PALLARES CERVANTES,MELISSA ANDREA</t>
  </si>
  <si>
    <t>melissa_pallares@javeriana.edu.co</t>
  </si>
  <si>
    <t>305/709-1900</t>
  </si>
  <si>
    <t>VIDAL MENDEZ,SOFIA</t>
  </si>
  <si>
    <t>g.vidal@javeriana.edu.co</t>
  </si>
  <si>
    <t>300/344-3099</t>
  </si>
  <si>
    <t>BUITRAGO VERGARA,JUAN SEBASTIAN</t>
  </si>
  <si>
    <t>buitragojuan@javeriana.edu.co</t>
  </si>
  <si>
    <t>312/806-1319</t>
  </si>
  <si>
    <t>Carvajal Torres,Andres Mauricio</t>
  </si>
  <si>
    <t>carvajal_andres@javeriana.edu.co</t>
  </si>
  <si>
    <t>295-8301</t>
  </si>
  <si>
    <t>GALEANO ARIAS,CINDY JULIANA</t>
  </si>
  <si>
    <t>cindygaleano@javeriana.edu.co</t>
  </si>
  <si>
    <t>313/410-5941</t>
  </si>
  <si>
    <t>ZULUAGA GOMEZ,JUAN NICOLAS</t>
  </si>
  <si>
    <t>juan_zuluaga@javeriana.edu.co</t>
  </si>
  <si>
    <t>317/546-1403</t>
  </si>
  <si>
    <t>MARIN PERALTA,PAULA SOFIA</t>
  </si>
  <si>
    <t>paulamarin@javeriana.edu.co</t>
  </si>
  <si>
    <t>312/449-4366</t>
  </si>
  <si>
    <t>MORALES VASQUEZ,LIZBETH DANIELA</t>
  </si>
  <si>
    <t>morales.lizbeth@javeriana.edu.co</t>
  </si>
  <si>
    <t>319/605-6729</t>
  </si>
  <si>
    <t>PEREZ ROSERO,JUAN ANDRES</t>
  </si>
  <si>
    <t>juan_perez@javeriana.edu.co</t>
  </si>
  <si>
    <t>321/786-4907</t>
  </si>
  <si>
    <t>SOTELO PANTOJA,DANIELA ELIZABETH</t>
  </si>
  <si>
    <t>daniela-sotelo@javeriana.edu.co</t>
  </si>
  <si>
    <t>316/533-3522</t>
  </si>
  <si>
    <t>GAMBOA MARQUEZ,DANIEL FELIPE</t>
  </si>
  <si>
    <t>daniel.gamboa@javeriana.edu.co</t>
  </si>
  <si>
    <t>312/319-4094</t>
  </si>
  <si>
    <t>RESTREPO GUZMAN,ALEJANDRO</t>
  </si>
  <si>
    <t>alejandro.restrepo@javeriana.edu.co</t>
  </si>
  <si>
    <t>313/494-9133</t>
  </si>
  <si>
    <t>ROJAS BOLIVAR,LAURIN BIBIANA</t>
  </si>
  <si>
    <t>laurinrojas@javeriana.edu.co</t>
  </si>
  <si>
    <t>313/332-8761</t>
  </si>
  <si>
    <t>Reyes Quintero,Laura Cristina</t>
  </si>
  <si>
    <t>reyeslaura@javeriana.edu.co</t>
  </si>
  <si>
    <t>318/831-2371</t>
  </si>
  <si>
    <t>VALBUENA BARON,SAMUEL RAUL ORLANDO</t>
  </si>
  <si>
    <t>valbuenasamuel@javeriana.edu.co</t>
  </si>
  <si>
    <t>312/543-9642</t>
  </si>
  <si>
    <t>ARIAS ANAYA,FABIAN ANDRES</t>
  </si>
  <si>
    <t>arias.fabian@javeriana.edu.co</t>
  </si>
  <si>
    <t>310/800-9914</t>
  </si>
  <si>
    <t>CONEJO RODRIGUEZ,PAULA ANDREA</t>
  </si>
  <si>
    <t>conejo_paula@javeriana.edu.co</t>
  </si>
  <si>
    <t>320/245-8571</t>
  </si>
  <si>
    <t>Castro Cuellar,Camilo Andres</t>
  </si>
  <si>
    <t>castrocamilo@javeriana.edu.co</t>
  </si>
  <si>
    <t>311/482-5388</t>
  </si>
  <si>
    <t>GIRALDO QUINTERO,SAMUEL</t>
  </si>
  <si>
    <t>samuel.giraldo@javeriana.edu.co</t>
  </si>
  <si>
    <t>752-9274</t>
  </si>
  <si>
    <t>PARDO BERNAL,EDUARDO JOSE</t>
  </si>
  <si>
    <t>eduardo_pardo@javeriana.edu.co</t>
  </si>
  <si>
    <t>301/318-1498</t>
  </si>
  <si>
    <t>SAENZ MEDINA,MISAEL ISAAC</t>
  </si>
  <si>
    <t>misael.saenz@javeriana.edu.co</t>
  </si>
  <si>
    <t>314/749-3310</t>
  </si>
  <si>
    <t>Salas Rodriguez,Juan David</t>
  </si>
  <si>
    <t>juan-salas@javeriana.edu.co</t>
  </si>
  <si>
    <t>702-7587</t>
  </si>
  <si>
    <t>BUSTOS MEJIA,GONZALO ANDRES</t>
  </si>
  <si>
    <t>gonzalobustos@javeriana.edu.co</t>
  </si>
  <si>
    <t>316/535-7758</t>
  </si>
  <si>
    <t>DIAZ HERRERA,LAURA DANIELA</t>
  </si>
  <si>
    <t>diazlaura@javeriana.edu.co</t>
  </si>
  <si>
    <t>316/827-0441</t>
  </si>
  <si>
    <t>DIAZ URBANO,LISSETTE VIVIANA</t>
  </si>
  <si>
    <t>lissette.diaz@javeriana.edu.co</t>
  </si>
  <si>
    <t>312/274-6997</t>
  </si>
  <si>
    <t>OLIVEROS VILLARRAGA,HERMES ALEJANDRO</t>
  </si>
  <si>
    <t>oliveros.hermes@javeriana.edu.co</t>
  </si>
  <si>
    <t>311/214-0809</t>
  </si>
  <si>
    <t>PALMA RONCANCIO,JUAN JOSE</t>
  </si>
  <si>
    <t>palma.juan@javeriana.edu.co</t>
  </si>
  <si>
    <t>316/422-6292</t>
  </si>
  <si>
    <t>QUIROGA MENDEZ,JUAN FELIPE</t>
  </si>
  <si>
    <t>juanquiroga@javeriana.edu.co</t>
  </si>
  <si>
    <t>312/372-2419</t>
  </si>
  <si>
    <t>RAMIREZ GONZALEZ,ANDRES ALFONSO</t>
  </si>
  <si>
    <t>anramirez@javeriana.edu.co</t>
  </si>
  <si>
    <t>316/622-5501</t>
  </si>
  <si>
    <t>Zamora Castro,Maria Angelica</t>
  </si>
  <si>
    <t>zamora_maria@javeriana.edu.co</t>
  </si>
  <si>
    <t>318/377-8287</t>
  </si>
  <si>
    <t>ACOSTA CASALLAS,SIMON</t>
  </si>
  <si>
    <t>simon.acosta@javeriana.edu.co</t>
  </si>
  <si>
    <t>318/351-4111</t>
  </si>
  <si>
    <t>Arciniegas Niño,Andrea Luhiem</t>
  </si>
  <si>
    <t>andrea_arciniegas@javeriana.edu.co</t>
  </si>
  <si>
    <t>315/477-9416</t>
  </si>
  <si>
    <t>Baquero Rodriguez,Julian Andres</t>
  </si>
  <si>
    <t>julian_baquero@javeriana.edu.co</t>
  </si>
  <si>
    <t>316/453-5785</t>
  </si>
  <si>
    <t>CONSUEGRA FONTALVO,JOSE DARIO</t>
  </si>
  <si>
    <t>j.consuegra@javeriana.edu.co</t>
  </si>
  <si>
    <t>+33 769123048</t>
  </si>
  <si>
    <t>CONTRERAS CABALLERO,CRISTIAN ANDRES</t>
  </si>
  <si>
    <t>c_contreras@javeriana.edu.co</t>
  </si>
  <si>
    <t>321/429-3205</t>
  </si>
  <si>
    <t>DELGADO ALMANZA,JOSE ALEJANDRO</t>
  </si>
  <si>
    <t>josedelgado@javeriana.edu.co</t>
  </si>
  <si>
    <t>316/469-8332</t>
  </si>
  <si>
    <t>JORDAN CANTILLO,JUAN PABLO</t>
  </si>
  <si>
    <t>juan.jordan@javeriana.edu.co</t>
  </si>
  <si>
    <t>311/640-1567</t>
  </si>
  <si>
    <t>RAMIREZ GUTIERREZ,DANIEL</t>
  </si>
  <si>
    <t>ra-daniel@javeriana.edu.co</t>
  </si>
  <si>
    <t>314/279-7158</t>
  </si>
  <si>
    <t>ALVAREZ SANABRIA,KATHY VALENTINA</t>
  </si>
  <si>
    <t>alvarez-kathy@javeriana.edu.co</t>
  </si>
  <si>
    <t>319/221-0723</t>
  </si>
  <si>
    <t>ANGEL QUIROGA,JUAN SEBASTIAN</t>
  </si>
  <si>
    <t>ju.angel@javeriana.edu.co</t>
  </si>
  <si>
    <t>319/233-9660</t>
  </si>
  <si>
    <t>Davila Mendez,Daniel Enrique</t>
  </si>
  <si>
    <t>danieldavila@javeriana.edu.co</t>
  </si>
  <si>
    <t>318/717-1925</t>
  </si>
  <si>
    <t>GONZALEZ CORREA,HERNANDO JOSE</t>
  </si>
  <si>
    <t>hernando-gonzalez@javeriana.edu.co</t>
  </si>
  <si>
    <t>301/769-4336</t>
  </si>
  <si>
    <t>MORENO BERNAL,BRAIAN JOSE</t>
  </si>
  <si>
    <t>morenobraian@javeriana.edu.co</t>
  </si>
  <si>
    <t>319/687-5477</t>
  </si>
  <si>
    <t>Melo Arias,Andrea Marcela</t>
  </si>
  <si>
    <t>melo.andrea@javeriana.edu.co</t>
  </si>
  <si>
    <t>313/388-8633</t>
  </si>
  <si>
    <t>PADILLA GOMEZ,LUIS FELIPE</t>
  </si>
  <si>
    <t>luispadilla@javeriana.edu.co</t>
  </si>
  <si>
    <t>312/508-5634</t>
  </si>
  <si>
    <t>RAMIREZ LINARES,SANTIAGO</t>
  </si>
  <si>
    <t>ramirezsantiago@javeriana.edu.co</t>
  </si>
  <si>
    <t>316/460-0918</t>
  </si>
  <si>
    <t>ROMERO NIÑO,JESUS ALBERTO</t>
  </si>
  <si>
    <t>jesus_romero@javeriana.edu.co</t>
  </si>
  <si>
    <t>311/287-8114</t>
  </si>
  <si>
    <t>BEJARANO ESTEBAN,PAULA ESTEFANIA</t>
  </si>
  <si>
    <t>paulabejarano@javeriana.edu.co</t>
  </si>
  <si>
    <t>320/420-7190</t>
  </si>
  <si>
    <t>LEMUS BARRETO,VERONICA</t>
  </si>
  <si>
    <t>v-lemus@javeriana.edu.co</t>
  </si>
  <si>
    <t>315/533-6894</t>
  </si>
  <si>
    <t>Navarrete Sanchez,Jose Miguel</t>
  </si>
  <si>
    <t>jose-navarrete@javeriana.edu.co</t>
  </si>
  <si>
    <t>316/749-9594</t>
  </si>
  <si>
    <t>CAMPOS FRANCO,MARIA PAULA</t>
  </si>
  <si>
    <t>camposmaria@javeriana.edu.co</t>
  </si>
  <si>
    <t>278-7326</t>
  </si>
  <si>
    <t>CASAS BERNAL,TOMAS SALVADOR</t>
  </si>
  <si>
    <t>t_casas@javeriana.edu.co</t>
  </si>
  <si>
    <t>311/388-3677</t>
  </si>
  <si>
    <t>GARCIA ARANGO,JUAN DIEGO</t>
  </si>
  <si>
    <t>ju_garcia@javeriana.edu.co</t>
  </si>
  <si>
    <t>320/424-5010</t>
  </si>
  <si>
    <t>SALAZAR JARRO,ANDRES FELIPE</t>
  </si>
  <si>
    <t>asalazarj@javeriana.edu.co</t>
  </si>
  <si>
    <t>314/332-3517</t>
  </si>
  <si>
    <t>Torres Ortiz,Danna Geraldine</t>
  </si>
  <si>
    <t>danna-torres@javeriana.edu.co</t>
  </si>
  <si>
    <t>310/884-5010</t>
  </si>
  <si>
    <t>Valdes Solano,Daniel Eduardo</t>
  </si>
  <si>
    <t>valdes.daniel@javeriana.edu.co</t>
  </si>
  <si>
    <t>312/480-2207</t>
  </si>
  <si>
    <t>BARRERA OSPINA,NATALIA</t>
  </si>
  <si>
    <t>natalia.barrera@javeriana.edu.co</t>
  </si>
  <si>
    <t>320/434-2494</t>
  </si>
  <si>
    <t>SEQUEDA OTERO,ANGGIE PAOLA</t>
  </si>
  <si>
    <t>sequeda_anggie@javeriana.edu.co</t>
  </si>
  <si>
    <t>311/427-0873</t>
  </si>
  <si>
    <t>Solano Vives,Santiago José</t>
  </si>
  <si>
    <t>santiago-solano@javeriana.edu.co</t>
  </si>
  <si>
    <t>310/622-8289</t>
  </si>
  <si>
    <t>CASAS CORTES,JUAN ESTEBAN</t>
  </si>
  <si>
    <t>casas_juan@javeriana.edu.co</t>
  </si>
  <si>
    <t>310/649-6161</t>
  </si>
  <si>
    <t>HENAO PALACIOS,CRISTIAN CAMILO</t>
  </si>
  <si>
    <t>cristian.henao@javeriana.edu.co</t>
  </si>
  <si>
    <t>305/316-5893</t>
  </si>
  <si>
    <t>MARTINEZ MUÑOZ,OSCAR LEONARDO</t>
  </si>
  <si>
    <t>omartinezm@javeriana.edu.co</t>
  </si>
  <si>
    <t>321/343-5834</t>
  </si>
  <si>
    <t>ROMERO GOMEZ,MARIA CAMILA</t>
  </si>
  <si>
    <t>romero_maria@javeriana.edu.co</t>
  </si>
  <si>
    <t>300/288-6753</t>
  </si>
  <si>
    <t>SANTOS ARIAS,DANIEL SANTIAGO</t>
  </si>
  <si>
    <t>d-santos@javeriana.edu.co</t>
  </si>
  <si>
    <t>318/273-6898</t>
  </si>
  <si>
    <t>MEDINA ESTUPIÑAN,JUAN SEBASTIAN</t>
  </si>
  <si>
    <t>jmedinae@javeriana.edu.co</t>
  </si>
  <si>
    <t>322-6001</t>
  </si>
  <si>
    <t>MONTES VARGAS,SEBASTIAN</t>
  </si>
  <si>
    <t>montes_s@javeriana.edu.co</t>
  </si>
  <si>
    <t>320/949-7216</t>
  </si>
  <si>
    <t>MONTOYA ECHEVERRY,JUAN CAMILO</t>
  </si>
  <si>
    <t>montoya_juan@javeriana.edu.co</t>
  </si>
  <si>
    <t>321/239-4608</t>
  </si>
  <si>
    <t>RESTREPO PALACIO,MANUELA</t>
  </si>
  <si>
    <t>manuela.restrepo@javeriana.edu.co</t>
  </si>
  <si>
    <t>302/286-8773</t>
  </si>
  <si>
    <t>CARDENAS OSORIO,FABIO ALEJANDRO</t>
  </si>
  <si>
    <t>fabio-cardenas@javeriana.edu.co</t>
  </si>
  <si>
    <t>313/339-3553</t>
  </si>
  <si>
    <t>DIAZ MARTINEZ,YUDY STEFANY</t>
  </si>
  <si>
    <t>yudydiaz@javeriana.edu.co</t>
  </si>
  <si>
    <t>304/336-2583</t>
  </si>
  <si>
    <t>GARCIA RODRIGUEZ,NICOLAS</t>
  </si>
  <si>
    <t>nicolas_garcia@javeriana.edu.co</t>
  </si>
  <si>
    <t>312/411-6558</t>
  </si>
  <si>
    <t>ORTIZ PINEDA,ALEJANDRO</t>
  </si>
  <si>
    <t>alejandro_ortiz@javeriana.edu.co</t>
  </si>
  <si>
    <t>310/246-6301</t>
  </si>
  <si>
    <t>PELAEZ TREJOS,NICOLAS</t>
  </si>
  <si>
    <t>n.pelaez@javeriana.edu.co</t>
  </si>
  <si>
    <t>301/778-6510</t>
  </si>
  <si>
    <t>SANCHEZ GARCES,JUAN NICOLAS</t>
  </si>
  <si>
    <t>sanchezj.u@javeriana.edu.co</t>
  </si>
  <si>
    <t>416-8865</t>
  </si>
  <si>
    <t>SOTO GOMEZ,JESSICA</t>
  </si>
  <si>
    <t>jessica.soto@javeriana.edu.co</t>
  </si>
  <si>
    <t>300/638-3497</t>
  </si>
  <si>
    <t>GONZALEZ JIMENEZ,SEBASTIAN</t>
  </si>
  <si>
    <t>sebastian_gonzalez@javeriana.edu.co</t>
  </si>
  <si>
    <t>319/455-8046</t>
  </si>
  <si>
    <t>Jimenez Rodriguez,Sandra Carolina</t>
  </si>
  <si>
    <t>sandrajimenez@javeriana.edu.co</t>
  </si>
  <si>
    <t>320/976-2266</t>
  </si>
  <si>
    <t>PISCO SALCEDO,JAVIER CAMILO</t>
  </si>
  <si>
    <t>pisco_javier@javeriana.edu.co</t>
  </si>
  <si>
    <t>313/858-6132</t>
  </si>
  <si>
    <t>PRADA ROJAS,SANTIAGO</t>
  </si>
  <si>
    <t>santiagoprada@javeriana.edu.co</t>
  </si>
  <si>
    <t>320/801-5609</t>
  </si>
  <si>
    <t>BOLAÑOS LOPEZ,NICOLAS</t>
  </si>
  <si>
    <t>nicolas_bolanos@javeriana.edu.co</t>
  </si>
  <si>
    <t>321/475-7065</t>
  </si>
  <si>
    <t>Carrasco Beltran,Jorge Andres</t>
  </si>
  <si>
    <t>jorge.carrasco@javeriana.edu.co</t>
  </si>
  <si>
    <t>300/428-2814</t>
  </si>
  <si>
    <t>VELASCO HERNANDEZ,ANGIE NATALIA</t>
  </si>
  <si>
    <t>velasco.angie@javeriana.edu.co</t>
  </si>
  <si>
    <t>320/392-6079</t>
  </si>
  <si>
    <t>Rodriguez Muñoz,Paula</t>
  </si>
  <si>
    <t>rodriguez_paula@javeriana.edu.co</t>
  </si>
  <si>
    <t>310/219-6897</t>
  </si>
  <si>
    <t>NEWBALL GONZALEZ,BRYAN ANDRES</t>
  </si>
  <si>
    <t>bryan-newball@javeriana.edu.co</t>
  </si>
  <si>
    <t>321/425-8866</t>
  </si>
  <si>
    <t>Zarama Pombo,Juan Martín</t>
  </si>
  <si>
    <t>juan-zarama@javeriana.edu.co</t>
  </si>
  <si>
    <t>315/897-8548</t>
  </si>
  <si>
    <t>MONTOYA NARANJO,SERGIO STIVEN</t>
  </si>
  <si>
    <t>montoya.sergio@javeriana.edu.co</t>
  </si>
  <si>
    <t>310/217-3422</t>
  </si>
  <si>
    <t>RAMIREZ FIGUEREDO,BRIAN RICARDO</t>
  </si>
  <si>
    <t>ramirez_b@javeriana.edu.co</t>
  </si>
  <si>
    <t>312/432-3559</t>
  </si>
  <si>
    <t>GALLEGO SANABRIA,LINDA DANIELA</t>
  </si>
  <si>
    <t>linda.gallego@javeriana.edu.co</t>
  </si>
  <si>
    <t>318/453-5229</t>
  </si>
  <si>
    <t>MEDINA JAIME,DIEGO FERNANDO</t>
  </si>
  <si>
    <t>medinadiego@javeriana.edu.co</t>
  </si>
  <si>
    <t>317/666-9369</t>
  </si>
  <si>
    <t>GALINDO ARENAS,SERGIO DANIEL</t>
  </si>
  <si>
    <t>sergio.galindo@javeriana.edu.co</t>
  </si>
  <si>
    <t>310/335-3972</t>
  </si>
  <si>
    <t>MALAGON GOMEZ,JUAN PABLO</t>
  </si>
  <si>
    <t>malagonjuan@javeriana.edu.co</t>
  </si>
  <si>
    <t>320/413-2306</t>
  </si>
  <si>
    <t>GUIZA CHAVES,ANDRES FELIPE</t>
  </si>
  <si>
    <t>aguiza@javeriana.edu.co</t>
  </si>
  <si>
    <t>466-3716</t>
  </si>
  <si>
    <t>ORTIZ BARRETO,SERGIO NICOLAS</t>
  </si>
  <si>
    <t>sergio_ortiz@javeriana.edu.co</t>
  </si>
  <si>
    <t>750-5537</t>
  </si>
  <si>
    <t>RIVERA ARIZA,DANIEL FELIPE</t>
  </si>
  <si>
    <t>daniel-rivera@javeriana.edu.co</t>
  </si>
  <si>
    <t>322/390-3190</t>
  </si>
  <si>
    <t>2020-10</t>
  </si>
  <si>
    <t>Diego Mateus</t>
  </si>
  <si>
    <t>NO ENCONTRADO</t>
  </si>
  <si>
    <t>ARCINIEGAS BASTIDAS,RODOLFO ALEJANDRO</t>
  </si>
  <si>
    <t>rarciniegas@javeriana.edu.co</t>
  </si>
  <si>
    <t>319/524-3098</t>
  </si>
  <si>
    <t>HAMILTON SMITH SANTA CRUZ,DANIEL</t>
  </si>
  <si>
    <t>d_hamiltonsmith@javeriana.edu.co</t>
  </si>
  <si>
    <t>318/644-8414</t>
  </si>
  <si>
    <t>CHAVEZ ALCALDE,SANDRA ISABEL</t>
  </si>
  <si>
    <t>sandra.chavez@javeriana.edu.co</t>
  </si>
  <si>
    <t>310/837-8039</t>
  </si>
  <si>
    <t>Juan Linares</t>
  </si>
  <si>
    <t>linares.juan@javeriana.edu.co</t>
  </si>
  <si>
    <t>300/620-9099</t>
  </si>
  <si>
    <t>William Baquero</t>
  </si>
  <si>
    <t>w.baquero@javeriana.edu.co</t>
  </si>
  <si>
    <t>320/489-7354</t>
  </si>
  <si>
    <t>Juan Castañeda</t>
  </si>
  <si>
    <t>castaneda_j@javeriana.edu.co</t>
  </si>
  <si>
    <t>301/675-6383</t>
  </si>
  <si>
    <t>Mara Garcés</t>
  </si>
  <si>
    <t>maria_garces@javeriana.edu.co</t>
  </si>
  <si>
    <t>317/428-4320</t>
  </si>
  <si>
    <t>Juan Leon</t>
  </si>
  <si>
    <t>juleon@javeriana.edu.co</t>
  </si>
  <si>
    <t>320/409-4111</t>
  </si>
  <si>
    <t>Briam Agudelo</t>
  </si>
  <si>
    <t>briam-agudelo@javeriana.edu.co</t>
  </si>
  <si>
    <t>365-0289</t>
  </si>
  <si>
    <t>Diego Barajas</t>
  </si>
  <si>
    <t>barajas-d@javeriana.edu.co</t>
  </si>
  <si>
    <t>320/288-3351</t>
  </si>
  <si>
    <t>Sergio Posada</t>
  </si>
  <si>
    <t>sergio_posada@javeriana.edu.co</t>
  </si>
  <si>
    <t>320/941-0506</t>
  </si>
  <si>
    <t>CERVANTES PINEDA,NICOLAS ANDRES</t>
  </si>
  <si>
    <t>nicolas.cervantes@javeriana.edu.co</t>
  </si>
  <si>
    <t>314/298-9463</t>
  </si>
  <si>
    <t>Jose Garcia</t>
  </si>
  <si>
    <t>ga-jose@javeriana.edu.co</t>
  </si>
  <si>
    <t>305/831-4398</t>
  </si>
  <si>
    <t>Angela Moreno</t>
  </si>
  <si>
    <t>moreno_angela@javeriana.edu.co</t>
  </si>
  <si>
    <t>317/416-2825</t>
  </si>
  <si>
    <t>CRUZ LOPEZ,BRANDONN ANDRES</t>
  </si>
  <si>
    <t>brandonn_cruz@javeriana.edu.co</t>
  </si>
  <si>
    <t>314/385-7656</t>
  </si>
  <si>
    <t>Kevin Pelaez</t>
  </si>
  <si>
    <t>Jonathan Molina</t>
  </si>
  <si>
    <t>molina_jonathan@javeriana.edu.co</t>
  </si>
  <si>
    <t>319/257-4131</t>
  </si>
  <si>
    <t>Karol Yate</t>
  </si>
  <si>
    <t>yatek@javeriana.edu.co</t>
  </si>
  <si>
    <t>301/366-0141</t>
  </si>
  <si>
    <t>MAYORGA CORTES,ALEJANDRO</t>
  </si>
  <si>
    <t>alejandromayorga@javeriana.edu.co</t>
  </si>
  <si>
    <t>321/336-6403</t>
  </si>
  <si>
    <t>Ingeniería Electrónica</t>
  </si>
  <si>
    <t>GARCIA MORALES,BRAYAN RICARDO</t>
  </si>
  <si>
    <t>brayan-garcia@javeriana.edu.co</t>
  </si>
  <si>
    <t>305/705-3548</t>
  </si>
  <si>
    <t>VERA QUINTERO,LEYDER FABIAN</t>
  </si>
  <si>
    <t>vera_l@javeriana.edu.co</t>
  </si>
  <si>
    <t>318/618-1915</t>
  </si>
  <si>
    <t>FERNANDEZ ULLOA,DANIEL</t>
  </si>
  <si>
    <t>fernandezdaniel@javeriana.edu.co</t>
  </si>
  <si>
    <t>310/310-6722</t>
  </si>
  <si>
    <t>PULIDO AVILA,PABLO ALEJANDRO</t>
  </si>
  <si>
    <t>pablo.pulido@javeriana.edu.co</t>
  </si>
  <si>
    <t>316/690-5604</t>
  </si>
  <si>
    <t>VILLATE OBANDO,NATALIA</t>
  </si>
  <si>
    <t>n-villate@javeriana.edu.co</t>
  </si>
  <si>
    <t>315/348-8503</t>
  </si>
  <si>
    <t xml:space="preserve"> HARRY ANDRES AVILA ECHEVERRIA</t>
  </si>
  <si>
    <t>harryavila@javeriana.edu.co</t>
  </si>
  <si>
    <t>321/456-8565</t>
  </si>
  <si>
    <t xml:space="preserve"> MARIA CAMILA CAÑON VARGAS</t>
  </si>
  <si>
    <t>canonmaria@javeriana.edu.co</t>
  </si>
  <si>
    <t>320/856-7504</t>
  </si>
  <si>
    <t xml:space="preserve"> JORGE ALBERTO GÓMEZ VIGOYA</t>
  </si>
  <si>
    <t>jo.gomez@javeriana.edu.co</t>
  </si>
  <si>
    <t>885-9323</t>
  </si>
  <si>
    <t>CAMARGO LOPEZ,DANIEL FELIPE</t>
  </si>
  <si>
    <t>camargo_d@javeriana.edu.co</t>
  </si>
  <si>
    <t>301/492-4437</t>
  </si>
  <si>
    <t>FERNANDEZ TRIANA,JUAN CAMILO</t>
  </si>
  <si>
    <t>jfernandezt@javeriana.edu.co</t>
  </si>
  <si>
    <t>320/843-5158</t>
  </si>
  <si>
    <t xml:space="preserve"> CRISTIAN MAURICIO CALDERON CADENA</t>
  </si>
  <si>
    <t>cristiancalderon@javeriana.edu.co</t>
  </si>
  <si>
    <t>320/466-6370</t>
  </si>
  <si>
    <t xml:space="preserve"> ISABELLA MEJIA TELLEZ</t>
  </si>
  <si>
    <t>mejia.isabella@javeriana.edu.co</t>
  </si>
  <si>
    <t>310/577-4072</t>
  </si>
  <si>
    <t>RODRIGUEZ CRUZ,JUAN CAMILO</t>
  </si>
  <si>
    <t>juancarocz@javeriana.edu.co</t>
  </si>
  <si>
    <t>312/492-7736</t>
  </si>
  <si>
    <t>SUAREZ CARRIZOSA,NATALIA</t>
  </si>
  <si>
    <t>suareznatalia@javeriana.edu.co</t>
  </si>
  <si>
    <t>317/568-7158</t>
  </si>
  <si>
    <t>CABALLERO VILLALOBOS,JUANITA</t>
  </si>
  <si>
    <t>juanitacaballero@javeriana.edu.co</t>
  </si>
  <si>
    <t>321/480-3908</t>
  </si>
  <si>
    <t>SANDOVAL DIAZ,ZAYDA JISELL</t>
  </si>
  <si>
    <t>sandovalz@javeriana.edu.co</t>
  </si>
  <si>
    <t>310/697-6266</t>
  </si>
  <si>
    <t>ZARTA GUATIVA,ANDREA CATALINA</t>
  </si>
  <si>
    <t>azarta@javeriana.edu.co</t>
  </si>
  <si>
    <t>720-3029</t>
  </si>
  <si>
    <t>GUERRERO VERGEL,JUAN PABLO</t>
  </si>
  <si>
    <t>ju.guerrero@javeriana.edu.co</t>
  </si>
  <si>
    <t>312/573-8909</t>
  </si>
  <si>
    <t>LANZIANO BAQUERO,ANDRES FELIPE</t>
  </si>
  <si>
    <t>lanziano.andres@javeriana.edu.co</t>
  </si>
  <si>
    <t>315/236-3577</t>
  </si>
  <si>
    <t>SIERRA DUARTE,KEVIN SANTIAGO</t>
  </si>
  <si>
    <t>kevinsierra@javeriana.edu.co</t>
  </si>
  <si>
    <t>+573215060174</t>
  </si>
  <si>
    <t>CRUZ MANTILLA,MARIA PAULA</t>
  </si>
  <si>
    <t>mariapaulacruz@javeriana.edu.co</t>
  </si>
  <si>
    <t>315/355-8857</t>
  </si>
  <si>
    <t>TALERO BERNAL,MARIA CAMILA</t>
  </si>
  <si>
    <t>talero_m@javeriana.edu.co</t>
  </si>
  <si>
    <t>314/455-7091</t>
  </si>
  <si>
    <t>GABRIEL ENRIQUE ABELLO LLANOS</t>
  </si>
  <si>
    <t>gabriel.abello@javeriana.edu.co</t>
  </si>
  <si>
    <t>301/334-6156</t>
  </si>
  <si>
    <t>JULIETTE MARINA MARTÍNEZ BERMÚDEZ</t>
  </si>
  <si>
    <t>juliette-martinez@javeriana.edu.co</t>
  </si>
  <si>
    <t>306-9423</t>
  </si>
  <si>
    <t>DAYRA TATIANA ALVARADO GONZÁLEZ</t>
  </si>
  <si>
    <t>d_alvarado@javeriana.edu.co</t>
  </si>
  <si>
    <t>301/235-4411</t>
  </si>
  <si>
    <t>CAMILO ANDRES BARRETO PERAFFAN</t>
  </si>
  <si>
    <t>barreto.camilo@javeriana.edu.co</t>
  </si>
  <si>
    <t>311/867-6836</t>
  </si>
  <si>
    <t>VALENTINA GUERRA PAYARES</t>
  </si>
  <si>
    <t>valentinaguerra@javeriana.edu.co</t>
  </si>
  <si>
    <t>300/208-3786</t>
  </si>
  <si>
    <t>CATALINA PAEZ CALDERÓN</t>
  </si>
  <si>
    <t>paez.catalina@javeriana.edu.co</t>
  </si>
  <si>
    <t>638-3811</t>
  </si>
  <si>
    <t>NATHALIE MICHELLE PANTANO MOSQUERA</t>
  </si>
  <si>
    <t>pantano.nathalie@javeriana.edu.co</t>
  </si>
  <si>
    <t>317/887-7159</t>
  </si>
  <si>
    <t>MANUELA RODRIGUEZ FORERO</t>
  </si>
  <si>
    <t>rodriguezmanuela@javeriana.edu.co</t>
  </si>
  <si>
    <t>310/517-1291</t>
  </si>
  <si>
    <t>DUQUE VINUEZA,MARIA ALEJANDRA</t>
  </si>
  <si>
    <t>m_duque@javeriana.edu.co</t>
  </si>
  <si>
    <t>300/545-7921</t>
  </si>
  <si>
    <t>GONZALEZ RAMOS,PAULA VIVIANA</t>
  </si>
  <si>
    <t>p_gonzalez@javeriana.edu.co</t>
  </si>
  <si>
    <t>318/557-1398</t>
  </si>
  <si>
    <t>GRACIA ROMERO,MARIA FERNANDA</t>
  </si>
  <si>
    <t>m.gracia@javeriana.edu.co</t>
  </si>
  <si>
    <t>310/787-1843</t>
  </si>
  <si>
    <t>SERRANO VELANDIA,CAMILO ANDRES</t>
  </si>
  <si>
    <t>camilo_serrano@javeriana.edu.co</t>
  </si>
  <si>
    <t>301/422-0624</t>
  </si>
  <si>
    <t>ANGELA MARIA PINTO MORENO</t>
  </si>
  <si>
    <t>angelapinto@javeriana.edu.co</t>
  </si>
  <si>
    <t>317/379-5870</t>
  </si>
  <si>
    <t>JULIANA SANCHEZ SANTAMARIA</t>
  </si>
  <si>
    <t>sa.juliana@javeriana.edu.co</t>
  </si>
  <si>
    <t>321/343-3885</t>
  </si>
  <si>
    <t>JAIMES RAMIREZ,CAMILO</t>
  </si>
  <si>
    <t>jaimes.camilo@javeriana.edu.co</t>
  </si>
  <si>
    <t>310/212-0057</t>
  </si>
  <si>
    <t>ROSERO HERNANDEZ,IAN CARLO</t>
  </si>
  <si>
    <t>irosero@javeriana.edu.co</t>
  </si>
  <si>
    <t>316/491-4791</t>
  </si>
  <si>
    <t>ISABELA ENRIQUEZ CORREDOR</t>
  </si>
  <si>
    <t>isabela.enriquez@javeriana.edu.co</t>
  </si>
  <si>
    <t>311/846-0937</t>
  </si>
  <si>
    <t>LAURA GOMEZ RUBIO</t>
  </si>
  <si>
    <t>laura-rubiog@javeriana.edu.co</t>
  </si>
  <si>
    <t>318/433-6159</t>
  </si>
  <si>
    <t>CRISTIAN FELIPE GUZMÁN GARZÓN</t>
  </si>
  <si>
    <t>cristian_guzman@javeriana.edu.co</t>
  </si>
  <si>
    <t>310/240-6918</t>
  </si>
  <si>
    <t>EDWIN ANDRÉS YAÑEZ VERGEL</t>
  </si>
  <si>
    <t>yanez.e@javeriana.edu.co</t>
  </si>
  <si>
    <t>314/394-4735</t>
  </si>
  <si>
    <t>JULIAN CAMILO ZABALA VALDÉS</t>
  </si>
  <si>
    <t>julianzabala@javeriana.edu.co</t>
  </si>
  <si>
    <t>310/558-5901</t>
  </si>
  <si>
    <t>MANUELA MORENO MANTILLA</t>
  </si>
  <si>
    <t>manuela-moreno@javeriana.edu.co</t>
  </si>
  <si>
    <t>350/787-6021</t>
  </si>
  <si>
    <t>NATALIA ANDREA ROMERO RINCÓN</t>
  </si>
  <si>
    <t>romero-natalia@javeriana.edu.co</t>
  </si>
  <si>
    <t>317/649-0554</t>
  </si>
  <si>
    <t>CAMPUZANO GRAJALES,SARA</t>
  </si>
  <si>
    <t>sara.campuzano@javeriana.edu.co</t>
  </si>
  <si>
    <t>313/209-6345</t>
  </si>
  <si>
    <t>RIVERA RAMIREZ,LUISA FERNANDA</t>
  </si>
  <si>
    <t>luisa_rivera@javeriana.edu.co</t>
  </si>
  <si>
    <t>313/227-2251</t>
  </si>
  <si>
    <t>SALAS RODRIGUEZ,DANIEL ESTEBAN</t>
  </si>
  <si>
    <t>daniel-salas@javeriana.edu.co</t>
  </si>
  <si>
    <t>311/203-9494</t>
  </si>
  <si>
    <t>MATEO LLANO NARANJO</t>
  </si>
  <si>
    <t>mateo.llano@javeriana.edu.co</t>
  </si>
  <si>
    <t>312/320-5985</t>
  </si>
  <si>
    <t>MARIA FERNANDA MUTIZ ANZOLA</t>
  </si>
  <si>
    <t>maria_mutiz@javeriana.edu.co</t>
  </si>
  <si>
    <t>311/368-6854</t>
  </si>
  <si>
    <t>LOPEZ MARTINEZ,DAVID RICARDO</t>
  </si>
  <si>
    <t>lopezdavid@javeriana.edu.co</t>
  </si>
  <si>
    <t>318/221-0412</t>
  </si>
  <si>
    <t>REYES VEGA,CARLOS</t>
  </si>
  <si>
    <t>reyescarlos@javeriana.edu.co</t>
  </si>
  <si>
    <t>318/381-7525</t>
  </si>
  <si>
    <t xml:space="preserve">HARRY HERNANDEZ SERRATO </t>
  </si>
  <si>
    <t>harry_hernandez@javeriana.edu.co</t>
  </si>
  <si>
    <t>320/213-1264</t>
  </si>
  <si>
    <t>OSCAR SANTIAGO NOVA PAEZ</t>
  </si>
  <si>
    <t>oscar-nova@javeriana.edu.co</t>
  </si>
  <si>
    <t>321/909-6678</t>
  </si>
  <si>
    <t>CAROLINA RODRIGUEZ CARDENAS</t>
  </si>
  <si>
    <t>ro.carolina@javeriana.edu.co</t>
  </si>
  <si>
    <t>320/207-4704</t>
  </si>
  <si>
    <t>JONATAN RUIZ VERGARA</t>
  </si>
  <si>
    <t>ruiz.jonatan@javeriana.edu.co</t>
  </si>
  <si>
    <t>652-0268</t>
  </si>
  <si>
    <t>DIAZ MONSALVE,JUANA</t>
  </si>
  <si>
    <t>juanadiaz@javeriana.edu.co</t>
  </si>
  <si>
    <t>483-6867</t>
  </si>
  <si>
    <t>AGAMEZ MARQUEZ,DAYANNA ALEJANDRA</t>
  </si>
  <si>
    <t>dayanna-agamez@javeriana.edu.co</t>
  </si>
  <si>
    <t>310/297-5535</t>
  </si>
  <si>
    <t>Santamaría Bejarano,Alejandra</t>
  </si>
  <si>
    <t>santamaria.alejandra@javeriana.edu.co</t>
  </si>
  <si>
    <t>657-0661</t>
  </si>
  <si>
    <t>MALAGON OLARTE,ANDRES MAURICIO</t>
  </si>
  <si>
    <t>andres_malagon@javeriana.edu.co</t>
  </si>
  <si>
    <t>315/459-7457</t>
  </si>
  <si>
    <t xml:space="preserve">CAMILA ALEXA SOTO LOZANO </t>
  </si>
  <si>
    <t>camila_soto@javeriana.edu.co</t>
  </si>
  <si>
    <t>301/681-3067</t>
  </si>
  <si>
    <t>LUISA FERNANDA YELA GONZALEZ</t>
  </si>
  <si>
    <t>luisa.yela@javeriana.edu.co</t>
  </si>
  <si>
    <t>314/884-5059</t>
  </si>
  <si>
    <t>PULGARIN ALARCON,EVELY ALEJANDRA</t>
  </si>
  <si>
    <t>pulgarinevely@javeriana.edu.co</t>
  </si>
  <si>
    <t>321/846-5058</t>
  </si>
  <si>
    <t>KROHNE BERMUDEZ,JUAN SEBASTIAN</t>
  </si>
  <si>
    <t>j.krohne@javeriana.edu.co</t>
  </si>
  <si>
    <t>316/830-9379</t>
  </si>
  <si>
    <t>NATALIA ÁLVAREZ URIBE</t>
  </si>
  <si>
    <t>nataliaalvarez@javeriana.edu.co</t>
  </si>
  <si>
    <t>320/754-4277</t>
  </si>
  <si>
    <t>ALEXANDRA CABANZO MOISÉS</t>
  </si>
  <si>
    <t>cabanzo.a@javeriana.edu.co</t>
  </si>
  <si>
    <t>310/484-7466</t>
  </si>
  <si>
    <t>LAURA YINETH HERNANDEZ GOMEZ</t>
  </si>
  <si>
    <t>l.hernandezg@javeriana.edu.co</t>
  </si>
  <si>
    <t>321/216-0485</t>
  </si>
  <si>
    <t>MARÍA PAZ VILLADA CARRILLO</t>
  </si>
  <si>
    <t>maria_villada@javeriana.edu.co</t>
  </si>
  <si>
    <t>320/470-0771</t>
  </si>
  <si>
    <t xml:space="preserve">JUAN DIEGO CANO ÁLVAREZ </t>
  </si>
  <si>
    <t>juan-cano@javeriana.edu.co</t>
  </si>
  <si>
    <t>310/802-7803</t>
  </si>
  <si>
    <t>ORJUELA PICO,JOHN SEBASTIAN</t>
  </si>
  <si>
    <t>john_orjuela@javeriana.edu.co</t>
  </si>
  <si>
    <t>314/445-9897</t>
  </si>
  <si>
    <t>PLAZAS MARTINEZ,BRAYAN NICOLAS</t>
  </si>
  <si>
    <t>b_plazas@javeriana.edu.co</t>
  </si>
  <si>
    <t>320/450-8329</t>
  </si>
  <si>
    <t>JULIANA URIBE PAEZ</t>
  </si>
  <si>
    <t>julianauribe@javeriana.edu.co</t>
  </si>
  <si>
    <t>321/373-7328</t>
  </si>
  <si>
    <t>SERGIO RAMIREZ MANZANO</t>
  </si>
  <si>
    <t>sergioramirez@javeriana.edu.co</t>
  </si>
  <si>
    <t>310/529-6918</t>
  </si>
  <si>
    <t>EDGAR ORLANDO RODAS PARDO</t>
  </si>
  <si>
    <t>erodas@javeriana.edu.co</t>
  </si>
  <si>
    <t>310/857-8689</t>
  </si>
  <si>
    <t>JULIANA ANDREA RAMIREZ LOPEZ</t>
  </si>
  <si>
    <t>ramirezjuliana@javeriana.edu.co</t>
  </si>
  <si>
    <t>314/353-2803</t>
  </si>
  <si>
    <t>IBRAHIM PEÑA,ANA MARIA</t>
  </si>
  <si>
    <t>ibrahim.ana@javeriana.edu.co</t>
  </si>
  <si>
    <t>301/779-3986</t>
  </si>
  <si>
    <t>CARDENAS GONZALEZ,LAURA</t>
  </si>
  <si>
    <t>cardenas_laura@javeriana.edu.co</t>
  </si>
  <si>
    <t>310/556-8309</t>
  </si>
  <si>
    <t>PARDO CUELLAR,LEIDY PAOLA</t>
  </si>
  <si>
    <t>pardo.leidy@javeriana.edu.co</t>
  </si>
  <si>
    <t>314/362-5313</t>
  </si>
  <si>
    <t>NIETO TAMAYO,JUAN ALEJANDRO</t>
  </si>
  <si>
    <t>j-nieto@javeriana.edu.co</t>
  </si>
  <si>
    <t>320/839-9537</t>
  </si>
  <si>
    <t>GUERRA SANCHEZ,SARAY</t>
  </si>
  <si>
    <t>saray_guerra@javeriana.edu.co</t>
  </si>
  <si>
    <t>316/876-6757</t>
  </si>
  <si>
    <t>DANIELA ALEJANDRA MEDINA VENEGAS</t>
  </si>
  <si>
    <t>danielamedina@javeriana.edu.co</t>
  </si>
  <si>
    <t>428-3756</t>
  </si>
  <si>
    <t>LAURA CAMILA OBANDO RAMÍREZ</t>
  </si>
  <si>
    <t>l-obando@javeriana.edu.co</t>
  </si>
  <si>
    <t>350/447-9832</t>
  </si>
  <si>
    <t>LAURA CAROLINA ALVARADO PERDOMO</t>
  </si>
  <si>
    <t>laura_alvarado@javeriana.edu.co</t>
  </si>
  <si>
    <t>310/815-1291</t>
  </si>
  <si>
    <t>MARÍA ALEJANDRA CORREA PÁEZ</t>
  </si>
  <si>
    <t>correamaria@javeriana.edu.co</t>
  </si>
  <si>
    <t>301/566-8405</t>
  </si>
  <si>
    <t>MARÍA PAULA GARZÓN DURÁN</t>
  </si>
  <si>
    <t>ma-garzon@javeriana.edu.co</t>
  </si>
  <si>
    <t>311/224-4020</t>
  </si>
  <si>
    <t>SARA MARÍA OSORIO SAMACÁ</t>
  </si>
  <si>
    <t>osorio.sara@javeriana.edu.co</t>
  </si>
  <si>
    <t>322/217-2295</t>
  </si>
  <si>
    <t>GERMÁN DAVID GONZÁLEZ MORALES</t>
  </si>
  <si>
    <t>gonzalez_german@javeriana.edu.co</t>
  </si>
  <si>
    <t>311/845-5684</t>
  </si>
  <si>
    <t>FELIPE NOVOA PARRA</t>
  </si>
  <si>
    <t>novoa.f@javeriana.edu.co</t>
  </si>
  <si>
    <t>704-6783</t>
  </si>
  <si>
    <t>JUAN CAMILO TORRES ROMERO</t>
  </si>
  <si>
    <t>ju.torres@javeriana.edu.co</t>
  </si>
  <si>
    <t>322-6439</t>
  </si>
  <si>
    <t>MARTÍN ALEJO VENTURA</t>
  </si>
  <si>
    <t>venturamartin@javeriana.edu.co</t>
  </si>
  <si>
    <t>310/608-9346</t>
  </si>
  <si>
    <t>LAURA ALEJANDRA CIFUENTES GAITÁN</t>
  </si>
  <si>
    <t>laura_cifuentes@javeriana.edu.co</t>
  </si>
  <si>
    <t>319/234-3444</t>
  </si>
  <si>
    <t>MARY ALEJANDRA RUBIO HERNÁNDEZ</t>
  </si>
  <si>
    <t>mary.rubio@javeriana.edu.co</t>
  </si>
  <si>
    <t>320/878-5405</t>
  </si>
  <si>
    <t>MARÍA CAMILA VIVES CALONGE</t>
  </si>
  <si>
    <t>m_vives@javeriana.edu.co</t>
  </si>
  <si>
    <t>314/552-4745</t>
  </si>
  <si>
    <t>CHACON ACOSTA,MARIA ANGELICA</t>
  </si>
  <si>
    <t>chaconmaria@javeriana.edu.co</t>
  </si>
  <si>
    <t>318/514-8321</t>
  </si>
  <si>
    <t>SANCHEZ PRADO,SOFIA</t>
  </si>
  <si>
    <t>sofiasanchez@javeriana.edu.co</t>
  </si>
  <si>
    <t>301/350-9710</t>
  </si>
  <si>
    <t>CARDOZO ACEVEDO,JUAN SEBASTIAN</t>
  </si>
  <si>
    <t>juancardozo@javeriana.edu.co</t>
  </si>
  <si>
    <t>316/740-2312</t>
  </si>
  <si>
    <t>DAVILA PAYARES,DANIELA MARIA</t>
  </si>
  <si>
    <t>davila.daniela@javeriana.edu.co</t>
  </si>
  <si>
    <t>301/431-7772</t>
  </si>
  <si>
    <t>JACOME ESTUPIÑAN,ANDRES ESTEBAN</t>
  </si>
  <si>
    <t>jacomeandres@javeriana.edu.co</t>
  </si>
  <si>
    <t>320/313-1462</t>
  </si>
  <si>
    <t>LAURA ALEJANDRA BECERRA MERIZALDE</t>
  </si>
  <si>
    <t>laura_becerra@javeriana.edu.co</t>
  </si>
  <si>
    <t>304/383-7490</t>
  </si>
  <si>
    <t>JUAN PABLO JIMÉNEZ MERCHÁN</t>
  </si>
  <si>
    <t>jimenezj_u@javeriana.edu.co</t>
  </si>
  <si>
    <t>314/333-2532</t>
  </si>
  <si>
    <t>AMARANTA LÓPEZ SÁNCHEZ</t>
  </si>
  <si>
    <t>amaranta.lopez@javeriana.edu.co</t>
  </si>
  <si>
    <t>422-0494</t>
  </si>
  <si>
    <t>LOOR MELISA CURE VÉLEZ</t>
  </si>
  <si>
    <t>l.cure@javeriana.edu.co</t>
  </si>
  <si>
    <t>312/660-6616</t>
  </si>
  <si>
    <t>CHAPARRO PALACIO,SANTIAGO ALEJANDRO</t>
  </si>
  <si>
    <t>santiagochaparro@javeriana.edu.co</t>
  </si>
  <si>
    <t>311/240-7088</t>
  </si>
  <si>
    <t>HERRERA CAICEDO,DAVID</t>
  </si>
  <si>
    <t>david_herrera@javeriana.edu.co</t>
  </si>
  <si>
    <t>313/231-8774</t>
  </si>
  <si>
    <t>MATEUS CRUZ,DIEGO ALEJANDRO</t>
  </si>
  <si>
    <t>diego.mateus@javeriana.edu.co</t>
  </si>
  <si>
    <t>321/492-3146</t>
  </si>
  <si>
    <t>MORA PAEZ,LAURA JULIANA</t>
  </si>
  <si>
    <t>mora_laura@javeriana.edu.co</t>
  </si>
  <si>
    <t>316/829-9668</t>
  </si>
  <si>
    <t>PELAEZ NIMISICA,KEVIN STID</t>
  </si>
  <si>
    <t>kevin.pelaez@javeriana.edu.co</t>
  </si>
  <si>
    <t>310/752-7154</t>
  </si>
  <si>
    <t>MONTAÑO NOVA,CARLOS IVAN</t>
  </si>
  <si>
    <t>c-montano@javeriana.edu.co</t>
  </si>
  <si>
    <t>320/420-2758</t>
  </si>
  <si>
    <t>RODRIGUEZ FORERO,ANDRES MAURICIO</t>
  </si>
  <si>
    <t>rodrigueza-n@javeriana.edu.co</t>
  </si>
  <si>
    <t>300/653-5124</t>
  </si>
  <si>
    <t>ARANDA GUTIERREZ,CAMILO EDUARDO</t>
  </si>
  <si>
    <t>camilo-aranda@javeriana.edu.co</t>
  </si>
  <si>
    <t>301/784-6700</t>
  </si>
  <si>
    <t>ESCOBEDO NIETO,MARIA DANIELA</t>
  </si>
  <si>
    <t>mariaescobedo@javeriana.edu.co</t>
  </si>
  <si>
    <t>321/208-7332</t>
  </si>
  <si>
    <t>Laguna Londoño,Nicolás</t>
  </si>
  <si>
    <t>nlaguna@javeriana.edu.co</t>
  </si>
  <si>
    <t>316/535-3045</t>
  </si>
  <si>
    <t>VILLAMIZAR OLAYA,DANIELA ALEJANDRA</t>
  </si>
  <si>
    <t>danielavillamizar@javeriana.edu.co</t>
  </si>
  <si>
    <t>322/368-6881</t>
  </si>
  <si>
    <t>MEDINA CARO,MARLON GERMAN</t>
  </si>
  <si>
    <t>marlon.medina@javeriana.edu.co</t>
  </si>
  <si>
    <t>313/372-8529</t>
  </si>
  <si>
    <t>MENDOZA ESPINOSA,CAMILO ENRIQUE</t>
  </si>
  <si>
    <t>camilomendoza@javeriana.edu.co</t>
  </si>
  <si>
    <t>320/872-5579</t>
  </si>
  <si>
    <t>PEÑA SALCEDO,ALEJANDRO</t>
  </si>
  <si>
    <t>alejandro_pena@javeriana.edu.co</t>
  </si>
  <si>
    <t>316/873-6933</t>
  </si>
  <si>
    <t>YATE GARCIA,JUAN DAVID</t>
  </si>
  <si>
    <t>juan_yate@javeriana.edu.co</t>
  </si>
  <si>
    <t>314/233-8830</t>
  </si>
  <si>
    <t>FORERO VARGAS,CAROLINA</t>
  </si>
  <si>
    <t>carolinaforero@javeriana.edu.co</t>
  </si>
  <si>
    <t>316/345-9974</t>
  </si>
  <si>
    <t>ORDOÑEZ FORERO,LAURA MELISSA</t>
  </si>
  <si>
    <t>l-ordonez@javeriana.edu.co</t>
  </si>
  <si>
    <t>320/899-2553</t>
  </si>
  <si>
    <t>PARDO MARTINEZ,DIEGO FERNANDO</t>
  </si>
  <si>
    <t>diego_pardo@javeriana.edu.co</t>
  </si>
  <si>
    <t>+13854824629</t>
  </si>
  <si>
    <t>Robayo Molano,Andres Felipe</t>
  </si>
  <si>
    <t>andresrobayo@javeriana.edu.co</t>
  </si>
  <si>
    <t>300/728-3392</t>
  </si>
  <si>
    <t>BARRERA NIÑO,JUAN SEBASTIAN</t>
  </si>
  <si>
    <t>barrerajuan@javeriana.edu.co</t>
  </si>
  <si>
    <t>304/664-6635</t>
  </si>
  <si>
    <t>CORREA DIAZGRANADOS,CRISTHIAN CAMILO</t>
  </si>
  <si>
    <t>cristhian.correa@javeriana.edu.co</t>
  </si>
  <si>
    <t>322/373-5387</t>
  </si>
  <si>
    <t>Cerchiaro Mejia,Luis Camilo</t>
  </si>
  <si>
    <t>cerchiaroluis@javeriana.edu.co</t>
  </si>
  <si>
    <t>321/686-1961</t>
  </si>
  <si>
    <t>Jaramillo Vives,Diego Alejandro</t>
  </si>
  <si>
    <t>jaramillodiego@javeriana.edu.co</t>
  </si>
  <si>
    <t>420-2328</t>
  </si>
  <si>
    <t>NARVAES,CARLOS ENRIQUE</t>
  </si>
  <si>
    <t>narvaes.carlos@javeriana.edu.co</t>
  </si>
  <si>
    <t>313/811-7681</t>
  </si>
  <si>
    <t>Rodríguez Obando,María Jimena</t>
  </si>
  <si>
    <t>mj_rodriguezo@javeriana.edu.co</t>
  </si>
  <si>
    <t>321/349-8513</t>
  </si>
  <si>
    <t>BALLESTEROS CELIS,GERALDINE</t>
  </si>
  <si>
    <t>g.ballesteros@javeriana.edu.co</t>
  </si>
  <si>
    <t>319/365-2788</t>
  </si>
  <si>
    <t>CONTRERAS ALVAREZ,JUAN FELIPE</t>
  </si>
  <si>
    <t>contreras_juan@javeriana.edu.co</t>
  </si>
  <si>
    <t>317/337-7999</t>
  </si>
  <si>
    <t>MORENO CARREÑO,LAURA DANIELA</t>
  </si>
  <si>
    <t>lamoreno@javeriana.edu.co</t>
  </si>
  <si>
    <t>318/333-7778</t>
  </si>
  <si>
    <t>PERALTA VILLAMIL,ANA MARIA</t>
  </si>
  <si>
    <t>peralta.ana@javeriana.edu.co</t>
  </si>
  <si>
    <t>312/317-2019</t>
  </si>
  <si>
    <t>RODRIGUEZ RAMIREZ,EILEEN KATHERINE</t>
  </si>
  <si>
    <t>eileen_rodriguez@javeriana.edu.co</t>
  </si>
  <si>
    <t>350/433-0333</t>
  </si>
  <si>
    <t>VEGA CARDOZO,LILIANA</t>
  </si>
  <si>
    <t>vegaliliana@javeriana.edu.co</t>
  </si>
  <si>
    <t>813-1922</t>
  </si>
  <si>
    <t>ACELAS PEREZ,KENNY ALEXANDER</t>
  </si>
  <si>
    <t>acelas.kenny@javeriana.edu.co</t>
  </si>
  <si>
    <t>301/289-7018</t>
  </si>
  <si>
    <t>CESPEDES CASTAÑEDA,JHOHAN DAMIAM</t>
  </si>
  <si>
    <t>j_cespedes@javeriana.edu.co</t>
  </si>
  <si>
    <t>890-2744</t>
  </si>
  <si>
    <t>Aristizabal Franco,Marian Vanessa</t>
  </si>
  <si>
    <t>marian.aristizabal@javeriana.edu.co</t>
  </si>
  <si>
    <t>315/277-9743</t>
  </si>
  <si>
    <t>DEL CASTILLO SALAZAR,JOSE MANUEL</t>
  </si>
  <si>
    <t>j.delcastillo@javeriana.edu.co</t>
  </si>
  <si>
    <t>301/513-5515</t>
  </si>
  <si>
    <t>LOZANO PEÑA,LUIS FELIPE</t>
  </si>
  <si>
    <t>luislozano@javeriana.edu.co</t>
  </si>
  <si>
    <t>310/352-3496</t>
  </si>
  <si>
    <t>Carmona Amorocho,Juan Camilo</t>
  </si>
  <si>
    <t>j.carmona@javeriana.edu.co</t>
  </si>
  <si>
    <t>301/237-2795</t>
  </si>
  <si>
    <t>RODRIGUEZ GONZALEZ,CAMILO ANDRES</t>
  </si>
  <si>
    <t>rocamilo@javeriana.edu.co</t>
  </si>
  <si>
    <t>305/700-1777</t>
  </si>
  <si>
    <t>CASTELLANOS AYALA,GABRIEL FERNANDO</t>
  </si>
  <si>
    <t>g-castellanos@javeriana.edu.co</t>
  </si>
  <si>
    <t>684-3515</t>
  </si>
  <si>
    <t>AVELLA ZABALA,PAULA LYNNET</t>
  </si>
  <si>
    <t>avellap@javeriana.edu.co</t>
  </si>
  <si>
    <t>314/341-7001</t>
  </si>
  <si>
    <t>CORREDOR TRIANA,CARLOS AUGUSTO</t>
  </si>
  <si>
    <t>carlos_corredor@javeriana.edu.co</t>
  </si>
  <si>
    <t>305/819-9685</t>
  </si>
  <si>
    <t>DAZA LEGUIZAMON,MARIA ISABEL</t>
  </si>
  <si>
    <t>m_daza@javeriana.edu.co</t>
  </si>
  <si>
    <t>321/406-4319</t>
  </si>
  <si>
    <t>CALDERON GARCIA,CARLOS EDUARDO</t>
  </si>
  <si>
    <t>c-calderon@javeriana.edu.co</t>
  </si>
  <si>
    <t>315/660-2715</t>
  </si>
  <si>
    <t>PATIÑO RODRIGUEZ,JULIO EDUARDO</t>
  </si>
  <si>
    <t>juliopatino@javeriana.edu.co</t>
  </si>
  <si>
    <t>315/336-2857</t>
  </si>
  <si>
    <t>NIÑO AGUIRRE,VALENTINA</t>
  </si>
  <si>
    <t>valentina.nino@javeriana.edu.co</t>
  </si>
  <si>
    <t>696-2140</t>
  </si>
  <si>
    <t>BACCA JIMENEZ,DIEGO ALEJANDRO</t>
  </si>
  <si>
    <t>bacca.d@javeriana.edu.co</t>
  </si>
  <si>
    <t>300/310-9941</t>
  </si>
  <si>
    <t>Carrera Giraldo,Juan David</t>
  </si>
  <si>
    <t>carrera.juan@javeriana.edu.co</t>
  </si>
  <si>
    <t>315/824-5518</t>
  </si>
  <si>
    <t>RAMIREZ QUEVEDO,ANDRES CAMILO</t>
  </si>
  <si>
    <t>an_ramirez@javeriana.edu.co</t>
  </si>
  <si>
    <t>320/387-2618</t>
  </si>
  <si>
    <t>PUERTO ZAMBRANO,DIEGO FELIPE</t>
  </si>
  <si>
    <t>diego-puerto@javeriana.edu.co</t>
  </si>
  <si>
    <t>314/462-9686</t>
  </si>
  <si>
    <t>RODRIGUEZ ALBA,DANIEL FELIPE</t>
  </si>
  <si>
    <t>rodriguez-df@javeriana.edu.co</t>
  </si>
  <si>
    <t>320/414-8182</t>
  </si>
  <si>
    <t>Simmonds Rodriguez,Santiago</t>
  </si>
  <si>
    <t>ssimmonds@javeriana.edu.co</t>
  </si>
  <si>
    <t>310/403-4841</t>
  </si>
  <si>
    <t>GARCIA GARCIA,JUAN PABLO</t>
  </si>
  <si>
    <t>ga.juan@javeriana.edu.co</t>
  </si>
  <si>
    <t>301/298-0190</t>
  </si>
  <si>
    <t>Maldonado Ortiz,Sebastián</t>
  </si>
  <si>
    <t>sebastian.maldonado@javeriana.edu.co</t>
  </si>
  <si>
    <t>213-1236</t>
  </si>
  <si>
    <t>FUENTES PEÑALOZA,JOSE RAUL</t>
  </si>
  <si>
    <t>fuentesjose@javeriana.edu.co</t>
  </si>
  <si>
    <t>300/722-3278</t>
  </si>
  <si>
    <t>CORTES MARIN,JUAN CAMILO</t>
  </si>
  <si>
    <t>j-cortesm@javeriana.edu.co</t>
  </si>
  <si>
    <t>806-7276</t>
  </si>
  <si>
    <t>MONTEALEGRE RENDON,JUAN JOSE</t>
  </si>
  <si>
    <t>juan_montealegre@javeriana.edu.co</t>
  </si>
  <si>
    <t>321/955-1933</t>
  </si>
  <si>
    <t>Giraldo Muñoz,Cristian Fabian</t>
  </si>
  <si>
    <t>cristian-giraldo@javeriana.edu.co</t>
  </si>
  <si>
    <t>318/527-9330</t>
  </si>
  <si>
    <t>NIVIA ARAQUE,CRISTIAN IVAN</t>
  </si>
  <si>
    <t>cristian.nivia@javeriana.edu.co</t>
  </si>
  <si>
    <t>321/429-8928</t>
  </si>
  <si>
    <t>QUIROGA LIEVANO,JUAN SEBASTIAN</t>
  </si>
  <si>
    <t>ju.quiroga@javeriana.edu.co</t>
  </si>
  <si>
    <t>300/430-3280</t>
  </si>
  <si>
    <t>Garcia Trujillo,Nicolas</t>
  </si>
  <si>
    <t>nicolasgarcia@javeriana.edu.co</t>
  </si>
  <si>
    <t>312/210-8524</t>
  </si>
  <si>
    <t>ROJAS NARANJO,MARIA FERNANDA</t>
  </si>
  <si>
    <t>mf_rojasn@javeriana.edu.co</t>
  </si>
  <si>
    <t>318/288-1392</t>
  </si>
  <si>
    <t>2020-20</t>
  </si>
  <si>
    <t>HENAO GONZALEZ,LAURA KATHERINE</t>
  </si>
  <si>
    <t>laurahenao@javeriana.edu.co</t>
  </si>
  <si>
    <t>316/864-1475</t>
  </si>
  <si>
    <t>BARBOSA BARBOSA,DAIRON JAVIER</t>
  </si>
  <si>
    <t>dairon.barbosa@javeriana.edu.co</t>
  </si>
  <si>
    <t>313/486-0036</t>
  </si>
  <si>
    <t>JOAQUI MUÑOZ,LAURA MARIA</t>
  </si>
  <si>
    <t>laura.joaqui@javeriana.edu.co</t>
  </si>
  <si>
    <t>300/644-9557</t>
  </si>
  <si>
    <t>MOSQUERA GUTIERREZ,PABLO EDUARDO</t>
  </si>
  <si>
    <t>pablo_mosquera@javeriana.edu.co</t>
  </si>
  <si>
    <t>310/792-2964</t>
  </si>
  <si>
    <t>BONILLA SALON,MELISSA ISABEL</t>
  </si>
  <si>
    <t>2020-30</t>
  </si>
  <si>
    <t>PARADA GALVIS,JULIAN DAVID</t>
  </si>
  <si>
    <t>julian_parada@javeriana.edu.co</t>
  </si>
  <si>
    <t>311/515-7665</t>
  </si>
  <si>
    <t>Natalia Navas</t>
  </si>
  <si>
    <t>natalianavas@javeriana.edu.co</t>
  </si>
  <si>
    <t>312/579-1083</t>
  </si>
  <si>
    <t>Daniel Beltran</t>
  </si>
  <si>
    <t>beltran_daniel@javeriana.edu.co</t>
  </si>
  <si>
    <t>315/414-7791</t>
  </si>
  <si>
    <t>Adrian Garcia</t>
  </si>
  <si>
    <t>adriangarcia@javeriana.edu.co</t>
  </si>
  <si>
    <t>320/452-6782</t>
  </si>
  <si>
    <t>SANTAMARIA PALOMINO,JUAN SEBASTIAN</t>
  </si>
  <si>
    <t>juansantamaria@javeriana.edu.co</t>
  </si>
  <si>
    <t>758-0854</t>
  </si>
  <si>
    <t>GIRALDO GIL,ANDRES CAMILO</t>
  </si>
  <si>
    <t>a_giraldo@javeriana.edu.co</t>
  </si>
  <si>
    <t>300/598-7457</t>
  </si>
  <si>
    <t>PERALTA SOPO,NICOLAS DANIEL</t>
  </si>
  <si>
    <t>n.peralta@javeriana.edu.co</t>
  </si>
  <si>
    <t>310/579-2178</t>
  </si>
  <si>
    <t>Catalina Morales</t>
  </si>
  <si>
    <t>catalinamorales@javeriana.edu.co</t>
  </si>
  <si>
    <t>314/384-7744</t>
  </si>
  <si>
    <t>Camilo Hoyos</t>
  </si>
  <si>
    <t>camilohoyos@javeriana.edu.co</t>
  </si>
  <si>
    <t>316/784-7387</t>
  </si>
  <si>
    <t>CARO DUQUE,SANTIAGO</t>
  </si>
  <si>
    <t>santiago.caro@javeriana.edu.co</t>
  </si>
  <si>
    <t>305/862-9411</t>
  </si>
  <si>
    <t>Diego Gomez</t>
  </si>
  <si>
    <t>diego.gomezp@javeriana.edu.co</t>
  </si>
  <si>
    <t>320/977-6550</t>
  </si>
  <si>
    <t>Camilo Calderon</t>
  </si>
  <si>
    <t>calderoncamilo@javeriana.edu.co</t>
  </si>
  <si>
    <t>301/447-6248</t>
  </si>
  <si>
    <t>Sebastian Pedraza</t>
  </si>
  <si>
    <t>s_pedraza@javeriana.edu.co</t>
  </si>
  <si>
    <t>317/595-5012</t>
  </si>
  <si>
    <t>Johan Garcia</t>
  </si>
  <si>
    <t>johan-garcia@javeriana.edu.co</t>
  </si>
  <si>
    <t>310/886-0640</t>
  </si>
  <si>
    <t>Camilo Cruz</t>
  </si>
  <si>
    <t>cruzcamilo@javeriana.edu.co</t>
  </si>
  <si>
    <t>319/582-2890</t>
  </si>
  <si>
    <t>NUÑEZ VILLAMIL,SANTOS DAVID</t>
  </si>
  <si>
    <t>nunezsantos@javeriana.edu.co</t>
  </si>
  <si>
    <t>313/323-4736</t>
  </si>
  <si>
    <t>CASTAÑEDA FLOREZ,JUAN SEBASTIAN</t>
  </si>
  <si>
    <t>castaneda_juan@javeriana.edu.co</t>
  </si>
  <si>
    <t>318/556-8432</t>
  </si>
  <si>
    <t>VANEGAS RAMIREZ,DAVID FELIPE</t>
  </si>
  <si>
    <t>david-vanegas@javeriana.edu.co</t>
  </si>
  <si>
    <t>316/328-3505</t>
  </si>
  <si>
    <t>RUIZ URIBE,CAMILO ANDRES</t>
  </si>
  <si>
    <t>ruizcamilo@javeriana.edu.co</t>
  </si>
  <si>
    <t>316/831-9751</t>
  </si>
  <si>
    <t>RIVERA DELGADO,GUSTAVO ANTONIO</t>
  </si>
  <si>
    <t>gustavorivera@javeriana.edu.co</t>
  </si>
  <si>
    <t>315/429-0922</t>
  </si>
  <si>
    <t>Diego Arroyo</t>
  </si>
  <si>
    <t>arroyodiego@javeriana.edu.co</t>
  </si>
  <si>
    <t>317/443-0221</t>
  </si>
  <si>
    <t>Nicolas Lopez</t>
  </si>
  <si>
    <t>lopezn.i@javeriana.edu.co</t>
  </si>
  <si>
    <t>316/497-2160</t>
  </si>
  <si>
    <t>Santiago Palacios</t>
  </si>
  <si>
    <t>palacios-santiago@javeriana.edu.co</t>
  </si>
  <si>
    <t>310/390-2472</t>
  </si>
  <si>
    <t>Sebastian Gutierrez</t>
  </si>
  <si>
    <t>sebastian_gutierrez@javeriana.edu.co</t>
  </si>
  <si>
    <t>+393317353793</t>
  </si>
  <si>
    <t>Hector Rodriguez</t>
  </si>
  <si>
    <t>h_rodriguez@javeriana.edu.co</t>
  </si>
  <si>
    <t>310/211-7993</t>
  </si>
  <si>
    <t>Johan Ortegon</t>
  </si>
  <si>
    <t>johan_ortegon@javeriana.edu.co</t>
  </si>
  <si>
    <t>321/491-3269</t>
  </si>
  <si>
    <t>Ricardo Riscanevo</t>
  </si>
  <si>
    <t>riscanevo.ricardo@javeriana.edu.co</t>
  </si>
  <si>
    <t>314/204-5924</t>
  </si>
  <si>
    <t>Camilo Serrano</t>
  </si>
  <si>
    <t>camiloserrano@javeriana.edu.co</t>
  </si>
  <si>
    <t>317/796-3053</t>
  </si>
  <si>
    <t>Juan Prado</t>
  </si>
  <si>
    <t>j_prado@javeriana.edu.co</t>
  </si>
  <si>
    <t>317/448-8289</t>
  </si>
  <si>
    <t>MORENO VEGA,DORIAN RENE</t>
  </si>
  <si>
    <t>moreno.dorian@javeriana.edu.co</t>
  </si>
  <si>
    <t>319/274-4528</t>
  </si>
  <si>
    <t>GOMEZ MILLAN,GERALDINE SARAI</t>
  </si>
  <si>
    <t>geralidine.gomez@javeriana.edu.co</t>
  </si>
  <si>
    <t>314/732-2433</t>
  </si>
  <si>
    <t>LIZARAZO RINCON,PEDRO SANTIAGO</t>
  </si>
  <si>
    <t>p-lizarazo@javeriana.edu.co</t>
  </si>
  <si>
    <t>305/768-5965</t>
  </si>
  <si>
    <t>SARMIENTO SANTAMARIA,DAVID ALBERTO</t>
  </si>
  <si>
    <t>sarmiento_d@javeriana.edu.co</t>
  </si>
  <si>
    <t>317/656-4994</t>
  </si>
  <si>
    <t>ALVAREZ CARRILLO,MONICA ALEJANDRA</t>
  </si>
  <si>
    <t>monica_alvarez@javeriana.edu.co</t>
  </si>
  <si>
    <t>320/486-1703</t>
  </si>
  <si>
    <t>FONSECA NEIRA,OSCAR GIOVANNI</t>
  </si>
  <si>
    <t>fonseca.oscar@javeriana.edu.co</t>
  </si>
  <si>
    <t>300/861-8111</t>
  </si>
  <si>
    <t>JIMENEZ ORTIZ,NELSON DAVID</t>
  </si>
  <si>
    <t>nelson_jimenez@javeriana.edu.co</t>
  </si>
  <si>
    <t>833-0720</t>
  </si>
  <si>
    <t>MORENO COLORADO,CAMILO ANDRES</t>
  </si>
  <si>
    <t>camilomoreno@javeriana.edu.co</t>
  </si>
  <si>
    <t>304/470-4320</t>
  </si>
  <si>
    <t>RAMIREZ AVILA,ALDEMAR YAMID</t>
  </si>
  <si>
    <t>ramirez_aldemar@javeriana.edu.co</t>
  </si>
  <si>
    <t>319/747-3434</t>
  </si>
  <si>
    <t>TURIZO PRIETO,EDWIN ALEJANDRO</t>
  </si>
  <si>
    <t>edwin.turizo@javeriana.edu.co</t>
  </si>
  <si>
    <t>301/675-1895</t>
  </si>
  <si>
    <t>LOPEZ TOVAR,DAVID STEVEN</t>
  </si>
  <si>
    <t>dalopez@javeriana.edu.co</t>
  </si>
  <si>
    <t>316/821-9020</t>
  </si>
  <si>
    <t>MONICA CANO CUELLAR</t>
  </si>
  <si>
    <t>monica_cano@javeriana.edu.co</t>
  </si>
  <si>
    <t>301/261-4147</t>
  </si>
  <si>
    <t>YARLEDYS CERPA CARDOZO</t>
  </si>
  <si>
    <t>yarledys_cerpa@javeriana.edu.co</t>
  </si>
  <si>
    <t>319/460-7147</t>
  </si>
  <si>
    <t>DAVID RICARDO HURTADO MARTINEZ</t>
  </si>
  <si>
    <t>david.hurtado@javeriana.edu.co</t>
  </si>
  <si>
    <t>243-7447</t>
  </si>
  <si>
    <t>ANGIE PAOLA SANTAMARIA ORJUELA</t>
  </si>
  <si>
    <t>a_santamaria@javeriana.edu.co</t>
  </si>
  <si>
    <t>321/300-8718</t>
  </si>
  <si>
    <t>ALAYON BENAVIDES,PAWEL BREZNEV</t>
  </si>
  <si>
    <t>pawelalayon@javeriana.edu.co</t>
  </si>
  <si>
    <t>321/437-7947</t>
  </si>
  <si>
    <t>ZAPATA ANGEL,DANIELA</t>
  </si>
  <si>
    <t>danielazapata@javeriana.edu.co</t>
  </si>
  <si>
    <t>311/328-5868</t>
  </si>
  <si>
    <t>SANCHEZ LAITON,DANNA GABRIELA</t>
  </si>
  <si>
    <t>danna.sanchez@javeriana.edu.co</t>
  </si>
  <si>
    <t>313/435-8979</t>
  </si>
  <si>
    <t>VARGAS CARRANZA,LAURA VIVIANA</t>
  </si>
  <si>
    <t>va-laura@javeriana.edu.co</t>
  </si>
  <si>
    <t>315/386-3389</t>
  </si>
  <si>
    <t>SANTA HINCAPIE,MARIA PAZ</t>
  </si>
  <si>
    <t>santa_m@javeriana.edu.co</t>
  </si>
  <si>
    <t>311/799-5462</t>
  </si>
  <si>
    <t>SILVANA ARIAS CASAIS</t>
  </si>
  <si>
    <t>silvana.arias@javeriana.edu.co</t>
  </si>
  <si>
    <t>320/376-8830</t>
  </si>
  <si>
    <t>DIEGO ANDRÉS PARDO ROMERO</t>
  </si>
  <si>
    <t>d_pardo@javeriana.edu.co</t>
  </si>
  <si>
    <t>311/445-5821</t>
  </si>
  <si>
    <t>ANDREA CAROLINA RODRÍGUEZ MORENO</t>
  </si>
  <si>
    <t>roandrea@javeriana.edu.co</t>
  </si>
  <si>
    <t>300/783-6946</t>
  </si>
  <si>
    <t>JULIANA COVO GUZMÁN</t>
  </si>
  <si>
    <t>julianacovo@javeriana.edu.co</t>
  </si>
  <si>
    <t>313/532-6746</t>
  </si>
  <si>
    <t>LAURA DONOSO SAMPER</t>
  </si>
  <si>
    <t>donosol@javeriana.edu.co</t>
  </si>
  <si>
    <t>210-1502</t>
  </si>
  <si>
    <t>JUAN JOSÉ GÓMEZ LÓPEZ</t>
  </si>
  <si>
    <t>juan-gomezl@javeriana.edu.co</t>
  </si>
  <si>
    <t>314/244-9643</t>
  </si>
  <si>
    <t>CADENA TALERO,MARIA CAMILA</t>
  </si>
  <si>
    <t>m_cadena@javeriana.edu.co</t>
  </si>
  <si>
    <t>321/391-3919</t>
  </si>
  <si>
    <t>SAAVEDRA UMBARIVA,ANGIE MILENA</t>
  </si>
  <si>
    <t>saavedraangie@javeriana.edu.co</t>
  </si>
  <si>
    <t>317/340-2709</t>
  </si>
  <si>
    <t>WILSON ALEJANDRO ARIAS AVILA</t>
  </si>
  <si>
    <t>wilson_arias@javeriana.edu.co</t>
  </si>
  <si>
    <t>313/465-4655</t>
  </si>
  <si>
    <t>TANIA VALENTINA LÓPEZ MONROY</t>
  </si>
  <si>
    <t>tanialopez@javeriana.edu.co</t>
  </si>
  <si>
    <t>316/752-9559</t>
  </si>
  <si>
    <t>CORREA VILLAMIZAR,OMAR DAVID</t>
  </si>
  <si>
    <t>ocorrea@javeriana.edu.co</t>
  </si>
  <si>
    <t>322/945-0275</t>
  </si>
  <si>
    <t>LUJAN GONZALEZ,ANDRES FELIPE</t>
  </si>
  <si>
    <t>lujan_a@javeriana.edu.co</t>
  </si>
  <si>
    <t>312/321-7509</t>
  </si>
  <si>
    <t>MANCHOLA GONZALEZ,JAVIER ANDRES</t>
  </si>
  <si>
    <t>j.manchola@javeriana.edu.co</t>
  </si>
  <si>
    <t>310/345-9219</t>
  </si>
  <si>
    <t>Andres Felipe Guevara Guevara</t>
  </si>
  <si>
    <t>andresguevara@javeriana.edu.co</t>
  </si>
  <si>
    <t>304/583-1538</t>
  </si>
  <si>
    <t>Julio Andrés Mejía Vera</t>
  </si>
  <si>
    <t>julio.mejia@javeriana.edu.co</t>
  </si>
  <si>
    <t>314/394-7316</t>
  </si>
  <si>
    <t>Jorge Enrique Barrera Rodriguez</t>
  </si>
  <si>
    <t>jorgebarrera@javeriana.edu.co</t>
  </si>
  <si>
    <t>300/711-9855</t>
  </si>
  <si>
    <t>Laura Ximena Caicedo Roncancio</t>
  </si>
  <si>
    <t>laura-caicedo@javeriana.edu.co</t>
  </si>
  <si>
    <t>321/876-7413</t>
  </si>
  <si>
    <t>Mario Botero Amaya</t>
  </si>
  <si>
    <t>mario_botero@javeriana.edu.co</t>
  </si>
  <si>
    <t>304/339-8424</t>
  </si>
  <si>
    <t>Jairo Adolfo Hernández Martinez</t>
  </si>
  <si>
    <t>jairo_hernandez@javeriana.edu.co</t>
  </si>
  <si>
    <t>315/631-5178</t>
  </si>
  <si>
    <t>Julian Eladio Alonso Valencia</t>
  </si>
  <si>
    <t>julian_alonso@javeriana.edu.co</t>
  </si>
  <si>
    <t>323/576-7416</t>
  </si>
  <si>
    <t>Maria Alejandra Daza Sandoval</t>
  </si>
  <si>
    <t>maria_daza@javeriana.edu.co</t>
  </si>
  <si>
    <t>312/317-8129</t>
  </si>
  <si>
    <t>Aura Daniela Niño Ortiz</t>
  </si>
  <si>
    <t>aura.nino@javeriana.edu.co</t>
  </si>
  <si>
    <t>302/374-8677</t>
  </si>
  <si>
    <t>Maria Jose Ruiz Vasquez</t>
  </si>
  <si>
    <t>maria_ruiz@javeriana.edu.co</t>
  </si>
  <si>
    <t>318/883-3556</t>
  </si>
  <si>
    <t>Nicolas Bejarano Bonilla</t>
  </si>
  <si>
    <t>nicolas.bejarano@javeriana.edu.co</t>
  </si>
  <si>
    <t>735-1416</t>
  </si>
  <si>
    <t>Melissa Isabel Bonilla Salon</t>
  </si>
  <si>
    <t>Valentina Prieto Rodriguez</t>
  </si>
  <si>
    <t>v.prieto@javeriana.edu.co</t>
  </si>
  <si>
    <t>313/497-1033</t>
  </si>
  <si>
    <t>Juan Camilo Vergara Orozco</t>
  </si>
  <si>
    <t>j_vergara@javeriana.edu.co</t>
  </si>
  <si>
    <t>312/388-7373</t>
  </si>
  <si>
    <t>RUIZ ARAGON,MARIA CAMILA</t>
  </si>
  <si>
    <t>ruiz_m@javeriana.edu.co</t>
  </si>
  <si>
    <t>311/214-0776</t>
  </si>
  <si>
    <t>RODRIGUEZ DOMINGUEZ,MARIA LUCIA</t>
  </si>
  <si>
    <t>maria-rodriguezd@javeriana.edu.co</t>
  </si>
  <si>
    <t>814-3643</t>
  </si>
  <si>
    <t>CASTILLO SALAMANCA,MABEL SOFIA</t>
  </si>
  <si>
    <t>castillo.mabel@javeriana.edu.co</t>
  </si>
  <si>
    <t>314/481-3059</t>
  </si>
  <si>
    <t>VICTOR HERNANDO BORRERO GÓMEZ</t>
  </si>
  <si>
    <t>borrerov@javeriana.edu.co</t>
  </si>
  <si>
    <t>305/812-6385</t>
  </si>
  <si>
    <t>LEIDY JOHANA POSOS RODRIGUEZ</t>
  </si>
  <si>
    <t>pososl@javeriana.edu.co</t>
  </si>
  <si>
    <t>304/661-4952</t>
  </si>
  <si>
    <t>KAREN ANDREA GONZÁLEZ CHARRY</t>
  </si>
  <si>
    <t>gonzalezkaren@javeriana.edu.co</t>
  </si>
  <si>
    <t>312/452-9483</t>
  </si>
  <si>
    <t>LAURA STEFANNIA FORERO VELASCO</t>
  </si>
  <si>
    <t>forero_ls@javeriana.edu.co</t>
  </si>
  <si>
    <t>311/840-1655</t>
  </si>
  <si>
    <t>SILVIA MARÍA VILLARREAL GÓMEZ</t>
  </si>
  <si>
    <t>silviavillarreal@javeriana.edu.co</t>
  </si>
  <si>
    <t>317/326-5416</t>
  </si>
  <si>
    <t>LAURA TATIANA ESPITIA LADINO</t>
  </si>
  <si>
    <t>laura_espitia@javeriana.edu.co</t>
  </si>
  <si>
    <t>311/522-5291</t>
  </si>
  <si>
    <t>ROJAS TOLOSA,NICOLAS</t>
  </si>
  <si>
    <t>nicolas_rojas@javeriana.edu.co</t>
  </si>
  <si>
    <t>310/221-2073</t>
  </si>
  <si>
    <t>GIL SOSA,OSCAR IGNACIO</t>
  </si>
  <si>
    <t>gil.oscar@javeriana.edu.co</t>
  </si>
  <si>
    <t>+525548218256</t>
  </si>
  <si>
    <t>MARIANA GIL GALLEGO</t>
  </si>
  <si>
    <t>mariana.gil@javeriana.edu.co</t>
  </si>
  <si>
    <t>+573124570209</t>
  </si>
  <si>
    <t>JUAN DIEGO FIGUEROA MATUK</t>
  </si>
  <si>
    <t>juan-figueroa@javeriana.edu.co</t>
  </si>
  <si>
    <t>393-9362</t>
  </si>
  <si>
    <t>ANA MARÍA LOZANO GUZMÁN</t>
  </si>
  <si>
    <t>ana_lozano@javeriana.edu.co</t>
  </si>
  <si>
    <t>261-6038</t>
  </si>
  <si>
    <t>JUAN SEBASTIAN ARIAS CORONADO</t>
  </si>
  <si>
    <t>j_arias@javeriana.edu.co</t>
  </si>
  <si>
    <t>320/576-0022</t>
  </si>
  <si>
    <t>RIVERA TORRES,ANDREA</t>
  </si>
  <si>
    <t>andrearivera@javeriana.edu.co</t>
  </si>
  <si>
    <t>310/782-5185</t>
  </si>
  <si>
    <t>OCAMPO MONSALVE,MARIA JOSE</t>
  </si>
  <si>
    <t>ocampo_m@javeriana.edu.co</t>
  </si>
  <si>
    <t>315/525-0842</t>
  </si>
  <si>
    <t>GUTIERREZ CORREDOR,JUAN FERNANDO</t>
  </si>
  <si>
    <t>juan_gutierrez@javeriana.edu.co</t>
  </si>
  <si>
    <t>313/427-8407</t>
  </si>
  <si>
    <t>CELIS RAMIREZ,JUAN DIEGO</t>
  </si>
  <si>
    <t>juancelis@javeriana.edu.co</t>
  </si>
  <si>
    <t>311/580-8880</t>
  </si>
  <si>
    <t>DANIEL ALBERTO CÁRDENAS GARNICA</t>
  </si>
  <si>
    <t>daniel-cardenas@javeriana.edu.co</t>
  </si>
  <si>
    <t>313/818-0068</t>
  </si>
  <si>
    <t>JAIME ANDRES CHAVES RODRIGUEZ</t>
  </si>
  <si>
    <t>jaime-chaves@javeriana.edu.co</t>
  </si>
  <si>
    <t>301/661-1976</t>
  </si>
  <si>
    <t>SERGIO ANDRÉS COLORADO SALAMANCA</t>
  </si>
  <si>
    <t>coloradosergio@javeriana.edu.co</t>
  </si>
  <si>
    <t>301/339-6475</t>
  </si>
  <si>
    <t>VALENTINA GÓMEZ FUENTES</t>
  </si>
  <si>
    <t>valentinagomez@javeriana.edu.co</t>
  </si>
  <si>
    <t>317/425-2340</t>
  </si>
  <si>
    <t>ANGELLY VANESSA GARNICA VILLAMIZAR</t>
  </si>
  <si>
    <t>angellygarnica@javeriana.edu.co</t>
  </si>
  <si>
    <t>301/728-0773</t>
  </si>
  <si>
    <t>PAULA ALEJANDRA NOSSA TORRES</t>
  </si>
  <si>
    <t>p.nossa@javeriana.edu.co</t>
  </si>
  <si>
    <t>311/804-5404</t>
  </si>
  <si>
    <t>GARCIA MICOLTA,LAURA JULIANA</t>
  </si>
  <si>
    <t>la_garcia@javeriana.edu.co</t>
  </si>
  <si>
    <t>300/657-6664</t>
  </si>
  <si>
    <t>DIAGO MALAGON,VERONICA</t>
  </si>
  <si>
    <t>veronicadiago@javeriana.edu.co</t>
  </si>
  <si>
    <t>310/334-0641</t>
  </si>
  <si>
    <t>RODRIGUEZ RUBIO,NATALIA</t>
  </si>
  <si>
    <t>na-rodriguez@javeriana.edu.co</t>
  </si>
  <si>
    <t>311/805-1196</t>
  </si>
  <si>
    <t>MANTILLA SCHRADER,NICOLAS</t>
  </si>
  <si>
    <t>nicolasmantilla@javeriana.edu.co</t>
  </si>
  <si>
    <t>648-0687</t>
  </si>
  <si>
    <t>OLIVELLA RAMOS,JUAN SEBASTIAN</t>
  </si>
  <si>
    <t>j.olivella@javeriana.edu.co</t>
  </si>
  <si>
    <t>304/248-0305</t>
  </si>
  <si>
    <t>DANIELA CATALINA JIMENEZ CASTELLANOS</t>
  </si>
  <si>
    <t>jimenez_dcatalina@javeriana.edu.co</t>
  </si>
  <si>
    <t>312/512-5086</t>
  </si>
  <si>
    <t>JUAN PABLO RICAURTE BECERRA</t>
  </si>
  <si>
    <t>juan_ricaurte@javeriana.edu.co</t>
  </si>
  <si>
    <t>316/328-9920</t>
  </si>
  <si>
    <t>JOHAN NICOLAS RODRIGUEZ FORERO</t>
  </si>
  <si>
    <t>johan_rodriguez@javeriana.edu.co</t>
  </si>
  <si>
    <t>317/292-1710</t>
  </si>
  <si>
    <t>PEREZ GUALTERO,ELMER FABIAN</t>
  </si>
  <si>
    <t>elmer_perez@javeriana.edu.co</t>
  </si>
  <si>
    <t>311/592-8481</t>
  </si>
  <si>
    <t>BARAHONA ACOSTA,ANGIE VANESSA</t>
  </si>
  <si>
    <t>angiebarahona@javeriana.edu.co</t>
  </si>
  <si>
    <t>300/343-9460</t>
  </si>
  <si>
    <t>CASTIBLANCO JIMENEZ,MARIA CLAUDIA</t>
  </si>
  <si>
    <t>maria_castiblanco@javeriana.edu.co</t>
  </si>
  <si>
    <t>310/629-4553</t>
  </si>
  <si>
    <t>CAYCEDO PACHON,MARIA CAROLINA</t>
  </si>
  <si>
    <t>maria_caycedo@javeriana.edu.co</t>
  </si>
  <si>
    <t>496-0691</t>
  </si>
  <si>
    <t>BARRERO GARCIA,JUAN DANIEL</t>
  </si>
  <si>
    <t>juanbarrero@javeriana.edu.co</t>
  </si>
  <si>
    <t>313/369-0301</t>
  </si>
  <si>
    <t>SEPULVEDA TRIANA,DIEGO ALEJANDRO</t>
  </si>
  <si>
    <t>diegosepulveda@javeriana.edu.co</t>
  </si>
  <si>
    <t>315/324-3450</t>
  </si>
  <si>
    <t>HERNANDEZ ESTUPIÑAN,DANIELA PAOLA</t>
  </si>
  <si>
    <t>hernandezdaniela@javeriana.edu.co</t>
  </si>
  <si>
    <t>939-6429</t>
  </si>
  <si>
    <t>Krisztina Alejandra Moreno Pádár</t>
  </si>
  <si>
    <t>krisztina_moreno@javeriana.edu.co</t>
  </si>
  <si>
    <t>304/545-6308</t>
  </si>
  <si>
    <t>Sofía Salazar Cardona</t>
  </si>
  <si>
    <t>sofia_salazar@javeriana.edu.co</t>
  </si>
  <si>
    <t>313/552-1481</t>
  </si>
  <si>
    <t>María Camila Luengas Triviño</t>
  </si>
  <si>
    <t>m.luengas@javeriana.edu.co</t>
  </si>
  <si>
    <t>316/824-9518</t>
  </si>
  <si>
    <t>DUCON GRANADOS,KAREN JOHANA</t>
  </si>
  <si>
    <t>ducon_karen@javeriana.edu.co</t>
  </si>
  <si>
    <t>316/401-4689</t>
  </si>
  <si>
    <t>Adrián Invernón Rodríguez</t>
  </si>
  <si>
    <t>ainvernon@javeriana.edu.co</t>
  </si>
  <si>
    <t>318/348-4088</t>
  </si>
  <si>
    <t>Maria Alejandra Moreno Chamorro</t>
  </si>
  <si>
    <t>mamoreno@javeriana.edu.co</t>
  </si>
  <si>
    <t>315/215-4359</t>
  </si>
  <si>
    <t>Santiago Pineda Gaviria</t>
  </si>
  <si>
    <t>pineda.santiago@javeriana.edu.co</t>
  </si>
  <si>
    <t>300/741-9464</t>
  </si>
  <si>
    <t>Daniel Felipe Pulido Barragán</t>
  </si>
  <si>
    <t>danielpulido@javeriana.edu.co</t>
  </si>
  <si>
    <t>300/430-8923</t>
  </si>
  <si>
    <t>Santiago Andres Sierra Quintero</t>
  </si>
  <si>
    <t>santiago_sierra@javeriana.edu.co</t>
  </si>
  <si>
    <t>315/733-6460</t>
  </si>
  <si>
    <t>Maria Paula Malavet Naranjo</t>
  </si>
  <si>
    <t>malavet.m@javeriana.edu.co</t>
  </si>
  <si>
    <t>310/584-3991</t>
  </si>
  <si>
    <t>Alejandra Tovar Rodriguez</t>
  </si>
  <si>
    <t>alejandratovar@javeriana.edu.co</t>
  </si>
  <si>
    <t>624-8303</t>
  </si>
  <si>
    <t>Daniela Córdoba Correa</t>
  </si>
  <si>
    <t>daniela.cordoba@javeriana.edu.co</t>
  </si>
  <si>
    <t>318/599-0456</t>
  </si>
  <si>
    <t>Juan Camilo Mora Zambrano</t>
  </si>
  <si>
    <t>ju.mora@javeriana.edu.co</t>
  </si>
  <si>
    <t>320/444-3913</t>
  </si>
  <si>
    <t>María Catalina Hernández Gómez</t>
  </si>
  <si>
    <t>maria.hernandezg@javeriana.edu.co</t>
  </si>
  <si>
    <t>778/697-5397</t>
  </si>
  <si>
    <t>Maria Jose Camacho Cuello</t>
  </si>
  <si>
    <t>camachomaria@javeriana.edu.co</t>
  </si>
  <si>
    <t>316/346-4472</t>
  </si>
  <si>
    <t>Irene Castellanos Sofan</t>
  </si>
  <si>
    <t>i.castellanos@javeriana.edu.co</t>
  </si>
  <si>
    <t>317/511-1896</t>
  </si>
  <si>
    <t>Gabriel Santiago Lozada Tellez</t>
  </si>
  <si>
    <t>lozadagabriel@javeriana.edu.co</t>
  </si>
  <si>
    <t>313/886-6581</t>
  </si>
  <si>
    <t>Oscar Mauricio Ricaurte Pacheco</t>
  </si>
  <si>
    <t>oscar-ricaurte@javeriana.edu.co</t>
  </si>
  <si>
    <t>317/366-5852</t>
  </si>
  <si>
    <t>Maria Fernanda Riobó Santamaria</t>
  </si>
  <si>
    <t>mriobo@javeriana.edu.co</t>
  </si>
  <si>
    <t>643-8713</t>
  </si>
  <si>
    <t>Laura Zuluaga Zuluaga</t>
  </si>
  <si>
    <t>l-zuluaga@javeriana.edu.co</t>
  </si>
  <si>
    <t>311/300-9791</t>
  </si>
  <si>
    <t>AYALA LIZARAZO,JUAN FELIPE</t>
  </si>
  <si>
    <t>ayala_juan@javeriana.edu.co</t>
  </si>
  <si>
    <t>310/448-1571</t>
  </si>
  <si>
    <t>BAQUERO MOJICA,GINA CATALINA</t>
  </si>
  <si>
    <t>ginabaquero@javeriana.edu.co</t>
  </si>
  <si>
    <t>320/422-8970</t>
  </si>
  <si>
    <t>MENESES VARGAS,LUIS FELIPE</t>
  </si>
  <si>
    <t>luismeneses@javeriana.edu.co</t>
  </si>
  <si>
    <t>310/233-6120</t>
  </si>
  <si>
    <t>RODRIGUEZ VARGAS,JONATHAN STEVEN</t>
  </si>
  <si>
    <t>jstevenrodriguezv@javeriana.edu.co</t>
  </si>
  <si>
    <t>350/548-9779</t>
  </si>
  <si>
    <t>ROJAS OVIEDO,SERGIO ALBERTO</t>
  </si>
  <si>
    <t>se.rojas@javeriana.edu.co</t>
  </si>
  <si>
    <t>316/695-7138</t>
  </si>
  <si>
    <t>RUIZ GOMEZ,ANDREA JULIANA</t>
  </si>
  <si>
    <t>andrea_ruiz@javeriana.edu.co</t>
  </si>
  <si>
    <t>318/400-9234</t>
  </si>
  <si>
    <t>RUIZ ZARATE,PEDRO ELI</t>
  </si>
  <si>
    <t>pedro.ruiz@javeriana.edu.co</t>
  </si>
  <si>
    <t>320/424-6436</t>
  </si>
  <si>
    <t>CAMACHO CALA,JUAN JOSE</t>
  </si>
  <si>
    <t>j_camacho@javeriana.edu.co</t>
  </si>
  <si>
    <t>300/347-8654</t>
  </si>
  <si>
    <t>MEJIA TOVAR,SERGIO ANDRES</t>
  </si>
  <si>
    <t>sergio.mejia@javeriana.edu.co</t>
  </si>
  <si>
    <t>601/466-8626</t>
  </si>
  <si>
    <t>GAMEZ BARRERA,CAROL BIBIANA</t>
  </si>
  <si>
    <t>gamez.carol@javeriana.edu.co</t>
  </si>
  <si>
    <t>312/555-2471</t>
  </si>
  <si>
    <t>MORENO CAICEDO,MICHAEL GIOVANNY</t>
  </si>
  <si>
    <t>moreno.michael@javeriana.edu.co</t>
  </si>
  <si>
    <t>313/285-3911</t>
  </si>
  <si>
    <t>BERNAL ALFONSO,DAVID RICARDO</t>
  </si>
  <si>
    <t>bernal-david@javeriana.edu.co</t>
  </si>
  <si>
    <t>320/227-5519</t>
  </si>
  <si>
    <t>DAZA BUITRAGO,CAMILA</t>
  </si>
  <si>
    <t>camiladaza@javeriana.edu.co</t>
  </si>
  <si>
    <t>316/041-2389</t>
  </si>
  <si>
    <t>ESCOBAR PEREZ,SANDRA LORENA</t>
  </si>
  <si>
    <t>sandraescobar@javeriana.edu.co</t>
  </si>
  <si>
    <t>312/291-5342</t>
  </si>
  <si>
    <t>GALVIS BALLESTEROS,DANIEL FELIPE</t>
  </si>
  <si>
    <t>daniel-galvis@javeriana.edu.co</t>
  </si>
  <si>
    <t>311/226-4630</t>
  </si>
  <si>
    <t>GOMEZ RODRIGUEZ,CAMILA</t>
  </si>
  <si>
    <t>camilagomez@javeriana.edu.co</t>
  </si>
  <si>
    <t>675-2110</t>
  </si>
  <si>
    <t>GONZALEZ HERNANDEZ,LAURA TATIANA</t>
  </si>
  <si>
    <t>laura.gonzalezh@javeriana.edu.co</t>
  </si>
  <si>
    <t>323/293-3067</t>
  </si>
  <si>
    <t>LAMUS VERGEL,JULIAN ANDRES</t>
  </si>
  <si>
    <t>lamus-julian@javeriana.edu.co</t>
  </si>
  <si>
    <t>316/633-6772</t>
  </si>
  <si>
    <t>MARROQUIN PEREZ,PAULA JULIETH</t>
  </si>
  <si>
    <t>paula_marroquin@javeriana.edu.co</t>
  </si>
  <si>
    <t>314/241-5704</t>
  </si>
  <si>
    <t>MORALES CHAPETA,MARIA CAMILA</t>
  </si>
  <si>
    <t>morales_maria@javeriana.edu.co</t>
  </si>
  <si>
    <t>320/470-8564</t>
  </si>
  <si>
    <t>OSPINA CRUZ,CARLOS ANDRES</t>
  </si>
  <si>
    <t>carlos_ospina@javeriana.edu.co</t>
  </si>
  <si>
    <t>277276</t>
  </si>
  <si>
    <t>SANCHEZ PINILLA,DANNA VALENTINA</t>
  </si>
  <si>
    <t>danna-sanchez@javeriana.edu.co</t>
  </si>
  <si>
    <t>320/842-3885</t>
  </si>
  <si>
    <t>GONZALEZ GARZON,LILIANA</t>
  </si>
  <si>
    <t>gonzalezliliana@javeriana.edu.co</t>
  </si>
  <si>
    <t>313/354-7023</t>
  </si>
  <si>
    <t>BECERRA DAVILA,DAVID SEBASTIAN</t>
  </si>
  <si>
    <t>becerra_david@javeriana.edu.co</t>
  </si>
  <si>
    <t>473-7576</t>
  </si>
  <si>
    <t>BETANCOURT ESPITIA,JUAN FELIPE</t>
  </si>
  <si>
    <t>juan-betancourt@javeriana.edu.co</t>
  </si>
  <si>
    <t>257-4335</t>
  </si>
  <si>
    <t>BLANCO URIBE,JAIRO ALONSO</t>
  </si>
  <si>
    <t>jairoblanco@javeriana.edu.co</t>
  </si>
  <si>
    <t>311/531-7434</t>
  </si>
  <si>
    <t>CASAS SALAS,DANIEL RICARDO</t>
  </si>
  <si>
    <t>casas_daniel@javeriana.edu.co</t>
  </si>
  <si>
    <t>312/435-0951</t>
  </si>
  <si>
    <t>CASTRO RODRIGUEZ,PAULA ALEJANDRA</t>
  </si>
  <si>
    <t>p_castro@javeriana.edu.co</t>
  </si>
  <si>
    <t>321/961-7655</t>
  </si>
  <si>
    <t>HOYOS PUMAREJO,OMAR ENRIQUE</t>
  </si>
  <si>
    <t>hoyos.omar@javeriana.edu.co</t>
  </si>
  <si>
    <t>320/532-2897</t>
  </si>
  <si>
    <t>LOPEZ CAMPO,MAYRA ALEJANDRA</t>
  </si>
  <si>
    <t>mayra_lopez@javeriana.edu.co</t>
  </si>
  <si>
    <t>315/484-7753</t>
  </si>
  <si>
    <t>MARTIN SANCHEZ,NICOLAS</t>
  </si>
  <si>
    <t>nicolas-martin@javeriana.edu.co</t>
  </si>
  <si>
    <t>310/564-6800</t>
  </si>
  <si>
    <t>MARTINEZ PINZON,ANDRES FELIPE</t>
  </si>
  <si>
    <t>anmartinez@javeriana.edu.co</t>
  </si>
  <si>
    <t>321/394-2101</t>
  </si>
  <si>
    <t>MORA CARVAJALINO,PEDRO FELIPE</t>
  </si>
  <si>
    <t>mora_pedro@javeriana.edu.co</t>
  </si>
  <si>
    <t>300/147-0705</t>
  </si>
  <si>
    <t>MORENO PINEDA,MARIA CAMILA</t>
  </si>
  <si>
    <t>momaria@javeriana.edu.co</t>
  </si>
  <si>
    <t>313/379-9168</t>
  </si>
  <si>
    <t>PINZON FORERO,DANIELA PALOMA</t>
  </si>
  <si>
    <t>daniela-pinzon@javeriana.edu.co</t>
  </si>
  <si>
    <t>316/394-9913</t>
  </si>
  <si>
    <t>RODRIGUEZ FAJARDO,MARIA DEL PILAR</t>
  </si>
  <si>
    <t>mrodriguez.f@javeriana.edu.co</t>
  </si>
  <si>
    <t>301/292-9372</t>
  </si>
  <si>
    <t>SABATINI MARQUEZ,GIULIANA</t>
  </si>
  <si>
    <t>gsabatini@javeriana.edu.co</t>
  </si>
  <si>
    <t>321/987-7867</t>
  </si>
  <si>
    <t>VALENCIA ROZO,MARCELA</t>
  </si>
  <si>
    <t>marcelavalencia@javeriana.edu.co</t>
  </si>
  <si>
    <t>316/212-9237</t>
  </si>
  <si>
    <t>VARGAS GAMBOA,GABRIEL ALBERTO</t>
  </si>
  <si>
    <t>vargas.gabriel@javeriana.edu.co</t>
  </si>
  <si>
    <t>313/263-9625</t>
  </si>
  <si>
    <t>TORRES MOJICA,FEDERICO</t>
  </si>
  <si>
    <t>torres.federico@javeriana.edu.co</t>
  </si>
  <si>
    <t>305/735-9908</t>
  </si>
  <si>
    <t>ANDRADE MEDINA,VALENTINA</t>
  </si>
  <si>
    <t>valentina_andrade@javeriana.edu.co</t>
  </si>
  <si>
    <t>314/533-6605</t>
  </si>
  <si>
    <t>CORTES MERCHAN,DANIEL FELIPE</t>
  </si>
  <si>
    <t>d_cortes@javeriana.edu.co</t>
  </si>
  <si>
    <t>357-9594</t>
  </si>
  <si>
    <t>GUEVARA PULIDO,DANIELA ANDREA</t>
  </si>
  <si>
    <t>danielaguevara@javeriana.edu.co</t>
  </si>
  <si>
    <t>310/217-9338</t>
  </si>
  <si>
    <t>OSORIO AMAYA,JUAN JOSE</t>
  </si>
  <si>
    <t>osoriojuan@javeriana.edu.co</t>
  </si>
  <si>
    <t>318/869-0297</t>
  </si>
  <si>
    <t>POTES MORENO,KAREN DAYAN</t>
  </si>
  <si>
    <t>karenpotes@javeriana.edu.co</t>
  </si>
  <si>
    <t>313/393-3451</t>
  </si>
  <si>
    <t>SANTAMARIA NIETO,ANDRES MAURICIO</t>
  </si>
  <si>
    <t>andres.santamaria@javeriana.edu.co</t>
  </si>
  <si>
    <t>313/832-2453</t>
  </si>
  <si>
    <t>VELEZ CHILD,JULIANA</t>
  </si>
  <si>
    <t>velez.juliana@javeriana.edu.co</t>
  </si>
  <si>
    <t>226-6143</t>
  </si>
  <si>
    <t>VESGA AMADO,JUAN CAMILO</t>
  </si>
  <si>
    <t>vesga-j@javeriana.edu.co</t>
  </si>
  <si>
    <t>300/774-7913</t>
  </si>
  <si>
    <t>RINCON AMAYA,SANTIAGO</t>
  </si>
  <si>
    <t>santiago_rincon@javeriana.edu.co</t>
  </si>
  <si>
    <t>87702160</t>
  </si>
  <si>
    <t>OVIEDO OSORIO,ANDRES MAURICIO</t>
  </si>
  <si>
    <t>andresoviedo@javeriana.edu.co</t>
  </si>
  <si>
    <t>320/393-7717</t>
  </si>
  <si>
    <t>2021-10</t>
  </si>
  <si>
    <t>DANIEL ESTEBAN TIBAQUIRA GALINDO</t>
  </si>
  <si>
    <t>danieltibaquira@javeriana.edu.co</t>
  </si>
  <si>
    <t>304/581-2139</t>
  </si>
  <si>
    <t>JUAN SEBASTIAN ANGARITA TORRES</t>
  </si>
  <si>
    <t>angaritat.js@javeriana.edu.co</t>
  </si>
  <si>
    <t>300/211-2575</t>
  </si>
  <si>
    <t>JORGE RODRIGO SALGADO TELLO</t>
  </si>
  <si>
    <t>N/A</t>
  </si>
  <si>
    <t>MARIA ALEJANDRA SANDOVAL LOPEZ</t>
  </si>
  <si>
    <t>sandovall_maria@javeriana.edu.co</t>
  </si>
  <si>
    <t>316/867-0976</t>
  </si>
  <si>
    <t>PEDRO HUMBERTO GUERRERO INFANTE</t>
  </si>
  <si>
    <t>guerrero-pedro@javeriana.edu.co</t>
  </si>
  <si>
    <t>312/414-2683</t>
  </si>
  <si>
    <t>JUAN SEBASTIAN OSORIO GARCIA</t>
  </si>
  <si>
    <t>osorio_j@javeriana.edu.co</t>
  </si>
  <si>
    <t>320/318-6407</t>
  </si>
  <si>
    <t>ABEL SANTIAGO CORTÉS</t>
  </si>
  <si>
    <t>abel.cortes@javeriana.edu.co</t>
  </si>
  <si>
    <t>317/400-6489</t>
  </si>
  <si>
    <t>DIEGO MAURICIO BULLA NUÑEZ</t>
  </si>
  <si>
    <t>diegobulla@javeriana.edu.co</t>
  </si>
  <si>
    <t>712-1644</t>
  </si>
  <si>
    <t>GABRIEL GOMEZ CORREDOR</t>
  </si>
  <si>
    <t>gomezga@javeriana.edu.co</t>
  </si>
  <si>
    <t>318/802-9323</t>
  </si>
  <si>
    <t>GONZALEZ SOLANO,ERIKA ALEJANDRA</t>
  </si>
  <si>
    <t>gonzalez_erika@javeriana.edu.co</t>
  </si>
  <si>
    <t>320/806-2234</t>
  </si>
  <si>
    <t>LONDOÑO LONDOÑO,LEONEL STEVEN</t>
  </si>
  <si>
    <t>leonel-londono@javeriana.edu.co</t>
  </si>
  <si>
    <t>314/332-0740</t>
  </si>
  <si>
    <t>CHAFLOQUE MESIA,JUAN CAMILO</t>
  </si>
  <si>
    <t>juanchafloque@javeriana.edu.co</t>
  </si>
  <si>
    <t>301/658-1019</t>
  </si>
  <si>
    <t>JIMENEZ JIMENEZ,LAURA MARIANA</t>
  </si>
  <si>
    <t>la.jimenez@javeriana.edu.co</t>
  </si>
  <si>
    <t>310/810-5207</t>
  </si>
  <si>
    <t>SANTIAGO ANDRES CAROPRESE HIDALGO</t>
  </si>
  <si>
    <t>scaropresse@javeriana.edu.co</t>
  </si>
  <si>
    <t>320/838-0231</t>
  </si>
  <si>
    <t>ROA DUEÑAS,SANTIAGO</t>
  </si>
  <si>
    <t>santiago.roa@javeriana.edu.co</t>
  </si>
  <si>
    <t>317/667-2341</t>
  </si>
  <si>
    <t>NIÑO CARVAJAL,GABRIEL ANDRES</t>
  </si>
  <si>
    <t>nino.gandres@javeriana.edu.co</t>
  </si>
  <si>
    <t>310/312-3521</t>
  </si>
  <si>
    <t>PABLO VEINTEMILLA RAMIREZ</t>
  </si>
  <si>
    <t>p_veintemilla@javeriana.edu.co</t>
  </si>
  <si>
    <t>313/202-4990</t>
  </si>
  <si>
    <t>ESTEBAN MORENO CASTILLO</t>
  </si>
  <si>
    <t>esteban_moreno@javeriana.edu.co</t>
  </si>
  <si>
    <t>316/738-8801</t>
  </si>
  <si>
    <t>GARCIA VARGAS,JOHN STIVEN</t>
  </si>
  <si>
    <t>john_garcia@javeriana.edu.co</t>
  </si>
  <si>
    <t>318/360-6200</t>
  </si>
  <si>
    <t>MALDONADO GOMEZ,CAMILO ANDRES</t>
  </si>
  <si>
    <t>camilo_maldonado@javeriana.edu.co</t>
  </si>
  <si>
    <t>300/504-9976</t>
  </si>
  <si>
    <t>DIAZ DEL CASTILLO LONDOÑO,ANDRES ESTEBAN</t>
  </si>
  <si>
    <t>a.diazdelcastillo@javeriana.edu.co</t>
  </si>
  <si>
    <t>316/399-0344</t>
  </si>
  <si>
    <t>SEBASTIAN ROBERTS SERRATO</t>
  </si>
  <si>
    <t>sroberts@javeriana.edu.co</t>
  </si>
  <si>
    <t>316/413-7976</t>
  </si>
  <si>
    <t>FABIAN ALEXIS PALLARES JAIMES</t>
  </si>
  <si>
    <t>fpallares@javeriana.edu.co</t>
  </si>
  <si>
    <t>315/850-3395</t>
  </si>
  <si>
    <t>LUISA YURANI CONTRERAS VERGEL</t>
  </si>
  <si>
    <t>luisa.contreras@javeriana.edu.co</t>
  </si>
  <si>
    <t>320/909-6225</t>
  </si>
  <si>
    <t>ALEX DAVID BARRETO ALFONSO</t>
  </si>
  <si>
    <t>barreto.alex@javeriana.edu.co</t>
  </si>
  <si>
    <t>350/793-2384</t>
  </si>
  <si>
    <t>EMANUEL ALVAREZ SANCHEZ</t>
  </si>
  <si>
    <t>alvarez_emanuel@javeriana.edu.co</t>
  </si>
  <si>
    <t>320/238-8721</t>
  </si>
  <si>
    <t>JHON JAIRO GONZALEZ MARTINEZ</t>
  </si>
  <si>
    <t>johngonzalez@javeriana.edu.co</t>
  </si>
  <si>
    <t>313/290-9251</t>
  </si>
  <si>
    <t>ANGGIE CAROLINA CORREA SANCHEZ</t>
  </si>
  <si>
    <t>anggie.correa@javeriana.edu.co</t>
  </si>
  <si>
    <t>314/251-1225</t>
  </si>
  <si>
    <t>HERNANDEZ GARCIA,DANIEL</t>
  </si>
  <si>
    <t>he_daniel@javeriana.edu.co</t>
  </si>
  <si>
    <t>313/397-2248</t>
  </si>
  <si>
    <t>JOAN SEBASTIAN VELANDIA GUATAQUIRA</t>
  </si>
  <si>
    <t>joan_velandia@javeriana.edu.co</t>
  </si>
  <si>
    <t>300/465-8444</t>
  </si>
  <si>
    <t>BRAYAN JESÚS GONZALEZ AGUILERA</t>
  </si>
  <si>
    <t>gonzalez-b@javeriana.edu.co</t>
  </si>
  <si>
    <t>327-7300</t>
  </si>
  <si>
    <t>DIEGO ANDRES BURGOS MELO</t>
  </si>
  <si>
    <t>burgosmd@javeriana.edu.co</t>
  </si>
  <si>
    <t>305/716-2569</t>
  </si>
  <si>
    <t>STIVEN GONZALEZ OLAYA</t>
  </si>
  <si>
    <t>stiven_gonzalez@javeriana.edu.co</t>
  </si>
  <si>
    <t>300/349-2325</t>
  </si>
  <si>
    <t>JUAN JOSE AFANADOR OCHOA</t>
  </si>
  <si>
    <t>j.afanador@javeriana.edu.co</t>
  </si>
  <si>
    <t>319/706-3594</t>
  </si>
  <si>
    <t>JULIANA GARCIA MOGOLLON</t>
  </si>
  <si>
    <t>garciaj_u@javeriana.edu.co</t>
  </si>
  <si>
    <t>312/320-1623</t>
  </si>
  <si>
    <t>JUAN SEBASTIAN VALDERRAMA URQUIJO</t>
  </si>
  <si>
    <t>valderramajuan@javeriana.edu.co</t>
  </si>
  <si>
    <t>757-6547</t>
  </si>
  <si>
    <t>JUAN CAMILO PIMIENTA GOMEZ</t>
  </si>
  <si>
    <t>juan-pimienta@javeriana.edu.co</t>
  </si>
  <si>
    <t>322/775-2303</t>
  </si>
  <si>
    <t>JUAN FELIPE VANEGAS PATIÑO</t>
  </si>
  <si>
    <t>j_vanegas@javeriana.edu.co</t>
  </si>
  <si>
    <t>402-9662</t>
  </si>
  <si>
    <t>JUAN FELIPE MARIN FLOREZ</t>
  </si>
  <si>
    <t>jumarin@javeriana.edu.co</t>
  </si>
  <si>
    <t>350/438-6900</t>
  </si>
  <si>
    <t>CORTES ANTONIO,DANIELA</t>
  </si>
  <si>
    <t>danielacortes@javeriana.edu.co</t>
  </si>
  <si>
    <t>316/804-0007</t>
  </si>
  <si>
    <t>MENDOZA PEREZ,DANIEL ANDRES</t>
  </si>
  <si>
    <t>mendoza_daniel@javeriana.edu.co</t>
  </si>
  <si>
    <t>318/749-7007</t>
  </si>
  <si>
    <t>FLORIDO SANCHEZ,MATEO</t>
  </si>
  <si>
    <t>floridom@javeriana.edu.co</t>
  </si>
  <si>
    <t>302/403-1111</t>
  </si>
  <si>
    <t>CAMACHO PLAZAS,NICOLAS</t>
  </si>
  <si>
    <t>nicolas-camacho@javeriana.edu.co</t>
  </si>
  <si>
    <t>301/536-5815</t>
  </si>
  <si>
    <t>LINARES ZAMBRANO,MARLON ESTEBAN</t>
  </si>
  <si>
    <t>marlon.linares@javeriana.edu.co</t>
  </si>
  <si>
    <t>321/995-4482</t>
  </si>
  <si>
    <t>SANCHEZ PEÑA,PAULA VALENTINA</t>
  </si>
  <si>
    <t>pa-sanchez@javeriana.edu.co</t>
  </si>
  <si>
    <t>310/803-4500</t>
  </si>
  <si>
    <t>SUAREZ JAIMES,JUAN CARLOS</t>
  </si>
  <si>
    <t>juan.suarezj@javeriana.edu.co</t>
  </si>
  <si>
    <t>317/424-1952</t>
  </si>
  <si>
    <t>MENDEZ PERDOMO,JUAN PABLO</t>
  </si>
  <si>
    <t>juanmendezp@javeriana.edu.co</t>
  </si>
  <si>
    <t>319/790-3438</t>
  </si>
  <si>
    <t>Gutierrez Gallo Daniel</t>
  </si>
  <si>
    <t>daniel_gutierrez@javeriana.edu.co</t>
  </si>
  <si>
    <t>312/550-2479</t>
  </si>
  <si>
    <t>Herrera Burgos Carlos Andres</t>
  </si>
  <si>
    <t>carlos_herrera@javeriana.edu.co</t>
  </si>
  <si>
    <t>312/327-1505</t>
  </si>
  <si>
    <t>Rincon Guerrero Victor Manuel</t>
  </si>
  <si>
    <t>victorrincon@javeriana.edu.co</t>
  </si>
  <si>
    <t>479-5432</t>
  </si>
  <si>
    <t>CARDENAS AGUDELO,MARIA CAMILA</t>
  </si>
  <si>
    <t>cardenasm.a@javeriana.edu.co</t>
  </si>
  <si>
    <t>310/216-1518</t>
  </si>
  <si>
    <t>PINZON POLO,MARIA GABRIELA</t>
  </si>
  <si>
    <t>pinzonm_a@javeriana.edu.co</t>
  </si>
  <si>
    <t>318/868-5252</t>
  </si>
  <si>
    <t>REMOLINA GOMEZ,NICOLAS</t>
  </si>
  <si>
    <t>nicolasremolina@javeriana.edu.co</t>
  </si>
  <si>
    <t>300/546-1514</t>
  </si>
  <si>
    <t>Niño Preciado Diego Alejandro</t>
  </si>
  <si>
    <t>diego-nino@javeriana.edu.co</t>
  </si>
  <si>
    <t>313/444-1470</t>
  </si>
  <si>
    <t>Castro Gutierrez Oscar Felipe</t>
  </si>
  <si>
    <t>castrooscar@javeriana.edu.co</t>
  </si>
  <si>
    <t>315/895-2536</t>
  </si>
  <si>
    <t>Suárez Ávila Juliana</t>
  </si>
  <si>
    <t>juliana_suarez@javeriana.edu.co</t>
  </si>
  <si>
    <t>310/229-4453</t>
  </si>
  <si>
    <t>Vargas Montañez Monica</t>
  </si>
  <si>
    <t>vargas-monica@javeriana.edu.co</t>
  </si>
  <si>
    <t>320/736-1942</t>
  </si>
  <si>
    <t>Melo Rodriguez Hugo Eduardo</t>
  </si>
  <si>
    <t>hugo.melo@javeriana.edu.co</t>
  </si>
  <si>
    <t>317/646-0123</t>
  </si>
  <si>
    <t>FONSECA VALDERRAMA,MARIANA</t>
  </si>
  <si>
    <t>mariana-fonseca@javeriana.edu.co</t>
  </si>
  <si>
    <t>311/828-6129</t>
  </si>
  <si>
    <t>GAVIRIA HERNANDEZ,MARIA ALEJANDRA</t>
  </si>
  <si>
    <t>gaviriamaria@javeriana.edu.co</t>
  </si>
  <si>
    <t>473-2248</t>
  </si>
  <si>
    <t>SUESCUN GARCIA,ANDRES ORLANDO</t>
  </si>
  <si>
    <t>suescun.andres@javeriana.edu.co</t>
  </si>
  <si>
    <t>302/610-1580</t>
  </si>
  <si>
    <t>LAVERDE MONTERO,YINA LISSET</t>
  </si>
  <si>
    <t>yina.laverde@javeriana.edu.co</t>
  </si>
  <si>
    <t>315/926-6152</t>
  </si>
  <si>
    <t>Marín Bedoya Juan Manuel</t>
  </si>
  <si>
    <t>ju.marin@javeriana.edu.co</t>
  </si>
  <si>
    <t>301/270-7676</t>
  </si>
  <si>
    <t>Salazar Uribe Joaquin</t>
  </si>
  <si>
    <t>joaquin-salazar@javeriana.edu.co</t>
  </si>
  <si>
    <t>301/787-0281</t>
  </si>
  <si>
    <t>PALACIO MALAMBO,JAYSVER STIVEN</t>
  </si>
  <si>
    <t>palacio-jaysver@javeriana.edu.co</t>
  </si>
  <si>
    <t>320/846-3114</t>
  </si>
  <si>
    <t>Diego Andrés Quintero Ardila</t>
  </si>
  <si>
    <t>diegoquintero@javeriana.edu.co</t>
  </si>
  <si>
    <t>320/246-0737</t>
  </si>
  <si>
    <t>Carol Natalia Rangel Santamaria</t>
  </si>
  <si>
    <t>carol.rangel@javeriana.edu.co</t>
  </si>
  <si>
    <t>314/212-7892</t>
  </si>
  <si>
    <t>CEDEÑO GAVIRIA,MARIA PAULA</t>
  </si>
  <si>
    <t>maria_cedeno@javeriana.edu.co</t>
  </si>
  <si>
    <t>320/472-7498</t>
  </si>
  <si>
    <t>RODRIGUEZ BAUTISTA,YULYANA</t>
  </si>
  <si>
    <t>yulyana.rodriguez@javeriana.edu.co</t>
  </si>
  <si>
    <t>315/549-2624</t>
  </si>
  <si>
    <t>VELANDIA GARCIA,JUAN RICARDO</t>
  </si>
  <si>
    <t>j_velandia@javeriana.edu.co</t>
  </si>
  <si>
    <t>311/443-5077</t>
  </si>
  <si>
    <t>RODRIGUEZ ESPINOSA,CAMILO ANDRES</t>
  </si>
  <si>
    <t>camiloa.rodriguez@javeriana.edu.co</t>
  </si>
  <si>
    <t>318/376-0436</t>
  </si>
  <si>
    <t>SARMIENTO MANTILLA,SILVIA JULIANA</t>
  </si>
  <si>
    <t>sarmiento.silvia@javeriana.edu.co</t>
  </si>
  <si>
    <t>311/216-3913</t>
  </si>
  <si>
    <t>GARCIA MESA,LINA MARIA</t>
  </si>
  <si>
    <t>li.garcia@javeriana.edu.co</t>
  </si>
  <si>
    <t>315/299-9821</t>
  </si>
  <si>
    <t>ARANGO MONCADA,CAMILA</t>
  </si>
  <si>
    <t>arango.camila@javeriana.edu.co</t>
  </si>
  <si>
    <t>300/441-1825</t>
  </si>
  <si>
    <t>MONTENEGRO GELVEZ,PAULA CAMILA</t>
  </si>
  <si>
    <t>montenegro.paula@javeriana.edu.co</t>
  </si>
  <si>
    <t>316/627-9853</t>
  </si>
  <si>
    <t>RAMOS VERA,SANTIAGO</t>
  </si>
  <si>
    <t>ramossantiago@javeriana.edu.co</t>
  </si>
  <si>
    <t>311/395-9154</t>
  </si>
  <si>
    <t>Daniel Alejandro Robles Florez</t>
  </si>
  <si>
    <t>roblesdaniel@javeriana.edu.co</t>
  </si>
  <si>
    <t>318/795-1389</t>
  </si>
  <si>
    <t>PISCO BONILLA,ANDREA CAROLINA</t>
  </si>
  <si>
    <t>acarolina.piscob@javeriana.edu.co</t>
  </si>
  <si>
    <t>312/539-6513</t>
  </si>
  <si>
    <t>MALAVER OSPINA,HASARY</t>
  </si>
  <si>
    <t>hasarymalavero@javeriana.edu.co</t>
  </si>
  <si>
    <t>67521334</t>
  </si>
  <si>
    <t>GARCIA ESQUIVEL,LUIS DAVID</t>
  </si>
  <si>
    <t>lu-garcia@javeriana.edu.co</t>
  </si>
  <si>
    <t>317/436-8644</t>
  </si>
  <si>
    <t>ORTIZ RAMIREZ,JUAN CAMILO</t>
  </si>
  <si>
    <t>ortizj_u@javeriana.edu.co</t>
  </si>
  <si>
    <t>316/751-6397</t>
  </si>
  <si>
    <t>TAPIA ALAPE,PAULA ANDREA</t>
  </si>
  <si>
    <t>paulatapia@javeriana.edu.co</t>
  </si>
  <si>
    <t>321/939-9958</t>
  </si>
  <si>
    <t>GONZALEZ BEJARANO,HERBIN ALEJANDRO</t>
  </si>
  <si>
    <t>herbingonzalez@javeriana.edu.co</t>
  </si>
  <si>
    <t>321/983-5089</t>
  </si>
  <si>
    <t>KARAM MOROS,JUAN SEBASTIAN</t>
  </si>
  <si>
    <t>jkaram@javeriana.edu.co</t>
  </si>
  <si>
    <t>311/216-4012</t>
  </si>
  <si>
    <t>Laura Yamile Martínez Díaz</t>
  </si>
  <si>
    <t>yamile.martinezd@javeriana.edu.co</t>
  </si>
  <si>
    <t>311/501-2107</t>
  </si>
  <si>
    <t>Laura Prada Serrano</t>
  </si>
  <si>
    <t>pradalaura@javeriana.edu.co</t>
  </si>
  <si>
    <t>689-4028</t>
  </si>
  <si>
    <t>GOMEZ QUIJANO,CLAUDIA MILENA</t>
  </si>
  <si>
    <t>clgomez@javeriana.edu.co</t>
  </si>
  <si>
    <t>319/202-0809</t>
  </si>
  <si>
    <t>MARTINEZ COLMENARES,SANTIAGO</t>
  </si>
  <si>
    <t>martinez_santiago@javeriana.edu.co</t>
  </si>
  <si>
    <t>758-0541</t>
  </si>
  <si>
    <t>Gabriela Leal Camargo</t>
  </si>
  <si>
    <t>g-leal@javeriana.edu.co</t>
  </si>
  <si>
    <t>300/527-7911</t>
  </si>
  <si>
    <t>Lizeth Banesa Mesa Verdugo</t>
  </si>
  <si>
    <t>lizeth_mesa@javeriana.edu.co</t>
  </si>
  <si>
    <t>322/321-7004</t>
  </si>
  <si>
    <t>Johann Andrey Baez Fuentes</t>
  </si>
  <si>
    <t>johann_baez@javeriana.edu.co</t>
  </si>
  <si>
    <t>322/380-3237</t>
  </si>
  <si>
    <t>Jairo David Pedraza Gonzalez</t>
  </si>
  <si>
    <t>jairopedraza@javeriana.edu.co</t>
  </si>
  <si>
    <t>301/412-6215</t>
  </si>
  <si>
    <t>Fabian Alejandro Calderón Jiménez</t>
  </si>
  <si>
    <t>f_calderon@javeriana.edu.co</t>
  </si>
  <si>
    <t>320/477-0247</t>
  </si>
  <si>
    <t>Mayra Andrea García Soler</t>
  </si>
  <si>
    <t>mayragarcia@javeriana.edu.co</t>
  </si>
  <si>
    <t>322/873-5234</t>
  </si>
  <si>
    <t>Jose Ricardo Pabon Santamaria</t>
  </si>
  <si>
    <t>jose_pabon@javeriana.edu.co</t>
  </si>
  <si>
    <t>311/237-8733</t>
  </si>
  <si>
    <t>Daniel Fernando Vizcaino Orozco</t>
  </si>
  <si>
    <t>vizcaino-daniel@javeriana.edu.co</t>
  </si>
  <si>
    <t>311/628-4115</t>
  </si>
  <si>
    <t>Nicolás Pinzón Gualdrón</t>
  </si>
  <si>
    <t>n_pinzon@javeriana.edu.co</t>
  </si>
  <si>
    <t>321/228-7512</t>
  </si>
  <si>
    <t>Juan Sebastian Corral Ramirez</t>
  </si>
  <si>
    <t>juan.corral@javeriana.edu.co</t>
  </si>
  <si>
    <t>319/398-2864</t>
  </si>
  <si>
    <t>Carlos Alberto González Hernandez</t>
  </si>
  <si>
    <t>gonzalezc-a@javeriana.edu.co</t>
  </si>
  <si>
    <t>314/290-2148</t>
  </si>
  <si>
    <t>Alejandro Enrique Montes Porras</t>
  </si>
  <si>
    <t>montesalejandro@javeriana.edu.co</t>
  </si>
  <si>
    <t>317/886-9990</t>
  </si>
  <si>
    <t>AGUILAR URREGO,SILVIO ALEJANDRO</t>
  </si>
  <si>
    <t>silvio-aguilar@javeriana.edu.co</t>
  </si>
  <si>
    <t>322/776-3498</t>
  </si>
  <si>
    <t>BERMON HERNANDEZ,KEVIN EDUARDO</t>
  </si>
  <si>
    <t>kevinbermon@javeriana.edu.co</t>
  </si>
  <si>
    <t>310/555-7412</t>
  </si>
  <si>
    <t>Jaiver Emilio Alvis Medina</t>
  </si>
  <si>
    <t>alvis_je@javeriana.edu.co</t>
  </si>
  <si>
    <t>311/217-2188</t>
  </si>
  <si>
    <t>Lorena Pardo Urbano</t>
  </si>
  <si>
    <t>pardo.lorena@javeriana.edu.co</t>
  </si>
  <si>
    <t>316/535-1977</t>
  </si>
  <si>
    <t>Juan Sebastian Azuero Ortiz</t>
  </si>
  <si>
    <t>juanazuero@javeriana.edu.co</t>
  </si>
  <si>
    <t>318/369-7635</t>
  </si>
  <si>
    <t>Jorge Andres Hernández Vargas</t>
  </si>
  <si>
    <t>j.hernandezv@javeriana.edu.co</t>
  </si>
  <si>
    <t>318/612-6486</t>
  </si>
  <si>
    <t>Maria Paula Otalora Jarro</t>
  </si>
  <si>
    <t>otalora_maria@javeriana.edu.co</t>
  </si>
  <si>
    <t>315/769-2287</t>
  </si>
  <si>
    <t>Sergio Andres Pinto Romero</t>
  </si>
  <si>
    <t>s-pinto@javeriana.edu.co</t>
  </si>
  <si>
    <t>300/302-5732</t>
  </si>
  <si>
    <t>Mayra Alejandra Ramirez Rojas</t>
  </si>
  <si>
    <t>mayra_ramirez@javeriana.edu.co</t>
  </si>
  <si>
    <t>312/392-2564</t>
  </si>
  <si>
    <t>Felipe Sanchez De Vengoechea</t>
  </si>
  <si>
    <t>felipe_sanchez@javeriana.edu.co</t>
  </si>
  <si>
    <t>316/826-4655</t>
  </si>
  <si>
    <t>Alejandro Castillo Cuitiva</t>
  </si>
  <si>
    <t>alejandro_castillo@javeriana.edu.co</t>
  </si>
  <si>
    <t>317/439-6627</t>
  </si>
  <si>
    <t>Sergio Andres Rojas Peña</t>
  </si>
  <si>
    <t>sergio_rojas@javeriana.edu.co</t>
  </si>
  <si>
    <t>311/349-7837</t>
  </si>
  <si>
    <t>Maria Jose Briceño Rodriguez</t>
  </si>
  <si>
    <t>maria_briceno@javeriana.edu.co</t>
  </si>
  <si>
    <t>318/424-7629</t>
  </si>
  <si>
    <t>GARZON TORRES,JUAN SEBASTIAN</t>
  </si>
  <si>
    <t>garzon_j@javeriana.edu.co</t>
  </si>
  <si>
    <t>828-0427</t>
  </si>
  <si>
    <t>MURCIA GONZALEZ,MARIANA</t>
  </si>
  <si>
    <t>murcia.mariana@javeriana.edu.co</t>
  </si>
  <si>
    <t>316/628-2649</t>
  </si>
  <si>
    <t>Theo Nicolas Gelvez Gelvez</t>
  </si>
  <si>
    <t>tgelvez@javeriana.edu.co</t>
  </si>
  <si>
    <t>311/444-2168</t>
  </si>
  <si>
    <t>Diego Andrés Rodas Herrera</t>
  </si>
  <si>
    <t>diego_rodas@javeriana.edu.co</t>
  </si>
  <si>
    <t>318/593-7632</t>
  </si>
  <si>
    <t>Laura Valentina Nieto Rojas</t>
  </si>
  <si>
    <t>laura_nieto@javeriana.edu.co</t>
  </si>
  <si>
    <t>322/262-8972</t>
  </si>
  <si>
    <t>MUÑOZ SANABRIA,NATHALY ALEJANDRA</t>
  </si>
  <si>
    <t>munoznathaly@javeriana.edu.co</t>
  </si>
  <si>
    <t>315/927-3310</t>
  </si>
  <si>
    <t>RAMIREZ BRIÑEZ,JUAN CAMILO</t>
  </si>
  <si>
    <t>juan.ramirezb@javeriana.edu.co</t>
  </si>
  <si>
    <t>310/794-3650</t>
  </si>
  <si>
    <t>VICKY MAGNOLIA JIMENEZ RODRIGUEZ</t>
  </si>
  <si>
    <t>vickyjimenez@javeriana.edu.co</t>
  </si>
  <si>
    <t>314/846-8678</t>
  </si>
  <si>
    <t>Stefano Andres Mendes Gaschteff</t>
  </si>
  <si>
    <t>smendes@javeriana.edu.co</t>
  </si>
  <si>
    <t>317/737-8068</t>
  </si>
  <si>
    <t>Alonso David Gaitan</t>
  </si>
  <si>
    <t>gaitan-alonso@javeriana.edu.co</t>
  </si>
  <si>
    <t>316/239-4418</t>
  </si>
  <si>
    <t>Hector Trujillo</t>
  </si>
  <si>
    <t>hectortrujillo@javeriana.edu.co</t>
  </si>
  <si>
    <t>321/407-8286</t>
  </si>
  <si>
    <t>Juan Serna Cardona</t>
  </si>
  <si>
    <t>jc_serna@javeriana.edu.co</t>
  </si>
  <si>
    <t>316/249-8843</t>
  </si>
  <si>
    <t>Juan Daniel Cuéllar Pineros</t>
  </si>
  <si>
    <t>juancuellar@javeriana.edu.co</t>
  </si>
  <si>
    <t>320/760-1353</t>
  </si>
  <si>
    <t>Jorge Alberto Suarez Buitrago</t>
  </si>
  <si>
    <t>suarezjorge@javeriana.edu.co</t>
  </si>
  <si>
    <t>314/432-4793</t>
  </si>
  <si>
    <t>Luis Fernando Arevalo Abello</t>
  </si>
  <si>
    <t>luis-arevalo@javeriana.edu.co</t>
  </si>
  <si>
    <t>321/560-2659</t>
  </si>
  <si>
    <t>Juan Felipe Rojas Arce</t>
  </si>
  <si>
    <t>jp-rojas@javeriana.edu.co</t>
  </si>
  <si>
    <t>221-1564</t>
  </si>
  <si>
    <t>Valentina Vidales</t>
  </si>
  <si>
    <t>valentinavidales@javeriana.edu.co</t>
  </si>
  <si>
    <t>635-4808</t>
  </si>
  <si>
    <t>Silvia Osorio Vargas</t>
  </si>
  <si>
    <t>s_osorio@javeriana.edu.co</t>
  </si>
  <si>
    <t>312/369-9147</t>
  </si>
  <si>
    <t>Diana Fernanda Maje</t>
  </si>
  <si>
    <t>dianamaje@javeriana.edu.co</t>
  </si>
  <si>
    <t>313/415-8109</t>
  </si>
  <si>
    <t>Luisa Fernanda Rugeles</t>
  </si>
  <si>
    <t>lrugeles@javeriana.edu.co</t>
  </si>
  <si>
    <t>315/616-5339</t>
  </si>
  <si>
    <t>Julián David Obando</t>
  </si>
  <si>
    <t>obandojulian@javeriana.edu.co</t>
  </si>
  <si>
    <t>320/509-1807</t>
  </si>
  <si>
    <t>Daniel Felipe Gordillo</t>
  </si>
  <si>
    <t>danielgordillo@javeriana.edu.co</t>
  </si>
  <si>
    <t>313/495-3653</t>
  </si>
  <si>
    <t xml:space="preserve">Luisa Fernanda Rojas </t>
  </si>
  <si>
    <t>luisa_rojas@javeriana.edu.co</t>
  </si>
  <si>
    <t>305/791-1959</t>
  </si>
  <si>
    <t>Grupo con solo dos estudiantes</t>
  </si>
  <si>
    <t>William Camilo Pérez</t>
  </si>
  <si>
    <t>perez.william@javeriana.edu.co</t>
  </si>
  <si>
    <t>351/777-9660</t>
  </si>
  <si>
    <t>Michael Leandro Luna Riscanevo</t>
  </si>
  <si>
    <t>michael_luna@javeriana.edu.co</t>
  </si>
  <si>
    <t>300/438-1593</t>
  </si>
  <si>
    <t>Héctor Abel Fonseca</t>
  </si>
  <si>
    <t>hectorfonseca@javeriana.edu.co</t>
  </si>
  <si>
    <t>311/257-5670</t>
  </si>
  <si>
    <t>Jose Fernando Ropero Carreño</t>
  </si>
  <si>
    <t>ropero-j@javeriana.edu.co</t>
  </si>
  <si>
    <t>310/288-9120</t>
  </si>
  <si>
    <t>Luis Fernando Mosquera</t>
  </si>
  <si>
    <t>luismosquera@javeriana.edu.co</t>
  </si>
  <si>
    <t>310/483-9700</t>
  </si>
  <si>
    <t>Nicolas illitch Martinez</t>
  </si>
  <si>
    <t>ma-nicolas@javeriana.edu.co</t>
  </si>
  <si>
    <t>664-4018</t>
  </si>
  <si>
    <t>Juan Diego Amaya Sáenz</t>
  </si>
  <si>
    <t>juan_amaya@javeriana.edu.co</t>
  </si>
  <si>
    <t>893-1968</t>
  </si>
  <si>
    <t>Daniela Bautista Collante</t>
  </si>
  <si>
    <t>bautistadaniela@javeriana.edu.co</t>
  </si>
  <si>
    <t>310/203-9979</t>
  </si>
  <si>
    <t>Valentina Romero Gonzalez</t>
  </si>
  <si>
    <t>romerovalentina@javeriana.edu.co</t>
  </si>
  <si>
    <t>321/370-2530</t>
  </si>
  <si>
    <t>Maria Camila Vargas Cabas</t>
  </si>
  <si>
    <t>vargasma@javeriana.edu.co</t>
  </si>
  <si>
    <t>676-9136</t>
  </si>
  <si>
    <t>Nathalia del Pilar Díaz</t>
  </si>
  <si>
    <t>diaz.nathalia@javeriana.edu.co</t>
  </si>
  <si>
    <t>311/526-3470</t>
  </si>
  <si>
    <t>Carlos Eduardo Castillo</t>
  </si>
  <si>
    <t>carlos_castillo@javeriana.edu.co</t>
  </si>
  <si>
    <t>318/400-3260</t>
  </si>
  <si>
    <t>Ana Alejandra Navia</t>
  </si>
  <si>
    <t>navia-aa@javeriana.edu.co</t>
  </si>
  <si>
    <t>318/390-8724</t>
  </si>
  <si>
    <t xml:space="preserve">Marlon Estiven Bello </t>
  </si>
  <si>
    <t>marlon.bello@javeriana.edu.co</t>
  </si>
  <si>
    <t>316/603-9724</t>
  </si>
  <si>
    <t>Sebastian Acosta</t>
  </si>
  <si>
    <t>sebastian.acosta@javeriana.edu.co</t>
  </si>
  <si>
    <t>322/946-7839</t>
  </si>
  <si>
    <t>Nicolas Rene Bernal Roa</t>
  </si>
  <si>
    <t>bernal-nicolas@javeriana.edu.co</t>
  </si>
  <si>
    <t>312/439-4525</t>
  </si>
  <si>
    <t>Jaime Andres Jimenez Ordoñez</t>
  </si>
  <si>
    <t>jaime-jimenez@javeriana.edu.co</t>
  </si>
  <si>
    <t>873-3268</t>
  </si>
  <si>
    <t>Camilo Andres Garcia Cruz</t>
  </si>
  <si>
    <t>garcia_camilo@javeriana.edu.co</t>
  </si>
  <si>
    <t>316/465-3588</t>
  </si>
  <si>
    <t>Pedro Juan Villegas</t>
  </si>
  <si>
    <t>villegaspedro@javeriana.edu.co</t>
  </si>
  <si>
    <t>314/843-9901</t>
  </si>
  <si>
    <t>Jose Alejandro Lozano</t>
  </si>
  <si>
    <t>lozanojose@javeriana.edu.co</t>
  </si>
  <si>
    <t>301/760-1995</t>
  </si>
  <si>
    <t>Juan Jose Rivas</t>
  </si>
  <si>
    <t>juan_rivas@javeriana.edu.co</t>
  </si>
  <si>
    <t>316/620-6082</t>
  </si>
  <si>
    <t>Camila Castro</t>
  </si>
  <si>
    <t>camila_castro@javeriana.edu.co</t>
  </si>
  <si>
    <t>310/242-3533</t>
  </si>
  <si>
    <t>Sergio Rodriguez</t>
  </si>
  <si>
    <t>rodriguezs.e@javeriana.edu.co</t>
  </si>
  <si>
    <t>321/405-7479</t>
  </si>
  <si>
    <t>Miguel Ricardo Romero</t>
  </si>
  <si>
    <t>romeromr@javeriana.edu.co</t>
  </si>
  <si>
    <t>310/209-1908</t>
  </si>
  <si>
    <t>Tao Tafur Flores</t>
  </si>
  <si>
    <t>tafur.tao@javeriana.edu.co</t>
  </si>
  <si>
    <t>311/862-8634</t>
  </si>
  <si>
    <t>Daniela Tovar Coy</t>
  </si>
  <si>
    <t>tovardaniela@javeriana.edu.co</t>
  </si>
  <si>
    <t>316/358-0950</t>
  </si>
  <si>
    <t>Nicolas Rodriguez Ramírez</t>
  </si>
  <si>
    <t>andrey_rodriguez@javeriana.edu.co</t>
  </si>
  <si>
    <t>310/220-8249</t>
  </si>
  <si>
    <t>BATISTA HERNANDEZ,JUAN PABLO</t>
  </si>
  <si>
    <t>juanbatista@javeriana.edu.co</t>
  </si>
  <si>
    <t>322/405-1616</t>
  </si>
  <si>
    <t>COLLANTE TERAN,JUAN DAVID</t>
  </si>
  <si>
    <t>j_collante@javeriana.edu.co</t>
  </si>
  <si>
    <t>316/588-4917</t>
  </si>
  <si>
    <t>ESQUIVEL ARENALES,ANDRES FELIPE</t>
  </si>
  <si>
    <t>andresesquivel@javeriana.edu.co</t>
  </si>
  <si>
    <t>319/305-0901</t>
  </si>
  <si>
    <t>GOMEZ BAUTISTA,ANDRES DAVID</t>
  </si>
  <si>
    <t>gomezan@javeriana.edu.co</t>
  </si>
  <si>
    <t>300/876-6301</t>
  </si>
  <si>
    <t>MENDEZ VARON,ANDRES FELIPE</t>
  </si>
  <si>
    <t>afmendez@javeriana.edu.co</t>
  </si>
  <si>
    <t>301/595-7508</t>
  </si>
  <si>
    <t>MESA CANTOR,CHRISTIAN JAVIER</t>
  </si>
  <si>
    <t>mesachristian@javeriana.edu.co</t>
  </si>
  <si>
    <t>322/369-2341</t>
  </si>
  <si>
    <t>NARANJO IMBACHI,DANIEL</t>
  </si>
  <si>
    <t>d-naranjo@javeriana.edu.co</t>
  </si>
  <si>
    <t>311/474-9779</t>
  </si>
  <si>
    <t>NIETO QUINTERO,DANIEL</t>
  </si>
  <si>
    <t>nieto.daniel@javeriana.edu.co</t>
  </si>
  <si>
    <t>317/502-2473</t>
  </si>
  <si>
    <t>PEDRAZA LEON,BRAYAN ALEJANDRO</t>
  </si>
  <si>
    <t>brayan_pedraza@javeriana.edu.co</t>
  </si>
  <si>
    <t>312/313-1788</t>
  </si>
  <si>
    <t>REDONDO HURTADO,CARLOS ARTURO</t>
  </si>
  <si>
    <t>carlos.redondo@javeriana.edu.co</t>
  </si>
  <si>
    <t>313/492-4594</t>
  </si>
  <si>
    <t>RODRIGUEZ VILLATE,NICOLAS ENRIQUE</t>
  </si>
  <si>
    <t>ni-rodriguez@javeriana.edu.co</t>
  </si>
  <si>
    <t>312/352-5009</t>
  </si>
  <si>
    <t>TOVAR QUIROGA,JAVIER ALEXANDER</t>
  </si>
  <si>
    <t>tovarqjavier@javeriana.edu.co</t>
  </si>
  <si>
    <t>322/902-7981</t>
  </si>
  <si>
    <t>DEVIA BASTOS,JUAN CAMILO</t>
  </si>
  <si>
    <t>juan_devia@javeriana.edu.co</t>
  </si>
  <si>
    <t>431-6013</t>
  </si>
  <si>
    <t>DE LA CRUZ GUTIERREZ,SEBASTIAN</t>
  </si>
  <si>
    <t>delacruzsebastian@javeriana.edu.co</t>
  </si>
  <si>
    <t>301/204-5407</t>
  </si>
  <si>
    <t>Daniel Jose Barandica Fonseca</t>
  </si>
  <si>
    <t>dabarandica@javeriana.edu.co</t>
  </si>
  <si>
    <t>301/573-1013</t>
  </si>
  <si>
    <t>William David Blanco Lizarazo</t>
  </si>
  <si>
    <t>wiblanco@javeriana.edu.co</t>
  </si>
  <si>
    <t>304/683-5950</t>
  </si>
  <si>
    <t>Carolina Maria Burgos Anillo</t>
  </si>
  <si>
    <t>carolinaburgos@javeriana.edu.co</t>
  </si>
  <si>
    <t>316/424-9407</t>
  </si>
  <si>
    <t>Juan David Granados Pacheco</t>
  </si>
  <si>
    <t>granadosjdavid@javeriana.edu.co</t>
  </si>
  <si>
    <t>312/479-9177</t>
  </si>
  <si>
    <t>Nicolás Polo Horta</t>
  </si>
  <si>
    <t>nicolas_polo@javeriana.edu.co</t>
  </si>
  <si>
    <t>314/347-7255</t>
  </si>
  <si>
    <t>Federico Sierra Gaitan</t>
  </si>
  <si>
    <t>sierrafederico@javeriana.edu.co</t>
  </si>
  <si>
    <t>310/877-4408</t>
  </si>
  <si>
    <t>Francisc Javier Valbuena Ortega</t>
  </si>
  <si>
    <t>valbuenafrancisco@javeriana.edu.co</t>
  </si>
  <si>
    <t>304/633-2627</t>
  </si>
  <si>
    <t>AGUIRRE PERDOMO,DANIEL ESTEBAN</t>
  </si>
  <si>
    <t>daniel.aguirre@javeriana.edu.co</t>
  </si>
  <si>
    <t>038/267-0397</t>
  </si>
  <si>
    <t>BADILLO VARGAS,ERICK STEVEN</t>
  </si>
  <si>
    <t>e-badillo@javeriana.edu.co</t>
  </si>
  <si>
    <t>300/553-8410</t>
  </si>
  <si>
    <t>CADENA CHAVARRO,CARLOS DANIEL</t>
  </si>
  <si>
    <t>ca_cadena@javeriana.edu.co</t>
  </si>
  <si>
    <t>313/789-9662</t>
  </si>
  <si>
    <t>CHAPARRO MIRANDA,MARIA DEL PILAR</t>
  </si>
  <si>
    <t>chaparro_m@javeriana.edu.co</t>
  </si>
  <si>
    <t>321/220-7620</t>
  </si>
  <si>
    <t>GAONA ORDOÑEZ,NICOLAS EDUARDO</t>
  </si>
  <si>
    <t>gaona.nicolas@javeriana.edu.co</t>
  </si>
  <si>
    <t>320/421-8186</t>
  </si>
  <si>
    <t>MORERA AGUDELO,JUAN JOSE</t>
  </si>
  <si>
    <t>j.morera@javeriana.edu.co</t>
  </si>
  <si>
    <t>315/425-3654</t>
  </si>
  <si>
    <t>RINCON BARRERA,BRAYAN ALEXANDER</t>
  </si>
  <si>
    <t>brayan.rincon@javeriana.edu.co</t>
  </si>
  <si>
    <t>321/245-1344</t>
  </si>
  <si>
    <t>SANCHEZ MORENO,JULIAN ANDRES</t>
  </si>
  <si>
    <t>sanchez-ja@javeriana.edu.co</t>
  </si>
  <si>
    <t>+39 3519878500</t>
  </si>
  <si>
    <t>URRUTIA SANCHEZ,JUAN PABLO</t>
  </si>
  <si>
    <t>j-urrutia@javeriana.edu.co</t>
  </si>
  <si>
    <t>301/431-4614</t>
  </si>
  <si>
    <t>FORERO PULIDO,JUAN CARLOS</t>
  </si>
  <si>
    <t>ju.forero@javeriana.edu.co</t>
  </si>
  <si>
    <t>318/221-7109</t>
  </si>
  <si>
    <t>GUEVARA GUEVARA,PAULA NATALIA</t>
  </si>
  <si>
    <t>guevara.pnatalia@javeriana.edu.co</t>
  </si>
  <si>
    <t>774-1186</t>
  </si>
  <si>
    <t>LLANO MIRAVAL,JUAN DIEGO</t>
  </si>
  <si>
    <t>llanojuan@javeriana.edu.co</t>
  </si>
  <si>
    <t>322/311-6687</t>
  </si>
  <si>
    <t>MUÑOZ DIAZ,PEDRO ALEJANDRO</t>
  </si>
  <si>
    <t>munoz_pedro@javeriana.edu.co</t>
  </si>
  <si>
    <t>313/405-3428</t>
  </si>
  <si>
    <t>QUIÑONEZ ZAIA,JUAN ANDRES</t>
  </si>
  <si>
    <t>quinonezz-juan@javeriana.edu.co</t>
  </si>
  <si>
    <t>314/382-1602</t>
  </si>
  <si>
    <t>RINCON SANCHEZ,JUAN GUILLERMO</t>
  </si>
  <si>
    <t>rinconjuan@javeriana.edu.co</t>
  </si>
  <si>
    <t>313/345-2318</t>
  </si>
  <si>
    <t>TUIRAN HIGUERA,CARLOS ANDRES</t>
  </si>
  <si>
    <t>carlostuiran@javeriana.edu.co</t>
  </si>
  <si>
    <t>883-7744</t>
  </si>
  <si>
    <t>DIAZ DE LUQUE,CARLOS HUMBERTO</t>
  </si>
  <si>
    <t>diazcarlos@javeriana.edu.co</t>
  </si>
  <si>
    <t>313/729-9347</t>
  </si>
  <si>
    <t>GORDILLO ALVAREZ,GABRIEL ALEJANDRO</t>
  </si>
  <si>
    <t>gordillogabriel@javeriana.edu.co</t>
  </si>
  <si>
    <t>301/646-3892</t>
  </si>
  <si>
    <t>VENEGAS MANCERA,SERGIO</t>
  </si>
  <si>
    <t>sergiovenegas@javeriana.edu.co</t>
  </si>
  <si>
    <t>314/201-2543</t>
  </si>
  <si>
    <t>WAGO BARRERA,DANIEL MOTONARI</t>
  </si>
  <si>
    <t>daniel-wago@javeriana.edu.co</t>
  </si>
  <si>
    <t>320/288-7820</t>
  </si>
  <si>
    <t>CAICEDO PALACIOS,EDWIN ALEJANDRO</t>
  </si>
  <si>
    <t>edwin.caicedo@javeriana.edu.co</t>
  </si>
  <si>
    <t>312/400-6723</t>
  </si>
  <si>
    <t>CONTRERAS AMORTEGUI,LAURA VALENTINA</t>
  </si>
  <si>
    <t>laura_amortegui@javeriana.edu.co</t>
  </si>
  <si>
    <t>310/881-2500</t>
  </si>
  <si>
    <t>PORTELA CORTES,JAIRO ANDRES</t>
  </si>
  <si>
    <t>jairo.portela@javeriana.edu.co</t>
  </si>
  <si>
    <t>304/388-5945</t>
  </si>
  <si>
    <t>PRIETO GALINDO,DANIEL ESTEBAN</t>
  </si>
  <si>
    <t>danielprieto@javeriana.edu.co</t>
  </si>
  <si>
    <t>316/223-0621</t>
  </si>
  <si>
    <t>BARRETO JIMENEZ,ANDRES FELIPE</t>
  </si>
  <si>
    <t>afelipebarretoj@javeriana.edu.co</t>
  </si>
  <si>
    <t>322/235-9139</t>
  </si>
  <si>
    <t>BARRETO JIMENEZ,JUAN SEBASTIAN</t>
  </si>
  <si>
    <t>juan_barreto@javeriana.edu.co</t>
  </si>
  <si>
    <t>314/313-6071</t>
  </si>
  <si>
    <t>DIAZ PADILLA,DIEGO FERNANDO</t>
  </si>
  <si>
    <t>di-diego@javeriana.edu.co</t>
  </si>
  <si>
    <t>311/547-0459</t>
  </si>
  <si>
    <t>SANGUINO PEÑA,JUAN HARRINSON JULIO</t>
  </si>
  <si>
    <t>juansanguino@javeriana.edu.co</t>
  </si>
  <si>
    <t>313/551-0985</t>
  </si>
  <si>
    <t>ALBARRACIN VERA,GABRIELA</t>
  </si>
  <si>
    <t>gabrielaalbarracin@javeriana.edu.co</t>
  </si>
  <si>
    <t>320/424-3835</t>
  </si>
  <si>
    <t>OLAVE BERMEO,NICOLAS</t>
  </si>
  <si>
    <t>nicolas_olave@javeriana.edu.co</t>
  </si>
  <si>
    <t>305/266-0764</t>
  </si>
  <si>
    <t>GONZALEZ RUEDA,MARIA PAULA</t>
  </si>
  <si>
    <t>maria.gonzalezr@javeriana.edu.co</t>
  </si>
  <si>
    <t>312/326-9316</t>
  </si>
  <si>
    <t>ROJAS BELTRAN,DAVID ESTEBAN</t>
  </si>
  <si>
    <t>rojasdavid@javeriana.edu.co</t>
  </si>
  <si>
    <t>312/528-2650</t>
  </si>
  <si>
    <t>PEREZ CHACON,ESTEFANY YULIANY</t>
  </si>
  <si>
    <t>pe.estefany@javeriana.edu.co</t>
  </si>
  <si>
    <t>301/262-2178</t>
  </si>
  <si>
    <t>RODRIGUEZ BAYONA,CAMILA ANDREA</t>
  </si>
  <si>
    <t>rodriguezbca@javeriana.edu.co</t>
  </si>
  <si>
    <t>318/259-8465</t>
  </si>
  <si>
    <t>ROMERO AREVALO,ALEJANDRA</t>
  </si>
  <si>
    <t>romeroa_a@javeriana.edu.co</t>
  </si>
  <si>
    <t>300/484-5740</t>
  </si>
  <si>
    <t>WASSAF BAJAIRE,MATIAS</t>
  </si>
  <si>
    <t>matias-wassaf@javeriana.edu.co</t>
  </si>
  <si>
    <t>301/448-6703</t>
  </si>
  <si>
    <t>REY VILLAMIZAR,ANDRES BERNARDO</t>
  </si>
  <si>
    <t>andresrey@javeriana.edu.co</t>
  </si>
  <si>
    <t>317/369-8786</t>
  </si>
  <si>
    <t>CORREA CORREA,DANIEL ALEJANDRO</t>
  </si>
  <si>
    <t>correa-daniel@javeriana.edu.co</t>
  </si>
  <si>
    <t>300/555-1834</t>
  </si>
  <si>
    <t>MOSCOSO GOMEZ,JUAN PABLO</t>
  </si>
  <si>
    <t>j.moscoso@javeriana.edu.co</t>
  </si>
  <si>
    <t>887-4534</t>
  </si>
  <si>
    <t>HENAO BARRIOS,JUAN MANUEL</t>
  </si>
  <si>
    <t>j-henao@javeriana.edu.co</t>
  </si>
  <si>
    <t>302/303-0821</t>
  </si>
  <si>
    <t>MENDEZ HERNANDEZ,GUSTAVO ANDRES</t>
  </si>
  <si>
    <t>gustavomendez@javeriana.edu.co</t>
  </si>
  <si>
    <t>+584126298301</t>
  </si>
  <si>
    <t>LA ROTTA MOSQUERA,ISABELLA</t>
  </si>
  <si>
    <t>isabella.larotta@javeriana.edu.co</t>
  </si>
  <si>
    <t>315/562-4416</t>
  </si>
  <si>
    <t>PARRA NAVARRETE,SANDRA CATALINA</t>
  </si>
  <si>
    <t>sc.parran@javeriana.edu.co</t>
  </si>
  <si>
    <t>312/517-3792</t>
  </si>
  <si>
    <t>TAVERA BARAHONA,DANIELA CAROLINA</t>
  </si>
  <si>
    <t>taverabdanielac@javeriana.edu.co</t>
  </si>
  <si>
    <t>316/638-9713</t>
  </si>
  <si>
    <t>HERRERA FRANCIS,JUAN JOSE</t>
  </si>
  <si>
    <t>juherrera@javeriana.edu.co</t>
  </si>
  <si>
    <t>300/529-9549</t>
  </si>
  <si>
    <t>DAVILA RESTREPO,JUAN MANUEL</t>
  </si>
  <si>
    <t>juandavila@javeriana.edu.co</t>
  </si>
  <si>
    <t>695-1129</t>
  </si>
  <si>
    <t>GOMEZ ARCHBOLD,JUAN FELIPE</t>
  </si>
  <si>
    <t>jf_gomeza@javeriana.edu.co</t>
  </si>
  <si>
    <t>312/827-3551</t>
  </si>
  <si>
    <t>LAVERDE ROLDAN,ANDRES FELIPE</t>
  </si>
  <si>
    <t>andres_laverde@javeriana.edu.co</t>
  </si>
  <si>
    <t>318/511-3207</t>
  </si>
  <si>
    <t>RINCON PULIDO,DAVID FRANCISCO</t>
  </si>
  <si>
    <t>rinconp_david@javeriana.edu.co</t>
  </si>
  <si>
    <t>304/440-4174</t>
  </si>
  <si>
    <t>TAMARA TAFUR,RAUL ANTONIO</t>
  </si>
  <si>
    <t>raultamara@javeriana.edu.co</t>
  </si>
  <si>
    <t>311/680-0119</t>
  </si>
  <si>
    <t>BAUZ QUINTERO,KAREN ALEJANDRA</t>
  </si>
  <si>
    <t>kbauz@javeriana.edu.co</t>
  </si>
  <si>
    <t>300/607-7863</t>
  </si>
  <si>
    <t>RUIZ CARVAJAL,JULIANA NATALIA</t>
  </si>
  <si>
    <t>ruiz.juliana@javeriana.edu.co</t>
  </si>
  <si>
    <t>317/294-3408</t>
  </si>
  <si>
    <t>VALLEJO MONTOYA,DAVID SANTIAGO</t>
  </si>
  <si>
    <t>vallejodavid@javeriana.edu.co</t>
  </si>
  <si>
    <t>321/746-1941</t>
  </si>
  <si>
    <t>NARANJO CERON,JUAN SEBASTIAN</t>
  </si>
  <si>
    <t>jsnaranjo@javeriana.edu.co</t>
  </si>
  <si>
    <t>320/478-2985</t>
  </si>
  <si>
    <t>NINA AGUILAR,JUAN ESTEBAN</t>
  </si>
  <si>
    <t>ninaaj@javeriana.edu.co</t>
  </si>
  <si>
    <t>318/624-0703</t>
  </si>
  <si>
    <t>ROJAS SANTIAGO,JOHAN ESTEBAN</t>
  </si>
  <si>
    <t>ro-johan@javeriana.edu.co</t>
  </si>
  <si>
    <t>301/358-2654</t>
  </si>
  <si>
    <t>SANCHEZ IBARRA,DANIELA ALEJANDRA</t>
  </si>
  <si>
    <t>sa_daniela@javeriana.edu.co</t>
  </si>
  <si>
    <t>635-3008</t>
  </si>
  <si>
    <t>CURE SALAS,MARIA ALEJANDRA</t>
  </si>
  <si>
    <t>curem@javeriana.edu.co</t>
  </si>
  <si>
    <t>300-3693</t>
  </si>
  <si>
    <t>SUAREZ DAZA,DANIEL EDUARDO</t>
  </si>
  <si>
    <t>danielsuarez@javeriana.edu.co</t>
  </si>
  <si>
    <t>310/318-3014</t>
  </si>
  <si>
    <t>CRISTANCHO ABREO,JUAN CAMILO</t>
  </si>
  <si>
    <t>juan-cristancho@javeriana.edu.co</t>
  </si>
  <si>
    <t>861-6366</t>
  </si>
  <si>
    <t>CASTILLO AMAYA,JESSICA LORENA</t>
  </si>
  <si>
    <t>jessica.castillo@javeriana.edu.co</t>
  </si>
  <si>
    <t>300/675-8803</t>
  </si>
  <si>
    <t>AHUMADA AREVALO,ANDRES FELIPE</t>
  </si>
  <si>
    <t>andresahumada@javeriana.edu.co</t>
  </si>
  <si>
    <t>323/206-7189</t>
  </si>
  <si>
    <t>BELTRAN BELTRAN,YENNY MARCELA</t>
  </si>
  <si>
    <t>yenny.beltran@javeriana.edu.co</t>
  </si>
  <si>
    <t>310/584-4965</t>
  </si>
  <si>
    <t>FERNANDEZ HERNANDEZ,JHON HADER</t>
  </si>
  <si>
    <t>jhon_fernandez@javeriana.edu.co</t>
  </si>
  <si>
    <t>350/510-9048</t>
  </si>
  <si>
    <t>LOGREIRA JIMENEZ,ANGELA MARIA</t>
  </si>
  <si>
    <t>angelalogreira@javeriana.edu.co</t>
  </si>
  <si>
    <t>300/205-0962</t>
  </si>
  <si>
    <t>MARIÑO MORALES,SEBASTIAN CAMILO</t>
  </si>
  <si>
    <t>marino_sebastian@javeriana.edu.co</t>
  </si>
  <si>
    <t>323/305-4939</t>
  </si>
  <si>
    <t>MORANTES SALGUERO,DANIEL GUILLERMO</t>
  </si>
  <si>
    <t>daniel.morantes@javeriana.edu.co</t>
  </si>
  <si>
    <t>319/483-6128</t>
  </si>
  <si>
    <t>PARRADO GUTIERREZ,JUAN SEBASTIAN</t>
  </si>
  <si>
    <t>parrado-j@javeriana.edu.co</t>
  </si>
  <si>
    <t>301/401-9329</t>
  </si>
  <si>
    <t>RAMIREZ VARGAS,DIEGO ALEJANDRO</t>
  </si>
  <si>
    <t>ramirez_diego@javeriana.edu.co</t>
  </si>
  <si>
    <t>318/329-6994</t>
  </si>
  <si>
    <t>VARGAS RODRIGUEZ,KAREN LIZETH</t>
  </si>
  <si>
    <t>karen_vargas@javeriana.edu.co</t>
  </si>
  <si>
    <t>311/849-3703</t>
  </si>
  <si>
    <t>VILLAMIL FAJARDO,JORDAN ALESSANDRO</t>
  </si>
  <si>
    <t>jordan_villamil@javeriana.edu.co</t>
  </si>
  <si>
    <t>811-4890</t>
  </si>
  <si>
    <t>ZULUAGA CALVACHE,JUAN PABLO</t>
  </si>
  <si>
    <t>zuluaga_jp@javeriana.edu.co</t>
  </si>
  <si>
    <t>319/479-0654</t>
  </si>
  <si>
    <t>2021-20</t>
  </si>
  <si>
    <t>ARREGOCES CASTRO,JOSE CARLOS</t>
  </si>
  <si>
    <t>josearregocesc@javeriana.edu.co</t>
  </si>
  <si>
    <t>466-3534</t>
  </si>
  <si>
    <t>CHEN HE,JANET</t>
  </si>
  <si>
    <t>j-chen@javeriana.edu.co</t>
  </si>
  <si>
    <t>875-8912</t>
  </si>
  <si>
    <t>NIÑO RODRIGUEZ,MARIA JOSE</t>
  </si>
  <si>
    <t>ma.nino@javeriana.edu.co</t>
  </si>
  <si>
    <t>318/395-5170</t>
  </si>
  <si>
    <t>2021-30</t>
  </si>
  <si>
    <t>MENDEZ ZAMUDIO,DAYANNA</t>
  </si>
  <si>
    <t>mendez.dayanna@javeriana.edu.co</t>
  </si>
  <si>
    <t>305/452-9902</t>
  </si>
  <si>
    <t>JUAN CARLOS SUAREZ MOTTA</t>
  </si>
  <si>
    <t>suarezjuan@javeriana.edu.co</t>
  </si>
  <si>
    <t>304/546-3423</t>
  </si>
  <si>
    <t>ANDRES JOSE MORA AREVALO</t>
  </si>
  <si>
    <t>mora_andres@javeriana.edu.co</t>
  </si>
  <si>
    <t>301/253-8666</t>
  </si>
  <si>
    <t>CALDERON BENAVIDES,JOSE DAVID</t>
  </si>
  <si>
    <t>j_calderon@javeriana.edu.co</t>
  </si>
  <si>
    <t>320/430-8038</t>
  </si>
  <si>
    <t>ESTEBAN CASAS GARZON</t>
  </si>
  <si>
    <t>e.casas@javeriana.edu.co</t>
  </si>
  <si>
    <t>313/280-4526</t>
  </si>
  <si>
    <t>IVAN RENE RAMIREZ CASTRO</t>
  </si>
  <si>
    <t>ivan_ramirez@javeriana.edu.co</t>
  </si>
  <si>
    <t>312/276-0392</t>
  </si>
  <si>
    <t>DAVID ANDRES DUARTE CLAVIJO</t>
  </si>
  <si>
    <t>david-duartec@javeriana.edu.co</t>
  </si>
  <si>
    <t>321/930-0574</t>
  </si>
  <si>
    <t>ESTEFANIA ARISTIZABAL JIMENEZ</t>
  </si>
  <si>
    <t>aristizabalj-e@javeriana.edu.co</t>
  </si>
  <si>
    <t>310/854-3534</t>
  </si>
  <si>
    <t>VALENTINA ROZO BERNAL</t>
  </si>
  <si>
    <t>v.rozo@javeriana.edu.co</t>
  </si>
  <si>
    <t>320/281-6937</t>
  </si>
  <si>
    <t>ANDRES MAURICIO GARCIA MUTIS</t>
  </si>
  <si>
    <t>ga_andres@javeriana.edu.co</t>
  </si>
  <si>
    <t>300/252-9946</t>
  </si>
  <si>
    <t>JUAN SEBASTIAN PULECIO ROMERO</t>
  </si>
  <si>
    <t>j-pulecio@javeriana.edu.co</t>
  </si>
  <si>
    <t>316/877-8856</t>
  </si>
  <si>
    <t>HAMON GARZON,JUAN FRANCISCO</t>
  </si>
  <si>
    <t>hamon_juan@javeriana.edu.co</t>
  </si>
  <si>
    <t>304/457-6728</t>
  </si>
  <si>
    <t>JUAN RUIZ BULLA</t>
  </si>
  <si>
    <t>ruizju@javeriana.edu.co</t>
  </si>
  <si>
    <t>319/367-1002</t>
  </si>
  <si>
    <t>ALEJANDRO CASTRO MARTINEZ</t>
  </si>
  <si>
    <t>alejandrocastro@javeriana.edu.co</t>
  </si>
  <si>
    <t>310/249-8720</t>
  </si>
  <si>
    <t>CRISTIAN JAVIER DA CAMARA SOUSA</t>
  </si>
  <si>
    <t>ABRAHAM IGNACIO AYALA ACUÑA</t>
  </si>
  <si>
    <t>ayala_abrahan@javeriana.edu.co</t>
  </si>
  <si>
    <t>310/314-8347</t>
  </si>
  <si>
    <t>GUERRERO LEON,LIDA KATHERINE</t>
  </si>
  <si>
    <t>lida.guerrero@javeriana.edu.co</t>
  </si>
  <si>
    <t>317/647-4579</t>
  </si>
  <si>
    <t>DUARTE LOPEZ,JUAN MANUEL</t>
  </si>
  <si>
    <t>duarte-juan@javeriana.edu.co</t>
  </si>
  <si>
    <t>316/301-2382</t>
  </si>
  <si>
    <t>DANIEL SANTIAGO BERMUDEZ RIVERA</t>
  </si>
  <si>
    <t>ds.bermudezr@javeriana.edu.co</t>
  </si>
  <si>
    <t>300/319-4500</t>
  </si>
  <si>
    <t>CAMILO ANDRES BUITRAGO LADINO</t>
  </si>
  <si>
    <t>bu.camilo@javeriana.edu.co</t>
  </si>
  <si>
    <t>304/595-5980</t>
  </si>
  <si>
    <t>CAMILO ANDRES SANDOVAL GUAYAMBUCO</t>
  </si>
  <si>
    <t>sandovalg.camilo@javeriana.edu.co</t>
  </si>
  <si>
    <t>322/817-3281</t>
  </si>
  <si>
    <t>KENNETH DAVID LEONEL TRIANA</t>
  </si>
  <si>
    <t>kdavidleonelt@javeriana.edu.co</t>
  </si>
  <si>
    <t>318/870-7862</t>
  </si>
  <si>
    <t>RIVERA FONSECA,THOMAS SANTIAGO</t>
  </si>
  <si>
    <t>thomasrivera@javeriana.edu.co</t>
  </si>
  <si>
    <t>311/840-5584</t>
  </si>
  <si>
    <t>TRUJILLO ALVAREZ,DIEGO FERNANDO</t>
  </si>
  <si>
    <t>diego_trujillo@javeriana.edu.co</t>
  </si>
  <si>
    <t>305/348-8060</t>
  </si>
  <si>
    <t>LUIS MANUEL PEÑARANDA RAMIREZ</t>
  </si>
  <si>
    <t>penaranda-lm@javeriana.edu.co</t>
  </si>
  <si>
    <t>302/371-2606</t>
  </si>
  <si>
    <t>NICOLAS BARRAGAN SANCHEZ</t>
  </si>
  <si>
    <t>nbarragans@javeriana.edu.co</t>
  </si>
  <si>
    <t>314/515-4501</t>
  </si>
  <si>
    <t>SERGIO ESTEBAN TRIANA BOBADILLA</t>
  </si>
  <si>
    <t>triana_se@javeriana.edu.co</t>
  </si>
  <si>
    <t>305/239-0609</t>
  </si>
  <si>
    <t>ESTEBAN ALEJANDRO VILLA BERRIO</t>
  </si>
  <si>
    <t>estebana-villa@javeriana.edu.co</t>
  </si>
  <si>
    <t>301/620-4264</t>
  </si>
  <si>
    <t>JULIAN RICARDO RIZO ORJUELA</t>
  </si>
  <si>
    <t>jr.rizo@javeriana.edu.co</t>
  </si>
  <si>
    <t>320/901-0852</t>
  </si>
  <si>
    <t>OSCAR DAVID FALLA PULIDO</t>
  </si>
  <si>
    <t>falla_o@javeriana.edu.co</t>
  </si>
  <si>
    <t>313/336-9666</t>
  </si>
  <si>
    <t>CAMACHO MONTEJO,GABRIELA MARIA</t>
  </si>
  <si>
    <t>gabrielamcamacho@javeriana.edu.co</t>
  </si>
  <si>
    <t>300/293-1505</t>
  </si>
  <si>
    <t>SERGIO ANDRES PEÑARANDA TARAZONA</t>
  </si>
  <si>
    <t>sergiopenaranda@javeriana.edu.co</t>
  </si>
  <si>
    <t>312/553-9328</t>
  </si>
  <si>
    <t>JOSE MARIO ARIAS ACEVEDO</t>
  </si>
  <si>
    <t>ariasjosem@javeriana.edu.co</t>
  </si>
  <si>
    <t>316/460-3224</t>
  </si>
  <si>
    <t>JULIAN CAMILO BUILES SERRANO</t>
  </si>
  <si>
    <t>builes-j@javeriana.edu.co</t>
  </si>
  <si>
    <t>315/616-7536</t>
  </si>
  <si>
    <t>OSCAR ANDRES PACHECO TURIZO</t>
  </si>
  <si>
    <t>oscar.pacheco@javeriana.edu.co</t>
  </si>
  <si>
    <t>317/481-9339</t>
  </si>
  <si>
    <t>JENIFER MEDINA YEPEZ</t>
  </si>
  <si>
    <t>jenifer.medina@javeriana.edu.co</t>
  </si>
  <si>
    <t>301/754-3683</t>
  </si>
  <si>
    <t>CAMARGO DIAZ,FABIO ALEJANDRO</t>
  </si>
  <si>
    <t>fabio.camargod@javeriana.edu.co</t>
  </si>
  <si>
    <t>320/495-4931</t>
  </si>
  <si>
    <t>RAMIREZ VASQUEZ,ANDRES FELIPE</t>
  </si>
  <si>
    <t>ra_andres@javeriana.edu.co</t>
  </si>
  <si>
    <t>315/927-5195</t>
  </si>
  <si>
    <t>JUAN DIEGO CAMPOS NEIRA</t>
  </si>
  <si>
    <t>juand.campos@javeriana.edu.co</t>
  </si>
  <si>
    <t>316/626-6019</t>
  </si>
  <si>
    <t>SIMON DAVILA SARAVIA</t>
  </si>
  <si>
    <t>simondavila@javeriana.edu.co</t>
  </si>
  <si>
    <t>301/288-4597</t>
  </si>
  <si>
    <t>NICOLAI BARRERA MARTINEZ</t>
  </si>
  <si>
    <t>barreram.n@javeriana.edu.co</t>
  </si>
  <si>
    <t>300/873-5048</t>
  </si>
  <si>
    <t>DANIEL RICARDO RAMIREZ MOLINA</t>
  </si>
  <si>
    <t>ramirezdr@javeriana.edu.co</t>
  </si>
  <si>
    <t>310/635-8522</t>
  </si>
  <si>
    <t>BRIAN DAVID HORTUA VIÑA</t>
  </si>
  <si>
    <t>brianhortua@javeriana.edu.co</t>
  </si>
  <si>
    <t>305/776-3019</t>
  </si>
  <si>
    <t>DANIEL ANDRES REYES MUÑOZ</t>
  </si>
  <si>
    <t>daniel_reyes@javeriana.edu.co</t>
  </si>
  <si>
    <t>318/770-6752</t>
  </si>
  <si>
    <t>ERNESTO CARDONA RAMIREZ</t>
  </si>
  <si>
    <t>ernesto.cardona@javeriana.edu.co</t>
  </si>
  <si>
    <t>301/500-1528</t>
  </si>
  <si>
    <t>SANTIAGO ROMERO PINEDA</t>
  </si>
  <si>
    <t>santiagoromero@javeriana.edu.co</t>
  </si>
  <si>
    <t>467-4020</t>
  </si>
  <si>
    <t>LUIS SANTIAGO JARAMILLO ESPINOSA</t>
  </si>
  <si>
    <t>l_jaramillo@javeriana.edu.co</t>
  </si>
  <si>
    <t>+573107797816</t>
  </si>
  <si>
    <t>TORRES MENESES,SANTIAGO</t>
  </si>
  <si>
    <t>sa-torres@javeriana.edu.co</t>
  </si>
  <si>
    <t>319/403-8920</t>
  </si>
  <si>
    <t>SAAVEDRA RIAÑO,DAVID SANTIAGO</t>
  </si>
  <si>
    <t>david_saavedrar@javeriana.edu.co</t>
  </si>
  <si>
    <t>313/867-5558</t>
  </si>
  <si>
    <t>CASTILLO CHIQUIZA,DAVID ALEJANDRO</t>
  </si>
  <si>
    <t>castillo_da@javeriana.edu.co</t>
  </si>
  <si>
    <t>312/894-7379</t>
  </si>
  <si>
    <t>ANA MARIA HERNANDEZ NOVOA</t>
  </si>
  <si>
    <t>hernandez_amaria@javeriana.edu.co</t>
  </si>
  <si>
    <t>320/916-3583</t>
  </si>
  <si>
    <t>JEAN PAUL PALACIOS PARDO</t>
  </si>
  <si>
    <t>jpaulpalacios@javeriana.edu.co</t>
  </si>
  <si>
    <t>301/443-4920</t>
  </si>
  <si>
    <t>Kevin Mauricio Ramirez Cubillos</t>
  </si>
  <si>
    <t>ramirezkevin@javeriana.edu.co</t>
  </si>
  <si>
    <t>305/791-4830</t>
  </si>
  <si>
    <t>Nicolas Poveda bustos</t>
  </si>
  <si>
    <t>nicolaspovedab@javeriana.edu.co</t>
  </si>
  <si>
    <t>314/385-0889</t>
  </si>
  <si>
    <t>BOHORQUEZ QUEVEDO,CATALINA</t>
  </si>
  <si>
    <t>catalina_bohorquez@javeriana.edu.co</t>
  </si>
  <si>
    <t>318/888-2159</t>
  </si>
  <si>
    <t>RODRIGUEZ MARTINEZ,NICOLE NATHALIA</t>
  </si>
  <si>
    <t>nicolen_rodriguez@javeriana.edu.co</t>
  </si>
  <si>
    <t>316/530-7353</t>
  </si>
  <si>
    <t>Lina Paola Castañeda Tovar</t>
  </si>
  <si>
    <t>castaneda_lp@javeriana.edu.co</t>
  </si>
  <si>
    <t>318/684-9304</t>
  </si>
  <si>
    <t>Luis Enrique Pérez Diaz</t>
  </si>
  <si>
    <t>luis_perez@javeriana.edu.co</t>
  </si>
  <si>
    <t>314/301-9455</t>
  </si>
  <si>
    <t>Maria Juliana Camacho Zuluaga</t>
  </si>
  <si>
    <t>mariaj.camachoz@javeriana.edu.co</t>
  </si>
  <si>
    <t>316/742-8392</t>
  </si>
  <si>
    <t>Jorge Andres Sanin Gomez</t>
  </si>
  <si>
    <t>jorge.sanin@javeriana.edu.co</t>
  </si>
  <si>
    <t>318/564-6725</t>
  </si>
  <si>
    <t>MARIA ANGELICA TOVAR BUITRAGO</t>
  </si>
  <si>
    <t>maria_tovar@javeriana.edu.co</t>
  </si>
  <si>
    <t>311/440-4729</t>
  </si>
  <si>
    <t>Marcela Moreno Naranjo</t>
  </si>
  <si>
    <t>marcelamoreno@javeriana.edu.co</t>
  </si>
  <si>
    <t>320/277-3639</t>
  </si>
  <si>
    <t>Gabriela Romero Castro</t>
  </si>
  <si>
    <t>romero_g@javeriana.edu.co</t>
  </si>
  <si>
    <t>322/892-1221</t>
  </si>
  <si>
    <t>GARCIA MORALES,SAIDITH</t>
  </si>
  <si>
    <t>saidithgarcia@javeriana.edu.co</t>
  </si>
  <si>
    <t>312/666-7978</t>
  </si>
  <si>
    <t>MOTTA RODRIGUEZ,YURANY ISABELLA</t>
  </si>
  <si>
    <t>yisabella_motta@javeriana.edu.co</t>
  </si>
  <si>
    <t>CLAVIJO PORTO,DANIEL ROBERTO</t>
  </si>
  <si>
    <t>daniel.clavijo@javeriana.edu.co</t>
  </si>
  <si>
    <t>313/894-2620</t>
  </si>
  <si>
    <t>DIAZ OCAMPO,YEIMI LILIANA</t>
  </si>
  <si>
    <t>yeimi.diaz@javeriana.edu.co</t>
  </si>
  <si>
    <t>300/433-3831</t>
  </si>
  <si>
    <t>VARELA TEJADA,JUAN DAVID</t>
  </si>
  <si>
    <t>varelatj@javeriana.edu.co</t>
  </si>
  <si>
    <t>310/693-3667</t>
  </si>
  <si>
    <t>Paola Andrea Moscoso Leon</t>
  </si>
  <si>
    <t>moscosop@javeriana.edu.co</t>
  </si>
  <si>
    <t>317/659-1520</t>
  </si>
  <si>
    <t>Daniel Humberto Torres Daza</t>
  </si>
  <si>
    <t>d.torresd@javeriana.edu.co</t>
  </si>
  <si>
    <t>324/281-9093</t>
  </si>
  <si>
    <t>Juan Pablo Sebastian Delgado Gaviria</t>
  </si>
  <si>
    <t>delgadojp@javeriana.edu.co</t>
  </si>
  <si>
    <t>759-6227</t>
  </si>
  <si>
    <t>Laura Sofia Diaz Blanco</t>
  </si>
  <si>
    <t>lsdiazb@javeriana.edu.co</t>
  </si>
  <si>
    <t>317/515-1813</t>
  </si>
  <si>
    <t>HERNANDEZ ANGARITA,MARIA FERNANDA</t>
  </si>
  <si>
    <t>hernandezmariaf@javeriana.edu.co</t>
  </si>
  <si>
    <t>343-0764</t>
  </si>
  <si>
    <t>LOPEZ TOLOSA,LIZETH MARLEY</t>
  </si>
  <si>
    <t>lopez.lizeth@javeriana.edu.co</t>
  </si>
  <si>
    <t>320/448-4459</t>
  </si>
  <si>
    <t>MARTIN MORALES,JUANA VALENTINA</t>
  </si>
  <si>
    <t>juanav_martin@javeriana.edu.co</t>
  </si>
  <si>
    <t>313/265-4736</t>
  </si>
  <si>
    <t>CARDENAS DOMINGUEZ,MAURICIO</t>
  </si>
  <si>
    <t>m_cardenas@javeriana.edu.co</t>
  </si>
  <si>
    <t>322/869-7141</t>
  </si>
  <si>
    <t>MORA DIAZ,ANA MARIA</t>
  </si>
  <si>
    <t>moradamaria@javeriana.edu.co</t>
  </si>
  <si>
    <t>305/735-6073</t>
  </si>
  <si>
    <t>LEAL CARDENAS,DANIELA</t>
  </si>
  <si>
    <t>daniela.leal@javeriana.edu.co</t>
  </si>
  <si>
    <t>313/268-1943</t>
  </si>
  <si>
    <t>SARMIENTO GIRALDO,MARIA CAMILA</t>
  </si>
  <si>
    <t>sarmiento_maria@javeriana.edu.co</t>
  </si>
  <si>
    <t>800-6110</t>
  </si>
  <si>
    <t>Santiago Cifuentes Romero</t>
  </si>
  <si>
    <t>santiagocifuentesr@javeriana.edu.co</t>
  </si>
  <si>
    <t>316/867-1538</t>
  </si>
  <si>
    <t>Mateo Galvis Lopez</t>
  </si>
  <si>
    <t>mateo-galvis@javeriana.edu.co</t>
  </si>
  <si>
    <t>316/872-9447</t>
  </si>
  <si>
    <t>Laura Valeria Skinner Hernandez</t>
  </si>
  <si>
    <t>lauraskinner@javeriana.edu.co</t>
  </si>
  <si>
    <t>694-4522</t>
  </si>
  <si>
    <t>Federico Valderrama Oviedo</t>
  </si>
  <si>
    <t>fvalderramao@javeriana.edu.co</t>
  </si>
  <si>
    <t>301/581-3575</t>
  </si>
  <si>
    <t>Laura Daniela Bohorquez Fuentes</t>
  </si>
  <si>
    <t>laura_bohorquez@javeriana.edu.co</t>
  </si>
  <si>
    <t>313/332-2751</t>
  </si>
  <si>
    <t>Angie Valentina Forero Neuta</t>
  </si>
  <si>
    <t>avalentina_forero@javeriana.edu.co</t>
  </si>
  <si>
    <t>313/851-2101</t>
  </si>
  <si>
    <t>Nicol Daniela Peña Bermudez</t>
  </si>
  <si>
    <t>nicol.pena@javeriana.edu.co</t>
  </si>
  <si>
    <t>300/727-2293</t>
  </si>
  <si>
    <t>Daniel Fernando Ramírez Manrique</t>
  </si>
  <si>
    <t>df.ramirezm@javeriana.edu.co</t>
  </si>
  <si>
    <t>311/259-3175</t>
  </si>
  <si>
    <t>María Catalina Castañeda Palencia</t>
  </si>
  <si>
    <t>mcatalina_castaneda@javeriana.edu.co</t>
  </si>
  <si>
    <t>316/226-5157</t>
  </si>
  <si>
    <t>Juanita Chaves Gonzalez</t>
  </si>
  <si>
    <t>juchaves@javeriana.edu.co</t>
  </si>
  <si>
    <t>318/443-0791</t>
  </si>
  <si>
    <t>María Afanador Jiménez</t>
  </si>
  <si>
    <t>afanadorj-maria@javeriana.edu.co</t>
  </si>
  <si>
    <t>315/376-7030</t>
  </si>
  <si>
    <t>Laura Carrizosa Luna</t>
  </si>
  <si>
    <t>carrizosa.laura@javeriana.edu.co</t>
  </si>
  <si>
    <t>315/813-9546</t>
  </si>
  <si>
    <t>María Alejandra Avellaneda Rojas</t>
  </si>
  <si>
    <t>maria.avellaneda@javeriana.edu.co</t>
  </si>
  <si>
    <t>310/274-1805</t>
  </si>
  <si>
    <t>Juan Pablo Duque Porras</t>
  </si>
  <si>
    <t>duque_juan@javeriana.edu.co</t>
  </si>
  <si>
    <t>310/329-8549</t>
  </si>
  <si>
    <t>Jose Sebastian Lizarralde Ramirez</t>
  </si>
  <si>
    <t>jose.lizarralde@javeriana.edu.co</t>
  </si>
  <si>
    <t>253-3559</t>
  </si>
  <si>
    <t>Juan David Neira Socha</t>
  </si>
  <si>
    <t>j_neira@javeriana.edu.co</t>
  </si>
  <si>
    <t>310/260-3655</t>
  </si>
  <si>
    <t>Felipe Villegas Urán</t>
  </si>
  <si>
    <t>f_villegas@javeriana.edu.co</t>
  </si>
  <si>
    <t>315/656-6666</t>
  </si>
  <si>
    <t>CEPEDA ROMERO,MARIA DEL ROSARIO</t>
  </si>
  <si>
    <t>cepedamaria@javeriana.edu.co</t>
  </si>
  <si>
    <t>312/396-5742</t>
  </si>
  <si>
    <t>CORREDOR ALMANZA,CESAR CAMILO</t>
  </si>
  <si>
    <t>cesar_corredor@javeriana.edu.co</t>
  </si>
  <si>
    <t>315/398-8512</t>
  </si>
  <si>
    <t>MANRIQUE RUBIO,GABRIELA</t>
  </si>
  <si>
    <t>gabrielamanrique@javeriana.edu.co</t>
  </si>
  <si>
    <t>312/308-8908</t>
  </si>
  <si>
    <t>VARGAS PRIETO,ANGIE NATHALIA</t>
  </si>
  <si>
    <t>vargas_angie@javeriana.edu.co</t>
  </si>
  <si>
    <t>322/942-6263</t>
  </si>
  <si>
    <t>CRUZ VARGAS,DANIELA</t>
  </si>
  <si>
    <t>crdaniela@javeriana.edu.co</t>
  </si>
  <si>
    <t>321/458-6242</t>
  </si>
  <si>
    <t>ESPITIA CHACON,LUISA FERNANDA</t>
  </si>
  <si>
    <t>es-luisa@javeriana.edu.co</t>
  </si>
  <si>
    <t>320/458-7591</t>
  </si>
  <si>
    <t>FERNANDEZ TRIANA,OSCAR MAURICIO</t>
  </si>
  <si>
    <t>oscar.fernandez@javeriana.edu.co</t>
  </si>
  <si>
    <t>CORREA MEJIA,MIGUEL ANGEL</t>
  </si>
  <si>
    <t>miguel-correa@javeriana.edu.co</t>
  </si>
  <si>
    <t>322/476-8763</t>
  </si>
  <si>
    <t>ORTIZ PERDOMO,LIZETH DANIELA</t>
  </si>
  <si>
    <t>lizethortiz@javeriana.edu.co</t>
  </si>
  <si>
    <t>314/200-7969</t>
  </si>
  <si>
    <t>RUIZ RODRIGUEZ,LAURA VALENTINA</t>
  </si>
  <si>
    <t>ruiz_laura@javeriana.edu.co</t>
  </si>
  <si>
    <t>300/638-8130</t>
  </si>
  <si>
    <t>GALINDO CRUZ,MARIA CAMILA</t>
  </si>
  <si>
    <t>ma.galindo@javeriana.edu.co</t>
  </si>
  <si>
    <t>315/246-3206</t>
  </si>
  <si>
    <t>LLERENA MURCIA,SEBASTIAN</t>
  </si>
  <si>
    <t>llerenam.s@javeriana.edu.co</t>
  </si>
  <si>
    <t>305/710-5163</t>
  </si>
  <si>
    <t>QUINTERO MARTINEZ,OSCAR STIVEN</t>
  </si>
  <si>
    <t>quintero.oscar@javeriana.edu.co</t>
  </si>
  <si>
    <t>317/645-9157</t>
  </si>
  <si>
    <t>ZULUAGA NAJAR,STEFANNY</t>
  </si>
  <si>
    <t>stefannyzuluaga@javeriana.edu.co</t>
  </si>
  <si>
    <t>621-8822</t>
  </si>
  <si>
    <t>MOLINA DURAN,VALENTINA</t>
  </si>
  <si>
    <t>valentina.molina@javeriana.edu.co</t>
  </si>
  <si>
    <t>314/385-4502</t>
  </si>
  <si>
    <t>VILLAMIL MANCIPE,NICOLAS STEVEN</t>
  </si>
  <si>
    <t>nicolas.villamil@javeriana.edu.co</t>
  </si>
  <si>
    <t>321/394-1025</t>
  </si>
  <si>
    <t>CAMACHO BRICEÑO,MARIA ALEJANDRA</t>
  </si>
  <si>
    <t>maria_camacho@javeriana.edu.co</t>
  </si>
  <si>
    <t>311/237-3979</t>
  </si>
  <si>
    <t>OCHOA CALDERON,CAROLINA</t>
  </si>
  <si>
    <t>carolina.ochoa@javeriana.edu.co</t>
  </si>
  <si>
    <t>310/250-6908</t>
  </si>
  <si>
    <t>ANGEL ORTIZ,AURA LUCIA</t>
  </si>
  <si>
    <t>angel_a@javeriana.edu.co</t>
  </si>
  <si>
    <t>724-3457</t>
  </si>
  <si>
    <t>GONZALEZ LIAN,ARTURO JOSE</t>
  </si>
  <si>
    <t>ajose.gonzalez@javeriana.edu.co</t>
  </si>
  <si>
    <t>320/521-5590</t>
  </si>
  <si>
    <t>NARCISO CALDERON,JOSE DAVID</t>
  </si>
  <si>
    <t>narciso.jose@javeriana.edu.co</t>
  </si>
  <si>
    <t>312/437-4377</t>
  </si>
  <si>
    <t>PICO REYES,ANDRES FELIPE</t>
  </si>
  <si>
    <t>andres.pico@javeriana.edu.co</t>
  </si>
  <si>
    <t>312/386-3494</t>
  </si>
  <si>
    <t>ROMERO MOLINA,ANDRES CAMILO</t>
  </si>
  <si>
    <t>an.romero@javeriana.edu.co</t>
  </si>
  <si>
    <t>301/532-9546</t>
  </si>
  <si>
    <t>PORTILLA BUITRAGO,DANIELA</t>
  </si>
  <si>
    <t>d-portilla@javeriana.edu.co</t>
  </si>
  <si>
    <t>321/842-4782</t>
  </si>
  <si>
    <t>ROBLES ROJAS,JUAN FELIPE</t>
  </si>
  <si>
    <t>juan_robles@javeriana.edu.co</t>
  </si>
  <si>
    <t>311/898-0641</t>
  </si>
  <si>
    <t>GIL GRIMALDOS,GUSTAVO ADOLFO</t>
  </si>
  <si>
    <t>gustavo.gil@javeriana.edu.co</t>
  </si>
  <si>
    <t>316/691-4307</t>
  </si>
  <si>
    <t>JAIME GUEVARA,MARIA PAULA</t>
  </si>
  <si>
    <t>maria_jaime@javeriana.edu.co</t>
  </si>
  <si>
    <t>320/399-4080</t>
  </si>
  <si>
    <t>GARCIA GAVIRIA,DANIEL FELIPE</t>
  </si>
  <si>
    <t>gadaniel@javeriana.edu.co</t>
  </si>
  <si>
    <t>310/217-3877</t>
  </si>
  <si>
    <t>RODRIGUEZ GARZON,NATALIA</t>
  </si>
  <si>
    <t>ro_natalia@javeriana.edu.co</t>
  </si>
  <si>
    <t>320/219-8633</t>
  </si>
  <si>
    <t>KEMPE QUIROGA,MARCEL FABIAN</t>
  </si>
  <si>
    <t>marcelkempe@javeriana.edu.co</t>
  </si>
  <si>
    <t>318/527-6081</t>
  </si>
  <si>
    <t>LUENGAS JARAMILLO,MARIA FERNANDA</t>
  </si>
  <si>
    <t>ma_luengas@javeriana.edu.co</t>
  </si>
  <si>
    <t>311/240-3188</t>
  </si>
  <si>
    <t>LOPEZ ESPITIA,NICOLAS</t>
  </si>
  <si>
    <t>lonicolas@javeriana.edu.co</t>
  </si>
  <si>
    <t>316/576-2728</t>
  </si>
  <si>
    <t>MOLINA RODRIGUEZ,LEONARDO ANDRES</t>
  </si>
  <si>
    <t>leonardo_molina@javeriana.edu.co</t>
  </si>
  <si>
    <t>318/321-0559</t>
  </si>
  <si>
    <t>QUINTERO HOYOS,NICOLAS</t>
  </si>
  <si>
    <t>nicolasquintero@javeriana.edu.co</t>
  </si>
  <si>
    <t>310/238-6364</t>
  </si>
  <si>
    <t>QUINTERO PIRIZ,VALENTINA</t>
  </si>
  <si>
    <t>quinteropvalentina@javeriana.edu.co</t>
  </si>
  <si>
    <t>301/714-1436</t>
  </si>
  <si>
    <t>Diego Fernando Garzón Gil</t>
  </si>
  <si>
    <t>garzon-dfernando@javeriana.edu.co</t>
  </si>
  <si>
    <t>312/472-5016</t>
  </si>
  <si>
    <t>Juan Sebastián Henriquez Defelipe</t>
  </si>
  <si>
    <t>juan.henriquez@javeriana.edu.co</t>
  </si>
  <si>
    <t>350/387-0137</t>
  </si>
  <si>
    <t>Daniel Eduardo Gómez Mora</t>
  </si>
  <si>
    <t>gomezd_a@javeriana.edu.co</t>
  </si>
  <si>
    <t>310/608-9117</t>
  </si>
  <si>
    <t>Sergio Stiven Ortiz Neira</t>
  </si>
  <si>
    <t>ortiz-sergio@javeriana.edu.co</t>
  </si>
  <si>
    <t>317/446-2018</t>
  </si>
  <si>
    <t>Martha Ghinneth Prieto Martínez</t>
  </si>
  <si>
    <t>martha_prieto@javeriana.edu.co</t>
  </si>
  <si>
    <t>305/881-7446</t>
  </si>
  <si>
    <t>Sergio Nicolas Carrasquilla Prieto</t>
  </si>
  <si>
    <t>sergio_carrasquilla@javeriana.edu.co</t>
  </si>
  <si>
    <t>301/661-4033</t>
  </si>
  <si>
    <t>Cristian David Castro Chavarro</t>
  </si>
  <si>
    <t>castro_cristian@javeriana.edu.co</t>
  </si>
  <si>
    <t>314/296-4459</t>
  </si>
  <si>
    <t>Luis Alejandro Forero Acero</t>
  </si>
  <si>
    <t>luis.foreroa@javeriana.edu.co</t>
  </si>
  <si>
    <t>318/707-1785</t>
  </si>
  <si>
    <t xml:space="preserve">Andres Felipe Leal Gonzalez </t>
  </si>
  <si>
    <t>lealga@javeriana.edu.co</t>
  </si>
  <si>
    <t>321/469-2119</t>
  </si>
  <si>
    <t>Juan David Sanchez Briceño</t>
  </si>
  <si>
    <t>juand.sanchez@javeriana.edu.co</t>
  </si>
  <si>
    <t>314/201-3487</t>
  </si>
  <si>
    <t xml:space="preserve">Jairo Esteban Rios Hernandez </t>
  </si>
  <si>
    <t>rios_jairo@javeriana.edu.co</t>
  </si>
  <si>
    <t>320/333-4189</t>
  </si>
  <si>
    <t>Ana Maria Olmos Garcia</t>
  </si>
  <si>
    <t>olmos.ana@javeriana.edu.co</t>
  </si>
  <si>
    <t>301/787-6294</t>
  </si>
  <si>
    <t xml:space="preserve">Diego Manosalva Ortiz </t>
  </si>
  <si>
    <t>d_manosalva@javeriana.edu.co</t>
  </si>
  <si>
    <t>315/002-2323</t>
  </si>
  <si>
    <t>Diany Veruska Cerón</t>
  </si>
  <si>
    <t>diany.ceron@javeriana.edu.co</t>
  </si>
  <si>
    <t>320/812-1204</t>
  </si>
  <si>
    <t>Brian Alejandro Abadía Cano</t>
  </si>
  <si>
    <t>abadiabrian@javeriana.edu.co</t>
  </si>
  <si>
    <t>312/569-3506</t>
  </si>
  <si>
    <t xml:space="preserve">Gisselle Marcela Diaz Alvarez </t>
  </si>
  <si>
    <t>diaz-gissellem@javeriana.edu.co</t>
  </si>
  <si>
    <t>311/813-5158</t>
  </si>
  <si>
    <t xml:space="preserve">Ana Carolina Yaqueno Dueñas </t>
  </si>
  <si>
    <t>anayaqueno@javeriana.edu.co</t>
  </si>
  <si>
    <t>322/292-3739</t>
  </si>
  <si>
    <t xml:space="preserve">Natalia Sanchez Cuéllar </t>
  </si>
  <si>
    <t>natalia_sanchez@javeriana.edu.co</t>
  </si>
  <si>
    <t>310/311-3443</t>
  </si>
  <si>
    <t xml:space="preserve">Andres Felipe Santander Pineda </t>
  </si>
  <si>
    <t>santander.andres@javeriana.edu.co</t>
  </si>
  <si>
    <t>319/248-6315</t>
  </si>
  <si>
    <t>Juan Camilo Vargas Brito</t>
  </si>
  <si>
    <t>vargasj_u@javeriana.edu.co</t>
  </si>
  <si>
    <t>675-4171</t>
  </si>
  <si>
    <t xml:space="preserve">Maria Fernanda Carmona Perez </t>
  </si>
  <si>
    <t>carmona.maria@javeriana.edu.co</t>
  </si>
  <si>
    <t>318/383-2106</t>
  </si>
  <si>
    <t xml:space="preserve">Santiago Gutierrez Prieto </t>
  </si>
  <si>
    <t>gutierrez_santiago@javeriana.edu.co</t>
  </si>
  <si>
    <t>300/797-6855</t>
  </si>
  <si>
    <t>David Santiago Hernandez Jiménez</t>
  </si>
  <si>
    <t>hernandezj.d@javeriana.edu.co</t>
  </si>
  <si>
    <t>317/895-8070</t>
  </si>
  <si>
    <t xml:space="preserve">Alejandro Jose Osorio Elias </t>
  </si>
  <si>
    <t>aj_osorio@javeriana.edu.co</t>
  </si>
  <si>
    <t>660-5112</t>
  </si>
  <si>
    <t>Felipe Holguin Gutierrez</t>
  </si>
  <si>
    <t>felipeholguin@javeriana.edu.co</t>
  </si>
  <si>
    <t>317/668-5257</t>
  </si>
  <si>
    <t xml:space="preserve">Oscar Felipe Chillan Parra </t>
  </si>
  <si>
    <t>oscar-chillan@javeriana.edu.co</t>
  </si>
  <si>
    <t>645-8213</t>
  </si>
  <si>
    <t>Javier Andres Martinez Lizarazo</t>
  </si>
  <si>
    <t>martinez_javier@javeriana.edu.co</t>
  </si>
  <si>
    <t>300/573-0936</t>
  </si>
  <si>
    <t>Harold Esteban Gonzalez Garcia</t>
  </si>
  <si>
    <t>haroldgonzalez@javeriana.edu.co</t>
  </si>
  <si>
    <t>316/446-5901</t>
  </si>
  <si>
    <t xml:space="preserve">Andres Ivan Reyes Quintero </t>
  </si>
  <si>
    <t>reyesqandres@javeriana.edu.co</t>
  </si>
  <si>
    <t>300/443-5217</t>
  </si>
  <si>
    <t>Arley Sebastian Sandoval Cristiano</t>
  </si>
  <si>
    <t>a_sandoval@javeriana.edu.co</t>
  </si>
  <si>
    <t>317/295-5396</t>
  </si>
  <si>
    <t>Aura Carolina Cifuentes Saenz</t>
  </si>
  <si>
    <t>a-cifuentes@javeriana.edu.co</t>
  </si>
  <si>
    <t>301/243-0831</t>
  </si>
  <si>
    <t>Estefania Bello Sanchez</t>
  </si>
  <si>
    <t>bello.e@javeriana.edu.co</t>
  </si>
  <si>
    <t>321/441-1645</t>
  </si>
  <si>
    <t>Paula Milena Sanchez Garcia</t>
  </si>
  <si>
    <t>sanchezpaula@javeriana.edu.co</t>
  </si>
  <si>
    <t>427-3137</t>
  </si>
  <si>
    <t>Santiago Lugo Menjura</t>
  </si>
  <si>
    <t>santiago_lugo@javeriana.edu.co</t>
  </si>
  <si>
    <t>317/712-7712</t>
  </si>
  <si>
    <t xml:space="preserve">Juan Camilo Almonacid Muñoz </t>
  </si>
  <si>
    <t>juan_almonacid@javeriana.edu.co</t>
  </si>
  <si>
    <t>315/928-9465</t>
  </si>
  <si>
    <t>Hansen David Senejoa Jurado</t>
  </si>
  <si>
    <t>hansen_senejoa@javeriana.edu.co</t>
  </si>
  <si>
    <t>877-6369</t>
  </si>
  <si>
    <t xml:space="preserve">Cristian Danilo Rodriguez Cardenas </t>
  </si>
  <si>
    <t>cr.rodriguez@javeriana.edu.co</t>
  </si>
  <si>
    <t>321/416-3779</t>
  </si>
  <si>
    <t xml:space="preserve">Laura Juliana Villamizar Gonzalez </t>
  </si>
  <si>
    <t>l_villamizar@javeriana.edu.co</t>
  </si>
  <si>
    <t>300/563-4108</t>
  </si>
  <si>
    <t>Sergio Andrés Peña Rojas</t>
  </si>
  <si>
    <t>sergiopena@javeriana.edu.co</t>
  </si>
  <si>
    <t>316/627-6476</t>
  </si>
  <si>
    <t xml:space="preserve">Laura Daniela Calderon Vasquez </t>
  </si>
  <si>
    <t>laurad-calderon@javeriana.edu.co</t>
  </si>
  <si>
    <t>318/847-3684</t>
  </si>
  <si>
    <t xml:space="preserve">Maria Isabel Moreno Quevedo </t>
  </si>
  <si>
    <t>mo-maria@javeriana.edu.co</t>
  </si>
  <si>
    <t>300/797-5427</t>
  </si>
  <si>
    <t xml:space="preserve">Juan David Zarta Guativa </t>
  </si>
  <si>
    <t>zajuan@javeriana.edu.co</t>
  </si>
  <si>
    <t xml:space="preserve">Jaime Andres Puerto Rojas </t>
  </si>
  <si>
    <t>j_puerto@javeriana.edu.co</t>
  </si>
  <si>
    <t>320/918-1539</t>
  </si>
  <si>
    <t>Juan Sebastian Fajardo Arenas</t>
  </si>
  <si>
    <t>juan_fajardo@javeriana.edu.co</t>
  </si>
  <si>
    <t>726-0000</t>
  </si>
  <si>
    <t>Andres David Rojas Zawadzky</t>
  </si>
  <si>
    <t>andres_rojas@javeriana.edu.co</t>
  </si>
  <si>
    <t>301/222-3373</t>
  </si>
  <si>
    <t>Sergio Andres Gómez Vélez</t>
  </si>
  <si>
    <t>sergio_gomez@javeriana.edu.co</t>
  </si>
  <si>
    <t>317/368-2533</t>
  </si>
  <si>
    <t xml:space="preserve">Juan Jose Ardila Hurtado </t>
  </si>
  <si>
    <t>jjardila@javeriana.edu.co</t>
  </si>
  <si>
    <t>320/852-6669</t>
  </si>
  <si>
    <t xml:space="preserve">Nicolas Albeiro Osorio Beltran </t>
  </si>
  <si>
    <t>osorio.nicolas@javeriana.edu.co</t>
  </si>
  <si>
    <t>757-9886</t>
  </si>
  <si>
    <t>Santiago Barrero Borrero</t>
  </si>
  <si>
    <t>santiagobarrero@javeriana.edu.co</t>
  </si>
  <si>
    <t>316/870-5287</t>
  </si>
  <si>
    <t xml:space="preserve">Jose Manuel Muñoz Pastrana </t>
  </si>
  <si>
    <t>jose_munoz@javeriana.edu.co</t>
  </si>
  <si>
    <t>317/401-6226</t>
  </si>
  <si>
    <t>Yojan Trujillo Trujillo</t>
  </si>
  <si>
    <t>yojan-trujillo@javeriana.edu.co</t>
  </si>
  <si>
    <t>315/430-3430</t>
  </si>
  <si>
    <t>Adriana Marcela Pacheco Rey</t>
  </si>
  <si>
    <t>pacheco-adriana@javeriana.edu.co</t>
  </si>
  <si>
    <t>320/965-7180</t>
  </si>
  <si>
    <t>Edison Sebastián Olaya López</t>
  </si>
  <si>
    <t>edison_olaya@javeriana.edu.co</t>
  </si>
  <si>
    <t>321/450-9647</t>
  </si>
  <si>
    <t>Julián Eduardo Plata Osorio</t>
  </si>
  <si>
    <t>plataj.u@javeriana.edu.co</t>
  </si>
  <si>
    <t>317/853-1399</t>
  </si>
  <si>
    <t>David Francisco Martinez Carrillo</t>
  </si>
  <si>
    <t>madavid@javeriana.edu.co</t>
  </si>
  <si>
    <t>317/517-1179</t>
  </si>
  <si>
    <t>Angela María Ortega Imbachi</t>
  </si>
  <si>
    <t>angela.ortega@javeriana.edu.co</t>
  </si>
  <si>
    <t>311/404-8325</t>
  </si>
  <si>
    <t>Luisa Fernanda Rugeles Niño</t>
  </si>
  <si>
    <t>David Camilo Pinto Rojas</t>
  </si>
  <si>
    <t>david_pinto@javeriana.edu.co</t>
  </si>
  <si>
    <t>298-5594</t>
  </si>
  <si>
    <t>CUBILLOS REINA,ANDRES CAMILO</t>
  </si>
  <si>
    <t>a_cubillos@javeriana.edu.co</t>
  </si>
  <si>
    <t>316/448-4780</t>
  </si>
  <si>
    <t>GALVIS PACHECO,LAURA ANDREA</t>
  </si>
  <si>
    <t>galvis_laura@javeriana.edu.co</t>
  </si>
  <si>
    <t>315/432-4538</t>
  </si>
  <si>
    <t>BUENDIA LOPEZ,MIGUEL ANGEL</t>
  </si>
  <si>
    <t>miguel_buendia@javeriana.edu.co</t>
  </si>
  <si>
    <t>321/733-4893</t>
  </si>
  <si>
    <t>GALINDO VARGAS,SANTIAGO</t>
  </si>
  <si>
    <t>s-galindo@javeriana.edu.co</t>
  </si>
  <si>
    <t>480-0258</t>
  </si>
  <si>
    <t>GALLEGO MORENO,ANGIE KARINA</t>
  </si>
  <si>
    <t>gallegom_ak@javeriana.edu.co</t>
  </si>
  <si>
    <t>310/883-9740</t>
  </si>
  <si>
    <t xml:space="preserve">Nicolas Lopez Alarcon </t>
  </si>
  <si>
    <t>nicolas-lopeza@javeriana.edu.co</t>
  </si>
  <si>
    <t>318/618-4406</t>
  </si>
  <si>
    <t>Héctor David Mayorga Cifuentes</t>
  </si>
  <si>
    <t>mayorga.hd@javeriana.edu.co</t>
  </si>
  <si>
    <t>301/374-4498</t>
  </si>
  <si>
    <t>Juan Felipe Estrada Guasmayan</t>
  </si>
  <si>
    <t>juanestrada@javeriana.edu.co</t>
  </si>
  <si>
    <t>300/786-7692</t>
  </si>
  <si>
    <t>Andrea Luciana Rodriguez Chaves</t>
  </si>
  <si>
    <t>rodriguezc.andrea@javeriana.edu.co</t>
  </si>
  <si>
    <t>322/242-5018</t>
  </si>
  <si>
    <t xml:space="preserve">Nicolas Hernandez Vargas </t>
  </si>
  <si>
    <t>hernandez_n@javeriana.edu.co</t>
  </si>
  <si>
    <t>302/352-1319</t>
  </si>
  <si>
    <t xml:space="preserve">Esteban Gutierrez Alonso </t>
  </si>
  <si>
    <t>gutierrez_e@javeriana.edu.co</t>
  </si>
  <si>
    <t>302/283-4270</t>
  </si>
  <si>
    <t>ALVAREZ LOZANO,JUAN NICOLAS</t>
  </si>
  <si>
    <t>alvarezj_u@javeriana.edu.co</t>
  </si>
  <si>
    <t>304/623-9448</t>
  </si>
  <si>
    <t>CASTILLO RAMIREZ,MARIA FERNANDA</t>
  </si>
  <si>
    <t>castillo_maria@javeriana.edu.co</t>
  </si>
  <si>
    <t>301/533-3257</t>
  </si>
  <si>
    <t>ROBAYO MORA,NORBERTO NEFTALI</t>
  </si>
  <si>
    <t>robayo_n@javeriana.edu.co</t>
  </si>
  <si>
    <t>321/994-8078</t>
  </si>
  <si>
    <t>ROBAYO MURILLO,JUAN CAMILO</t>
  </si>
  <si>
    <t>j_robayo@javeriana.edu.co</t>
  </si>
  <si>
    <t>311/445-5616</t>
  </si>
  <si>
    <t>VIELLARD MENDEZ,BRAYAN ENRIQUE</t>
  </si>
  <si>
    <t>brayanviellard@javeriana.edu.co</t>
  </si>
  <si>
    <t>310/849-6947</t>
  </si>
  <si>
    <t>GONZALEZ TALWEKAR,GAURI</t>
  </si>
  <si>
    <t>gonzalez.gauri@javeriana.edu.co</t>
  </si>
  <si>
    <t>284-1980</t>
  </si>
  <si>
    <t>CORREA PAREDES,OSCAR ANDRES</t>
  </si>
  <si>
    <t>o_correa@javeriana.edu.co</t>
  </si>
  <si>
    <t>300/789-4927</t>
  </si>
  <si>
    <t>PARRA SANCHEZ,CRISTIAN VLADIMIR</t>
  </si>
  <si>
    <t>parra.cv@javeriana.edu.co</t>
  </si>
  <si>
    <t>301/356-9545</t>
  </si>
  <si>
    <t>CUBILLOS CIFUENTES,VALENTINA</t>
  </si>
  <si>
    <t>valentina-cubillos@javeriana.edu.co</t>
  </si>
  <si>
    <t>310/478-8242</t>
  </si>
  <si>
    <t>GONZALEZ PENNA,LAURA CATALINA</t>
  </si>
  <si>
    <t>gonzalezl-a@javeriana.edu.co</t>
  </si>
  <si>
    <t>300/212-1143</t>
  </si>
  <si>
    <t>PRIETO CHÁVARRO MARIA ALEJANDRA</t>
  </si>
  <si>
    <t>prieto.ma@javeriana.edu.co</t>
  </si>
  <si>
    <t>310/586-6409</t>
  </si>
  <si>
    <t>PULIDO GONZÁLEZ LAURA SOFÍA</t>
  </si>
  <si>
    <t>lauras-pulido@javeriana.edu.co</t>
  </si>
  <si>
    <t>301/553-8665</t>
  </si>
  <si>
    <t>FLOREZ MEJIA,ANA MARIA</t>
  </si>
  <si>
    <t>amariaflorez@javeriana.edu.co</t>
  </si>
  <si>
    <t>321/370-3676</t>
  </si>
  <si>
    <t>ORTEGA MONT,CRISTIAN</t>
  </si>
  <si>
    <t>c.ortegam@javeriana.edu.co</t>
  </si>
  <si>
    <t>301/272-4254</t>
  </si>
  <si>
    <t>MARULANDA BUSTAMANTE,CAMILA</t>
  </si>
  <si>
    <t>c.marulandab@javeriana.edu.co</t>
  </si>
  <si>
    <t>800-0358</t>
  </si>
  <si>
    <t>QUINTERO GARCIA,JUAN ESTEBAN</t>
  </si>
  <si>
    <t>qu_juan@javeriana.edu.co</t>
  </si>
  <si>
    <t>313/385-5139</t>
  </si>
  <si>
    <t>RINCÓN MENDIETA MANUEL ESTEBAN</t>
  </si>
  <si>
    <t>me_rincon@javeriana.edu.co</t>
  </si>
  <si>
    <t>320/360-0623</t>
  </si>
  <si>
    <t>RODRÍGUEZ QUIROGA ANGIE GABRIELA</t>
  </si>
  <si>
    <t>rodriguezangie@javeriana.edu.co</t>
  </si>
  <si>
    <t>310/235-0819</t>
  </si>
  <si>
    <t>LOPEZ ORTIZ,FABIAN ALEJANDRO</t>
  </si>
  <si>
    <t>lopez_f@javeriana.edu.co</t>
  </si>
  <si>
    <t>310/864-5422</t>
  </si>
  <si>
    <t>ALFONSO RAMOS,DARWAN ARTURO</t>
  </si>
  <si>
    <t>aldarwan@javeriana.edu.co</t>
  </si>
  <si>
    <t>321/210-7480</t>
  </si>
  <si>
    <t>CASTAÑO BERMUDEZ,ANGIE VALENTINA</t>
  </si>
  <si>
    <t>angiecastano@javeriana.edu.co</t>
  </si>
  <si>
    <t>319/288-9029</t>
  </si>
  <si>
    <t>SEGURA HERNANDEZ,MARIA PAULA</t>
  </si>
  <si>
    <t>m-segura@javeriana.edu.co</t>
  </si>
  <si>
    <t>310/200-1442</t>
  </si>
  <si>
    <t>SANCHEZ NIÑO,NATALIA</t>
  </si>
  <si>
    <t>sancheznatalia@javeriana.edu.co</t>
  </si>
  <si>
    <t>317/681-6992</t>
  </si>
  <si>
    <t>SIERRA IBAÑEZ,SANTIAGO ANDRES</t>
  </si>
  <si>
    <t>sierra.santiago@javeriana.edu.co</t>
  </si>
  <si>
    <t>313/436-7680</t>
  </si>
  <si>
    <t>ROJAS VEGA,YANNIDTH ALEXANDRA</t>
  </si>
  <si>
    <t>y-rojas@javeriana.edu.co</t>
  </si>
  <si>
    <t>319/658-9262</t>
  </si>
  <si>
    <t>ANZOLA MORALES MARIA CAMILA</t>
  </si>
  <si>
    <t>maria-anzola@javeriana.edu.co</t>
  </si>
  <si>
    <t>320/542-2240</t>
  </si>
  <si>
    <t>VÉLEZ RUSINQUE DIANA LORENA</t>
  </si>
  <si>
    <t>dianavelez@javeriana.edu.co</t>
  </si>
  <si>
    <t>317/895-0991</t>
  </si>
  <si>
    <t>SABALLOS PACHECO ALFONSO JOSE</t>
  </si>
  <si>
    <t>ajsaballosp@javeriana.edu.co</t>
  </si>
  <si>
    <t>50589955227</t>
  </si>
  <si>
    <t>VALDERRAMA PAEZ GENNER JUAN PABLO</t>
  </si>
  <si>
    <t>g_valderrama@javeriana.edu.co</t>
  </si>
  <si>
    <t>310/343-7692</t>
  </si>
  <si>
    <t>ARIZA ALARCON,KAMILA</t>
  </si>
  <si>
    <t>kamila.ariza@javeriana.edu.co</t>
  </si>
  <si>
    <t>323/490-3830</t>
  </si>
  <si>
    <t>CRUZ MORENO,JOSE DAVID</t>
  </si>
  <si>
    <t>josecruz@javeriana.edu.co</t>
  </si>
  <si>
    <t>315/608-0242</t>
  </si>
  <si>
    <t>LOPEZ LOPEZ,PAULA BIVIANA</t>
  </si>
  <si>
    <t>lopezpaula@javeriana.edu.co</t>
  </si>
  <si>
    <t>316/412-2784</t>
  </si>
  <si>
    <t>RODRIGUEZ MONTILLA,MARIA JIMENA</t>
  </si>
  <si>
    <t>rodriguezmmjimena@javeriana.edu.co</t>
  </si>
  <si>
    <t>321/443-2070</t>
  </si>
  <si>
    <t>FAJARDO BUITRAGO,ELIAN ALEJANDRA</t>
  </si>
  <si>
    <t>ea_fajardo@javeriana.edu.co</t>
  </si>
  <si>
    <t>312/381-5473</t>
  </si>
  <si>
    <t>FORERO PINZON,PAULA DANIELA</t>
  </si>
  <si>
    <t>forero_p@javeriana.edu.co</t>
  </si>
  <si>
    <t>612244974</t>
  </si>
  <si>
    <t>IBAÑEZ MARTINEZ,BRAYAN ALEJANDRO</t>
  </si>
  <si>
    <t>brayan_ibanez@javeriana.edu.co</t>
  </si>
  <si>
    <t>321/395-1338</t>
  </si>
  <si>
    <t>DIAZ SARMIENTO,MARIA MONICA</t>
  </si>
  <si>
    <t>maria-diazs@javeriana.edu.co</t>
  </si>
  <si>
    <t>321/371-4660</t>
  </si>
  <si>
    <t>SERRANO VARGAS,MARIA JULIANA</t>
  </si>
  <si>
    <t>serrano_maria@javeriana.edu.co</t>
  </si>
  <si>
    <t>300/492-8315</t>
  </si>
  <si>
    <t>CEPEDA REYES MATEO</t>
  </si>
  <si>
    <t>mateo_cepeda@javeriana.edu.co</t>
  </si>
  <si>
    <t>310/246-7400</t>
  </si>
  <si>
    <t>LOPEZ AYALA ALEJANDRO</t>
  </si>
  <si>
    <t>alejandro.lopez@javeriana.edu.co</t>
  </si>
  <si>
    <t>319/227-6844</t>
  </si>
  <si>
    <t>VERGARA RUBIO PAULA ALEJANDRA</t>
  </si>
  <si>
    <t>vergarap-a@javeriana.edu.co</t>
  </si>
  <si>
    <t>300/288-4080</t>
  </si>
  <si>
    <t>Cristian Santiago Alarcon Beltran</t>
  </si>
  <si>
    <t>cristianalarcon@javeriana.edu.co</t>
  </si>
  <si>
    <t>321/280-7143</t>
  </si>
  <si>
    <t>Cesar Camilo Almeciga Chacon</t>
  </si>
  <si>
    <t>c_almeciga@javeriana.edu.co</t>
  </si>
  <si>
    <t>320/449-3759</t>
  </si>
  <si>
    <t>Alberto Arango Moncada</t>
  </si>
  <si>
    <t>alberto.arangom@javeriana.edu.co</t>
  </si>
  <si>
    <t>300/719-3685</t>
  </si>
  <si>
    <t>BARRERA VIRGUEZ,JOHAN SEBASTIAN</t>
  </si>
  <si>
    <t>barrerav_js@javeriana.edu.co</t>
  </si>
  <si>
    <t>312/389-6103</t>
  </si>
  <si>
    <t>BECERRA GIRALDO,ANA MARIA</t>
  </si>
  <si>
    <t>anabecerra@javeriana.edu.co</t>
  </si>
  <si>
    <t>318/436-0255</t>
  </si>
  <si>
    <t>Andrea Carolina Carbonell Del Gordo</t>
  </si>
  <si>
    <t>andrea.carbonell@javeriana.edu.co</t>
  </si>
  <si>
    <t>300/513-3918</t>
  </si>
  <si>
    <t>Silvia Juliana Casadiegos Chaparro</t>
  </si>
  <si>
    <t>casadiegossilvia@javeriana.edu.co</t>
  </si>
  <si>
    <t>312/453-3972</t>
  </si>
  <si>
    <t>Santiago Andres Luque Ochoa</t>
  </si>
  <si>
    <t>saluque@javeriana.edu.co</t>
  </si>
  <si>
    <t>318/288-4513</t>
  </si>
  <si>
    <t>Nicolás Sánchez Barbón</t>
  </si>
  <si>
    <t>sanchez_nicolas@javeriana.edu.co</t>
  </si>
  <si>
    <t>315/597-1071</t>
  </si>
  <si>
    <t>Daniel Santiago Tellez Rincón</t>
  </si>
  <si>
    <t>daniel_tellez@javeriana.edu.co</t>
  </si>
  <si>
    <t>410-1083</t>
  </si>
  <si>
    <t>ORJUELA LOZANO,JUAN CAMILO</t>
  </si>
  <si>
    <t>j_orjuela@javeriana.edu.co</t>
  </si>
  <si>
    <t>302/420-6269</t>
  </si>
  <si>
    <t>TRUJILLO CANO,JUAN DIEGO</t>
  </si>
  <si>
    <t>juantrujilloc@javeriana.edu.co</t>
  </si>
  <si>
    <t>316/864-9136</t>
  </si>
  <si>
    <t>Gabriela Rivera Agudelo</t>
  </si>
  <si>
    <t>gabriela-rivera@javeriana.edu.co</t>
  </si>
  <si>
    <t>811-9294</t>
  </si>
  <si>
    <t>Sara Gabriela Rojas Oliva</t>
  </si>
  <si>
    <t>sara_rojas@javeriana.edu.co</t>
  </si>
  <si>
    <t>320/982-3041</t>
  </si>
  <si>
    <t>Daniel Felipe Vaca Granados</t>
  </si>
  <si>
    <t>vacadfelipe@javeriana.edu.co</t>
  </si>
  <si>
    <t>305/710-3554</t>
  </si>
  <si>
    <t>Carlos Eduardo Walteros Pirajon</t>
  </si>
  <si>
    <t>walteros.c@javeriana.edu.co</t>
  </si>
  <si>
    <t>301/503-8064</t>
  </si>
  <si>
    <t>Gabriela Ariza Gonzalez</t>
  </si>
  <si>
    <t>arizagabriela@javeriana.edu.co</t>
  </si>
  <si>
    <t>702-1933</t>
  </si>
  <si>
    <t>Isabella Otero Vergara</t>
  </si>
  <si>
    <t>otero_isabella@javeriana.edu.co</t>
  </si>
  <si>
    <t>+356 79513914</t>
  </si>
  <si>
    <t>DELGADO ERASO,DAVID SEBASTIAN</t>
  </si>
  <si>
    <t>daviddelgado@javeriana.edu.co</t>
  </si>
  <si>
    <t>321/801-1107</t>
  </si>
  <si>
    <t>FLOREZ GUERRERO,JUAN FELIPE</t>
  </si>
  <si>
    <t>florez_j@javeriana.edu.co</t>
  </si>
  <si>
    <t>316/229-5267</t>
  </si>
  <si>
    <t>MARTINEZ CALDERON,PAULA CATALINA</t>
  </si>
  <si>
    <t>paulamartinez@javeriana.edu.co</t>
  </si>
  <si>
    <t>321/311-0631</t>
  </si>
  <si>
    <t>ROSERO PAUWELS,VALENTINA</t>
  </si>
  <si>
    <t>roserovalentina@javeriana.edu.co</t>
  </si>
  <si>
    <t>300/200-9493</t>
  </si>
  <si>
    <t>Juan Fernando Castro Medina</t>
  </si>
  <si>
    <t>castrojuan@javeriana.edu.co</t>
  </si>
  <si>
    <t>311/450-2437</t>
  </si>
  <si>
    <t>Sofia Delgado Casallas</t>
  </si>
  <si>
    <t>sofia.delgado@javeriana.edu.co</t>
  </si>
  <si>
    <t>320/475-0109</t>
  </si>
  <si>
    <t>Maria Alejandra Diaz Suarez</t>
  </si>
  <si>
    <t>maria_diazs@javeriana.edu.co</t>
  </si>
  <si>
    <t>311/212-5131</t>
  </si>
  <si>
    <t>Isabella Lucía Galvis Cordoba</t>
  </si>
  <si>
    <t>isabella_galvis@javeriana.edu.co</t>
  </si>
  <si>
    <t>313451810</t>
  </si>
  <si>
    <t>HIGUERA LEON,PAOLA ANDREA</t>
  </si>
  <si>
    <t>higuerapaola@javeriana.edu.co</t>
  </si>
  <si>
    <t>312/354-0598</t>
  </si>
  <si>
    <t>JARAMILLO MUÑOZ,JUAN JOSE</t>
  </si>
  <si>
    <t>ju.jaramillo@javeriana.edu.co</t>
  </si>
  <si>
    <t>322/600-8211</t>
  </si>
  <si>
    <t>RIAÑO FERNANDEZ,MARIA JOSE</t>
  </si>
  <si>
    <t>mariariano@javeriana.edu.co</t>
  </si>
  <si>
    <t>313/846-4272</t>
  </si>
  <si>
    <t>RICO ALDANA,LAURA JULIETH</t>
  </si>
  <si>
    <t>laura_rico@javeriana.edu.co</t>
  </si>
  <si>
    <t>319/719-1457</t>
  </si>
  <si>
    <t>DANIEL ESTEBAN CUBILLOS CONDE</t>
  </si>
  <si>
    <t>cubillosdaniel@javeriana.edu.co</t>
  </si>
  <si>
    <t>322/752-7347</t>
  </si>
  <si>
    <t>Alejandra López Moreno</t>
  </si>
  <si>
    <t>lopezm.alejandra@javeriana.edu.co</t>
  </si>
  <si>
    <t>383-7635</t>
  </si>
  <si>
    <t>Cristhian Felipe Quesada Martinez</t>
  </si>
  <si>
    <t>quesadam_cf@javeriana.edu.co</t>
  </si>
  <si>
    <t>618-2309</t>
  </si>
  <si>
    <t>Juan Sebastián Casallas Estrella</t>
  </si>
  <si>
    <t>juancasallas@javeriana.edu.co</t>
  </si>
  <si>
    <t>300/886-7558</t>
  </si>
  <si>
    <t>Carla Sabina Flórez Arias</t>
  </si>
  <si>
    <t>carlaflorez@javeriana.edu.co</t>
  </si>
  <si>
    <t>313/219-2173</t>
  </si>
  <si>
    <t>ALVAREZ BERNAL,BRAYAN ANDRES</t>
  </si>
  <si>
    <t>brayan.alvarez@javeriana.edu.co</t>
  </si>
  <si>
    <t>300/647-5845</t>
  </si>
  <si>
    <t>ANGULO GARCIA,IVAN ANDRES</t>
  </si>
  <si>
    <t>ivan_angulo@javeriana.edu.co</t>
  </si>
  <si>
    <t>843-0313</t>
  </si>
  <si>
    <t>ARIZA GARCIA,LUIS ALEJANDRO</t>
  </si>
  <si>
    <t>arizalalejandro@javeriana.edu.co</t>
  </si>
  <si>
    <t>312/530-4390</t>
  </si>
  <si>
    <t>BELTRAN RODRIGUEZ,LUIS DANIEL</t>
  </si>
  <si>
    <t>l_beltran@javeriana.edu.co</t>
  </si>
  <si>
    <t>320/278-8043</t>
  </si>
  <si>
    <t>BERMUDEZ BELTRAN,MATHEO ALEXANDER</t>
  </si>
  <si>
    <t>matheo_bermudez@javeriana.edu.co</t>
  </si>
  <si>
    <t>715-0495</t>
  </si>
  <si>
    <t>CASTELLANOS LANDAZABAL,SERGIO ANDRES</t>
  </si>
  <si>
    <t>sergiocastellanos@javeriana.edu.co</t>
  </si>
  <si>
    <t>350/891-7311</t>
  </si>
  <si>
    <t>CEPEDA BENAVIDES,JUAN SEBASTIAN</t>
  </si>
  <si>
    <t>juan_cepeda@javeriana.edu.co</t>
  </si>
  <si>
    <t>312/590-2922</t>
  </si>
  <si>
    <t>CORTES GONZALEZ,MARIANA DEL PILAR</t>
  </si>
  <si>
    <t>cortesg_m@javeriana.edu.co</t>
  </si>
  <si>
    <t>320/827-4821</t>
  </si>
  <si>
    <t>CUELLO ALZATE,MAURICIO DAVID</t>
  </si>
  <si>
    <t>mdavid_cuello@javeriana.edu.co</t>
  </si>
  <si>
    <t>316/864-2485</t>
  </si>
  <si>
    <t>FRANCO ARBOLEDA,SERGIO STEVEN</t>
  </si>
  <si>
    <t>francosergio@javeriana.edu.co</t>
  </si>
  <si>
    <t>322/308-1778</t>
  </si>
  <si>
    <t>GOMEZ CORONEL,SUSANA MARCELA</t>
  </si>
  <si>
    <t>gomezsusanam@javeriana.edu.co</t>
  </si>
  <si>
    <t>304/610-2947</t>
  </si>
  <si>
    <t>GONZALEZ ORDOÑEZ,DANIELA</t>
  </si>
  <si>
    <t>danielagonzalezo@javeriana.edu.co</t>
  </si>
  <si>
    <t>314/472-4485</t>
  </si>
  <si>
    <t>HERNANDEZ REYES,SERGIO DANIEL</t>
  </si>
  <si>
    <t>sergio_hernadez@javeriana.edu.co</t>
  </si>
  <si>
    <t>321/755-6920</t>
  </si>
  <si>
    <t>HERNANDEZ SAYAGO,JEFFERSON</t>
  </si>
  <si>
    <t>jefferson-hernandez@javeriana.edu.co</t>
  </si>
  <si>
    <t>310/568-4545</t>
  </si>
  <si>
    <t>IBAÑEZ BOLAÑOS,JAVIER ALBERTO</t>
  </si>
  <si>
    <t>ibanez.ja@javeriana.edu.co</t>
  </si>
  <si>
    <t>310/796-0542</t>
  </si>
  <si>
    <t>LOPEZ NARANJO,DIEGO ANDRES</t>
  </si>
  <si>
    <t>lo.diego@javeriana.edu.co</t>
  </si>
  <si>
    <t>320/418-1943</t>
  </si>
  <si>
    <t>MARTINEZ CARLOSAMA,DAVID FELIPE</t>
  </si>
  <si>
    <t>martinezdavid@javeriana.edu.co</t>
  </si>
  <si>
    <t>315/670-1834</t>
  </si>
  <si>
    <t>MARTINEZ GARCIA,DIEGO IGNACIO</t>
  </si>
  <si>
    <t>diego-martinezg@javeriana.edu.co</t>
  </si>
  <si>
    <t>313/249-3545</t>
  </si>
  <si>
    <t>MUNERA ROJAS,VICTOR HUGO</t>
  </si>
  <si>
    <t>munera.victor@javeriana.edu.co</t>
  </si>
  <si>
    <t>310/596-0637</t>
  </si>
  <si>
    <t>MUÑOZ TARAZONA,JOAN FERNEY</t>
  </si>
  <si>
    <t>joanf_munozt@javeriana.edu.co</t>
  </si>
  <si>
    <t>313/274-7947</t>
  </si>
  <si>
    <t>ORTIZ ALDANA,BREAYANN</t>
  </si>
  <si>
    <t>breayanortiz@javeriana.edu.co</t>
  </si>
  <si>
    <t>311/474-2178</t>
  </si>
  <si>
    <t>OSORIO MENDOZA,MIRIAM ZARETH</t>
  </si>
  <si>
    <t>miriam.osorio@javeriana.edu.co</t>
  </si>
  <si>
    <t>321/948-4927</t>
  </si>
  <si>
    <t>PIÑEROS CARO,CRISTIAN</t>
  </si>
  <si>
    <t>pineros_cristian@javeriana.edu.co</t>
  </si>
  <si>
    <t>314/340-3573</t>
  </si>
  <si>
    <t>PUENAYAN QUICENO,JESUS ALBERTO</t>
  </si>
  <si>
    <t>jesuspuenayan@javeriana.edu.co</t>
  </si>
  <si>
    <t>320/300-2830</t>
  </si>
  <si>
    <t>RAMIREZ MARTINEZ,SANTIAGO HUMBERTO</t>
  </si>
  <si>
    <t>ramirez_santiago@javeriana.edu.co</t>
  </si>
  <si>
    <t>302/832-7750</t>
  </si>
  <si>
    <t>RODRIGUEZ SIERRA,ERICK ZAIR</t>
  </si>
  <si>
    <t>erick_rodriguez@javeriana.edu.co</t>
  </si>
  <si>
    <t>315/320-7055</t>
  </si>
  <si>
    <t>ROMERO LEON,ELIANA ANDREA</t>
  </si>
  <si>
    <t>romeroeliana@javeriana.edu.co</t>
  </si>
  <si>
    <t>304/539-0974</t>
  </si>
  <si>
    <t>RUIZ LAGUADO,CAROLINA</t>
  </si>
  <si>
    <t>carolina_ruiz@javeriana.edu.co</t>
  </si>
  <si>
    <t>324/565-8701</t>
  </si>
  <si>
    <t>SEGRERA SALOM,GEUSEPPE ARTURO</t>
  </si>
  <si>
    <t>se.geuseppe@javeriana.edu.co</t>
  </si>
  <si>
    <t>302/469-9445</t>
  </si>
  <si>
    <t>SUAREZ BERMUDEZ,MIGUEL ALBEIRO</t>
  </si>
  <si>
    <t>miguel-suarez@javeriana.edu.co</t>
  </si>
  <si>
    <t>320/669-0127</t>
  </si>
  <si>
    <t>TRIGOS CALVACHI,ALMA JUDITH SOFIA</t>
  </si>
  <si>
    <t>alma.trigos@javeriana.edu.co</t>
  </si>
  <si>
    <t>324/438-4675</t>
  </si>
  <si>
    <t>VARGAS CLAVIJO,ESTEFANIA</t>
  </si>
  <si>
    <t>estefania.vargas@javeriana.edu.co</t>
  </si>
  <si>
    <t>315/348-9065</t>
  </si>
  <si>
    <t>VERA ROZO,YORMAN ADRIAN</t>
  </si>
  <si>
    <t>yadrian-vera@javeriana.edu.co</t>
  </si>
  <si>
    <t>311/589-0337</t>
  </si>
  <si>
    <t>VIECCO ROSAS,VICTOR IVAN</t>
  </si>
  <si>
    <t>v.viecco@javeriana.edu.co</t>
  </si>
  <si>
    <t>301/656-8700</t>
  </si>
  <si>
    <t>CARO PACHON,JUAN SEBASTIAN</t>
  </si>
  <si>
    <t>carop_juan@javeriana.edu.co</t>
  </si>
  <si>
    <t>315/835-1377</t>
  </si>
  <si>
    <t>BOTERO GALVIS,JULIETH VALERIA</t>
  </si>
  <si>
    <t>jvaleria.botero@javeriana.edu.co</t>
  </si>
  <si>
    <t>317/341-2789</t>
  </si>
  <si>
    <t>CARRILLO GASCA,DANIEL FELIPE</t>
  </si>
  <si>
    <t>carrillodaniel@javeriana.edu.co</t>
  </si>
  <si>
    <t>318/788-6904</t>
  </si>
  <si>
    <t>CUINEME INFANTE,LIZETH TATIANA</t>
  </si>
  <si>
    <t>lt.cuinemei@javeriana.edu.co</t>
  </si>
  <si>
    <t>314/459-0401</t>
  </si>
  <si>
    <t>ORTIZ RIVEROS,LAURA CAMILA</t>
  </si>
  <si>
    <t>ortiz-laurac@javeriana.edu.co</t>
  </si>
  <si>
    <t>311/587-5963</t>
  </si>
  <si>
    <t>OSPINA VIANA,CARLOS ALFREDO</t>
  </si>
  <si>
    <t>ospinaca@javeriana.edu.co</t>
  </si>
  <si>
    <t>321/460-8518</t>
  </si>
  <si>
    <t>SANCHEZ APONTE,WILLIAM ALEJANDRO</t>
  </si>
  <si>
    <t>william-sanchez@javeriana.edu.co</t>
  </si>
  <si>
    <t>322/356-1114</t>
  </si>
  <si>
    <t>SARMIENTO RINCON,DANIEL</t>
  </si>
  <si>
    <t>daniel_sarmiento@javeriana.edu.co</t>
  </si>
  <si>
    <t>314/209-0268</t>
  </si>
  <si>
    <t>Da Camara Sousa,Cristian Javier</t>
  </si>
  <si>
    <t>cristianj.dacamaras@javeriana.edu.co</t>
  </si>
  <si>
    <t>300/210-0633</t>
  </si>
  <si>
    <t>GOMEZ CANO,JUAN CAMILO</t>
  </si>
  <si>
    <t>gomezc-juanc@javeriana.edu.co</t>
  </si>
  <si>
    <t>313/439-2073</t>
  </si>
  <si>
    <t>OSORIO GUTIERREZ DE PIÑERES,ALEJANDRO MARIO</t>
  </si>
  <si>
    <t>alejandro_osorio@javeriana.edu.co</t>
  </si>
  <si>
    <t>313/531-7455</t>
  </si>
  <si>
    <t>PESCA LOZANO,NATALIA</t>
  </si>
  <si>
    <t>npescal@javeriana.edu.co</t>
  </si>
  <si>
    <t>318/473-2672</t>
  </si>
  <si>
    <t>PINEDA JAIME,MARIA CAMILA</t>
  </si>
  <si>
    <t>mariac.pinedaj@javeriana.edu.co</t>
  </si>
  <si>
    <t>317/733-1600</t>
  </si>
  <si>
    <t>PONCE REYES,CATALINA</t>
  </si>
  <si>
    <t>ponce_c@javeriana.edu.co</t>
  </si>
  <si>
    <t>317/400-6328</t>
  </si>
  <si>
    <t>DIAZ ALVAREZ,JOSE MIGUEL</t>
  </si>
  <si>
    <t>josem.diaz@javeriana.edu.co</t>
  </si>
  <si>
    <t>304/404-1998</t>
  </si>
  <si>
    <t>GUTIERREZ HURTADO,JUAN DAVID</t>
  </si>
  <si>
    <t>gutierrez.jd@javeriana.edu.co</t>
  </si>
  <si>
    <t>316/754-3651</t>
  </si>
  <si>
    <t>ORTIZ BONETT,ALEJANDRA</t>
  </si>
  <si>
    <t>ortizbalejandra@javeriana.edu.co</t>
  </si>
  <si>
    <t>301/627-0362</t>
  </si>
  <si>
    <t>PEREZ SANCHEZ,TOMAS</t>
  </si>
  <si>
    <t>perez.tomas@javeriana.edu.co</t>
  </si>
  <si>
    <t>320/209-7302</t>
  </si>
  <si>
    <t>ROMERO ROZO,JUAN DAVID</t>
  </si>
  <si>
    <t>romerorj@javeriana.edu.co</t>
  </si>
  <si>
    <t>322/829-3568</t>
  </si>
  <si>
    <t>SANCHEZ ROJAS,DANIEL</t>
  </si>
  <si>
    <t>sanchez_daniel@javeriana.edu.co</t>
  </si>
  <si>
    <t>316/452-5905</t>
  </si>
  <si>
    <t>SUAREZ BARRAGAN,DAVID SANTIAGO</t>
  </si>
  <si>
    <t>suarezds@javeriana.edu.co</t>
  </si>
  <si>
    <t>301/382-6464</t>
  </si>
  <si>
    <t>BAYONA ORDOÑEZ,CHARLES FELIPE</t>
  </si>
  <si>
    <t>charlesbayonao@javeriana.edu.co</t>
  </si>
  <si>
    <t>314/341-9188</t>
  </si>
  <si>
    <t>BERMUDEZ VASQUEZ,DANIEL ESTEBAN</t>
  </si>
  <si>
    <t>de.bermudez@javeriana.edu.co</t>
  </si>
  <si>
    <t>319/467-4166</t>
  </si>
  <si>
    <t>MARQUEZ POSSO,JUAN DIEGO</t>
  </si>
  <si>
    <t>marquezp.juan@javeriana.edu.co</t>
  </si>
  <si>
    <t>322/290-2045</t>
  </si>
  <si>
    <t>PARRA SOLANO,JOSE FERNANDO</t>
  </si>
  <si>
    <t>parra.jfernando@javeriana.edu.co</t>
  </si>
  <si>
    <t>568-8882</t>
  </si>
  <si>
    <t>PEÑA LEON,LAURA DANIELA</t>
  </si>
  <si>
    <t>lauradpena@javeriana.edu.co</t>
  </si>
  <si>
    <t>320/233-4414</t>
  </si>
  <si>
    <t>CARDENAS AMAYA,VALENTINA</t>
  </si>
  <si>
    <t>vcardenasa@javeriana.edu.co</t>
  </si>
  <si>
    <t>321/275-2245</t>
  </si>
  <si>
    <t>CARDENAS AYALA,SOFIA</t>
  </si>
  <si>
    <t>sofiacardenas@javeriana.edu.co</t>
  </si>
  <si>
    <t>350/528-3198</t>
  </si>
  <si>
    <t>CARDONA HUERTAS,JUAN ANDRES</t>
  </si>
  <si>
    <t>cardonajuan@javeriana.edu.co</t>
  </si>
  <si>
    <t>300/303-7627</t>
  </si>
  <si>
    <t>CRESPO QUINTERO,NICOLAS</t>
  </si>
  <si>
    <t>crespoq.nicolas@javeriana.edu.co</t>
  </si>
  <si>
    <t>320/476-7202</t>
  </si>
  <si>
    <t>LUNA CRISTANCHO,JULIO CESAR</t>
  </si>
  <si>
    <t>lunajulioc@javeriana.edu.co</t>
  </si>
  <si>
    <t>321/341-2894</t>
  </si>
  <si>
    <t>BARBOSA RAMIREZ,MARIA ALEJANDRA</t>
  </si>
  <si>
    <t>m_barbosa@javeriana.edu.co</t>
  </si>
  <si>
    <t>316/437-1933</t>
  </si>
  <si>
    <t>RINCON PLATA,JUAN SEBASTIAN</t>
  </si>
  <si>
    <t>juan-rinconp@javeriana.edu.co</t>
  </si>
  <si>
    <t>683-7376</t>
  </si>
  <si>
    <t>CAMARGO PRIETO,DIEGO ALEJANDRO</t>
  </si>
  <si>
    <t>diegoa_camargo@javeriana.edu.co</t>
  </si>
  <si>
    <t>320/477-3352</t>
  </si>
  <si>
    <t>MARTINEZ MORENO,LAURA SOFIA</t>
  </si>
  <si>
    <t>martinezlauras@javeriana.edu.co</t>
  </si>
  <si>
    <t>322/251-6526</t>
  </si>
  <si>
    <t>OSPINO NUÑEZ,HUMBERTO JOSE</t>
  </si>
  <si>
    <t>humbertoj_ospino@javeriana.edu.co</t>
  </si>
  <si>
    <t>300/837-3553</t>
  </si>
  <si>
    <t>ROJAS RODRIGUEZ,ANDRES FELIPE</t>
  </si>
  <si>
    <t>rojasandres@javeriana.edu.co</t>
  </si>
  <si>
    <t>310/565-7817</t>
  </si>
  <si>
    <t>SERNA GUTIERREZ,LUIS FELIPE</t>
  </si>
  <si>
    <t>sernaglf@javeriana.edu.co</t>
  </si>
  <si>
    <t>305/750-7661</t>
  </si>
  <si>
    <t>URICOECHEA CASTELLANOS,SERGIO</t>
  </si>
  <si>
    <t>sergio.uricoechea@javeriana.edu.co</t>
  </si>
  <si>
    <t>311/802-3950</t>
  </si>
  <si>
    <t>VEGA TORRES,ISABELLA</t>
  </si>
  <si>
    <t>isabella-vega@javeriana.edu.co</t>
  </si>
  <si>
    <t>313/601-4733</t>
  </si>
  <si>
    <t>COY RODRIGUEZ,JESSICA VIVIANA</t>
  </si>
  <si>
    <t>jessicav_coy@javeriana.edu.co</t>
  </si>
  <si>
    <t>311/265-8851</t>
  </si>
  <si>
    <t>CUELLO ARROYO,JOSE DAVID</t>
  </si>
  <si>
    <t>josed_cuello@javeriana.edu.co</t>
  </si>
  <si>
    <t>310/625-3473</t>
  </si>
  <si>
    <t>GALVIS VILLEGAS,JUAN FELIPE</t>
  </si>
  <si>
    <t>galvisv-jf@javeriana.edu.co</t>
  </si>
  <si>
    <t>319/249-4242</t>
  </si>
  <si>
    <t>GARCIA BENAVIDES,SANTIAGO</t>
  </si>
  <si>
    <t>sgarciab@javeriana.edu.co</t>
  </si>
  <si>
    <t>300/627-8182</t>
  </si>
  <si>
    <t>NAVARRO VELASQUEZ,CAMILO</t>
  </si>
  <si>
    <t>ca.navarro@javeriana.edu.co</t>
  </si>
  <si>
    <t>300/530-4126</t>
  </si>
  <si>
    <t>PINEDA CORTES,JORGE ALBERTO</t>
  </si>
  <si>
    <t>jorgea.pinedac@javeriana.edu.co</t>
  </si>
  <si>
    <t>310/565-4495</t>
  </si>
  <si>
    <t>RUBIANO TOVAR,MARIA FERNANDA</t>
  </si>
  <si>
    <t>mf-rubiano@javeriana.edu.co</t>
  </si>
  <si>
    <t>310/561-5398</t>
  </si>
  <si>
    <t>SALAIMAN SIERRA,MARIA GABRIELA</t>
  </si>
  <si>
    <t>maria_salaimans@javeriana.edu.co</t>
  </si>
  <si>
    <t>317/502-9607</t>
  </si>
  <si>
    <t>SPOSITO SANCHEZ,MARIA EMILIA</t>
  </si>
  <si>
    <t>mespositos@javeriana.edu.co</t>
  </si>
  <si>
    <t>311/686-9275</t>
  </si>
  <si>
    <t>VALENCIA SALAZAR,PAULA</t>
  </si>
  <si>
    <t>p.valencias@javeriana.edu.co</t>
  </si>
  <si>
    <t>314/294-7853</t>
  </si>
  <si>
    <t>ANGARITA CRUZ,JAIR FERNANDO</t>
  </si>
  <si>
    <t>jairangarita@javeriana.edu.co</t>
  </si>
  <si>
    <t>318/357-8456</t>
  </si>
  <si>
    <t>RODRIGUEZ QUEZADA,JEREMY</t>
  </si>
  <si>
    <t>rodriguez_jeremy@javeriana.edu.co</t>
  </si>
  <si>
    <t>301/630-9810</t>
  </si>
  <si>
    <t>2022-10</t>
  </si>
  <si>
    <t>MORALES CONTRERAS ALEJANDRO</t>
  </si>
  <si>
    <t>a.moralesc@javeriana.edu.co</t>
  </si>
  <si>
    <t>321/415-5684</t>
  </si>
  <si>
    <t>OTALORA JARRO ANDRES FELIPE</t>
  </si>
  <si>
    <t>andresotalora@javeriana.edu.co</t>
  </si>
  <si>
    <t>752-7935</t>
  </si>
  <si>
    <t>RAMIREZ MONROY,DAVID ANDRES</t>
  </si>
  <si>
    <t>da-ramirezm@javeriana.edu.co</t>
  </si>
  <si>
    <t>312/329-9784</t>
  </si>
  <si>
    <t>BELTRAN MURCIA OSMAN</t>
  </si>
  <si>
    <t>o-beltran@javeriana.edu.co</t>
  </si>
  <si>
    <t>310/770-8540</t>
  </si>
  <si>
    <t>ROSERO QUENGUAN JOHAN MATEO</t>
  </si>
  <si>
    <t>roseroq-j@javeriana.edu.co</t>
  </si>
  <si>
    <t>312/507-2019</t>
  </si>
  <si>
    <t>PINILLA SALINAS HAROLD DUVAN</t>
  </si>
  <si>
    <t>hdpinilla@javeriana.edu.co</t>
  </si>
  <si>
    <t>301/585-5706</t>
  </si>
  <si>
    <t>GONZÁLEZ CÁCERES CRISTIAN DAVID</t>
  </si>
  <si>
    <t>cd-gonzalez@javeriana.edu.co</t>
  </si>
  <si>
    <t>319/313-2759</t>
  </si>
  <si>
    <t>BOLIVAR CALDERON,JOHANNA LISETTE</t>
  </si>
  <si>
    <t>bolivarjo@javeriana.edu.co</t>
  </si>
  <si>
    <t>311/527-9228</t>
  </si>
  <si>
    <t>GIRALDO LOPEZ,BRAYAN ESTIBEN</t>
  </si>
  <si>
    <t>bestiben.giraldol@javeriana.edu.co</t>
  </si>
  <si>
    <t>317/492-8566</t>
  </si>
  <si>
    <t>VANEGAS GARCIA,JAIRO HERNAN</t>
  </si>
  <si>
    <t>jairo.vanegas@javeriana.edu.co</t>
  </si>
  <si>
    <t>300/670-4506</t>
  </si>
  <si>
    <t>MILLÁN PEÑA DANIEL ALEJANDRO</t>
  </si>
  <si>
    <t>millan_daniel@javeriana.edu.co</t>
  </si>
  <si>
    <t>312/507-0611</t>
  </si>
  <si>
    <t>OLARTE VARGAS,FABIAN ANDRES</t>
  </si>
  <si>
    <t>olarte_fabian@javeriana.edu.co</t>
  </si>
  <si>
    <t>305/752-6215</t>
  </si>
  <si>
    <t>PUERTO QUINTERO,NICOLAS ANDRES</t>
  </si>
  <si>
    <t>nicolas.puerto@javeriana.edu.co</t>
  </si>
  <si>
    <t>302/433-9446</t>
  </si>
  <si>
    <t>ANTOLÍNEZ SOCHA DAVID ALEJANDRO</t>
  </si>
  <si>
    <t>d-antolinez@javeriana.edu.co</t>
  </si>
  <si>
    <t>311/242-1112</t>
  </si>
  <si>
    <t>RINCON BAUTISTA JUAN ESTEBAN</t>
  </si>
  <si>
    <t>rinconj.u@javeriana.edu.co</t>
  </si>
  <si>
    <t>300/526-3714</t>
  </si>
  <si>
    <t>GIL HERNANDEZ NICOLAS DAVID</t>
  </si>
  <si>
    <t>nicolas_gil@javeriana.edu.co</t>
  </si>
  <si>
    <t>312/324-7219</t>
  </si>
  <si>
    <t>CASTRILLÓN BALCÁZAR CRISTÓBAL</t>
  </si>
  <si>
    <t>cristobal.castrillon@javeriana.edu.co</t>
  </si>
  <si>
    <t>300/608-8540</t>
  </si>
  <si>
    <t>FIERRO GARCIA DANIEL CAMILO</t>
  </si>
  <si>
    <t>fierrogdanielc@javeriana.edu.co</t>
  </si>
  <si>
    <t>305/817-6766</t>
  </si>
  <si>
    <t>CARRILLO CHIQUISA JULIAN ANDRES</t>
  </si>
  <si>
    <t>jacarrilloc@javeriana.edu.co</t>
  </si>
  <si>
    <t>304/589-6285</t>
  </si>
  <si>
    <t xml:space="preserve">RAMOS BOHORQUEZ NICOLÁS </t>
  </si>
  <si>
    <t>nicolas-ramos@javeriana.edu.co</t>
  </si>
  <si>
    <t>301/352-4711</t>
  </si>
  <si>
    <t>CÁRDENAS GARCÍA JULIÁN ANDRÉS</t>
  </si>
  <si>
    <t>jandres_cardenas@javeriana.edu.co</t>
  </si>
  <si>
    <t>310/767-0935</t>
  </si>
  <si>
    <t>MOLINA MORENO SONIA CAROLINA</t>
  </si>
  <si>
    <t>sc_molina@javeriana.edu.co</t>
  </si>
  <si>
    <t>316/305-7837</t>
  </si>
  <si>
    <t>VERA FUENTES JUAN PABLO</t>
  </si>
  <si>
    <t>j_vera@javeriana.edu.co</t>
  </si>
  <si>
    <t>317/373-2503</t>
  </si>
  <si>
    <t>CHAPARRO SANABRIA DIANA NATALIA</t>
  </si>
  <si>
    <t>chdiana@javeriana.edu.co</t>
  </si>
  <si>
    <t>350/766-7625</t>
  </si>
  <si>
    <t>ARDILA PANIAGUA JUAN DAVID</t>
  </si>
  <si>
    <t>jd.ardila@javeriana.edu.co</t>
  </si>
  <si>
    <t>323/239-0404</t>
  </si>
  <si>
    <t>GARZON OSPINA KEVIN ANDRES</t>
  </si>
  <si>
    <t>ka_garzon@javeriana.edu.co</t>
  </si>
  <si>
    <t>300/888-3815</t>
  </si>
  <si>
    <t>ORTIZ RUBIO JUAN PABLO</t>
  </si>
  <si>
    <t>jpablo.ortiz@javeriana.edu.co</t>
  </si>
  <si>
    <t>310/763-7894</t>
  </si>
  <si>
    <t>CALLE SEPULVEDA JULIAN ARTURO</t>
  </si>
  <si>
    <t>julian.calle@javeriana.edu.co</t>
  </si>
  <si>
    <t>673-2874</t>
  </si>
  <si>
    <t>AMOROCHO MANJARRES JUAN PABLO</t>
  </si>
  <si>
    <t>jp.amorochom@javeriana.edu.co</t>
  </si>
  <si>
    <t>300/768-2470</t>
  </si>
  <si>
    <t>BOLAÑOS MELO JUAN JOSÉ</t>
  </si>
  <si>
    <t>bolanos.jj@javeriana.edu.co</t>
  </si>
  <si>
    <t>317/359-4970</t>
  </si>
  <si>
    <t>MOSQUERA BARRERA NELSON ALEJANDRO</t>
  </si>
  <si>
    <t>nelson.mosquera@javeriana.edu.co</t>
  </si>
  <si>
    <t>300/848-1578</t>
  </si>
  <si>
    <t>GOMEZ GAYON JORGE ANDRES</t>
  </si>
  <si>
    <t>jagomezg@javeriana.edu.co</t>
  </si>
  <si>
    <t>315/356-4031</t>
  </si>
  <si>
    <t>GUTIÉRREZ IBAGUÉ ENRIQUE</t>
  </si>
  <si>
    <t>gutierrez_enrique@javeriana.edu.co</t>
  </si>
  <si>
    <t>320/807-4047</t>
  </si>
  <si>
    <t>CASTRO SABOGAL,JIMMY ALEJANDRO</t>
  </si>
  <si>
    <t>ja.castros@javeriana.edu.co</t>
  </si>
  <si>
    <t>322/241-2343</t>
  </si>
  <si>
    <t>ARIZA ORTIZ,LUIS FELIPE</t>
  </si>
  <si>
    <t>arizaluis@javeriana.edu.co</t>
  </si>
  <si>
    <t>316/669-7181</t>
  </si>
  <si>
    <t>RODRIGUEZ BUITRAGO,WILLIAM ORLANDO</t>
  </si>
  <si>
    <t>rodriguez_william@javeriana.edu.co</t>
  </si>
  <si>
    <t>314/409-9590</t>
  </si>
  <si>
    <t>CARDOZO ROJAS,DIEGO ALEJANDRO</t>
  </si>
  <si>
    <t>cardozo.diego@javeriana.edu.co</t>
  </si>
  <si>
    <t>319/439-0733</t>
  </si>
  <si>
    <t>NAIZAQUE GUEVARA JESSICA TATIANA</t>
  </si>
  <si>
    <t>j.naizaque@javeriana.edu.co</t>
  </si>
  <si>
    <t>316/821-3691</t>
  </si>
  <si>
    <t>GARCÍA SILVA CAMILO ANDRÉS</t>
  </si>
  <si>
    <t>candres-garcia@javeriana.edu.co</t>
  </si>
  <si>
    <t>300/553-7535</t>
  </si>
  <si>
    <t>GIRALDO MALAGON ANDRES FELIPE</t>
  </si>
  <si>
    <t>giraldoma@javeriana.edu.co</t>
  </si>
  <si>
    <t>312/300-5656</t>
  </si>
  <si>
    <t>FLECHAS BARRETO JAVIER ESTEBAN</t>
  </si>
  <si>
    <t>flechasjavier@javeriana.edu.co</t>
  </si>
  <si>
    <t>316/499-8576</t>
  </si>
  <si>
    <t>SANDOVAL DUEÑAS SEBASTIAN</t>
  </si>
  <si>
    <t>sebastian-sandoval@javeriana.edu.co</t>
  </si>
  <si>
    <t>304/339-2632</t>
  </si>
  <si>
    <t>PORRAS ESCOBAR ANDRES RICARDO</t>
  </si>
  <si>
    <t>andres_porras@javeriana.edu.co</t>
  </si>
  <si>
    <t>313/222-0463</t>
  </si>
  <si>
    <t>PIÑEROS PARDO PAULA CATALINA</t>
  </si>
  <si>
    <t>pineros.paula@javeriana.edu.co</t>
  </si>
  <si>
    <t>312/509-0539</t>
  </si>
  <si>
    <t>CORAL GODOY KAREN SOFIA</t>
  </si>
  <si>
    <t>corallg_ksofia@javeriana.edu.co</t>
  </si>
  <si>
    <t>301/291-6887</t>
  </si>
  <si>
    <t>SANTANDER ALVAREZ PABLO</t>
  </si>
  <si>
    <t>santander_p@javeriana.edu.co</t>
  </si>
  <si>
    <t>300/728-2269</t>
  </si>
  <si>
    <t>CONTRERAS BORJA CRISTIAN CAMILO</t>
  </si>
  <si>
    <t>contreras_cristian@javeriana.edu.co</t>
  </si>
  <si>
    <t>320/558-8883</t>
  </si>
  <si>
    <t>MENESES CIFUENTES DAVID SANTIAGO</t>
  </si>
  <si>
    <t>davidsmenesesc@javeriana.edu.co</t>
  </si>
  <si>
    <t>316/579-0585</t>
  </si>
  <si>
    <t>AGUIRRE COLLANTE MARÍA CAMILA</t>
  </si>
  <si>
    <t>aguirrec.mcamila@javeriana.edu.co</t>
  </si>
  <si>
    <t>312/318-0561</t>
  </si>
  <si>
    <t>ROJAS NARANJO PAULA JULIANA</t>
  </si>
  <si>
    <t>rojasnpaula@javeriana.edu.co</t>
  </si>
  <si>
    <t>315/587-2929</t>
  </si>
  <si>
    <t>VASQUEZ RENDON ANDRES FELIPE</t>
  </si>
  <si>
    <t>af.vasquezr@javeriana.edu.co</t>
  </si>
  <si>
    <t>315/928-7848</t>
  </si>
  <si>
    <t>FERNANDEZ BECERRA SANTIAGO</t>
  </si>
  <si>
    <t>sa.fernandez@javeriana.edu.co</t>
  </si>
  <si>
    <t>322/365-8249</t>
  </si>
  <si>
    <t>MARTINEZ AMADO JUAN ANDRES</t>
  </si>
  <si>
    <t>martinez_jandres@javeriana.edu.co</t>
  </si>
  <si>
    <t>313/313-4599</t>
  </si>
  <si>
    <t>ESCOBAR TRIANA,CARLOS EDUARDO</t>
  </si>
  <si>
    <t>escobartc@javeriana.edu.co</t>
  </si>
  <si>
    <t>318/632-3232</t>
  </si>
  <si>
    <t>GUTIERREZ ALARCON,DAVID</t>
  </si>
  <si>
    <t>david.gutierreza@javeriana.edu.co</t>
  </si>
  <si>
    <t>319/581-7627</t>
  </si>
  <si>
    <t>TARAZONA TORRES,JULIAN DAVID</t>
  </si>
  <si>
    <t>jdtarazona@javeriana.edu.co</t>
  </si>
  <si>
    <t>322/256-3780</t>
  </si>
  <si>
    <t>ROJAS MOLINA,FABIAN ANDRES</t>
  </si>
  <si>
    <t>fabian-rojasm@javeriana.edu.co</t>
  </si>
  <si>
    <t>312/474-4773</t>
  </si>
  <si>
    <t>LAURA MANUELA ALFARO CASTRO</t>
  </si>
  <si>
    <t>lm.alfaro@javeriana.edu.co</t>
  </si>
  <si>
    <t>321/343-8727</t>
  </si>
  <si>
    <t>JUAN JOSÉ RICO GUTIÉRREZ</t>
  </si>
  <si>
    <t>juan_rico@javeriana.edu.co</t>
  </si>
  <si>
    <t>311/514-4399</t>
  </si>
  <si>
    <t>ERIKA TOCORA VALERO</t>
  </si>
  <si>
    <t>erika.tocorav@javeriana.edu.co</t>
  </si>
  <si>
    <t>235-7417</t>
  </si>
  <si>
    <t>GABRIELA MORENO HERNANDEZ</t>
  </si>
  <si>
    <t>gabrielamoreno@javeriana.edu.co</t>
  </si>
  <si>
    <t>320/453-0587</t>
  </si>
  <si>
    <t>JULIANA VALENTINA NIÑO CAMARGO</t>
  </si>
  <si>
    <t>jv.nino@javeriana.edu.co</t>
  </si>
  <si>
    <t>320/358-5427</t>
  </si>
  <si>
    <t>SARA GONZÁLEZ RESTREPO</t>
  </si>
  <si>
    <t>sagonzalez@javeriana.edu.co</t>
  </si>
  <si>
    <t>310/399-0335</t>
  </si>
  <si>
    <t>VILLASMIL PAOLINI</t>
  </si>
  <si>
    <t>diego.villasmilp@javeriana.edu.co</t>
  </si>
  <si>
    <t>311/898-8030</t>
  </si>
  <si>
    <t>ARANA GUIZA,SOFIA CAROLINA</t>
  </si>
  <si>
    <t>aranascarolina@javeriana.edu.co</t>
  </si>
  <si>
    <t>304/684-0718</t>
  </si>
  <si>
    <t>BARRETO ORDOÑEZ,LINA MARIA</t>
  </si>
  <si>
    <t>balina@javeriana.edu.co</t>
  </si>
  <si>
    <t>313/421-1245</t>
  </si>
  <si>
    <t>JIMENEZ GONZALEZ,PAULA LORENA</t>
  </si>
  <si>
    <t>paula_jimenezg@javeriana.edu.co</t>
  </si>
  <si>
    <t>311/442-9278</t>
  </si>
  <si>
    <t>ALEJANDRA CATALINA SALCEDO SUAREZ</t>
  </si>
  <si>
    <t>alejandra.salcedo@javeriana.edu.co</t>
  </si>
  <si>
    <t>301/458-5075</t>
  </si>
  <si>
    <t>SANTIAGO SIERRA DIAZ</t>
  </si>
  <si>
    <t>santiago-sierra@javeriana.edu.co</t>
  </si>
  <si>
    <t>311/246-7897</t>
  </si>
  <si>
    <t>ACOSTA VARGAS,KATHERINE</t>
  </si>
  <si>
    <t>katherine.acosta@javeriana.edu.co</t>
  </si>
  <si>
    <t>752-4124</t>
  </si>
  <si>
    <t>CAMPO HERNANDEZ,JUAN FELIPE</t>
  </si>
  <si>
    <t>jucampo@javeriana.edu.co</t>
  </si>
  <si>
    <t>316/255-7472</t>
  </si>
  <si>
    <t>TARIFA CARRASCAL,CARLOS ANDRES</t>
  </si>
  <si>
    <t>carlostarifa@javeriana.edu.co</t>
  </si>
  <si>
    <t>321/255-6008</t>
  </si>
  <si>
    <t>JUAN PABLO PÉREZ CARRASCO</t>
  </si>
  <si>
    <t>perez_juan@javeriana.edu.co</t>
  </si>
  <si>
    <t>573155435953</t>
  </si>
  <si>
    <t>SAMUEL ESTEBAN VARGAS RINCON</t>
  </si>
  <si>
    <t>vargas.se@javeriana.edu.co</t>
  </si>
  <si>
    <t>318/691-3206</t>
  </si>
  <si>
    <t>GALINDO TROYANO,ANDRES FELIPE</t>
  </si>
  <si>
    <t>galindoandres@javeriana.edu.co</t>
  </si>
  <si>
    <t>301/590-3847</t>
  </si>
  <si>
    <t>GUAVITA PERALTA,JUAN PABLO</t>
  </si>
  <si>
    <t>juan_guavita@javeriana.edu.co</t>
  </si>
  <si>
    <t>315/514-6715</t>
  </si>
  <si>
    <t>CARVAJAL DE LEON,CARLOS ARTURO</t>
  </si>
  <si>
    <t>carlos-carvajal@javeriana.edu.co</t>
  </si>
  <si>
    <t>313/598-5118</t>
  </si>
  <si>
    <t>TARAZONA LINEROS,ANGIE LORENA</t>
  </si>
  <si>
    <t>a_tarazona@javeriana.edu.co</t>
  </si>
  <si>
    <t>300/568-5439</t>
  </si>
  <si>
    <t>MATEUS LANCHERO,VALENTINA</t>
  </si>
  <si>
    <t>valentinamateus@javeriana.edu.co</t>
  </si>
  <si>
    <t>310/280-1877</t>
  </si>
  <si>
    <t>SIERRA PULIDO,NICOLAS</t>
  </si>
  <si>
    <t>nicolas-sierrap@javeriana.edu.co</t>
  </si>
  <si>
    <t>350/770-7359</t>
  </si>
  <si>
    <t>CASTILLO BASTIDAS,JUAN DAVID</t>
  </si>
  <si>
    <t>castillojdavid@javeriana.edu.co</t>
  </si>
  <si>
    <t>319/550-3717</t>
  </si>
  <si>
    <t>ROJAS MUÑOZ,DAVID SANTIAGO</t>
  </si>
  <si>
    <t>rojasmd@javeriana.edu.co</t>
  </si>
  <si>
    <t>318/523-1818</t>
  </si>
  <si>
    <t>SANCHEZ GAMBA,JUAN DANIEL</t>
  </si>
  <si>
    <t>sanchezgjuan@javeriana.edu.co</t>
  </si>
  <si>
    <t>320/381-2144</t>
  </si>
  <si>
    <t>Miguel Andres Suarez Gelvez</t>
  </si>
  <si>
    <t>suarez.ma@javeriana.edu.co</t>
  </si>
  <si>
    <t>304/523-1192</t>
  </si>
  <si>
    <t>JUAN CAMILO BERNAL ESPINEL</t>
  </si>
  <si>
    <t>be-juan@javeriana.edu.co</t>
  </si>
  <si>
    <t>313/296-4787</t>
  </si>
  <si>
    <t>JARAMILLO HERRERA,JUAN DAVID</t>
  </si>
  <si>
    <t>jjaramilloh@javeriana.edu.co</t>
  </si>
  <si>
    <t>311/861-4674</t>
  </si>
  <si>
    <t>HOLGUIN ROBAYO,GABRIELA</t>
  </si>
  <si>
    <t>holguin.gabriela@javeriana.edu.co</t>
  </si>
  <si>
    <t>314/303-6832</t>
  </si>
  <si>
    <t>LOZANO CORONADO,ERIK JUSSED</t>
  </si>
  <si>
    <t>lozano_ej@javeriana.edu.co</t>
  </si>
  <si>
    <t>313/443-6990</t>
  </si>
  <si>
    <t>MENDEZ GOMEZ,JUAN PABLO</t>
  </si>
  <si>
    <t>mendez_j@javeriana.edu.co</t>
  </si>
  <si>
    <t>313/467-5049</t>
  </si>
  <si>
    <t>ANDREA JIREH AMAYA SANCHEZ</t>
  </si>
  <si>
    <t>andreaamayas@javeriana.edu.co</t>
  </si>
  <si>
    <t>316/323-1060</t>
  </si>
  <si>
    <t>Juliana Cardona Narváez</t>
  </si>
  <si>
    <t>cardonajuliana@javeriana.edu.co</t>
  </si>
  <si>
    <t>301/612-3796</t>
  </si>
  <si>
    <t>CORREDOR BERNAL,MARIA CAMILA</t>
  </si>
  <si>
    <t>mariaccorredor@javeriana.edu.co</t>
  </si>
  <si>
    <t>321/349-3118</t>
  </si>
  <si>
    <t>URIBE MONTEJO,JUAN DAVID</t>
  </si>
  <si>
    <t>uribe_jd@javeriana.edu.co</t>
  </si>
  <si>
    <t>350/639-1227</t>
  </si>
  <si>
    <t>GONZALEZ URRIAGO,DAYANNA STEFANNY</t>
  </si>
  <si>
    <t>gonzalezdayannas@javeriana.edu.co</t>
  </si>
  <si>
    <t>321/343-8937</t>
  </si>
  <si>
    <t>DUARTE GONZALEZ,PAULA ANDREA</t>
  </si>
  <si>
    <t>pauladuarte@javeriana.edu.co</t>
  </si>
  <si>
    <t>620-1704</t>
  </si>
  <si>
    <t>VALENTINA ALARCON GAMBOA</t>
  </si>
  <si>
    <t>alarcon.v@javeriana.edu.co</t>
  </si>
  <si>
    <t>305/772-8718</t>
  </si>
  <si>
    <t>WILLIAM FELIPE CASTELLANOS CORTÉS</t>
  </si>
  <si>
    <t>castellanos.wf@javeriana.edu.co</t>
  </si>
  <si>
    <t>312/349-2180</t>
  </si>
  <si>
    <t>SOFIA DAZA LEDESMA</t>
  </si>
  <si>
    <t>daza_sofia@javeriana.edu.co</t>
  </si>
  <si>
    <t>312/306-2255</t>
  </si>
  <si>
    <t>JUAN CAMILO FAJARDO CUEVAS</t>
  </si>
  <si>
    <t>jc_fajardo@javeriana.edu.co</t>
  </si>
  <si>
    <t>321/402-7127</t>
  </si>
  <si>
    <t>JUAN JOSE DE LA TORRE MESA</t>
  </si>
  <si>
    <t>jdelatorre@javeriana.edu.co</t>
  </si>
  <si>
    <t>315/244-6397</t>
  </si>
  <si>
    <t>JUAN ESTEBAN ARANGUREN ROA</t>
  </si>
  <si>
    <t>aranguren-jesteban@javeriana.edu.co</t>
  </si>
  <si>
    <t>603-6085</t>
  </si>
  <si>
    <t>NICOLÁS REYES MORA</t>
  </si>
  <si>
    <t>nicolas-reyes@javeriana.edu.co</t>
  </si>
  <si>
    <t>312/546-6917</t>
  </si>
  <si>
    <t>EDGAR JOSE VALE SANTIAGO</t>
  </si>
  <si>
    <t>e-vale@javeriana.edu.co</t>
  </si>
  <si>
    <t>310/325-1123</t>
  </si>
  <si>
    <t>JUAN SEBASTIAN MURCIA RINCON</t>
  </si>
  <si>
    <t>juan.murciar@javeriana.edu.co</t>
  </si>
  <si>
    <t>319/469-4799</t>
  </si>
  <si>
    <t>ISABELLA CAMPO MAICHEL</t>
  </si>
  <si>
    <t>campo_i@javeriana.edu.co</t>
  </si>
  <si>
    <t>314/479-1749</t>
  </si>
  <si>
    <t>JUAN DANIEL FLOREZ GUTIERREZ</t>
  </si>
  <si>
    <t>jdanielflorez@javeriana.edu.co</t>
  </si>
  <si>
    <t>461-0643</t>
  </si>
  <si>
    <t>MARIO ANDRES MENDOZA QUINTERO</t>
  </si>
  <si>
    <t>mario-mendozaq@javeriana.edu.co</t>
  </si>
  <si>
    <t>313/524-3740</t>
  </si>
  <si>
    <t>JULIÁN DAVID QUINTERO VARGAS</t>
  </si>
  <si>
    <t>julian.quinterov@javeriana.edu.co</t>
  </si>
  <si>
    <t>316/493-9449</t>
  </si>
  <si>
    <t>ANDRES FELIPE RIVERA CALDERON</t>
  </si>
  <si>
    <t>andres.riverac@javeriana.edu.co</t>
  </si>
  <si>
    <t>315/583-1649</t>
  </si>
  <si>
    <t>JUAN SEBASTIAN VARGAS CURA</t>
  </si>
  <si>
    <t>vargascjs@javeriana.edu.co</t>
  </si>
  <si>
    <t>317/434-5701</t>
  </si>
  <si>
    <t>LINA MARIA VERGARA BOHORQUEZ</t>
  </si>
  <si>
    <t>lina_vergarab@javeriana.edu.co</t>
  </si>
  <si>
    <t>320/829-8634</t>
  </si>
  <si>
    <t>CAMELO RUIZ,DANIEL FERNANDO</t>
  </si>
  <si>
    <t>camelodaniel@javeriana.edu.co</t>
  </si>
  <si>
    <t>311/293-2325</t>
  </si>
  <si>
    <t>CARDONA CAICEDO,MARIA ALEJANDRA</t>
  </si>
  <si>
    <t>ma_cardonac@javeriana.edu.co</t>
  </si>
  <si>
    <t>319/240-2861</t>
  </si>
  <si>
    <t>MARTIN RIVERA,LAURA CATALINA</t>
  </si>
  <si>
    <t>martin_laura@javeriana.edu.co</t>
  </si>
  <si>
    <t>300/887-3672</t>
  </si>
  <si>
    <t xml:space="preserve">José Armando Jarava Díaz </t>
  </si>
  <si>
    <t>jarava-jose@javeriana.edu.co</t>
  </si>
  <si>
    <t>310/720-9060</t>
  </si>
  <si>
    <t xml:space="preserve">Juan Esteban Alfaro Martínez </t>
  </si>
  <si>
    <t>juane.alfaro@javeriana.edu.co</t>
  </si>
  <si>
    <t>312/377-5124</t>
  </si>
  <si>
    <t>Daniel felipe Lizarazo</t>
  </si>
  <si>
    <t>lizarazo_d@javeriana.edu.co</t>
  </si>
  <si>
    <t>312/300-1363</t>
  </si>
  <si>
    <t>Julián Camilo Sánchez García</t>
  </si>
  <si>
    <t>jcamilosanchezg@javeriana.edu.co</t>
  </si>
  <si>
    <t>318/696-5023</t>
  </si>
  <si>
    <t xml:space="preserve">Indira campo neira </t>
  </si>
  <si>
    <t>indira-campon@javeriana.edu.co</t>
  </si>
  <si>
    <t>322/217-3999</t>
  </si>
  <si>
    <t xml:space="preserve"> Stefania Rojas Almeciga</t>
  </si>
  <si>
    <t>rojasastefania@javeriana.edu.co</t>
  </si>
  <si>
    <t>321/466-6614</t>
  </si>
  <si>
    <t>Valentina Páez Mouthon</t>
  </si>
  <si>
    <t>paez_valentina@javeriana.edu.co</t>
  </si>
  <si>
    <t>314/274-9069</t>
  </si>
  <si>
    <t>Nicolás Alejandro Camargo Molano</t>
  </si>
  <si>
    <t>camargo-na@javeriana.edu.co</t>
  </si>
  <si>
    <t>87718952</t>
  </si>
  <si>
    <t>María Fernanda Sapuyes Ruales</t>
  </si>
  <si>
    <t>mariafsapuyes@javeriana.edu.co</t>
  </si>
  <si>
    <t>318/207-4317</t>
  </si>
  <si>
    <t>Sergio Andrés Chavarriaga Becerra</t>
  </si>
  <si>
    <t>sa.chavarriaga@javeriana.edu.co</t>
  </si>
  <si>
    <t>315/537-2241</t>
  </si>
  <si>
    <t>MEJIA MANRIQUE,ANA MARIA</t>
  </si>
  <si>
    <t>mejiam_ana@javeriana.edu.co</t>
  </si>
  <si>
    <t>313/798-7718</t>
  </si>
  <si>
    <t>SOTELO RESTREPO,JUAN FELIPE</t>
  </si>
  <si>
    <t>sotelor.juan@javeriana.edu.co</t>
  </si>
  <si>
    <t>315/668-5038</t>
  </si>
  <si>
    <t>Elian Ricardo González Ramírez</t>
  </si>
  <si>
    <t>gonzalezelian@javeriana.edu.co</t>
  </si>
  <si>
    <t>321/459-5936</t>
  </si>
  <si>
    <t>Jhoan Nicolas Hernandez Riveros</t>
  </si>
  <si>
    <t>jhoan.hernandez@javeriana.edu.co</t>
  </si>
  <si>
    <t>319/377-5963</t>
  </si>
  <si>
    <t>MENDEZ VIELLARD,LUISA FERNANDA</t>
  </si>
  <si>
    <t>luisafmendezv@javeriana.edu.co</t>
  </si>
  <si>
    <t>301/213-8972</t>
  </si>
  <si>
    <t>RANGEL GUTIERREZ DE PIÑERES,JOSE MANUEL</t>
  </si>
  <si>
    <t>josem-rangel@javeriana.edu.co</t>
  </si>
  <si>
    <t>310/483-8740</t>
  </si>
  <si>
    <t>FERNANDEZ GAMBOA,JUAN CAMILO</t>
  </si>
  <si>
    <t>fernandez.jc@javeriana.edu.co</t>
  </si>
  <si>
    <t>318/259-2857</t>
  </si>
  <si>
    <t>MOSQUERA ROJAS,ESTEBAN MAURICIO</t>
  </si>
  <si>
    <t>esteban-mosquera@javeriana.edu.co</t>
  </si>
  <si>
    <t>315/274-4192</t>
  </si>
  <si>
    <t>RAMOS CRIOLLO,JUAN JOSE</t>
  </si>
  <si>
    <t>ju.ramos@javeriana.edu.co</t>
  </si>
  <si>
    <t>310/349-6313</t>
  </si>
  <si>
    <t>AFRICANO PLAZAS,ANDRES FELIPE</t>
  </si>
  <si>
    <t>a.africano@javeriana.edu.co</t>
  </si>
  <si>
    <t>322/881-0872</t>
  </si>
  <si>
    <t xml:space="preserve">Laura Johanna Muñoz Teran </t>
  </si>
  <si>
    <t>lauraj.munozt@javeriana.edu.co</t>
  </si>
  <si>
    <t>315/750-4415</t>
  </si>
  <si>
    <t>María del Pilar Viveros</t>
  </si>
  <si>
    <t>viverosb.maria@javeriana.edu.co</t>
  </si>
  <si>
    <t>316/694-9402</t>
  </si>
  <si>
    <t>Dahyanna Maria Contreras Sanson</t>
  </si>
  <si>
    <t>co_dahyanna@javeriana.edu.co</t>
  </si>
  <si>
    <t>318/487-0928</t>
  </si>
  <si>
    <t>Teresa Albornoz</t>
  </si>
  <si>
    <t>t_albornoz@javeriana.edu.co</t>
  </si>
  <si>
    <t>316/578-0814</t>
  </si>
  <si>
    <t xml:space="preserve">Daniela gamboa </t>
  </si>
  <si>
    <t>gamboa-daniela@javeriana.edu.co</t>
  </si>
  <si>
    <t>315/318-8929</t>
  </si>
  <si>
    <t>Juan Martin Millán</t>
  </si>
  <si>
    <t>millan_jm@javeriana.edu.co</t>
  </si>
  <si>
    <t>+393515051936</t>
  </si>
  <si>
    <t>Carlos andres leon lopez</t>
  </si>
  <si>
    <t>leon-ca@javeriana.edu.co</t>
  </si>
  <si>
    <t>314/473-8459</t>
  </si>
  <si>
    <t>Edgar Leonardo Gutierrez Olarte</t>
  </si>
  <si>
    <t>gutierrez.el@javeriana.edu.co</t>
  </si>
  <si>
    <t>204-8591</t>
  </si>
  <si>
    <t xml:space="preserve">Santiago Castrillon Contreras </t>
  </si>
  <si>
    <t>castrillon.s@javeriana.edu.co</t>
  </si>
  <si>
    <t>313/870-1981</t>
  </si>
  <si>
    <t>María José Barrios Villalobos</t>
  </si>
  <si>
    <t>barriosvm@javeriana.edu.co</t>
  </si>
  <si>
    <t>301/423-1825</t>
  </si>
  <si>
    <t>TORRES GIRALDO,MANUELA</t>
  </si>
  <si>
    <t>torres.manuela@javeriana.edu.co</t>
  </si>
  <si>
    <t>300/203-5596</t>
  </si>
  <si>
    <t>GOMEZ SORZANO,JUAN FELIPE</t>
  </si>
  <si>
    <t>gomez-juans@javeriana.edu.co</t>
  </si>
  <si>
    <t>316/877-7393</t>
  </si>
  <si>
    <t>JARAMILLO RAMIREZ,STEPHANNY</t>
  </si>
  <si>
    <t>s_jaramillo@javeriana.edu.co</t>
  </si>
  <si>
    <t>317/894-9480</t>
  </si>
  <si>
    <t>GALVIS ARIAS,JUAN JOSE</t>
  </si>
  <si>
    <t>juan_galvis@javeriana.edu.co</t>
  </si>
  <si>
    <t>311/860-6021</t>
  </si>
  <si>
    <t>DUQUE HERNANDEZ,LIZETH TATIANA</t>
  </si>
  <si>
    <t>duquelizeth@javeriana.edu.co</t>
  </si>
  <si>
    <t>320/316-5599</t>
  </si>
  <si>
    <t>DUQUE HERNANDEZ,ADRIANA MELISSA</t>
  </si>
  <si>
    <t>adriana_duque@javeriana.edu.co</t>
  </si>
  <si>
    <t>320/866-4780</t>
  </si>
  <si>
    <t xml:space="preserve">Valentina rivera Urbina </t>
  </si>
  <si>
    <t>valentina_rivera@javeriana.edu.co</t>
  </si>
  <si>
    <t>311/202-2742</t>
  </si>
  <si>
    <t>Manuela Angulo Triana</t>
  </si>
  <si>
    <t>manuela-angulo@javeriana.edu.co</t>
  </si>
  <si>
    <t>+17542623973</t>
  </si>
  <si>
    <t>Juan Sebastian Cardenas Lozano</t>
  </si>
  <si>
    <t>juanscardenas@javeriana.edu.co</t>
  </si>
  <si>
    <t>320/224-1903</t>
  </si>
  <si>
    <t>Wilson Andres Castelblanco Vargas</t>
  </si>
  <si>
    <t>wacastelblancov@javeriana.edu.co</t>
  </si>
  <si>
    <t>322/686-1474</t>
  </si>
  <si>
    <t>Nicolás Andrés Calderón Cadena</t>
  </si>
  <si>
    <t>calderon.nicolas@javeriana.edu.co</t>
  </si>
  <si>
    <t>323/290-6308</t>
  </si>
  <si>
    <t>Nicolas Andres Lozano Maldonado</t>
  </si>
  <si>
    <t>lozano.nicolas@javeriana.edu.co</t>
  </si>
  <si>
    <t>316/868-5241</t>
  </si>
  <si>
    <t>CHRISTIAN CORBA ALFONSO</t>
  </si>
  <si>
    <t>c-corba@javeriana.edu.co</t>
  </si>
  <si>
    <t>311/460-8706</t>
  </si>
  <si>
    <t>Juanita Castro Franco</t>
  </si>
  <si>
    <t>juanitacastrof@javeriana.edu.co</t>
  </si>
  <si>
    <t>320/256-1115</t>
  </si>
  <si>
    <t>David Mateo Henao Prieto</t>
  </si>
  <si>
    <t>davidmhenaop@javeriana.edu.co</t>
  </si>
  <si>
    <t>305/816-4941</t>
  </si>
  <si>
    <t>DAVID HERNANDO GONZALEZ ESTUPIÑAN</t>
  </si>
  <si>
    <t>dhgonzalez@javeriana.edu.co</t>
  </si>
  <si>
    <t>319/378-7248</t>
  </si>
  <si>
    <t>María Paula Covelli Reyes</t>
  </si>
  <si>
    <t>covelli.maria@javeriana.edu.co</t>
  </si>
  <si>
    <t>320/851-0261</t>
  </si>
  <si>
    <t>Maria Camila Garcia Hernandez</t>
  </si>
  <si>
    <t>garcia.mcamila@javeriana.edu.co</t>
  </si>
  <si>
    <t>310/552-6318</t>
  </si>
  <si>
    <t>PARRA FORERO,RAFAEL SANTIAGO</t>
  </si>
  <si>
    <t>parrarsantiago@javeriana.edu.co</t>
  </si>
  <si>
    <t>321/412-1841</t>
  </si>
  <si>
    <t>CASTRO PERDOMO,MANUEL EDUARDO</t>
  </si>
  <si>
    <t>manuel_castro@javeriana.edu.co</t>
  </si>
  <si>
    <t>310/448-4480</t>
  </si>
  <si>
    <t>ROCHA ARROYAVE,CAMILA</t>
  </si>
  <si>
    <t>camila.rochaa@javeriana.edu.co</t>
  </si>
  <si>
    <t>301/572-1485</t>
  </si>
  <si>
    <t>RUSINQUE SERRATO,VALENTINA</t>
  </si>
  <si>
    <t>vrusinque@javeriana.edu.co</t>
  </si>
  <si>
    <t>301/695-7866</t>
  </si>
  <si>
    <t>Juan Esteban Quiroz Zaidiza</t>
  </si>
  <si>
    <t>jesteban-quiroz@javeriana.edu.co</t>
  </si>
  <si>
    <t>322/307-7201</t>
  </si>
  <si>
    <t>Camilo Alejandro Parra Pauwels</t>
  </si>
  <si>
    <t>ca-parra@javeriana.edu.co</t>
  </si>
  <si>
    <t>310/858-7370</t>
  </si>
  <si>
    <t>Tania Paola González Gómez</t>
  </si>
  <si>
    <t>tania_gonzalez@javeriana.edu.co</t>
  </si>
  <si>
    <t>313/875-0534</t>
  </si>
  <si>
    <t>Catalina Guerrero Morales</t>
  </si>
  <si>
    <t>guerrero_c@javeriana.edu.co</t>
  </si>
  <si>
    <t>300/613-9060</t>
  </si>
  <si>
    <t>Ana Carolina Obando Salas</t>
  </si>
  <si>
    <t>a.obando@javeriana.edu.co</t>
  </si>
  <si>
    <t>310/772-6359</t>
  </si>
  <si>
    <t>Marcela Isabel Rodríguez Barrera</t>
  </si>
  <si>
    <t>rodriguez_marcela@javeriana.edu.co</t>
  </si>
  <si>
    <t>350/757-9492</t>
  </si>
  <si>
    <t>Daniel Felipe Arevalo Arevalo</t>
  </si>
  <si>
    <t>arevalo.daniel@javeriana.edu.co</t>
  </si>
  <si>
    <t>350/890-7040</t>
  </si>
  <si>
    <t>María Paula Barrera Camero</t>
  </si>
  <si>
    <t>barrerac_mp@javeriana.edu.co</t>
  </si>
  <si>
    <t>311/224-7220</t>
  </si>
  <si>
    <t>BAUTISTA FRANCO,ANA MARIA</t>
  </si>
  <si>
    <t>bautista-ana@javeriana.edu.co</t>
  </si>
  <si>
    <t>806-0881</t>
  </si>
  <si>
    <t>BELTRAN MEDINA,DERLY YURLEY</t>
  </si>
  <si>
    <t>beltran-derly@javeriana.edu.co</t>
  </si>
  <si>
    <t>320/884-7423</t>
  </si>
  <si>
    <t>MEDINA MARTIN,JORGE LUIS</t>
  </si>
  <si>
    <t>jo.medina@javeriana.edu.co</t>
  </si>
  <si>
    <t>322/362-0372</t>
  </si>
  <si>
    <t>Sergio Alejandro Chaves Moreno</t>
  </si>
  <si>
    <t>chavesm_sa@javeriana.edu.co</t>
  </si>
  <si>
    <t>300/329-9382</t>
  </si>
  <si>
    <t>Mariana  Cristancho Sanchez</t>
  </si>
  <si>
    <t>cristancho_mariana@javeriana.edu.co</t>
  </si>
  <si>
    <t>320/388-4023</t>
  </si>
  <si>
    <t>Daniel Esteban Delgado Merchan</t>
  </si>
  <si>
    <t>daniele_delgado@javeriana.edu.co</t>
  </si>
  <si>
    <t>318/614-6539</t>
  </si>
  <si>
    <t>Tania Lorena Granados Romero</t>
  </si>
  <si>
    <t>granados_tania@javeriana.edu.co</t>
  </si>
  <si>
    <t>322/479-4099</t>
  </si>
  <si>
    <t>Nardi Vanesa Martinez Alvarez</t>
  </si>
  <si>
    <t>nvanesamartinez@javeriana.edu.co</t>
  </si>
  <si>
    <t>310/674-0332</t>
  </si>
  <si>
    <t>Juan Esteban Martinez Villalobos</t>
  </si>
  <si>
    <t>juan.martinezv@javeriana.edu.co</t>
  </si>
  <si>
    <t>313/844-4485</t>
  </si>
  <si>
    <t>SABOGAL BARBOSA,LILIA JOHANNA</t>
  </si>
  <si>
    <t>sabogallilia@javeriana.edu.co</t>
  </si>
  <si>
    <t>316/439-2256</t>
  </si>
  <si>
    <t>MORALES GARNICA,JUAN CAMILO</t>
  </si>
  <si>
    <t>jcamilo_morales@javeriana.edu.co</t>
  </si>
  <si>
    <t>314/326-9095</t>
  </si>
  <si>
    <t>PAEZ SIERRA,LAURA CAMILA</t>
  </si>
  <si>
    <t>paezslc@javeriana.edu.co</t>
  </si>
  <si>
    <t>350/488-6400</t>
  </si>
  <si>
    <t>QUIJANO CASTAÑEDA,JOSE ALEJANDRO</t>
  </si>
  <si>
    <t>quijano_jose@javeriana.edu.co</t>
  </si>
  <si>
    <t>321/314-3912</t>
  </si>
  <si>
    <t>SUAREZ TELLEZ,SEBASTIAN</t>
  </si>
  <si>
    <t>ssuarezt@javeriana.edu.co</t>
  </si>
  <si>
    <t>311/882-8355</t>
  </si>
  <si>
    <t>RODRIGUEZ ACEVEDO,MARIANA</t>
  </si>
  <si>
    <t>ro-mariana@javeriana.edu.co</t>
  </si>
  <si>
    <t>344-8664</t>
  </si>
  <si>
    <t>VARGAS RENDON,MARTIN</t>
  </si>
  <si>
    <t>martin-vargas@javeriana.edu.co</t>
  </si>
  <si>
    <t>316/304-4107</t>
  </si>
  <si>
    <t>VILLAMIZAR BASTO,YERALDY TATIANA</t>
  </si>
  <si>
    <t>yeraldy.villamizar@javeriana.edu.co</t>
  </si>
  <si>
    <t>301/665-8520</t>
  </si>
  <si>
    <t>VILLANUEVA GOMEZ,REBECA</t>
  </si>
  <si>
    <t>rebecavillanueva@javeriana.edu.co</t>
  </si>
  <si>
    <t>313/581-6373</t>
  </si>
  <si>
    <t>CHIAPPE TORRES,ANDRES FELIPE</t>
  </si>
  <si>
    <t>a-chiappe@javeriana.edu.co</t>
  </si>
  <si>
    <t>+34747495227</t>
  </si>
  <si>
    <t>David santiago camacho</t>
  </si>
  <si>
    <t>david_camacho@javeriana.edu.co</t>
  </si>
  <si>
    <t>474-2045</t>
  </si>
  <si>
    <t>Cristhian Alejandro Orozco</t>
  </si>
  <si>
    <t>cristhian-orozco@javeriana.edu.co</t>
  </si>
  <si>
    <t>315/669-7707</t>
  </si>
  <si>
    <t>María José Martínez Lopera</t>
  </si>
  <si>
    <t>mj.martinezl@javeriana.edu.co</t>
  </si>
  <si>
    <t>301/655-4400</t>
  </si>
  <si>
    <t xml:space="preserve">Miguel Eduardo Rojas Márquez </t>
  </si>
  <si>
    <t>rojas-me@javeriana.edu.co</t>
  </si>
  <si>
    <t>320/466-5575</t>
  </si>
  <si>
    <t>Carlos Nicolas Coral Revelo</t>
  </si>
  <si>
    <t>carlos.coralr@javeriana.edu.co</t>
  </si>
  <si>
    <t>311/811-5031</t>
  </si>
  <si>
    <t>María Camila agudelo sotelo</t>
  </si>
  <si>
    <t>agudelo_maria@javeriana.edu.co</t>
  </si>
  <si>
    <t>318/801-1181</t>
  </si>
  <si>
    <t>Carlos Matteo Lopez Barrera</t>
  </si>
  <si>
    <t>cm.lopez@javeriana.edu.co</t>
  </si>
  <si>
    <t>313/453-9978</t>
  </si>
  <si>
    <t xml:space="preserve">Leidy Dahiana Muñoz Gualteros </t>
  </si>
  <si>
    <t>leidymunoz@javeriana.edu.co</t>
  </si>
  <si>
    <t>313/320-5265</t>
  </si>
  <si>
    <t xml:space="preserve">Moisés Franco Baquero </t>
  </si>
  <si>
    <t>franco.moises@javeriana.edu.co</t>
  </si>
  <si>
    <t>317/502-3974</t>
  </si>
  <si>
    <t xml:space="preserve">Daniela Karina Martínez Velásquez </t>
  </si>
  <si>
    <t>ma.daniela@javeriana.edu.co</t>
  </si>
  <si>
    <t>475-2923</t>
  </si>
  <si>
    <t>Santiago Ruiz Rozo</t>
  </si>
  <si>
    <t>ruizr.s@javeriana.edu.co</t>
  </si>
  <si>
    <t>274-8421</t>
  </si>
  <si>
    <t>Andrés Felipe Hernández</t>
  </si>
  <si>
    <t>he_andres@javeriana.edu.co</t>
  </si>
  <si>
    <t>310/303-2792</t>
  </si>
  <si>
    <t>Julián Ricardo Poveda Briceño</t>
  </si>
  <si>
    <t>poveda-julian@javeriana.edu.co</t>
  </si>
  <si>
    <t>313/322-3084</t>
  </si>
  <si>
    <t xml:space="preserve">Sebastian Novoa Carrillo </t>
  </si>
  <si>
    <t>novoa-sebastian@javeriana.edu.co</t>
  </si>
  <si>
    <t>311/291-3741</t>
  </si>
  <si>
    <t>David Santiago Torres Carrillo</t>
  </si>
  <si>
    <t>torresdavid@javeriana.edu.co</t>
  </si>
  <si>
    <t>312/538-7345</t>
  </si>
  <si>
    <t>Ana María González Perico</t>
  </si>
  <si>
    <t>go_ana@javeriana.edu.co</t>
  </si>
  <si>
    <t>322/372-9395</t>
  </si>
  <si>
    <t>Johan Sebastián Casallas Reslen</t>
  </si>
  <si>
    <t>casallas-jsebastian@javeriana.edu.co</t>
  </si>
  <si>
    <t>313/890-9141</t>
  </si>
  <si>
    <t>Juan David Herrera Alba</t>
  </si>
  <si>
    <t>herrerajuan@javeriana.edu.co</t>
  </si>
  <si>
    <t>322/212-2978</t>
  </si>
  <si>
    <t xml:space="preserve">Francisco José Serpa Martínez </t>
  </si>
  <si>
    <t>serpa-francisco@javeriana.edu.co</t>
  </si>
  <si>
    <t>317/895-1747</t>
  </si>
  <si>
    <t xml:space="preserve">Ana María Gutiérrez Zamudio  </t>
  </si>
  <si>
    <t>amgutierrez@javeriana.edu.co</t>
  </si>
  <si>
    <t>320/874-7956</t>
  </si>
  <si>
    <t>Santiago Martinez Romero</t>
  </si>
  <si>
    <t>santiagomartinezr@javeriana.edu.co</t>
  </si>
  <si>
    <t>318/691-5634</t>
  </si>
  <si>
    <t>Rino Gabriel Bohorquez Camargo</t>
  </si>
  <si>
    <t>rino.bohorquezc@javeriana.edu.co</t>
  </si>
  <si>
    <t>316/042-9292</t>
  </si>
  <si>
    <t>Juan Camilo Rivera Gutierrez</t>
  </si>
  <si>
    <t>jcrivera@javeriana.edu.co</t>
  </si>
  <si>
    <t>310/261-7348</t>
  </si>
  <si>
    <t xml:space="preserve">Jorge Mauricio Martínez Martínez </t>
  </si>
  <si>
    <t>martinezjorge@javeriana.edu.co</t>
  </si>
  <si>
    <t>304/243-5625</t>
  </si>
  <si>
    <t xml:space="preserve">Manuela Estrada Giraldo </t>
  </si>
  <si>
    <t>estradag_manuela@javeriana.edu.co</t>
  </si>
  <si>
    <t>310/257-3271</t>
  </si>
  <si>
    <t>Valentina Rodriguez</t>
  </si>
  <si>
    <t>varodriguez@javeriana.edu.co</t>
  </si>
  <si>
    <t>301/464-5172</t>
  </si>
  <si>
    <t>Manuel Alejandro Buitrago Torres</t>
  </si>
  <si>
    <t>ma.buitrago@javeriana.edu.co</t>
  </si>
  <si>
    <t>316/522-3695</t>
  </si>
  <si>
    <t xml:space="preserve">Juan José Giraldo Reinoso </t>
  </si>
  <si>
    <t>ju.giraldo@javeriana.edu.co</t>
  </si>
  <si>
    <t>312/422-8358</t>
  </si>
  <si>
    <t xml:space="preserve">Juan Camilo Becerra Medina </t>
  </si>
  <si>
    <t>juanbecerra@javeriana.edu.co</t>
  </si>
  <si>
    <t>322/736-1836</t>
  </si>
  <si>
    <t>Andres Velasquez Ramirez</t>
  </si>
  <si>
    <t>andresvelasquez@javeriana.edu.co</t>
  </si>
  <si>
    <t>313/899-4860</t>
  </si>
  <si>
    <t>Cristian Andrés Pérez</t>
  </si>
  <si>
    <t>perezcristian@javeriana.edu.co</t>
  </si>
  <si>
    <t>313/241-0006</t>
  </si>
  <si>
    <t>Miguel Angel Martinez Vivas</t>
  </si>
  <si>
    <t>miguel.martinezv@javeriana.edu.co</t>
  </si>
  <si>
    <t>312/427-3572</t>
  </si>
  <si>
    <t xml:space="preserve">Santiago Casadiego Ramos </t>
  </si>
  <si>
    <t>santiago-casadiego@javeriana.edu.co</t>
  </si>
  <si>
    <t>320/314-9955</t>
  </si>
  <si>
    <t>Jefferson Ñañez Palomino</t>
  </si>
  <si>
    <t>jnanez@javeriana.edu.co</t>
  </si>
  <si>
    <t>320/943-6309</t>
  </si>
  <si>
    <t xml:space="preserve">Catalina Castilla Sánchez </t>
  </si>
  <si>
    <t>catalinacastilla@javeriana.edu.co</t>
  </si>
  <si>
    <t>315/340-4186</t>
  </si>
  <si>
    <t>Carlos gutierrez cortes</t>
  </si>
  <si>
    <t>gu_carlos@javeriana.edu.co</t>
  </si>
  <si>
    <t>310/233-8343</t>
  </si>
  <si>
    <t>Jorge Andres Lozano Uribe</t>
  </si>
  <si>
    <t>lozano-jandres@javeriana.edu.co</t>
  </si>
  <si>
    <t>318/229-6308</t>
  </si>
  <si>
    <t xml:space="preserve">Michell Herrera Cuestas </t>
  </si>
  <si>
    <t>michell_herrera@javeriana.edu.co</t>
  </si>
  <si>
    <t>323/204-9478</t>
  </si>
  <si>
    <t>Camila Sanchez lopez</t>
  </si>
  <si>
    <t>sanchezcamila@javeriana.edu.co</t>
  </si>
  <si>
    <t>315/680-2744</t>
  </si>
  <si>
    <t xml:space="preserve">Salomon de Jesus Jimenez Arrieta </t>
  </si>
  <si>
    <t>salomonjimeneza@javeriana.edu.co</t>
  </si>
  <si>
    <t>314/512-7986</t>
  </si>
  <si>
    <t xml:space="preserve">Juan Pablo Gomez Valbuena </t>
  </si>
  <si>
    <t>gomezv.jp@javeriana.edu.co</t>
  </si>
  <si>
    <t>321/464-4200</t>
  </si>
  <si>
    <t xml:space="preserve">Sergio Andrés Cañón Diaz </t>
  </si>
  <si>
    <t>sergio.canon@javeriana.edu.co</t>
  </si>
  <si>
    <t>319/449-7673</t>
  </si>
  <si>
    <t>GALLEGO MESTRA,DAVID MAURICIO</t>
  </si>
  <si>
    <t>davidgallego@javeriana.edu.co</t>
  </si>
  <si>
    <t>301/659-0167</t>
  </si>
  <si>
    <t>MORENO RINCON,JUAN SEBASTIAN</t>
  </si>
  <si>
    <t>js-moreno@javeriana.edu.co</t>
  </si>
  <si>
    <t>320/972-0778</t>
  </si>
  <si>
    <t>ORTEGA TORRES,ANA MARIA</t>
  </si>
  <si>
    <t>ana.ortega@javeriana.edu.co</t>
  </si>
  <si>
    <t>311/450-3080</t>
  </si>
  <si>
    <t>CASTAÑEDA GOMEZ,PAULA VALENTINA</t>
  </si>
  <si>
    <t>castaneda.paula@javeriana.edu.co</t>
  </si>
  <si>
    <t>301/395-3532</t>
  </si>
  <si>
    <t>ANGEL MARIN,ANDRES CAMILO</t>
  </si>
  <si>
    <t>ac.angel@javeriana.edu.co</t>
  </si>
  <si>
    <t>852-1027</t>
  </si>
  <si>
    <t>BOHORQUEZ ALFONSO,DANIEL FERNANDO</t>
  </si>
  <si>
    <t>danielbohorquez@javeriana.edu.co</t>
  </si>
  <si>
    <t>312/324-9229</t>
  </si>
  <si>
    <t>BRAVO CEBALLOS,WILSON BERNARDO</t>
  </si>
  <si>
    <t>bravoc_wilson@javeriana.edu.co</t>
  </si>
  <si>
    <t>323/386-5878</t>
  </si>
  <si>
    <t>BRAVO SANTACRUZ,JUAN SEBASTIAN</t>
  </si>
  <si>
    <t>bravos.js@javeriana.edu.co</t>
  </si>
  <si>
    <t>321/281-5679</t>
  </si>
  <si>
    <t>BUSTACARA RODRIGUEZ,JUAN SEBASTIAN</t>
  </si>
  <si>
    <t>bustacara-js@javeriana.edu.co</t>
  </si>
  <si>
    <t>783235194</t>
  </si>
  <si>
    <t>CARMONA GONZALEZ,JUAN MANUEL</t>
  </si>
  <si>
    <t>juan-carmona@javeriana.edu.co</t>
  </si>
  <si>
    <t>315/737-3564</t>
  </si>
  <si>
    <t>CASTRO GUEVARA,DARWIN FELIPE</t>
  </si>
  <si>
    <t>df-castrog@javeriana.edu.co</t>
  </si>
  <si>
    <t>310/619-1235</t>
  </si>
  <si>
    <t>DURAN GARZON,MARIA VALENTINA</t>
  </si>
  <si>
    <t>mariavduran@javeriana.edu.co</t>
  </si>
  <si>
    <t>318/634-6929</t>
  </si>
  <si>
    <t>ELNESER TEJEDA,ANDREA CAROLINA</t>
  </si>
  <si>
    <t>andreaelneser@javeriana.edu.co</t>
  </si>
  <si>
    <t>300/635-0708</t>
  </si>
  <si>
    <t>FAJARDO VELANDIA,LUDY MARINELLA</t>
  </si>
  <si>
    <t>ludy.fajardo@javeriana.edu.co</t>
  </si>
  <si>
    <t>322/930-4638</t>
  </si>
  <si>
    <t>GARCIA RODRIGUEZ,JUAN PABLO</t>
  </si>
  <si>
    <t>garciar.juan@javeriana.edu.co</t>
  </si>
  <si>
    <t>315/926-6056</t>
  </si>
  <si>
    <t>GOMEZ SIERRA,MARLON JOHAN</t>
  </si>
  <si>
    <t>gomez_marlon@javeriana.edu.co</t>
  </si>
  <si>
    <t>300/752-6954</t>
  </si>
  <si>
    <t>GRANADOS CAMACHO,ANDRES FELIPE</t>
  </si>
  <si>
    <t>andresgranados@javeriana.edu.co</t>
  </si>
  <si>
    <t>317/886-3069</t>
  </si>
  <si>
    <t>MEJIA MARTINEZ,CAMILO ESTEBAN</t>
  </si>
  <si>
    <t>mejiacamiloe@javeriana.edu.co</t>
  </si>
  <si>
    <t>319/512-8959</t>
  </si>
  <si>
    <t>MOLINA CAMPOS,JULIAN STEVEN</t>
  </si>
  <si>
    <t>julian_molina@javeriana.edu.co</t>
  </si>
  <si>
    <t>319/355-7068</t>
  </si>
  <si>
    <t>MONTES MORALES,TANIA XIMENA</t>
  </si>
  <si>
    <t>montes.tania@javeriana.edu.co</t>
  </si>
  <si>
    <t>310/858-6573</t>
  </si>
  <si>
    <t>MUÑOZ CALVO,JUAN ANDRES</t>
  </si>
  <si>
    <t>munozc.j@javeriana.edu.co</t>
  </si>
  <si>
    <t>300/710-7166</t>
  </si>
  <si>
    <t>OVIEDO PASUY,JULIAN DAVID</t>
  </si>
  <si>
    <t>julian.oviedo@javeriana.edu.co</t>
  </si>
  <si>
    <t>321/882-5307</t>
  </si>
  <si>
    <t>OLAYA SANCHEZ,DARWIN</t>
  </si>
  <si>
    <t>darwin.olaya@javeriana.edu.co</t>
  </si>
  <si>
    <t>314/384-3040</t>
  </si>
  <si>
    <t>QUINTANA ECHAVARRIA,DAVID SANTIAGO</t>
  </si>
  <si>
    <t>quintanae-david@javeriana.edu.co</t>
  </si>
  <si>
    <t>320/318-4627</t>
  </si>
  <si>
    <t>RAMBAUTH CESPEDES,HAROL YESID</t>
  </si>
  <si>
    <t>h-rambauth@javeriana.edu.co</t>
  </si>
  <si>
    <t>315/813-3513</t>
  </si>
  <si>
    <t>RAMIREZ BELTRAN,NICOLAS JAVIER</t>
  </si>
  <si>
    <t>ramirez.nicolasj@javeriana.edu.co</t>
  </si>
  <si>
    <t>317/649-6283</t>
  </si>
  <si>
    <t>RIVEROS PINZON,JUAN CAMILO</t>
  </si>
  <si>
    <t>jcriveros@javeriana.edu.co</t>
  </si>
  <si>
    <t>312/564-9002</t>
  </si>
  <si>
    <t>ROJAS ESLAVA,JULIAN PARMENIO</t>
  </si>
  <si>
    <t>rojase_julian@javeriana.edu.co</t>
  </si>
  <si>
    <t>310/310-4649</t>
  </si>
  <si>
    <t>TORRES CARMONA,DIEGO</t>
  </si>
  <si>
    <t>diego.torresc@javeriana.edu.co</t>
  </si>
  <si>
    <t>+33 768895048</t>
  </si>
  <si>
    <t>VELASQUEZ RESTREPO,JUAN DAVID</t>
  </si>
  <si>
    <t>jdavidvelasquezr@javeriana.edu.co</t>
  </si>
  <si>
    <t>318/398-6401</t>
  </si>
  <si>
    <t>VILLARREAL VILLARRAGA,SANTIAGO</t>
  </si>
  <si>
    <t>santiago.villarreal@javeriana.edu.co</t>
  </si>
  <si>
    <t>316/673-1953</t>
  </si>
  <si>
    <t>ZAMBRANO ACOSTA,DANIEL STIVEN</t>
  </si>
  <si>
    <t>danielzambranoa@javeriana.edu.co</t>
  </si>
  <si>
    <t>313/272-5488</t>
  </si>
  <si>
    <t>GUEVARA SUAREZ,JOSE IGNACIO</t>
  </si>
  <si>
    <t>guevara.jose@javeriana.edu.co</t>
  </si>
  <si>
    <t>316/371-9692</t>
  </si>
  <si>
    <t>BARRERA CARO,SARA SOFIA</t>
  </si>
  <si>
    <t>ssbarrera@javeriana.edu.co</t>
  </si>
  <si>
    <t>321/485-9994</t>
  </si>
  <si>
    <t>CASTRO CRUZ,DAVID SANTIAGO</t>
  </si>
  <si>
    <t>ds_castro@javeriana.edu.co</t>
  </si>
  <si>
    <t>321/969-6566</t>
  </si>
  <si>
    <t>GONZALEZ ROJAS,JUAN PABLO</t>
  </si>
  <si>
    <t>gonzalezjp@javeriana.edu.co</t>
  </si>
  <si>
    <t>310/889-5285</t>
  </si>
  <si>
    <t>JIMENEZ VALBUENA,FELIPE</t>
  </si>
  <si>
    <t>f_jimenez@javeriana.edu.co</t>
  </si>
  <si>
    <t>315/772-5387</t>
  </si>
  <si>
    <t>MONROY REGALADO,MARIA ALEJANDRA</t>
  </si>
  <si>
    <t>monroy_ma@javeriana.edu.co</t>
  </si>
  <si>
    <t>321/919-6691</t>
  </si>
  <si>
    <t>NIÑO PARDO,ANA MARIA</t>
  </si>
  <si>
    <t>ninop.a@javeriana.edu.co</t>
  </si>
  <si>
    <t>320/962-1995</t>
  </si>
  <si>
    <t>PACHON RODRIGUEZ,LAURA VANESSA</t>
  </si>
  <si>
    <t>lv-pachon@javeriana.edu.co</t>
  </si>
  <si>
    <t>321/335-0183</t>
  </si>
  <si>
    <t>REYES MOYA,JUAN DAVID</t>
  </si>
  <si>
    <t>juand-reyesm@javeriana.edu.co</t>
  </si>
  <si>
    <t>312/313-2137</t>
  </si>
  <si>
    <t>TERREROS ROMERO,OSCAR ANDRES</t>
  </si>
  <si>
    <t>terreros-o@javeriana.edu.co</t>
  </si>
  <si>
    <t>324/552-5009</t>
  </si>
  <si>
    <t>VERGEL PEÑALOZA,MARIA CAMILA</t>
  </si>
  <si>
    <t>mc_vergel@javeriana.edu.co</t>
  </si>
  <si>
    <t>301/560-8116</t>
  </si>
  <si>
    <t>VILLATE SANCHEZ,TATIANA ALEJANDRA</t>
  </si>
  <si>
    <t>villate.t@javeriana.edu.co</t>
  </si>
  <si>
    <t>319/654-6036</t>
  </si>
  <si>
    <t>PARRA GUIO,NATALIA</t>
  </si>
  <si>
    <t>parragn@javeriana.edu.co</t>
  </si>
  <si>
    <t>743-3335</t>
  </si>
  <si>
    <t>GONZALEZ PEREZ,DIEGO ANDRES</t>
  </si>
  <si>
    <t>diego_gonzalezp@javeriana.edu.co</t>
  </si>
  <si>
    <t>315/686-8635</t>
  </si>
  <si>
    <t>MARTINEZ SOLANO,JORGE ALBERTO</t>
  </si>
  <si>
    <t>martinezj_o@javeriana.edu.co</t>
  </si>
  <si>
    <t>316/621-6157</t>
  </si>
  <si>
    <t>POLANIA CAMACHO,MARIANA</t>
  </si>
  <si>
    <t>m.polaniac@javeriana.edu.co</t>
  </si>
  <si>
    <t>322/866-4114</t>
  </si>
  <si>
    <t>PINZON NIÑO,SANTIAGO</t>
  </si>
  <si>
    <t>sa.pinzon@javeriana.edu.co</t>
  </si>
  <si>
    <t>315/224-3528</t>
  </si>
  <si>
    <t>CHACON HERRERA,LAURA VALENTINA</t>
  </si>
  <si>
    <t>chacon.laurav@javeriana.edu.co</t>
  </si>
  <si>
    <t>304/337-6075</t>
  </si>
  <si>
    <t>LOZANO CARDENAS,ISABELLA</t>
  </si>
  <si>
    <t>isabella-lozano@javeriana.edu.co</t>
  </si>
  <si>
    <t>315/475-2955</t>
  </si>
  <si>
    <t>PEÑA GUTIERREZ,JOSE RAFAEL</t>
  </si>
  <si>
    <t>jrafael_pena@javeriana.edu.co</t>
  </si>
  <si>
    <t>321/201-5291</t>
  </si>
  <si>
    <t>AISSA MOLANO,SALIM ABDELL</t>
  </si>
  <si>
    <t>salima-aissa@javeriana.edu.co</t>
  </si>
  <si>
    <t>316/303-9043</t>
  </si>
  <si>
    <t>HERNANDEZ ARCHILA,JUAN DIEGO</t>
  </si>
  <si>
    <t>hernandezjuand@javeriana.edu.co</t>
  </si>
  <si>
    <t>310/298-5150</t>
  </si>
  <si>
    <t>HURTADO SIMMONDS,JUAN ANDRES</t>
  </si>
  <si>
    <t>ju.hurtado@javeriana.edu.co</t>
  </si>
  <si>
    <t>315/616-5253</t>
  </si>
  <si>
    <t>SALAZAR RIAÑO,DANIEL MAURICIO</t>
  </si>
  <si>
    <t>danielmsalazar@javeriana.edu.co</t>
  </si>
  <si>
    <t>315/367-0394</t>
  </si>
  <si>
    <t>GONZALEZ MOJICA,PAULA ANDREA</t>
  </si>
  <si>
    <t>gonzalezpaula@javeriana.edu.co</t>
  </si>
  <si>
    <t>322/212-3130</t>
  </si>
  <si>
    <t>BUSTAMANTE CASTILLO,ANGELA</t>
  </si>
  <si>
    <t>a-bustamante@javeriana.edu.co</t>
  </si>
  <si>
    <t>322/211-7518</t>
  </si>
  <si>
    <t>GOMEZ PAVA,JUAN SEBASTIAN</t>
  </si>
  <si>
    <t>jsgomez@javeriana.edu.co</t>
  </si>
  <si>
    <t>316/616-5790</t>
  </si>
  <si>
    <t>ROMERO ROMERO,JULIAN DARIO</t>
  </si>
  <si>
    <t>jdarioromeror@javeriana.edu.co</t>
  </si>
  <si>
    <t>313 4131014</t>
  </si>
  <si>
    <t>ARIAS HERNANDEZ,MARIA ALEJANDRA</t>
  </si>
  <si>
    <t>arias_maria@javeriana.edu.co</t>
  </si>
  <si>
    <t>314/604-2571</t>
  </si>
  <si>
    <t>ROJAS SAMPEDRO,ANLLY PAOLA</t>
  </si>
  <si>
    <t>anllyp_rojass@javeriana.edu.co</t>
  </si>
  <si>
    <t>304/244-0129</t>
  </si>
  <si>
    <t>TORRES TORRES,ERIKA JULIANA</t>
  </si>
  <si>
    <t>ejulianatorrest@javeriana.edu.co</t>
  </si>
  <si>
    <t>322/723-1708</t>
  </si>
  <si>
    <t>AREVALO TUNJANO,NATALIA VALENTINA</t>
  </si>
  <si>
    <t>nv_arevalo@javeriana.edu.co</t>
  </si>
  <si>
    <t>318/526-2055</t>
  </si>
  <si>
    <t>HERNANDEZ OLAYA,GABRIELA</t>
  </si>
  <si>
    <t>gabriela.hernandezo@javeriana.edu.co</t>
  </si>
  <si>
    <t>310/773-7754</t>
  </si>
  <si>
    <t>OTERO CACERES,NICOLAS</t>
  </si>
  <si>
    <t>oteronicolas@javeriana.edu.co</t>
  </si>
  <si>
    <t>321/913-0533</t>
  </si>
  <si>
    <t>RINCON LATORRE,PAULA ANDREA</t>
  </si>
  <si>
    <t>paularinconl@javeriana.edu.co</t>
  </si>
  <si>
    <t>350/449-1556</t>
  </si>
  <si>
    <t>SERRANO HURTADO,ANGELA XIMENA</t>
  </si>
  <si>
    <t>angela_serranoh@javeriana.edu.co</t>
  </si>
  <si>
    <t>318/720-3659</t>
  </si>
  <si>
    <t>GIRALDO GARZON,ANGELA VANESSA</t>
  </si>
  <si>
    <t>angiraldo@javeriana.edu.co</t>
  </si>
  <si>
    <t>313/490-9259</t>
  </si>
  <si>
    <t>CARTAGENA GARCIA,CARLOS ANDRES</t>
  </si>
  <si>
    <t>carloscartagena@javeriana.edu.co</t>
  </si>
  <si>
    <t>321/301-8588</t>
  </si>
  <si>
    <t>CORRALES RAMOS,MELINA ANDREA</t>
  </si>
  <si>
    <t>corralesm.e@javeriana.edu.co</t>
  </si>
  <si>
    <t>320/718-0312</t>
  </si>
  <si>
    <t>HERNANDEZ CHIRIBI,JUAN PABLO</t>
  </si>
  <si>
    <t>juanp-hernandez@javeriana.edu.co</t>
  </si>
  <si>
    <t>301/310-5599</t>
  </si>
  <si>
    <t>JIMENEZ ANGULO,JUAN MANUEL</t>
  </si>
  <si>
    <t>jimenezjmanuel@javeriana.edu.co</t>
  </si>
  <si>
    <t>323/210-9464</t>
  </si>
  <si>
    <t>LABASTIDAS MARTINEZ,ESTEBAN DAVID</t>
  </si>
  <si>
    <t>estebanlabastidasm@javeriana.edu.co</t>
  </si>
  <si>
    <t>314/546-6357</t>
  </si>
  <si>
    <t>MEDINA MONTERO,ANGIE VANESA</t>
  </si>
  <si>
    <t>medina_angie@javeriana.edu.co</t>
  </si>
  <si>
    <t>302/232-1070</t>
  </si>
  <si>
    <t>OSSA AHUMADA,JUAN DAVID</t>
  </si>
  <si>
    <t>jdossa@javeriana.edu.co</t>
  </si>
  <si>
    <t>316/349-1180</t>
  </si>
  <si>
    <t>RODRIGUEZ VARON,ALEJANDRO</t>
  </si>
  <si>
    <t>alejandro_rodriguezv@javeriana.edu.co</t>
  </si>
  <si>
    <t>311/243-2992</t>
  </si>
  <si>
    <t>ROMERO RODRIGUEZ,CIELO VALENTINA</t>
  </si>
  <si>
    <t>romerocielov@javeriana.edu.co</t>
  </si>
  <si>
    <t>301/258-4079</t>
  </si>
  <si>
    <t>SILVA BERNAL,SOFIA</t>
  </si>
  <si>
    <t>sofiasilvab@javeriana.edu.co</t>
  </si>
  <si>
    <t>314/434-4375</t>
  </si>
  <si>
    <t>BARRERA ANGARITA,SEBASTIAN</t>
  </si>
  <si>
    <t>sebastianbarrera@javeriana.edu.co</t>
  </si>
  <si>
    <t>320/377-1212</t>
  </si>
  <si>
    <t>ARANGO RAMOS,JULIAN</t>
  </si>
  <si>
    <t>j.arangor@javeriana.edu.co</t>
  </si>
  <si>
    <t>310/552-1055</t>
  </si>
  <si>
    <t>CUESTA BAQUERO,NICOLAS ESTEBAN</t>
  </si>
  <si>
    <t>cuestabnicolas@javeriana.edu.co</t>
  </si>
  <si>
    <t>300/772-7736</t>
  </si>
  <si>
    <t>GIRALDO GOMEZ,ISABELLA</t>
  </si>
  <si>
    <t>i_giraldo@javeriana.edu.co</t>
  </si>
  <si>
    <t>304/215-8643</t>
  </si>
  <si>
    <t>HERNANDEZ LEAL,SANTIAGO</t>
  </si>
  <si>
    <t>hernandezls@javeriana.edu.co</t>
  </si>
  <si>
    <t>315/697-8210</t>
  </si>
  <si>
    <t>MENDOZA RINCONES,MARIA ALEJANDRA</t>
  </si>
  <si>
    <t>mendoza-mariaa@javeriana.edu.co</t>
  </si>
  <si>
    <t>318/855-2475</t>
  </si>
  <si>
    <t>PINZON PINILLA,NICOLAS</t>
  </si>
  <si>
    <t>nicolaspinzonp@javeriana.edu.co</t>
  </si>
  <si>
    <t>319/350-8224</t>
  </si>
  <si>
    <t>TOBAR FAJARDO,JUAN DAVID</t>
  </si>
  <si>
    <t>juand_tobarf@javeriana.edu.co</t>
  </si>
  <si>
    <t>300/687-6368</t>
  </si>
  <si>
    <t>ROMERO NAVARRO,YESLI VANESSA</t>
  </si>
  <si>
    <t>yesli.romeron@javeriana.edu.co</t>
  </si>
  <si>
    <t>316/174-8617</t>
  </si>
  <si>
    <t>BALCAZAR FONSECA,TATIANA ALEJANDRA</t>
  </si>
  <si>
    <t>balcazartatianaa@javeriana.edu.co</t>
  </si>
  <si>
    <t>310/850-7797</t>
  </si>
  <si>
    <t>BAUTISTA HERRERA,NATALIA</t>
  </si>
  <si>
    <t>natalia_bautista@javeriana.edu.co</t>
  </si>
  <si>
    <t>322/852-3746</t>
  </si>
  <si>
    <t>MORA VERGARA,SARA XIMENA</t>
  </si>
  <si>
    <t>gasara@javeriana.edu.co</t>
  </si>
  <si>
    <t>302/263-4769</t>
  </si>
  <si>
    <t>LOPEZ ROJAS,JUAN ANDRES</t>
  </si>
  <si>
    <t>lopez-ja@javeriana.edu.co</t>
  </si>
  <si>
    <t>301/400-8043</t>
  </si>
  <si>
    <t>GRANADOS PAEZ,LEIDER SAID</t>
  </si>
  <si>
    <t>leidergranados@javeriana.edu.co</t>
  </si>
  <si>
    <t>576-5579</t>
  </si>
  <si>
    <t>LOZANO CALDERON,PABLO DAVID</t>
  </si>
  <si>
    <t>lozano-pablod@javeriana.edu.co</t>
  </si>
  <si>
    <t>305/333-1563</t>
  </si>
  <si>
    <t>VILLALBA OLIVOS,LAURA VALENTINA</t>
  </si>
  <si>
    <t>lv-villalba@javeriana.edu.co</t>
  </si>
  <si>
    <t>350/792-9435</t>
  </si>
  <si>
    <t>CASTAÑEDA ROJAS,MANUEL FELIPE</t>
  </si>
  <si>
    <t>mf-castaneda@javeriana.edu.co</t>
  </si>
  <si>
    <t>318/553-5130</t>
  </si>
  <si>
    <t>HERNANDEZ MATEUS,JUAN DAVID</t>
  </si>
  <si>
    <t>hernandezjd@javeriana.edu.co</t>
  </si>
  <si>
    <t>310/216-5679</t>
  </si>
  <si>
    <t>JOYA CASTELLANOS,MARIA PAULA</t>
  </si>
  <si>
    <t>joya-mp@javeriana.edu.co</t>
  </si>
  <si>
    <t>316/622-2613</t>
  </si>
  <si>
    <t>MILLAN ANAYA,LUIS ALFREDO</t>
  </si>
  <si>
    <t>millan_l@javeriana.edu.co</t>
  </si>
  <si>
    <t>311/478-8132</t>
  </si>
  <si>
    <t>MANTILLA MALDONADO,RICARDO DANIEL</t>
  </si>
  <si>
    <t>rd_mantilla@javeriana.edu.co</t>
  </si>
  <si>
    <t>316/691-7642</t>
  </si>
  <si>
    <t>SEGURA BERNAL,CRISTIAN DAVID</t>
  </si>
  <si>
    <t>seguracd@javeriana.edu.co</t>
  </si>
  <si>
    <t>310/877-2842</t>
  </si>
  <si>
    <t>SILVA ARCILA,NICOLAS ANDRES</t>
  </si>
  <si>
    <t>silva.na@javeriana.edu.co</t>
  </si>
  <si>
    <t>314/297-3492</t>
  </si>
  <si>
    <t>SUTA SANCHEZ,SERGIO ANDRES</t>
  </si>
  <si>
    <t>sandres.suta@javeriana.edu.co</t>
  </si>
  <si>
    <t>301/304-3031</t>
  </si>
  <si>
    <t>JAIMES MARTINEZ,NICOLAS ALBERTO</t>
  </si>
  <si>
    <t>nicolas_jaimes@javeriana.edu.co</t>
  </si>
  <si>
    <t>317/434-0267</t>
  </si>
  <si>
    <t>REY CAMPEROS,SARA MARIA</t>
  </si>
  <si>
    <t>reysara@javeriana.edu.co</t>
  </si>
  <si>
    <t>313/831-7906</t>
  </si>
  <si>
    <t>RODRIGUEZ REVILLA,PABLO EMILIO</t>
  </si>
  <si>
    <t>rodriguez.pabloe@javeriana.edu.co</t>
  </si>
  <si>
    <t>304/328-6075</t>
  </si>
  <si>
    <t>ARIZA BAUTISTA,JUAN ANDRES</t>
  </si>
  <si>
    <t>ja_ariza@javeriana.edu.co</t>
  </si>
  <si>
    <t>320/381-7550</t>
  </si>
  <si>
    <t>CORTES CAMACHO,JUAN FELIPE</t>
  </si>
  <si>
    <t>juanfcortes@javeriana.edu.co</t>
  </si>
  <si>
    <t>320/881-2177</t>
  </si>
  <si>
    <t>FIESCO BUSTOS,DAVID ESTEBAN</t>
  </si>
  <si>
    <t>davide-fiescob@javeriana.edu.co</t>
  </si>
  <si>
    <t>312/451-2518</t>
  </si>
  <si>
    <t>GALVEZ LOZANO,MANUELA MARIA</t>
  </si>
  <si>
    <t>manuela_galvez@javeriana.edu.co</t>
  </si>
  <si>
    <t>304/375-0617</t>
  </si>
  <si>
    <t>GONZALEZ ARAQUE,NICOLAS</t>
  </si>
  <si>
    <t>nigonzalez@javeriana.edu.co</t>
  </si>
  <si>
    <t>322/379-6642</t>
  </si>
  <si>
    <t>JAQUE SAZA,BRENDA SOFIA</t>
  </si>
  <si>
    <t>jaquesb@javeriana.edu.co</t>
  </si>
  <si>
    <t>300/895-3810</t>
  </si>
  <si>
    <t>PRADA BARRIOS,JUAN PABLO</t>
  </si>
  <si>
    <t>pradab-juanp@javeriana.edu.co</t>
  </si>
  <si>
    <t>321/253-4656</t>
  </si>
  <si>
    <t>RUBIANO MONTAÑA,NICOLAS ANDRES</t>
  </si>
  <si>
    <t>n-rubiano@javeriana.edu.co</t>
  </si>
  <si>
    <t>316/431-2462</t>
  </si>
  <si>
    <t>ALMECIGA BASTOS,MANUEL DAVID</t>
  </si>
  <si>
    <t>manueldalmeciga@javeriana.edu.co</t>
  </si>
  <si>
    <t>311/828-7527</t>
  </si>
  <si>
    <t>BAUTISTA ARANGO,JUAN DAVID</t>
  </si>
  <si>
    <t>jd_bautista@javeriana.edu.co</t>
  </si>
  <si>
    <t>301/597-8612</t>
  </si>
  <si>
    <t>CAMARGO TORRES,MARIA CAMILA</t>
  </si>
  <si>
    <t>mcamilacamargo@javeriana.edu.co</t>
  </si>
  <si>
    <t>313/817-4753</t>
  </si>
  <si>
    <t>PATIÑO SANTISTEBAN,NATALY SOFIA</t>
  </si>
  <si>
    <t>patino_n@javeriana.edu.co</t>
  </si>
  <si>
    <t>300/569-5747</t>
  </si>
  <si>
    <t>MANOSALVA FONSECA,MARIA JOSE</t>
  </si>
  <si>
    <t>m.manosalva@javeriana.edu.co</t>
  </si>
  <si>
    <t>300/525-0182</t>
  </si>
  <si>
    <t>MORENO GONZALEZ,NATALIA</t>
  </si>
  <si>
    <t>natalia_morenog@javeriana.edu.co</t>
  </si>
  <si>
    <t>311/279-4930</t>
  </si>
  <si>
    <t>ORDOÑEZ MORENO,JOSE LUIS</t>
  </si>
  <si>
    <t>jose.ordonezm@javeriana.edu.co</t>
  </si>
  <si>
    <t>315/364-7880</t>
  </si>
  <si>
    <t>RIVERA SANCHEZ,IVAN ANDRES</t>
  </si>
  <si>
    <t>riveras_ia@javeriana.edu.co</t>
  </si>
  <si>
    <t>310/758-3948</t>
  </si>
  <si>
    <t>SANCHEZ OLAYA,ANDRES FELIPE</t>
  </si>
  <si>
    <t>andresfsanchez@javeriana.edu.co</t>
  </si>
  <si>
    <t>304/554-0031</t>
  </si>
  <si>
    <t>ZAMORA POSADA,KATHLEEN ANDREA</t>
  </si>
  <si>
    <t>zamora_kathleena@javeriana.edu.co</t>
  </si>
  <si>
    <t>317/660-9049</t>
  </si>
  <si>
    <t>RODRIGUEZ RODRIGUEZ,JUAN ESTEBAN</t>
  </si>
  <si>
    <t>rodriguezr_juan@javeriana.edu.co</t>
  </si>
  <si>
    <t>310/313-0941</t>
  </si>
  <si>
    <t>PEDRAZA ZAMBRANO,CARLOS FELIPE</t>
  </si>
  <si>
    <t>cfelipe.pedraza@javeriana.edu.co</t>
  </si>
  <si>
    <t>300/890-4610</t>
  </si>
  <si>
    <t>DUARTE AFANADOR,SEBASTIAN DAVID</t>
  </si>
  <si>
    <t>se_duarte@javeriana.edu.co</t>
  </si>
  <si>
    <t>350/575-4949</t>
  </si>
  <si>
    <t>FLOREZ MERCADO,SANTIAGO ANDRES</t>
  </si>
  <si>
    <t>santiago-florezm@javeriana.edu.co</t>
  </si>
  <si>
    <t>310/373-5516</t>
  </si>
  <si>
    <t>CORTES ESPINOSA,SEBASTIAN</t>
  </si>
  <si>
    <t>secortes@javeriana.edu.co</t>
  </si>
  <si>
    <t>311/873-1553</t>
  </si>
  <si>
    <t>LANDINEZ ESCANDON,DANIELA</t>
  </si>
  <si>
    <t>dalandinez@javeriana.edu.co</t>
  </si>
  <si>
    <t>318/467-0730</t>
  </si>
  <si>
    <t>ORJUELA LOZANO,ANDRES FELIPE</t>
  </si>
  <si>
    <t>orjuela_af@javeriana.edu.co</t>
  </si>
  <si>
    <t>314/593-6056</t>
  </si>
  <si>
    <t>PEÑA ALARCON,GABRIELA</t>
  </si>
  <si>
    <t>pe.gabriela@javeriana.edu.co</t>
  </si>
  <si>
    <t>301/794-7564</t>
  </si>
  <si>
    <t>ARISTIZABAL ALZATE,SANTIAGO</t>
  </si>
  <si>
    <t>santiago.aristizabal@javeriana.edu.co</t>
  </si>
  <si>
    <t>317/328-1105</t>
  </si>
  <si>
    <t>RUANO CADENA,MANUEL FRANCISCO</t>
  </si>
  <si>
    <t>manuel-ruano@javeriana.edu.co</t>
  </si>
  <si>
    <t>310/793-9938</t>
  </si>
  <si>
    <t>SOMMER HENAO,MATHIAS BERNARDO</t>
  </si>
  <si>
    <t>mbsommerh@javeriana.edu.co</t>
  </si>
  <si>
    <t>321/991-4858</t>
  </si>
  <si>
    <t>VILLARREAL TRUJILLO,CARLOS ANDRES</t>
  </si>
  <si>
    <t>carlosa-villarreal@javeriana.edu.co</t>
  </si>
  <si>
    <t>350/572-5065</t>
  </si>
  <si>
    <t>RESTREPO TORRES,DANIELA</t>
  </si>
  <si>
    <t>restrepodaniela@javeriana.edu.co</t>
  </si>
  <si>
    <t>315/303-1599</t>
  </si>
  <si>
    <t>2022-20</t>
  </si>
  <si>
    <t>PINEDA SUAREZ,DANIEL ANDRES</t>
  </si>
  <si>
    <t>dapineda@javeriana.edu.co</t>
  </si>
  <si>
    <t>321/480-3788</t>
  </si>
  <si>
    <t>ARIAS MONTENEGRO,JAIME ANDRES</t>
  </si>
  <si>
    <t>jaime_arias@javeriana.edu.co</t>
  </si>
  <si>
    <t>406-0014</t>
  </si>
  <si>
    <t>FONSECA RIVERA,DAVID FELIPE</t>
  </si>
  <si>
    <t>fonseca.david@javeriana.edu.co</t>
  </si>
  <si>
    <t>316/539-0128</t>
  </si>
  <si>
    <t>LYNETT BARRERA,SANTIAGO</t>
  </si>
  <si>
    <t>santiagolynett@javeriana.edu.co</t>
  </si>
  <si>
    <t>315/586-4519</t>
  </si>
  <si>
    <t>ABADIA BERMEO,FELIPE</t>
  </si>
  <si>
    <t>abadiafe@javeriana.edu.co</t>
  </si>
  <si>
    <t>+39 3516929857</t>
  </si>
  <si>
    <t>CORREDOR CASTRO,JUAN PABLO</t>
  </si>
  <si>
    <t>ca_juan@javeriana.edu.co</t>
  </si>
  <si>
    <t>+393758362270</t>
  </si>
  <si>
    <t>VIANA DE AVILA,LEONARDO JOSE</t>
  </si>
  <si>
    <t>leonardoj_vianad@javeriana.edu.co</t>
  </si>
  <si>
    <t>945/264-5914</t>
  </si>
  <si>
    <t>CELY AMEZQUITA,PEDRO HUMBERTO</t>
  </si>
  <si>
    <t>pedro.cely@javeriana.edu.co</t>
  </si>
  <si>
    <t>311/892-5481</t>
  </si>
  <si>
    <t>ARIZA ORDOÑEZ,MATEO FELIPE</t>
  </si>
  <si>
    <t>mateo.ariza@javeriana.edu.co</t>
  </si>
  <si>
    <t>321/387-9914</t>
  </si>
  <si>
    <t>GOMEZ VELASQUEZ,NICOLAS SANTIAGO</t>
  </si>
  <si>
    <t>nsgomez@javeriana.edu.co</t>
  </si>
  <si>
    <t>305/706-1776</t>
  </si>
  <si>
    <t>DUARTE RODRIGUEZ,LIDA MARIA</t>
  </si>
  <si>
    <t>duarte_lida@javeriana.edu.co</t>
  </si>
  <si>
    <t>319/571-9600</t>
  </si>
  <si>
    <t>GARCIA ARCILA,SOFIA</t>
  </si>
  <si>
    <t>garciasofia@javeriana.edu.co</t>
  </si>
  <si>
    <t>318/699-7325</t>
  </si>
  <si>
    <t>HERNANDEZ NOREÑA,JULIAN</t>
  </si>
  <si>
    <t>he-julian@javeriana.edu.co</t>
  </si>
  <si>
    <t>318/268-0655</t>
  </si>
  <si>
    <t>MARULANDA ARGUELLO,JUANITA</t>
  </si>
  <si>
    <t>jumarulanda@javeriana.edu.co</t>
  </si>
  <si>
    <t>314/467-5554</t>
  </si>
  <si>
    <t>GARCIA RODRIGUEZ,JUAN DAVID</t>
  </si>
  <si>
    <t>jd-garciar@javeriana.edu.co</t>
  </si>
  <si>
    <t>+39 3516549072</t>
  </si>
  <si>
    <t>PAZ SILVA,JUAN CAMILO</t>
  </si>
  <si>
    <t>pazju@javeriana.edu.co</t>
  </si>
  <si>
    <t>304/556-4723</t>
  </si>
  <si>
    <t>2022-30</t>
  </si>
  <si>
    <t>Castro Acosta Mariana</t>
  </si>
  <si>
    <t>camariana@javeriana.edu.co</t>
  </si>
  <si>
    <t>314/848-6425</t>
  </si>
  <si>
    <t>Rojas Yaver Samuel</t>
  </si>
  <si>
    <t>samuel-rojas@javeriana.edu.co</t>
  </si>
  <si>
    <t>315/355-0150</t>
  </si>
  <si>
    <t>Pizarro Nule Felipe Miguel</t>
  </si>
  <si>
    <t>felipepizarron@javeriana.edu.co</t>
  </si>
  <si>
    <t>304/660-4707</t>
  </si>
  <si>
    <t>Martinez Torres Miguel Antonio</t>
  </si>
  <si>
    <t>martinez_miguel@javeriana.edu.co</t>
  </si>
  <si>
    <t>311/546-0601</t>
  </si>
  <si>
    <t>Remolina Gomez Andres</t>
  </si>
  <si>
    <t>anremolina@javeriana.edu.co</t>
  </si>
  <si>
    <t>300/545-8803</t>
  </si>
  <si>
    <t>Polania Sanabria Maria Valentina</t>
  </si>
  <si>
    <t>maria.polanias@javeriana.edu.co</t>
  </si>
  <si>
    <t>304/351-8900</t>
  </si>
  <si>
    <t>Castiblanco Cruz Duvan David</t>
  </si>
  <si>
    <t>castiblancoc.d@javeriana.edu.co</t>
  </si>
  <si>
    <t>313/499-8492</t>
  </si>
  <si>
    <t>Sanchez Molano Daniela</t>
  </si>
  <si>
    <t>dasanchez@javeriana.edu.co</t>
  </si>
  <si>
    <t>310/456-8107</t>
  </si>
  <si>
    <t>Rincon Reyes Sebastian</t>
  </si>
  <si>
    <t>rinconsebastian@javeriana.edu.co</t>
  </si>
  <si>
    <t>313/363-5320</t>
  </si>
  <si>
    <t>Rodriguez Prado Natalia</t>
  </si>
  <si>
    <t>natalia-rodriguezp@javeriana.edu.co</t>
  </si>
  <si>
    <t>317/576-8146</t>
  </si>
  <si>
    <t>Rivadeneira Padilla Nathalia</t>
  </si>
  <si>
    <t>n_rivadeneira@javeriana.edu.co</t>
  </si>
  <si>
    <t>304/665-6011</t>
  </si>
  <si>
    <t>Morales Alvarado Daniel Santiago</t>
  </si>
  <si>
    <t>moralesdaniel@javeriana.edu.co</t>
  </si>
  <si>
    <t>304/527-5482</t>
  </si>
  <si>
    <t>Sepulveda Ortiz Martin</t>
  </si>
  <si>
    <t>sepulvedao.m@javeriana.edu.co</t>
  </si>
  <si>
    <t>313/427-2119</t>
  </si>
  <si>
    <t>Castro Ayala Daniel Felipe</t>
  </si>
  <si>
    <t>castroda@javeriana.edu.co</t>
  </si>
  <si>
    <t>311/556-4461</t>
  </si>
  <si>
    <t>Maldonado Torres Maria Paula</t>
  </si>
  <si>
    <t>mp.maldonadot@javeriana.edu.co</t>
  </si>
  <si>
    <t>271-3483</t>
  </si>
  <si>
    <t>bohorquez zarate juan camilo</t>
  </si>
  <si>
    <t>bohorquez_juanc@javeriana.edu.co</t>
  </si>
  <si>
    <t>318/716-7235</t>
  </si>
  <si>
    <t>Ballen Manosalva Maria Paula</t>
  </si>
  <si>
    <t>ba_maria@javeriana.edu.co</t>
  </si>
  <si>
    <t>316/307-9955</t>
  </si>
  <si>
    <t>Velez Quintero Loui Gerard</t>
  </si>
  <si>
    <t>lovelez@javeriana.edu.co</t>
  </si>
  <si>
    <t>300/882-3500</t>
  </si>
  <si>
    <t>Galvis Sanmiguel Javier Alberto</t>
  </si>
  <si>
    <t>javieragalvis@javeriana.edu.co</t>
  </si>
  <si>
    <t>316/041-4050</t>
  </si>
  <si>
    <t>Acosta Ballesteros Angie Lorena</t>
  </si>
  <si>
    <t>al.acosta@javeriana.edu.co</t>
  </si>
  <si>
    <t>300/518-2129</t>
  </si>
  <si>
    <t>Ovalle Rosas Daniel Eduardo</t>
  </si>
  <si>
    <t>ovalle-daniel@javeriana.edu.co</t>
  </si>
  <si>
    <t>314/317-2507</t>
  </si>
  <si>
    <t>Molina Landinez Pablo Andres</t>
  </si>
  <si>
    <t>p-molina@javeriana.edu.co</t>
  </si>
  <si>
    <t>320/988-2908</t>
  </si>
  <si>
    <t>Botero Segura Santiago</t>
  </si>
  <si>
    <t>sa.botero@javeriana.edu.co</t>
  </si>
  <si>
    <t>320/432-7230</t>
  </si>
  <si>
    <t>Camargo Florez Maria Jose</t>
  </si>
  <si>
    <t>camargomj@javeriana.edu.co</t>
  </si>
  <si>
    <t>300/709-9575</t>
  </si>
  <si>
    <t>Chamorro Escobar Santiago</t>
  </si>
  <si>
    <t>santiagochamorroe@javeriana.edu.co</t>
  </si>
  <si>
    <t>321/605-3555</t>
  </si>
  <si>
    <t>Cubides Melo Julian Andres</t>
  </si>
  <si>
    <t>cubides_julian@javeriana.edu.co</t>
  </si>
  <si>
    <t>310/577-3093</t>
  </si>
  <si>
    <t>Escobar Moreno Julian Andres</t>
  </si>
  <si>
    <t>julianescobar@javeriana.edu.co</t>
  </si>
  <si>
    <t>320/426-5327</t>
  </si>
  <si>
    <t>Estevez Ochoa Maria Catalina</t>
  </si>
  <si>
    <t>mc.estevez@javeriana.edu.co</t>
  </si>
  <si>
    <t>319/478-0168</t>
  </si>
  <si>
    <t>GUTIERREZ ALARCON NICOLAS</t>
  </si>
  <si>
    <t>nicolas_gutierrez@javeriana.edu.co</t>
  </si>
  <si>
    <t>304/397-0823</t>
  </si>
  <si>
    <t>Martin Valencia Juan Felipe</t>
  </si>
  <si>
    <t>jf.martin@javeriana.edu.co</t>
  </si>
  <si>
    <t>300/769-6826</t>
  </si>
  <si>
    <t>Medina Olaya Daniela</t>
  </si>
  <si>
    <t>daniela_medina@javeriana.edu.co</t>
  </si>
  <si>
    <t>333/333-3333</t>
  </si>
  <si>
    <t>Moreno Arias Juan Sebastian</t>
  </si>
  <si>
    <t>ju-moreno@javeriana.edu.co</t>
  </si>
  <si>
    <t>318/809-8050</t>
  </si>
  <si>
    <t>Muñoz Cardenas Juan Sebastian</t>
  </si>
  <si>
    <t>jsebastian_munoz@javeriana.edu.co</t>
  </si>
  <si>
    <t>304/248-3452</t>
  </si>
  <si>
    <t>Narvaez Pinzon Carlos Andres</t>
  </si>
  <si>
    <t>narvaezpca@javeriana.edu.co</t>
  </si>
  <si>
    <t>304/610-3555</t>
  </si>
  <si>
    <t>Romero Morales Cristian Camilo</t>
  </si>
  <si>
    <t>romeromcc@javeriana.edu.co</t>
  </si>
  <si>
    <t>313/631-5854</t>
  </si>
  <si>
    <t>Tovar Fernandez Carlos Mario</t>
  </si>
  <si>
    <t>tovar_cm@javeriana.edu.co</t>
  </si>
  <si>
    <t>316/859-3929</t>
  </si>
  <si>
    <t>Bulla Ocampo Santiago</t>
  </si>
  <si>
    <t>santiago.bullao@javeriana.edu.co</t>
  </si>
  <si>
    <t>321/418-6819</t>
  </si>
  <si>
    <t>Piñeros Espitia Juana Gabriela</t>
  </si>
  <si>
    <t>juana_pineros@javeriana.edu.co</t>
  </si>
  <si>
    <t>350/832-5359</t>
  </si>
  <si>
    <t>Ramirez Ramirez Juan Camilo</t>
  </si>
  <si>
    <t>jcramirez@javeriana.edu.co</t>
  </si>
  <si>
    <t>312/581-8817</t>
  </si>
  <si>
    <t>corrales baquero campo elias</t>
  </si>
  <si>
    <t>corralesb_c@javeriana.edu.co</t>
  </si>
  <si>
    <t>300/691-4292</t>
  </si>
  <si>
    <t>Diaz Forero Emanuel</t>
  </si>
  <si>
    <t>diaz_emanuel@javeriana.edu.co</t>
  </si>
  <si>
    <t>304/380-6975</t>
  </si>
  <si>
    <t>Fonseca Cruz Gabriela</t>
  </si>
  <si>
    <t>Castiblanco Ramirez Andres Felipe</t>
  </si>
  <si>
    <t>andrescastiblanco@javeriana.edu.co</t>
  </si>
  <si>
    <t>313/253-8440</t>
  </si>
  <si>
    <t>Perez Rodriguez Juan Felipe</t>
  </si>
  <si>
    <t>juanf.perez@javeriana.edu.co</t>
  </si>
  <si>
    <t>311/444-3209</t>
  </si>
  <si>
    <t>Santamaria Ruiz Santiago</t>
  </si>
  <si>
    <t>santamaria_santiago@javeriana.edu.co</t>
  </si>
  <si>
    <t>322/218-7394</t>
  </si>
  <si>
    <t>Avendaño Ortiz Sebastian</t>
  </si>
  <si>
    <t>sebastian.avendanoo@javeriana.edu.co</t>
  </si>
  <si>
    <t>469-4541</t>
  </si>
  <si>
    <t>Duarte Montaño Jesus David</t>
  </si>
  <si>
    <t>jesusd.duarte@javeriana.edu.co</t>
  </si>
  <si>
    <t>314/786-5767</t>
  </si>
  <si>
    <t>Ocampo Ruiz Nicolas</t>
  </si>
  <si>
    <t>ocampor_nicolas@javeriana.edu.co</t>
  </si>
  <si>
    <t>316/293-2858</t>
  </si>
  <si>
    <t>Restrepo Hoyos Jose Alejandro</t>
  </si>
  <si>
    <t>joserestrepo@javeriana.edu.co</t>
  </si>
  <si>
    <t>314/668-7877</t>
  </si>
  <si>
    <t>Lopez Beltran Andres Felipe</t>
  </si>
  <si>
    <t>andresflopez@javeriana.edu.co</t>
  </si>
  <si>
    <t>310/589-1529</t>
  </si>
  <si>
    <t>Alfaro Martinez Juan Esteban</t>
  </si>
  <si>
    <t>Arguello Calderon Cristian Andres</t>
  </si>
  <si>
    <t>cristianarguello@javeriana.edu.co</t>
  </si>
  <si>
    <t>315/089-9992</t>
  </si>
  <si>
    <t>Molina Castillo Antonio Carlos</t>
  </si>
  <si>
    <t>antoniomolina@javeriana.edu.co</t>
  </si>
  <si>
    <t>318/595-3566</t>
  </si>
  <si>
    <t>Colmenares Tarazona Omar Alexis</t>
  </si>
  <si>
    <t>oalexis.colmenarest@javeriana.edu.co</t>
  </si>
  <si>
    <t>318/279-7201</t>
  </si>
  <si>
    <t>Gomez Fierro Isabela</t>
  </si>
  <si>
    <t>gomez.isabela@javeriana.edu.co</t>
  </si>
  <si>
    <t>321/343-3771</t>
  </si>
  <si>
    <t>Medrano Forero Valeria</t>
  </si>
  <si>
    <t>medrano.v@javeriana.edu.co</t>
  </si>
  <si>
    <t>312/366-3297</t>
  </si>
  <si>
    <t>Abril Ardila Diego Noe</t>
  </si>
  <si>
    <t>dnabrila@javeriana.edu.co</t>
  </si>
  <si>
    <t>314/234-5130</t>
  </si>
  <si>
    <t>Barrera Duarte Maria Jose</t>
  </si>
  <si>
    <t>barreramj@javeriana.edu.co</t>
  </si>
  <si>
    <t>317/601-9405</t>
  </si>
  <si>
    <t>Duarte Quijano Ana Maria</t>
  </si>
  <si>
    <t>am.duarte@javeriana.edu.co</t>
  </si>
  <si>
    <t>310/588-6735</t>
  </si>
  <si>
    <t>Hernandez Ballesteros Angie Melissa</t>
  </si>
  <si>
    <t>amelissahernandez@javeriana.edu.co</t>
  </si>
  <si>
    <t>320/253-5366</t>
  </si>
  <si>
    <t>Molina Forero Fredy Andres</t>
  </si>
  <si>
    <t>fredy_molinaf@javeriana.edu.co</t>
  </si>
  <si>
    <t>300/293-4968</t>
  </si>
  <si>
    <t>Morantes Castro Luz Angelica</t>
  </si>
  <si>
    <t>lmorantes@javeriana.edu.co</t>
  </si>
  <si>
    <t>313/382-9887</t>
  </si>
  <si>
    <t>Oñate Arzuaga Juan Jose</t>
  </si>
  <si>
    <t>j_onate@javeriana.edu.co</t>
  </si>
  <si>
    <t>301/775-8098</t>
  </si>
  <si>
    <t>Romero Alvarez Juana Valentina</t>
  </si>
  <si>
    <t>jvalentina-romero@javeriana.edu.co</t>
  </si>
  <si>
    <t>313/302-3380</t>
  </si>
  <si>
    <t>Rivera Jaime Keiner Ernesto</t>
  </si>
  <si>
    <t>keiner.rivera@javeriana.edu.co</t>
  </si>
  <si>
    <t>313/340-3808</t>
  </si>
  <si>
    <t>Pulido Granados Vanessa</t>
  </si>
  <si>
    <t>v.pulido@javeriana.edu.co</t>
  </si>
  <si>
    <t>758-1113</t>
  </si>
  <si>
    <t>Roa Segura Cristian Camilo</t>
  </si>
  <si>
    <t>ccamilo.roa@javeriana.edu.co</t>
  </si>
  <si>
    <t>301/258-3738</t>
  </si>
  <si>
    <t>BERMUDEZ ARROYO,ESTEFANIA</t>
  </si>
  <si>
    <t>estefania_bermudeza@javeriana.edu.co</t>
  </si>
  <si>
    <t>301/273-1358</t>
  </si>
  <si>
    <t>MARTINEZ ARIAS,MARLON SANTIAGO</t>
  </si>
  <si>
    <t>msmartineza@javeriana.edu.co</t>
  </si>
  <si>
    <t>312/553-5896</t>
  </si>
  <si>
    <t>BUITRAGO CUERVO,NICOLAS</t>
  </si>
  <si>
    <t>nicolas-buitrago@javeriana.edu.co</t>
  </si>
  <si>
    <t>313/400-0438</t>
  </si>
  <si>
    <t>VEGA SILVA,JUAN DIEGO</t>
  </si>
  <si>
    <t>vegajuan@javeriana.edu.co</t>
  </si>
  <si>
    <t>312/354-6564</t>
  </si>
  <si>
    <t>NASMUTA GRANJA,DANIEL</t>
  </si>
  <si>
    <t>daniel.nasmutag@javeriana.edu.co</t>
  </si>
  <si>
    <t>736-1889</t>
  </si>
  <si>
    <t>TORRES GARCIA,KEVIN DANIEL</t>
  </si>
  <si>
    <t>torreskd@javeriana.edu.co</t>
  </si>
  <si>
    <t>300/331-5305</t>
  </si>
  <si>
    <t>CARRILLO PACHECO,JUAN DIEGO</t>
  </si>
  <si>
    <t>jdcarrillo@javeriana.edu.co</t>
  </si>
  <si>
    <t>304/545-6404</t>
  </si>
  <si>
    <t>OCAMPO VILLOTA,JOSE ASDRUBAL</t>
  </si>
  <si>
    <t>ocampo_jose@javeriana.edu.co</t>
  </si>
  <si>
    <t>322/337-1281</t>
  </si>
  <si>
    <t>Bravo Silva Nicolas Alberto</t>
  </si>
  <si>
    <t>nicolas.bravo@javeriana.edu.co</t>
  </si>
  <si>
    <t>314/318-6048</t>
  </si>
  <si>
    <t>Castellanos Torres David Alejandro</t>
  </si>
  <si>
    <t>david.castellanos@javeriana.edu.co</t>
  </si>
  <si>
    <t>318/628-2021</t>
  </si>
  <si>
    <t>Delgado Ruiz Hector Fabian</t>
  </si>
  <si>
    <t>hector_delgado@javeriana.edu.co</t>
  </si>
  <si>
    <t>311/365-3272</t>
  </si>
  <si>
    <t>JARAMILLO PIÑERES,ANDRES ESTEBAN</t>
  </si>
  <si>
    <t>ja.andres@javeriana.edu.co</t>
  </si>
  <si>
    <t>350/530-5549</t>
  </si>
  <si>
    <t>AGUIRRE GUERRERO,ANA SOFIA</t>
  </si>
  <si>
    <t>aguirreg.anas@javeriana.edu.co</t>
  </si>
  <si>
    <t>318/392-6675</t>
  </si>
  <si>
    <t>MENDIETA HERNANDEZ,JUAN CAMILO</t>
  </si>
  <si>
    <t>jc.mendieta@javeriana.edu.co</t>
  </si>
  <si>
    <t>314/284-5345</t>
  </si>
  <si>
    <t>Herrera Guaitero,Juan Sebastian</t>
  </si>
  <si>
    <t>jsebastianherrera@javeriana.edu.co</t>
  </si>
  <si>
    <t>0</t>
  </si>
  <si>
    <t>Lasso Figueroa Johan Camilo</t>
  </si>
  <si>
    <t>johan_lasso@javeriana.edu.co</t>
  </si>
  <si>
    <t>320/229-8062</t>
  </si>
  <si>
    <t>Hidalgo Palencia Laura Valentina</t>
  </si>
  <si>
    <t>hidalgo-laura@javeriana.edu.co</t>
  </si>
  <si>
    <t>313/427-9353</t>
  </si>
  <si>
    <t>Arboleda Vargas Paula Andrea</t>
  </si>
  <si>
    <t>arboledavpandrea@javeriana.edu.co</t>
  </si>
  <si>
    <t>314/220-2261</t>
  </si>
  <si>
    <t>Patiño Fernandez Ana Maria</t>
  </si>
  <si>
    <t>ana_patino@javeriana.edu.co</t>
  </si>
  <si>
    <t>304/588-4425</t>
  </si>
  <si>
    <t>Padilla Trillos Samuel Arturo</t>
  </si>
  <si>
    <t>samuel_padilla@javeriana.edu.co</t>
  </si>
  <si>
    <t>301/299-3052</t>
  </si>
  <si>
    <t>MORALES VARON,THOMAS</t>
  </si>
  <si>
    <t>morales.t@javeriana.edu.co</t>
  </si>
  <si>
    <t>300/729-6551</t>
  </si>
  <si>
    <t>OTERO REYES,SERGIO IVAN</t>
  </si>
  <si>
    <t>sergio_otero@javeriana.edu.co</t>
  </si>
  <si>
    <t>322/808-6112</t>
  </si>
  <si>
    <t>CORTES GOMEZ,LAURA ALEJANDRA</t>
  </si>
  <si>
    <t>lauraa_cortesg@javeriana.edu.co</t>
  </si>
  <si>
    <t>350/218-0446</t>
  </si>
  <si>
    <t>CAMPOS CIFUENTES,LUIS ESTEBAN</t>
  </si>
  <si>
    <t>luisecamposc@javeriana.edu.co</t>
  </si>
  <si>
    <t>320/481-4947</t>
  </si>
  <si>
    <t>MORENO ORJUELA,ANDRES FELIPE</t>
  </si>
  <si>
    <t>moreno_andresf@javeriana.edu.co</t>
  </si>
  <si>
    <t>304/337-7676</t>
  </si>
  <si>
    <t>BAUTISTA BELTRAN,JULIAN DAVID</t>
  </si>
  <si>
    <t>bautistab_jd@javeriana.edu.co</t>
  </si>
  <si>
    <t>320/349-2201</t>
  </si>
  <si>
    <t>CALA QUINTERO,JUAN JOSE</t>
  </si>
  <si>
    <t>juan.cala@javeriana.edu.co</t>
  </si>
  <si>
    <t>321/394-6052</t>
  </si>
  <si>
    <t>OTALORA BARRETO,SARA</t>
  </si>
  <si>
    <t>saraotalora@javeriana.edu.co</t>
  </si>
  <si>
    <t>315/834-8518</t>
  </si>
  <si>
    <t>CADENAS FIERRO,SERGIO DAVID</t>
  </si>
  <si>
    <t>cadenasf.sergio@javeriana.edu.co</t>
  </si>
  <si>
    <t>321/211-3066</t>
  </si>
  <si>
    <t>POVEDA MERCHAN,MARIA PAULA</t>
  </si>
  <si>
    <t>ma_poveda@javeriana.edu.co</t>
  </si>
  <si>
    <t>323/577-9943</t>
  </si>
  <si>
    <t>MOLINA YUNEZ,MARIA ALEJANDRA</t>
  </si>
  <si>
    <t>mariaamolinay@javeriana.edu.co</t>
  </si>
  <si>
    <t>312/668-7767</t>
  </si>
  <si>
    <t>SASTOQUE FERNANDEZ,ALEJANDRA</t>
  </si>
  <si>
    <t>alsastoque@javeriana.edu.co</t>
  </si>
  <si>
    <t>310/211-2805</t>
  </si>
  <si>
    <t>LOPEZ AVILA,GABRIELA</t>
  </si>
  <si>
    <t>gabriela_lopeza@javeriana.edu.co</t>
  </si>
  <si>
    <t>311/895-2159</t>
  </si>
  <si>
    <t>SANCHEZ BARRIGA,JULIANA</t>
  </si>
  <si>
    <t>sanchezbjuliana@javeriana.edu.co</t>
  </si>
  <si>
    <t>310/252-8209</t>
  </si>
  <si>
    <t>ORTEGA BUITRAGO,LINA SOFIA</t>
  </si>
  <si>
    <t>ortega_lina@javeriana.edu.co</t>
  </si>
  <si>
    <t>320/314-7889</t>
  </si>
  <si>
    <t>BUSTOS MARTINEZ,MATEO ALEJANDRO</t>
  </si>
  <si>
    <t>mateo.bustos@javeriana.edu.co</t>
  </si>
  <si>
    <t>350/558-9251</t>
  </si>
  <si>
    <t>BENITEZ PEÑA,CRISTIAN CAMILO</t>
  </si>
  <si>
    <t>benitez.cc@javeriana.edu.co</t>
  </si>
  <si>
    <t>300/555-6374</t>
  </si>
  <si>
    <t>OTALORA GOMEZ,ORIANA</t>
  </si>
  <si>
    <t>o.otalora@javeriana.edu.co</t>
  </si>
  <si>
    <t>313/486-4749</t>
  </si>
  <si>
    <t>Ibarra Luque Jose Jairo</t>
  </si>
  <si>
    <t>j_ibarra@javeriana.edu.co</t>
  </si>
  <si>
    <t>301/353-6937</t>
  </si>
  <si>
    <t>Herrera Hernandez Valeria</t>
  </si>
  <si>
    <t>herrera_valeria@javeriana.edu.co</t>
  </si>
  <si>
    <t>321/651-3294</t>
  </si>
  <si>
    <t>Hernandez Guerrero Camilo</t>
  </si>
  <si>
    <t>c_hernandez@javeriana.edu.co</t>
  </si>
  <si>
    <t>300/674-6332</t>
  </si>
  <si>
    <t>RODRIGUEZ CAÑON,DANIEL DAVID</t>
  </si>
  <si>
    <t>dd_rodriguez@javeriana.edu.co</t>
  </si>
  <si>
    <t>324/323-0187</t>
  </si>
  <si>
    <t>DIAZ HERNANDEZ,SOFIA</t>
  </si>
  <si>
    <t>ssofiadiaz@javeriana.edu.co</t>
  </si>
  <si>
    <t>300/529-3107</t>
  </si>
  <si>
    <t>CORTES RODRIGUEZ,LAURA DANIELA</t>
  </si>
  <si>
    <t>lauradcortes@javeriana.edu.co</t>
  </si>
  <si>
    <t>310/242-7116</t>
  </si>
  <si>
    <t>Rojas Arevalo Hashly Carolina</t>
  </si>
  <si>
    <t>rojashashly@javeriana.edu.co</t>
  </si>
  <si>
    <t>319/744-1932</t>
  </si>
  <si>
    <t>Arteaga Gomez Daniela Stefanny</t>
  </si>
  <si>
    <t>danielas.arteaga@javeriana.edu.co</t>
  </si>
  <si>
    <t>313/207-4003</t>
  </si>
  <si>
    <t>PURYICKY GONZALEZ,JUAN DAVID</t>
  </si>
  <si>
    <t>juan-puryickyg@javeriana.edu.co</t>
  </si>
  <si>
    <t>320/946-8252</t>
  </si>
  <si>
    <t>NIÑO HERRERA,MARIA FERNANDA</t>
  </si>
  <si>
    <t>ninoh.mf@javeriana.edu.co</t>
  </si>
  <si>
    <t>310/265-8647</t>
  </si>
  <si>
    <t>GARTNER PARRA,DIEGO ALEJANDRO</t>
  </si>
  <si>
    <t>diegogartner@javeriana.edu.co</t>
  </si>
  <si>
    <t>310/213-0981</t>
  </si>
  <si>
    <t>BUSTOS MATEUS,IVAN CAMILO</t>
  </si>
  <si>
    <t>bu_ivan@javeriana.edu.co</t>
  </si>
  <si>
    <t>318/802-9484</t>
  </si>
  <si>
    <t>MENDOZA BAEZ,SANTIAGO</t>
  </si>
  <si>
    <t>santiago_mendoza@javeriana.edu.co</t>
  </si>
  <si>
    <t>300/617-8905</t>
  </si>
  <si>
    <t>AVILA CAMARGO,ESTEFANNIA</t>
  </si>
  <si>
    <t>estefannia.avilac@javeriana.edu.co</t>
  </si>
  <si>
    <t>301/769-8547</t>
  </si>
  <si>
    <t>HUERTAS CABALLERO,LINA PAOLA</t>
  </si>
  <si>
    <t>lina.huertas@javeriana.edu.co</t>
  </si>
  <si>
    <t>316/469-1280</t>
  </si>
  <si>
    <t>DIAZ LOTE,JUAN ALEJANDRO</t>
  </si>
  <si>
    <t>jalejandro_diaz@javeriana.edu.co</t>
  </si>
  <si>
    <t>315/647-0179</t>
  </si>
  <si>
    <t>ROJAS GALAVIS,MARIANA</t>
  </si>
  <si>
    <t>rojasgm@javeriana.edu.co</t>
  </si>
  <si>
    <t>305/772-0056</t>
  </si>
  <si>
    <t>CEDIEL PAEZ,DAVID ALEJANDRO</t>
  </si>
  <si>
    <t>cediel_d@javeriana.edu.co</t>
  </si>
  <si>
    <t>302/467-6751</t>
  </si>
  <si>
    <t>GUZMAN GIRALDO,VALERIA</t>
  </si>
  <si>
    <t>valeria_guzmang@javeriana.edu.co</t>
  </si>
  <si>
    <t>316/539-5897</t>
  </si>
  <si>
    <t>CALDERON PUERTO,ISABELLA</t>
  </si>
  <si>
    <t>ca_isabella@javeriana.edu.co</t>
  </si>
  <si>
    <t>323/275-9483</t>
  </si>
  <si>
    <t>CORTAZAR ALBA,EMILIO</t>
  </si>
  <si>
    <t>emiliocortazar@javeriana.edu.co</t>
  </si>
  <si>
    <t>305/425-7379</t>
  </si>
  <si>
    <t>GARCIA CARVAJALINO,LUIS ALEJANDRO</t>
  </si>
  <si>
    <t>garciac.luis@javeriana.edu.co</t>
  </si>
  <si>
    <t>300/548-2028</t>
  </si>
  <si>
    <t>ESPITIA PARRADO,SANTIAGO</t>
  </si>
  <si>
    <t>s.espitiap@javeriana.edu.co</t>
  </si>
  <si>
    <t>313/328-9202</t>
  </si>
  <si>
    <t>Arenas Angel Mateo Andres</t>
  </si>
  <si>
    <t>arenas.mandres@javeriana.edu.co</t>
  </si>
  <si>
    <t>319/656-6203</t>
  </si>
  <si>
    <t>Perez Vera Laura Sofia</t>
  </si>
  <si>
    <t>perezv-lsofia@javeriana.edu.co</t>
  </si>
  <si>
    <t>316/431-9390</t>
  </si>
  <si>
    <t>Marulanda Chaparro Carlos Santiago</t>
  </si>
  <si>
    <t>marulanda_carloss@javeriana.edu.co</t>
  </si>
  <si>
    <t>314/467-0901</t>
  </si>
  <si>
    <t>RINCON MILLAN,DANIEL ALBERTO</t>
  </si>
  <si>
    <t>rincondaniel@javeriana.edu.co</t>
  </si>
  <si>
    <t>317/640-3336</t>
  </si>
  <si>
    <t>PEREZ CASTILLO,WENDY VALENTINA</t>
  </si>
  <si>
    <t>wendyv-perez@javeriana.edu.co</t>
  </si>
  <si>
    <t>320/828-1233</t>
  </si>
  <si>
    <t>Chafloque Mesia Martin</t>
  </si>
  <si>
    <t>martin_chafloque@javeriana.edu.co</t>
  </si>
  <si>
    <t>300/556-8414</t>
  </si>
  <si>
    <t>Lopez Garcia Jose Alejandro</t>
  </si>
  <si>
    <t>lojose@javeriana.edu.co</t>
  </si>
  <si>
    <t>316/357-4533</t>
  </si>
  <si>
    <t>Burgos Algarin Heyling</t>
  </si>
  <si>
    <t>burgosaheyling@javeriana.edu.co</t>
  </si>
  <si>
    <t>300/509-1244</t>
  </si>
  <si>
    <t>GOMEZ ANAYA,SOFIA MARIA</t>
  </si>
  <si>
    <t>sofia_gomeza@javeriana.edu.co</t>
  </si>
  <si>
    <t>312/272-9239</t>
  </si>
  <si>
    <t>ROLON BECERRA,PAULA ANDREA</t>
  </si>
  <si>
    <t>prolon@javeriana.edu.co</t>
  </si>
  <si>
    <t>316/617-5998</t>
  </si>
  <si>
    <t>DIAZ GALVIS,ANA MARIA</t>
  </si>
  <si>
    <t>diazg.am@javeriana.edu.co</t>
  </si>
  <si>
    <t>315/541-4502</t>
  </si>
  <si>
    <t>RIOS ANZOLA,GABRIEL RICARDO</t>
  </si>
  <si>
    <t>rios_gr@javeriana.edu.co</t>
  </si>
  <si>
    <t>316/438-1660</t>
  </si>
  <si>
    <t>TRIANA MEDINA,ALEJANDRO</t>
  </si>
  <si>
    <t>alejandro.trianam@javeriana.edu.co</t>
  </si>
  <si>
    <t>316/525-2090</t>
  </si>
  <si>
    <t>VILLAMIL GAMBA,EVELYN TATIANA</t>
  </si>
  <si>
    <t>villamil_et@javeriana.edu.co</t>
  </si>
  <si>
    <t>304/373-6347</t>
  </si>
  <si>
    <t>HERNANDEZ BRICEÑO,MARIA PAOLA</t>
  </si>
  <si>
    <t>mpaolahernandez@javeriana.edu.co</t>
  </si>
  <si>
    <t>312/619-9292</t>
  </si>
  <si>
    <t>SANCHEZ URIBE,DANIEL</t>
  </si>
  <si>
    <t>daniel_sanchezu@javeriana.edu.co</t>
  </si>
  <si>
    <t>300/538-5566</t>
  </si>
  <si>
    <t>CALDERON AGUDELO,JULIANA</t>
  </si>
  <si>
    <t>calderonjuliana@javeriana.edu.co</t>
  </si>
  <si>
    <t>317/513-0447</t>
  </si>
  <si>
    <t>CASTILLO VASQUEZ,MARIANA</t>
  </si>
  <si>
    <t>m.castillov@javeriana.edu.co</t>
  </si>
  <si>
    <t>305/257-9010</t>
  </si>
  <si>
    <t>LOPEZ HORTUA,SERGIO NICOLAS</t>
  </si>
  <si>
    <t>lopez.sergio@javeriana.edu.co</t>
  </si>
  <si>
    <t>322/956-7422</t>
  </si>
  <si>
    <t>ROMERO GUZMAN,YECID ORLANDO</t>
  </si>
  <si>
    <t>romerog_y@javeriana.edu.co</t>
  </si>
  <si>
    <t>305/321-2579</t>
  </si>
  <si>
    <t>Diaz Diaz Santiago Andres</t>
  </si>
  <si>
    <t>diaz.sandres@javeriana.edu.co</t>
  </si>
  <si>
    <t>350/467-5384</t>
  </si>
  <si>
    <t>Beltran Rodriguez Melissa</t>
  </si>
  <si>
    <t>melissa_beltran@javeriana.edu.co</t>
  </si>
  <si>
    <t>318/383-7188</t>
  </si>
  <si>
    <t>Rozo Gongora Giovany Esteban</t>
  </si>
  <si>
    <t>rozo.g@javeriana.edu.co</t>
  </si>
  <si>
    <t>315/305-9846</t>
  </si>
  <si>
    <t>Garcia Yomayuza Diana Stefania</t>
  </si>
  <si>
    <t>dstefania.garciay@javeriana.edu.co</t>
  </si>
  <si>
    <t>310/625-4665</t>
  </si>
  <si>
    <t>Peñuela Hernandez Juan Jose</t>
  </si>
  <si>
    <t>penuelajuan@javeriana.edu.co</t>
  </si>
  <si>
    <t>310/589-6059</t>
  </si>
  <si>
    <t>VESGA ESCOBAR EDWIN FABIAN</t>
  </si>
  <si>
    <t>vesga.e@javeriana.edu.co</t>
  </si>
  <si>
    <t>322/323-6159</t>
  </si>
  <si>
    <t>GUARIN PEREZ,SAULO FEDERICO</t>
  </si>
  <si>
    <t>saulof.guarin@javeriana.edu.co</t>
  </si>
  <si>
    <t>321/509-7163</t>
  </si>
  <si>
    <t>GOMEZ TRUJILLO,JULIAN GABRIEL</t>
  </si>
  <si>
    <t>julian.gomezg@javeriana.edu.co</t>
  </si>
  <si>
    <t>318/489-3680</t>
  </si>
  <si>
    <t>JIMENEZ CONTRERAS,NATALIA CAROLINA</t>
  </si>
  <si>
    <t>nataliajimenezc@javeriana.edu.co</t>
  </si>
  <si>
    <t>311/486-5054</t>
  </si>
  <si>
    <t>GOMEZ GALINDO,VIVIANA CAROLINA</t>
  </si>
  <si>
    <t>vcarolina_gomez@javeriana.edu.co</t>
  </si>
  <si>
    <t>311/278-1649</t>
  </si>
  <si>
    <t>RIVERA AVELLA,ERIKA ALEXANDRA</t>
  </si>
  <si>
    <t>ea.rivera@javeriana.edu.co</t>
  </si>
  <si>
    <t>314/238-8284</t>
  </si>
  <si>
    <t>Carreño Mosquera Chelsea Julieth</t>
  </si>
  <si>
    <t>chelsea.carreno@javeriana.edu.co</t>
  </si>
  <si>
    <t>313/819-6003</t>
  </si>
  <si>
    <t>Mojica Ardila Natalia</t>
  </si>
  <si>
    <t>mojica.natalia@javeriana.edu.co</t>
  </si>
  <si>
    <t>320/807-3752</t>
  </si>
  <si>
    <t>CASTRO Rodriguez SANTIAGO</t>
  </si>
  <si>
    <t>castro_santiago@javeriana.edu.co</t>
  </si>
  <si>
    <t>310/609-1800</t>
  </si>
  <si>
    <t>Garcia Sanchez Adriana</t>
  </si>
  <si>
    <t>garciaadriana@javeriana.edu.co</t>
  </si>
  <si>
    <t>301/587-2179</t>
  </si>
  <si>
    <t>ERAZO GARZON,CARLOS ANDRES</t>
  </si>
  <si>
    <t>carlos-erazo@javeriana.edu.co</t>
  </si>
  <si>
    <t>321/480-1842</t>
  </si>
  <si>
    <t>CUESTAS MERCHAN,SAMY FELIPE</t>
  </si>
  <si>
    <t>cuestas.s@javeriana.edu.co</t>
  </si>
  <si>
    <t>316/821-1519</t>
  </si>
  <si>
    <t>Florez Forero Lucas</t>
  </si>
  <si>
    <t>lucasflorezf@javeriana.edu.co</t>
  </si>
  <si>
    <t>304/354-6601</t>
  </si>
  <si>
    <t>Jimenez Rocha Laura Valentina</t>
  </si>
  <si>
    <t>jimenezr.l@javeriana.edu.co</t>
  </si>
  <si>
    <t>304/561-5101</t>
  </si>
  <si>
    <t>Ramirez Ortega Andres Nicolas</t>
  </si>
  <si>
    <t>andres.ramirezo@javeriana.edu.co</t>
  </si>
  <si>
    <t>313/481-6557</t>
  </si>
  <si>
    <t>Delgado Duarte William Felipe</t>
  </si>
  <si>
    <t>delgadowi@javeriana.edu.co</t>
  </si>
  <si>
    <t>321/408-4906</t>
  </si>
  <si>
    <t>Sierra Osorio Sergio Andres</t>
  </si>
  <si>
    <t>sergio-sierra@javeriana.edu.co</t>
  </si>
  <si>
    <t>318/261-4743</t>
  </si>
  <si>
    <t>De Vengoechea Rapag Alfredo Manuel</t>
  </si>
  <si>
    <t>de_alfredo@javeriana.edu.co</t>
  </si>
  <si>
    <t>317/639-8325</t>
  </si>
  <si>
    <t>QUIMBAYA PEREZ,VIVIANA MARIA</t>
  </si>
  <si>
    <t>viviana-quimbayap@javeriana.edu.co</t>
  </si>
  <si>
    <t>301/370-3924</t>
  </si>
  <si>
    <t>HIGUERA GARDEAZABAL,JORGE ANDRES</t>
  </si>
  <si>
    <t>higuera.jandres@javeriana.edu.co</t>
  </si>
  <si>
    <t>310/809-1605</t>
  </si>
  <si>
    <t>LUNA PINTO,ANA MARIA</t>
  </si>
  <si>
    <t>amaria_luna@javeriana.edu.co</t>
  </si>
  <si>
    <t>300/874-4913</t>
  </si>
  <si>
    <t>ENRIQUEZ PIMIENTO,JUANITA</t>
  </si>
  <si>
    <t>enriquez.juanita@javeriana.edu.co</t>
  </si>
  <si>
    <t>311/579-5927</t>
  </si>
  <si>
    <t>CARPIO SEPULVEDA LIBARDO ANDRES</t>
  </si>
  <si>
    <t>l-carpio@javeriana.edu.co</t>
  </si>
  <si>
    <t>305/399-1584</t>
  </si>
  <si>
    <t>RAMIREZ LOZANO,GABRIELA</t>
  </si>
  <si>
    <t>ramirezgabriela@javeriana.edu.co</t>
  </si>
  <si>
    <t>320/852-8594</t>
  </si>
  <si>
    <t>OBREGON ORTEGA,MARIA KAMILA</t>
  </si>
  <si>
    <t>m-obregon@javeriana.edu.co</t>
  </si>
  <si>
    <t>311/585-4235</t>
  </si>
  <si>
    <t>Carreño Fernandez Maria Paula</t>
  </si>
  <si>
    <t>carreno.mariap@javeriana.edu.co</t>
  </si>
  <si>
    <t>310/563-8520</t>
  </si>
  <si>
    <t>Rodriguez Ramirez Lucia</t>
  </si>
  <si>
    <t>rodriguezlucia@javeriana.edu.co</t>
  </si>
  <si>
    <t>318/738-2881</t>
  </si>
  <si>
    <t>Lavao Osorio Sergio</t>
  </si>
  <si>
    <t>s.lavaoo@javeriana.edu.co</t>
  </si>
  <si>
    <t>310/569-8520</t>
  </si>
  <si>
    <t>Angarita Camargo Valeria</t>
  </si>
  <si>
    <t>valeriaangarita@javeriana.edu.co</t>
  </si>
  <si>
    <t>312/589-1180</t>
  </si>
  <si>
    <t>Parra Rozo Cristian Camilo</t>
  </si>
  <si>
    <t>cristiancparra@javeriana.edu.co</t>
  </si>
  <si>
    <t>310/333-9381</t>
  </si>
  <si>
    <t>Sanchez Loreto Carlos Miguel</t>
  </si>
  <si>
    <t>sa_carlos@javeriana.edu.co</t>
  </si>
  <si>
    <t>318/832-5867</t>
  </si>
  <si>
    <t>PAEZ SANCHEZ,JUAN DAVID</t>
  </si>
  <si>
    <t>jd.paez@javeriana.edu.co</t>
  </si>
  <si>
    <t>301/493-0678</t>
  </si>
  <si>
    <t>ARBELAEZ GARCIA,CATALINA</t>
  </si>
  <si>
    <t>arbelaezgcatalina@javeriana.edu.co</t>
  </si>
  <si>
    <t>301/658-0120</t>
  </si>
  <si>
    <t>YEPES VARGAS,ANGELLY PAOLA</t>
  </si>
  <si>
    <t>ap.yepesv@javeriana.edu.co</t>
  </si>
  <si>
    <t>315/220-6530</t>
  </si>
  <si>
    <t>MORENO PERICO,CARLOS ANDRES</t>
  </si>
  <si>
    <t>morenocarlosa@javeriana.edu.co</t>
  </si>
  <si>
    <t>300/886-7489</t>
  </si>
  <si>
    <t>VELASCO MUÑOZ,CATALINA</t>
  </si>
  <si>
    <t>catalina-velascom@javeriana.edu.co</t>
  </si>
  <si>
    <t>318/386-8486</t>
  </si>
  <si>
    <t>RODRIGUEZ GALEANO,JUAN ESTEBAN</t>
  </si>
  <si>
    <t>rodriguezgjesteban@javeriana.edu.co</t>
  </si>
  <si>
    <t>317/769-5427</t>
  </si>
  <si>
    <t>BECERRA BARRERA,ANDRES FELIPE</t>
  </si>
  <si>
    <t>an-becerra@javeriana.edu.co</t>
  </si>
  <si>
    <t>321/241-5596</t>
  </si>
  <si>
    <t>RODRIGUEZ RODRIGUEZ,MICHELLE ANDREA</t>
  </si>
  <si>
    <t>mi_rodriguez@javeriana.edu.co</t>
  </si>
  <si>
    <t>320/406-7094</t>
  </si>
  <si>
    <t>CASTILLO VALERO,SANTIAGO</t>
  </si>
  <si>
    <t>santiagocastillov@javeriana.edu.co</t>
  </si>
  <si>
    <t>313/574-0899</t>
  </si>
  <si>
    <t>CARACAS ANGEL,MAIRA ALEJANDRA</t>
  </si>
  <si>
    <t>caracas_m@javeriana.edu.co</t>
  </si>
  <si>
    <t>311/222-5918</t>
  </si>
  <si>
    <t>VASQUEZ SANCHEZ,CESAR ANDRES</t>
  </si>
  <si>
    <t>cevasquez@javeriana.edu.co</t>
  </si>
  <si>
    <t>350/881-5277</t>
  </si>
  <si>
    <t>ACOSTA VARGAS,NICOLAS</t>
  </si>
  <si>
    <t>acostavnicolas@javeriana.edu.co</t>
  </si>
  <si>
    <t>315/262-0743</t>
  </si>
  <si>
    <t>LEON DIAZ,JORGE ANDRES</t>
  </si>
  <si>
    <t>ja.leon@javeriana.edu.co</t>
  </si>
  <si>
    <t>321/238-8254</t>
  </si>
  <si>
    <t>BARBOSA NIETO,SANTIAGO</t>
  </si>
  <si>
    <t>barbosa.santiago@javeriana.edu.co</t>
  </si>
  <si>
    <t>315/263-5151</t>
  </si>
  <si>
    <t>PERILLA SANCLEMENTE,MARIANA</t>
  </si>
  <si>
    <t>perillas-m@javeriana.edu.co</t>
  </si>
  <si>
    <t>304/378-8778</t>
  </si>
  <si>
    <t>JAIMES BARAJAS,DIEGO FERNANDO</t>
  </si>
  <si>
    <t>ja.diego@javeriana.edu.co</t>
  </si>
  <si>
    <t>312/576-8273</t>
  </si>
  <si>
    <t>GONZALEZ GALINDO,XIMENA</t>
  </si>
  <si>
    <t>ximena.gonzalez@javeriana.edu.co</t>
  </si>
  <si>
    <t>318/793-4826</t>
  </si>
  <si>
    <t>SUAREZ REYES,MARIA ALEJANDRA</t>
  </si>
  <si>
    <t>suarezr.m@javeriana.edu.co</t>
  </si>
  <si>
    <t>310/212-4742</t>
  </si>
  <si>
    <t>CASTRO SARMIENTO,JOSE JUAN PABLO</t>
  </si>
  <si>
    <t>josejcastro@javeriana.edu.co</t>
  </si>
  <si>
    <t>323/225-7607</t>
  </si>
  <si>
    <t>MATEUS GUTIERREZ,MARIANA</t>
  </si>
  <si>
    <t>mmateusg@javeriana.edu.co</t>
  </si>
  <si>
    <t>321/256-4163</t>
  </si>
  <si>
    <t>DAVILA RODRIGUEZ,KAREN DANIELA</t>
  </si>
  <si>
    <t>davilar.karend@javeriana.edu.co</t>
  </si>
  <si>
    <t>320/381-8443</t>
  </si>
  <si>
    <t>Rodriguez Moreno Nicolas</t>
  </si>
  <si>
    <t>nicolas.rodriguezm@javeriana.edu.co</t>
  </si>
  <si>
    <t>350/845-1943</t>
  </si>
  <si>
    <t>Uribe Hernandez Nicole Estefania</t>
  </si>
  <si>
    <t>uribe-nicole@javeriana.edu.co</t>
  </si>
  <si>
    <t>312/393-2367</t>
  </si>
  <si>
    <t>Buitrago Diaz Laura Daniela</t>
  </si>
  <si>
    <t>labuitrago@javeriana.edu.co</t>
  </si>
  <si>
    <t>320/383-5217</t>
  </si>
  <si>
    <t>Varela Sabogal Tabata</t>
  </si>
  <si>
    <t>t-varela@javeriana.edu.co</t>
  </si>
  <si>
    <t>350/289-2362</t>
  </si>
  <si>
    <t>Torres Aldana Andres Felipe</t>
  </si>
  <si>
    <t>af_torres@javeriana.edu.co</t>
  </si>
  <si>
    <t>314/414-3433</t>
  </si>
  <si>
    <t>Colmenares Hernandez Julian Eduardo</t>
  </si>
  <si>
    <t>juliane.colmenares@javeriana.edu.co</t>
  </si>
  <si>
    <t>317/660-9995</t>
  </si>
  <si>
    <t>Tarquino Lizarralde Esteban</t>
  </si>
  <si>
    <t>estebantarquinol@javeriana.edu.co</t>
  </si>
  <si>
    <t>317/886-4824</t>
  </si>
  <si>
    <t>Ramirez Contreras Laura Daniela</t>
  </si>
  <si>
    <t>ld.ramirez@javeriana.edu.co</t>
  </si>
  <si>
    <t>301/339-9388</t>
  </si>
  <si>
    <t>Herrera Cala Simon</t>
  </si>
  <si>
    <t>s.herrerac@javeriana.edu.co</t>
  </si>
  <si>
    <t>310/809-4252</t>
  </si>
  <si>
    <t>De souza Lessa Lacerda Gabriel</t>
  </si>
  <si>
    <t>Bonilla Montero Kateryne</t>
  </si>
  <si>
    <t>kl-bonilla@javeriana.edu.co</t>
  </si>
  <si>
    <t>313/890-1376</t>
  </si>
  <si>
    <t>Soto Carreño Diana Carolina</t>
  </si>
  <si>
    <t>soto-dcarolina@javeriana.edu.co</t>
  </si>
  <si>
    <t>316/583-0294</t>
  </si>
  <si>
    <t>Amaya Diaz Juan David</t>
  </si>
  <si>
    <t>j_amaya@javeriana.edu.co</t>
  </si>
  <si>
    <t>310/587-3992</t>
  </si>
  <si>
    <t>Morales Bautista Juan David</t>
  </si>
  <si>
    <t>moralesbjuan@javeriana.edu.co</t>
  </si>
  <si>
    <t>321/464-3558</t>
  </si>
  <si>
    <t>MORA SEFAIR,MATEO</t>
  </si>
  <si>
    <t>mateo_moras@javeriana.edu.co</t>
  </si>
  <si>
    <t>317/518-2128</t>
  </si>
  <si>
    <t>RIOS ROJAS,KATHERINE</t>
  </si>
  <si>
    <t>katherine_rios@javeriana.edu.co</t>
  </si>
  <si>
    <t>301/217-6958</t>
  </si>
  <si>
    <t>GUIO ROBAYO,LINDA KATALINA</t>
  </si>
  <si>
    <t>lkatalinaguio@javeriana.edu.co</t>
  </si>
  <si>
    <t>319/760-1163</t>
  </si>
  <si>
    <t>LOPEZ ARIAS,DELWYN JAIR</t>
  </si>
  <si>
    <t>delwyn_lopez@javeriana.edu.co</t>
  </si>
  <si>
    <t>324/676-7492</t>
  </si>
  <si>
    <t>MACIAS MORALES,MARIANA</t>
  </si>
  <si>
    <t>mariana_maciasm@javeriana.edu.co</t>
  </si>
  <si>
    <t>315/254-1233</t>
  </si>
  <si>
    <t>ALDANA RINCON,JUAN DAVID</t>
  </si>
  <si>
    <t>aldana.juand@javeriana.edu.co</t>
  </si>
  <si>
    <t>312/530-1766</t>
  </si>
  <si>
    <t>GONZALEZ MENESES,SANTIAGO ERNESTO</t>
  </si>
  <si>
    <t>santiago-gonzalezm@javeriana.edu.co</t>
  </si>
  <si>
    <t>320/537-4513</t>
  </si>
  <si>
    <t>RODRIGUEZ FORERO,SOFIA</t>
  </si>
  <si>
    <t>sofiarodriguezf@javeriana.edu.co</t>
  </si>
  <si>
    <t>318/707-4712</t>
  </si>
  <si>
    <t>MALPICA HARRY,JULIAN</t>
  </si>
  <si>
    <t>julian_malpica@javeriana.edu.co</t>
  </si>
  <si>
    <t>316/865-3017</t>
  </si>
  <si>
    <t>Gutierrez Morales Johann Esteban</t>
  </si>
  <si>
    <t>johangutierrez@javeriana.edu.co</t>
  </si>
  <si>
    <t>322/250-0555</t>
  </si>
  <si>
    <t>Porras Ayache Angie Alejandra</t>
  </si>
  <si>
    <t>aaporrasa@javeriana.edu.co</t>
  </si>
  <si>
    <t>317/370-5661</t>
  </si>
  <si>
    <t>Garzon Sierra Maria Jose</t>
  </si>
  <si>
    <t>garzonmjose@javeriana.edu.co</t>
  </si>
  <si>
    <t>301/205-6144</t>
  </si>
  <si>
    <t>Clavijo Castellanos Juan David</t>
  </si>
  <si>
    <t>jdclavijoc@javeriana.edu.co</t>
  </si>
  <si>
    <t>302/354-6880</t>
  </si>
  <si>
    <t>ORDOÑEZ BOZZI,NATALIA</t>
  </si>
  <si>
    <t>natalia_ordonez@javeriana.edu.co</t>
  </si>
  <si>
    <t>317/366-9640</t>
  </si>
  <si>
    <t>Rodriguez Ortega Andres Jose</t>
  </si>
  <si>
    <t>rodriguezoa@javeriana.edu.co</t>
  </si>
  <si>
    <t>305/718-0898</t>
  </si>
  <si>
    <t>Palacios Garcia David Enrique</t>
  </si>
  <si>
    <t>david_palacios@javeriana.edu.co</t>
  </si>
  <si>
    <t>300/498-8952</t>
  </si>
  <si>
    <t>Cruz Gomez Camilo Andres</t>
  </si>
  <si>
    <t>cruz_camilo@javeriana.edu.co</t>
  </si>
  <si>
    <t>322/430-3561</t>
  </si>
  <si>
    <t>Ramirez Mejia Laura Sofia</t>
  </si>
  <si>
    <t>ramirezm_laura@javeriana.edu.co</t>
  </si>
  <si>
    <t>301/388-5591</t>
  </si>
  <si>
    <t>Gonzalez Silva Gabriela</t>
  </si>
  <si>
    <t>gonzalezsg@javeriana.edu.co</t>
  </si>
  <si>
    <t>316/498-3183</t>
  </si>
  <si>
    <t>Arenas Cuello Andres Camilo</t>
  </si>
  <si>
    <t>ac.arenas@javeriana.edu.co</t>
  </si>
  <si>
    <t>300/467-0210</t>
  </si>
  <si>
    <t>Solano Salazar Laura Camila</t>
  </si>
  <si>
    <t>lcsolanos@javeriana.edu.co</t>
  </si>
  <si>
    <t>320/444-9816</t>
  </si>
  <si>
    <t>Torres Cañas Janny Katerin</t>
  </si>
  <si>
    <t>torresjk@javeriana.edu.co</t>
  </si>
  <si>
    <t>300/867-7005</t>
  </si>
  <si>
    <t>Vargas Parra Sofia</t>
  </si>
  <si>
    <t>sofia_vargasp@javeriana.edu.co</t>
  </si>
  <si>
    <t>311/810-6201</t>
  </si>
  <si>
    <t>Rios Romero Manuel Alejandro</t>
  </si>
  <si>
    <t>malejandrorios@javeriana.edu.co</t>
  </si>
  <si>
    <t>322/200-4917</t>
  </si>
  <si>
    <t>Caro Gomez Juan Pablo</t>
  </si>
  <si>
    <t>caro.juanp@javeriana.edu.co</t>
  </si>
  <si>
    <t>312/478-7834</t>
  </si>
  <si>
    <t>MOLANO FRAGALE SEBASTIAN</t>
  </si>
  <si>
    <t>smolanof@javeriana.edu.co</t>
  </si>
  <si>
    <t>320-8320</t>
  </si>
  <si>
    <t>Ortiz Alarcon Paula Meliza</t>
  </si>
  <si>
    <t>paula_ortiz@javeriana.edu.co</t>
  </si>
  <si>
    <t>310/869-9812</t>
  </si>
  <si>
    <t>Lenhardt Guaqueta Carolina</t>
  </si>
  <si>
    <t>lenhardtcarolina@javeriana.edu.co</t>
  </si>
  <si>
    <t>350/778-5205</t>
  </si>
  <si>
    <t>Valencia Reyes Juan Camilo</t>
  </si>
  <si>
    <t>jc_valencia@javeriana.edu.co</t>
  </si>
  <si>
    <t>310/732-4501</t>
  </si>
  <si>
    <t>Gonzalez Cortes Nicolas Andres</t>
  </si>
  <si>
    <t>ni-gonzalez@javeriana.edu.co</t>
  </si>
  <si>
    <t>626-2139</t>
  </si>
  <si>
    <t>sandino mancera mariana estrella</t>
  </si>
  <si>
    <t>mariana_sandino@javeriana.edu.co</t>
  </si>
  <si>
    <t>322/371-3699</t>
  </si>
  <si>
    <t>Rodriguez Florez Alejandro</t>
  </si>
  <si>
    <t>rodrigueza_l@javeriana.edu.co</t>
  </si>
  <si>
    <t>317/740-3023</t>
  </si>
  <si>
    <t>Losada Rios Joel Isaias</t>
  </si>
  <si>
    <t>jilosada@javeriana.edu.co</t>
  </si>
  <si>
    <t>318/390-5394</t>
  </si>
  <si>
    <t>Barragan Vargas Kevin Mateo</t>
  </si>
  <si>
    <t>km-barragan@javeriana.edu.co</t>
  </si>
  <si>
    <t>318/278-3210</t>
  </si>
  <si>
    <t>SIERRA CIFUENTES,JUAN DIEGO</t>
  </si>
  <si>
    <t>sierra-juand@javeriana.edu.co</t>
  </si>
  <si>
    <t>312/384-8674</t>
  </si>
  <si>
    <t>Castellanos Solano Maria Gabriela</t>
  </si>
  <si>
    <t>maria.castellanoss@javeriana.edu.co</t>
  </si>
  <si>
    <t>314/612-4211</t>
  </si>
  <si>
    <t>Peñuela Verano Camilo Humberto</t>
  </si>
  <si>
    <t>camilo.penuela@javeriana.edu.co</t>
  </si>
  <si>
    <t>300/637-6486</t>
  </si>
  <si>
    <t>VITOBIS GUAR,DAVID</t>
  </si>
  <si>
    <t>vitobis.jd@javeriana.edu.co</t>
  </si>
  <si>
    <t>311/586-7792</t>
  </si>
  <si>
    <t>GONZALEZ PLAZA,GEOVANNY</t>
  </si>
  <si>
    <t>g_gonzalez@javeriana.edu.co</t>
  </si>
  <si>
    <t>313/240-8307</t>
  </si>
  <si>
    <t>BONILLA CRIOLLO,JOSE SANTIAGO</t>
  </si>
  <si>
    <t>js_bonillac@javeriana.edu.co</t>
  </si>
  <si>
    <t>321/478-5708</t>
  </si>
  <si>
    <t>RODRIGUEZ PEREZ,MARIA JOSE</t>
  </si>
  <si>
    <t>rodriguezpmaria@javeriana.edu.co</t>
  </si>
  <si>
    <t>304/383-8146</t>
  </si>
  <si>
    <t>PASUY ACOSTA,JUAN JOSE</t>
  </si>
  <si>
    <t>juanj.pasuy@javeriana.edu.co</t>
  </si>
  <si>
    <t>321/588-8771</t>
  </si>
  <si>
    <t>CASTRO BARANDICA,JUAN CAMILO</t>
  </si>
  <si>
    <t>castrob.juan@javeriana.edu.co</t>
  </si>
  <si>
    <t>318/293-8018</t>
  </si>
  <si>
    <t>BACCA JIMENEZ,SILVIA</t>
  </si>
  <si>
    <t>silvia.bacca@javeriana.edu.co</t>
  </si>
  <si>
    <t>582-1919</t>
  </si>
  <si>
    <t>MORALES HERRERA,MARIA ALEJANDRA</t>
  </si>
  <si>
    <t>morales.mariaa@javeriana.edu.co</t>
  </si>
  <si>
    <t>316/617-4214</t>
  </si>
  <si>
    <t>ECHAVARRIA PAREJA,VALENTINA</t>
  </si>
  <si>
    <t>v_echavarria@javeriana.edu.co</t>
  </si>
  <si>
    <t>317/512-6672</t>
  </si>
  <si>
    <t>RODRIGUEZ ESPINOSA,DANIEL FELIPE</t>
  </si>
  <si>
    <t>rodriguezed@javeriana.edu.co</t>
  </si>
  <si>
    <t>318/376-0443</t>
  </si>
  <si>
    <t>TORRADO PUERTA,SABRINA</t>
  </si>
  <si>
    <t>sabrina.torrado@javeriana.edu.co</t>
  </si>
  <si>
    <t>310/368-2246</t>
  </si>
  <si>
    <t>PULIDO GARCIA,JUAN DAVID</t>
  </si>
  <si>
    <t>juan_pulido@javeriana.edu.co</t>
  </si>
  <si>
    <t>323/247-1152</t>
  </si>
  <si>
    <t>MONSALVE GUARACAO,DANIEL JOSE</t>
  </si>
  <si>
    <t>dj.monsalve@javeriana.edu.co</t>
  </si>
  <si>
    <t>322/428-0081</t>
  </si>
  <si>
    <t>TORRES RINCON,ANGELA MARIA</t>
  </si>
  <si>
    <t>angelam_torres@javeriana.edu.co</t>
  </si>
  <si>
    <t>315/854-1984</t>
  </si>
  <si>
    <t>PINILLA VARON,JUAN JOSE</t>
  </si>
  <si>
    <t>pinilla_j@javeriana.edu.co</t>
  </si>
  <si>
    <t>317/886-1687</t>
  </si>
  <si>
    <t>GUASCA NOVA,DAVID SANTIAGO</t>
  </si>
  <si>
    <t>guascan-dsantiago@javeriana.edu.co</t>
  </si>
  <si>
    <t>317/348-7322</t>
  </si>
  <si>
    <t>VARELA VARGAS,MARIA CAMILA</t>
  </si>
  <si>
    <t>mc_varela@javeriana.edu.co</t>
  </si>
  <si>
    <t>320/283-7728</t>
  </si>
  <si>
    <t>MARIN URIZA,JOSE LUIS</t>
  </si>
  <si>
    <t>joselmarin@javeriana.edu.co</t>
  </si>
  <si>
    <t>315/228-2230</t>
  </si>
  <si>
    <t>FONSECA CRUZ,GABRIELA</t>
  </si>
  <si>
    <t>fonsecacgabriela@javeriana.edu.co</t>
  </si>
  <si>
    <t>317/301-1556</t>
  </si>
  <si>
    <t>Castellanos Tromba,Daniel Eduardo</t>
  </si>
  <si>
    <t>daniel_castellanos@javeriana.edu.co</t>
  </si>
  <si>
    <t>321/212-0340</t>
  </si>
  <si>
    <t>ROZO RODRIGUEZ,LAURA SOFIA</t>
  </si>
  <si>
    <t>laura_rozo@javeriana.edu.co</t>
  </si>
  <si>
    <t>317/291-7613</t>
  </si>
  <si>
    <t>MEZA CANTILLO,NESTOR DAVID</t>
  </si>
  <si>
    <t>n_meza@javeriana.edu.co</t>
  </si>
  <si>
    <t>302/352-1395</t>
  </si>
  <si>
    <t>DE SOUZA LESSA LACERDA,GABRIEL</t>
  </si>
  <si>
    <t>gabriel.desouza@javeriana.edu.co</t>
  </si>
  <si>
    <t>318/712-2448</t>
  </si>
  <si>
    <t>ESPINEL MONROY,DANIEL ALEJANDRO</t>
  </si>
  <si>
    <t>espineldaniel@javeriana.edu.co</t>
  </si>
  <si>
    <t>324/379-7183</t>
  </si>
  <si>
    <t>ZAMORA GUERRERO,ANDRES FELIPE</t>
  </si>
  <si>
    <t>afelipe.zamorag@javeriana.edu.co</t>
  </si>
  <si>
    <t>310/680-7525</t>
  </si>
  <si>
    <t>BUITRAGO NEIRA,BRYAN STEVEN</t>
  </si>
  <si>
    <t>buitrago.bs@javeriana.edu.co</t>
  </si>
  <si>
    <t>315/203-9765</t>
  </si>
  <si>
    <t>CHACON SIERRA,MARIA ALEJANDRA</t>
  </si>
  <si>
    <t>malejandra.chacons@javeriana.edu.co</t>
  </si>
  <si>
    <t>300/558-8202</t>
  </si>
  <si>
    <t>NOREÑA ARDILA,MARIANA</t>
  </si>
  <si>
    <t>norenaa.mariana@javeriana.edu.co</t>
  </si>
  <si>
    <t>312/545-8830</t>
  </si>
  <si>
    <t>CARRILLO MARULANDA,LUIS CARLOS</t>
  </si>
  <si>
    <t>luiscarrillo@javeriana.edu.co</t>
  </si>
  <si>
    <t>300/525-5433</t>
  </si>
  <si>
    <t>2023-10</t>
  </si>
  <si>
    <t>Vanessa  Andreína  Grüber Pérez</t>
  </si>
  <si>
    <t>Bioingeniería</t>
  </si>
  <si>
    <t>Juan Andrés  Pérez  Pardo</t>
  </si>
  <si>
    <t>ja.perez@javeriana.edu.co</t>
  </si>
  <si>
    <t>312/546-7794</t>
  </si>
  <si>
    <t>Juan  Felipe  Jimenez  Bueno</t>
  </si>
  <si>
    <t>jfelipe.jimenezb@javeriana.edu.co</t>
  </si>
  <si>
    <t>318/318-1416</t>
  </si>
  <si>
    <t>Weyner  David Atencio Pacheco</t>
  </si>
  <si>
    <t>weyneratencio@javeriana.edu.co</t>
  </si>
  <si>
    <t>300/790-4465</t>
  </si>
  <si>
    <t xml:space="preserve">Luis Carlos Preciado  Quintero </t>
  </si>
  <si>
    <t>preciadoqluis@javeriana.edu.co</t>
  </si>
  <si>
    <t>321/346-4160</t>
  </si>
  <si>
    <t>Juan  Sebastián  Lesmes Mayorga</t>
  </si>
  <si>
    <t>js.lesmesm@javeriana.edu.co</t>
  </si>
  <si>
    <t>314/266-5728</t>
  </si>
  <si>
    <t xml:space="preserve">Juan Esteban Sossa Rodriguez </t>
  </si>
  <si>
    <t>juanesossar@javeriana.edu.co</t>
  </si>
  <si>
    <t>314/292-6435</t>
  </si>
  <si>
    <t>Maria Paula Polanía Perdomo</t>
  </si>
  <si>
    <t>mariap_polania@javeriana.edu.co</t>
  </si>
  <si>
    <t>314/335-7524</t>
  </si>
  <si>
    <t>Wilson Gabriel Pardo Montero</t>
  </si>
  <si>
    <t>pardo.w@javeriana.edu.co</t>
  </si>
  <si>
    <t>316/747-3844</t>
  </si>
  <si>
    <t>Luis Alejandro  Gonzalez Rico</t>
  </si>
  <si>
    <t>gonzalezrluis@javeriana.edu.co</t>
  </si>
  <si>
    <t>304/342-9955</t>
  </si>
  <si>
    <t xml:space="preserve">María  José  Parada  Ortiz </t>
  </si>
  <si>
    <t>maparada@javeriana.edu.co</t>
  </si>
  <si>
    <t>317/370-0854</t>
  </si>
  <si>
    <t>Santiago Andres Hernández  Miranda</t>
  </si>
  <si>
    <t>hernandez-santiagoa@javeriana.edu.co</t>
  </si>
  <si>
    <t>302/342-3440</t>
  </si>
  <si>
    <t>Andres Felipe Diaz  Daza</t>
  </si>
  <si>
    <t>di-andres@javeriana.edu.co</t>
  </si>
  <si>
    <t>316/373-9068</t>
  </si>
  <si>
    <t>Valeria  Guevara Umaña</t>
  </si>
  <si>
    <t>guevara-v@javeriana.edu.co</t>
  </si>
  <si>
    <t>310/208-3737</t>
  </si>
  <si>
    <t xml:space="preserve">Laura  Jimena Vargas  Carrillo </t>
  </si>
  <si>
    <t>lavargas@javeriana.edu.co</t>
  </si>
  <si>
    <t>304/387-3076</t>
  </si>
  <si>
    <t>Luis Carlos Rocha Martinez</t>
  </si>
  <si>
    <t>rocha-lcarlos@javeriana.edu.co</t>
  </si>
  <si>
    <t>322/231-3669</t>
  </si>
  <si>
    <t>Carlos Andres Piedrahita Erazo</t>
  </si>
  <si>
    <t>pi.carlos@javeriana.edu.co</t>
  </si>
  <si>
    <t>315/282-6307</t>
  </si>
  <si>
    <t>Valentina  Sanabria Montes</t>
  </si>
  <si>
    <t>v.sanabria@javeriana.edu.co</t>
  </si>
  <si>
    <t>313/822-4298</t>
  </si>
  <si>
    <t>Lina Valentina Franco Perez</t>
  </si>
  <si>
    <t>lv.franco@javeriana.edu.co</t>
  </si>
  <si>
    <t>322/366-4674</t>
  </si>
  <si>
    <t xml:space="preserve">Alejandra   Silva  Londoño </t>
  </si>
  <si>
    <t>alejandra.silva@javeriana.edu.co</t>
  </si>
  <si>
    <t>321/622-5717</t>
  </si>
  <si>
    <t>Nicolás  Orlando Ramos Fetiva</t>
  </si>
  <si>
    <t>ramosf-n@javeriana.edu.co</t>
  </si>
  <si>
    <t>302/265-1491</t>
  </si>
  <si>
    <t>Valeria  Usta Tirado</t>
  </si>
  <si>
    <t>valeriaustat@javeriana.edu.co</t>
  </si>
  <si>
    <t>301/435-1280</t>
  </si>
  <si>
    <t>Juan David Vera Parra</t>
  </si>
  <si>
    <t>verapj@javeriana.edu.co</t>
  </si>
  <si>
    <t>310/279-7561</t>
  </si>
  <si>
    <t>Vanessa  Wilches Chiriví</t>
  </si>
  <si>
    <t>va_wilches@javeriana.edu.co</t>
  </si>
  <si>
    <t>315/630-5911</t>
  </si>
  <si>
    <t>David Andres Gomez  Rojas</t>
  </si>
  <si>
    <t>davidagomez@javeriana.edu.co</t>
  </si>
  <si>
    <t>310/484-9640</t>
  </si>
  <si>
    <t>Juan Camilo Botero Charry</t>
  </si>
  <si>
    <t>ju_botero@javeriana.edu.co</t>
  </si>
  <si>
    <t>301/277-9260</t>
  </si>
  <si>
    <t>Alejandro  Toro Serrano</t>
  </si>
  <si>
    <t>alejandro-toro@javeriana.edu.co</t>
  </si>
  <si>
    <t>313/221-3265</t>
  </si>
  <si>
    <t>Maria  Sarmiento Escaño</t>
  </si>
  <si>
    <t>ma.sarmiento@javeriana.edu.co</t>
  </si>
  <si>
    <t>314/276-4943</t>
  </si>
  <si>
    <t>Juan  Monroy Brito</t>
  </si>
  <si>
    <t>juanc.monroy@javeriana.edu.co</t>
  </si>
  <si>
    <t>301/443-8577</t>
  </si>
  <si>
    <t>Juan  Otálora Acevedo</t>
  </si>
  <si>
    <t>juandotalora@javeriana.edu.co</t>
  </si>
  <si>
    <t>304/538-4771</t>
  </si>
  <si>
    <t>Juan  Cruz Panduro</t>
  </si>
  <si>
    <t>cruz-jp@javeriana.edu.co</t>
  </si>
  <si>
    <t>313/604-3588</t>
  </si>
  <si>
    <t>LAURA  GUTIERREZ SERRANO</t>
  </si>
  <si>
    <t>lcgutierrez@javeriana.edu.co</t>
  </si>
  <si>
    <t>315/766-8365</t>
  </si>
  <si>
    <t>Edimer Leandro Aguirre González</t>
  </si>
  <si>
    <t>ed-aguirre@javeriana.edu.co</t>
  </si>
  <si>
    <t>312/846-9296</t>
  </si>
  <si>
    <t xml:space="preserve">María  Patrón  Borja </t>
  </si>
  <si>
    <t>patronmaria@javeriana.edu.co</t>
  </si>
  <si>
    <t>350/697-6371</t>
  </si>
  <si>
    <t>Oscar  Cepeda Toro</t>
  </si>
  <si>
    <t>cepedatoj@javeriana.edu.co</t>
  </si>
  <si>
    <t>315/304-6848</t>
  </si>
  <si>
    <t>Farid  Sotelo Macias</t>
  </si>
  <si>
    <t>sotelo.farid@javeriana.edu.co</t>
  </si>
  <si>
    <t>311/395-1376</t>
  </si>
  <si>
    <t>JOSE  NIVIA RIVAS</t>
  </si>
  <si>
    <t>nivia_jose@javeriana.edu.co</t>
  </si>
  <si>
    <t>320/305-5502</t>
  </si>
  <si>
    <t xml:space="preserve">Laura   Barragán  Rodriguez </t>
  </si>
  <si>
    <t>ba.laura@javeriana.edu.co</t>
  </si>
  <si>
    <t>314/691-3758</t>
  </si>
  <si>
    <t>Santiago  Ruiz Guzmán</t>
  </si>
  <si>
    <t>ruizg.s@javeriana.edu.co</t>
  </si>
  <si>
    <t>312/473-8793</t>
  </si>
  <si>
    <t>Valentina  Beltrán Betancur</t>
  </si>
  <si>
    <t>va.beltran@javeriana.edu.co</t>
  </si>
  <si>
    <t>312/442-0939</t>
  </si>
  <si>
    <t>Jorge  Perdomo  León</t>
  </si>
  <si>
    <t>perdomo.js@javeriana.edu.co</t>
  </si>
  <si>
    <t>317/886-7118</t>
  </si>
  <si>
    <t>Nicolás   González  Salinas</t>
  </si>
  <si>
    <t>nicolas-gonzalezs@javeriana.edu.co</t>
  </si>
  <si>
    <t>322/728-8257</t>
  </si>
  <si>
    <t>Diego  bayona sanabria</t>
  </si>
  <si>
    <t>di-bayona@javeriana.edu.co</t>
  </si>
  <si>
    <t>301/336-6390</t>
  </si>
  <si>
    <t>Sofia  Martínez  Santana</t>
  </si>
  <si>
    <t>ssalome.martinez@javeriana.edu.co</t>
  </si>
  <si>
    <t>314/381-6581</t>
  </si>
  <si>
    <t>Sebastian  Jimenez Elias</t>
  </si>
  <si>
    <t>se.jimenez@javeriana.edu.co</t>
  </si>
  <si>
    <t>314/331-3179</t>
  </si>
  <si>
    <t>Miguel   Duran Nieves</t>
  </si>
  <si>
    <t>duran-ms@javeriana.edu.co</t>
  </si>
  <si>
    <t>313/458-5147</t>
  </si>
  <si>
    <t>Sara  Ciro Barreto</t>
  </si>
  <si>
    <t>slciro@javeriana.edu.co</t>
  </si>
  <si>
    <t>321/288-7877</t>
  </si>
  <si>
    <t>Jennifer  Guzman Trujillo</t>
  </si>
  <si>
    <t>guzmantj@javeriana.edu.co</t>
  </si>
  <si>
    <t>305/897-6873</t>
  </si>
  <si>
    <t>Kassem  Dabage Useche</t>
  </si>
  <si>
    <t>dabage.k@javeriana.edu.co</t>
  </si>
  <si>
    <t>320/694-4955</t>
  </si>
  <si>
    <t xml:space="preserve">Alejandro  Peñaranda  Aycardi </t>
  </si>
  <si>
    <t>pealejandro@javeriana.edu.co</t>
  </si>
  <si>
    <t>310/245-6349</t>
  </si>
  <si>
    <t>Juan Alejandro Merchán Martínez</t>
  </si>
  <si>
    <t>juanmerchanm@javeriana.edu.co</t>
  </si>
  <si>
    <t>316/339-5498</t>
  </si>
  <si>
    <t>Natalia  Morris  Ríos</t>
  </si>
  <si>
    <t>nataliamorris@javeriana.edu.co</t>
  </si>
  <si>
    <t>310/467-6074</t>
  </si>
  <si>
    <t>Joan Sebastian  Amaya Gutierrez</t>
  </si>
  <si>
    <t>amayaj_o@javeriana.edu.co</t>
  </si>
  <si>
    <t>321/962-3618</t>
  </si>
  <si>
    <t>Fabian  Mauricio  Corredor Jaramillo</t>
  </si>
  <si>
    <t>corredorf.a@javeriana.edu.co</t>
  </si>
  <si>
    <t>321/493-1373</t>
  </si>
  <si>
    <t>Luis Carlos Carrillo Marulanda</t>
  </si>
  <si>
    <t>John James Rubio Peñuela</t>
  </si>
  <si>
    <t>rubiopjjames@javeriana.edu.co</t>
  </si>
  <si>
    <t>301/480-3796</t>
  </si>
  <si>
    <t>Nicolas Esteban Castro Garcia</t>
  </si>
  <si>
    <t>nicolase_castro@javeriana.edu.co</t>
  </si>
  <si>
    <t>314/435-2130</t>
  </si>
  <si>
    <t>Daniel José Leon Claros</t>
  </si>
  <si>
    <t>leondaniel@javeriana.edu.co</t>
  </si>
  <si>
    <t>316/473-9667</t>
  </si>
  <si>
    <t>Juan Pablo Castañeda Cintura</t>
  </si>
  <si>
    <t>juanp_castaneda@javeriana.edu.co</t>
  </si>
  <si>
    <t>316/875-0570</t>
  </si>
  <si>
    <t>Sara Manuela Bernal Alvarado</t>
  </si>
  <si>
    <t>smanuela.bernal@javeriana.edu.co</t>
  </si>
  <si>
    <t>313/885-2300</t>
  </si>
  <si>
    <t>Felipe  Prieto Casallas</t>
  </si>
  <si>
    <t>fe.prieto@javeriana.edu.co</t>
  </si>
  <si>
    <t>318/763-2361</t>
  </si>
  <si>
    <t>Juan Sebastian Leal  Toro</t>
  </si>
  <si>
    <t>leal-juan@javeriana.edu.co</t>
  </si>
  <si>
    <t>312/367-0355</t>
  </si>
  <si>
    <t>Diana Sofia Carrillo Gomez</t>
  </si>
  <si>
    <t>ds-carrillog@javeriana.edu.co</t>
  </si>
  <si>
    <t>310/221-3795</t>
  </si>
  <si>
    <t>Daniel Felipe Barreto Rojas</t>
  </si>
  <si>
    <t>danielf.barreto@javeriana.edu.co</t>
  </si>
  <si>
    <t>321/455-1027</t>
  </si>
  <si>
    <t>Miguel Angel Avila Santos</t>
  </si>
  <si>
    <t>mi.avila@javeriana.edu.co</t>
  </si>
  <si>
    <t>300/635-6935</t>
  </si>
  <si>
    <t>Angello Mateo Jaimes Rincon</t>
  </si>
  <si>
    <t>jaimes.angello@javeriana.edu.co</t>
  </si>
  <si>
    <t>321/429-2293</t>
  </si>
  <si>
    <t>Santiago  Gutierrez Vargas</t>
  </si>
  <si>
    <t>gu_santiago@javeriana.edu.co</t>
  </si>
  <si>
    <t>319/797-2272</t>
  </si>
  <si>
    <t>Mario Alejandro Ortiz Vargas</t>
  </si>
  <si>
    <t>marioortiz@javeriana.edu.co</t>
  </si>
  <si>
    <t>322/769-3848</t>
  </si>
  <si>
    <t>Jesús David Traslaviña Fuentes</t>
  </si>
  <si>
    <t>jetraslavina@javeriana.edu.co</t>
  </si>
  <si>
    <t>312/341-5728</t>
  </si>
  <si>
    <t>Javier Mauricio Ramírez Portillo</t>
  </si>
  <si>
    <t>javierm-ramirezp@javeriana.edu.co</t>
  </si>
  <si>
    <t>315/707-0665</t>
  </si>
  <si>
    <t>Jorge Luis Esposito Albornoz</t>
  </si>
  <si>
    <t>ZULUAGA ORTIZ,JOSE FERNANDO</t>
  </si>
  <si>
    <t>zuluaga_jose@javeriana.edu.co</t>
  </si>
  <si>
    <t>318/302-7675</t>
  </si>
  <si>
    <t>BAYONA ORDOÑEZ,NICOLAS ESTEBAN</t>
  </si>
  <si>
    <t>bayona.n@javeriana.edu.co</t>
  </si>
  <si>
    <t>321/941-9381</t>
  </si>
  <si>
    <t>Laura Sofia Jimenez Ballen</t>
  </si>
  <si>
    <t>la_jimenez@javeriana.edu.co</t>
  </si>
  <si>
    <t>314/489-3882</t>
  </si>
  <si>
    <t>Natalia  Gaona Salamanca</t>
  </si>
  <si>
    <t>nataliagaona@javeriana.edu.co</t>
  </si>
  <si>
    <t>315/752-0076</t>
  </si>
  <si>
    <t>Kevyn Orlando Prada Figueroa</t>
  </si>
  <si>
    <t>koprada@javeriana.edu.co</t>
  </si>
  <si>
    <t>312/337-9952</t>
  </si>
  <si>
    <t>Juan Esteban Urquijo Huerfano</t>
  </si>
  <si>
    <t>juan-urquijoh@javeriana.edu.co</t>
  </si>
  <si>
    <t>321/809-9711</t>
  </si>
  <si>
    <t>Angel David Talero Peñuela</t>
  </si>
  <si>
    <t>angel_talero@javeriana.edu.co</t>
  </si>
  <si>
    <t>305/366-6070</t>
  </si>
  <si>
    <t>Brayan Steven Carrillo Mora</t>
  </si>
  <si>
    <t>brayan-carrillo@javeriana.edu.co</t>
  </si>
  <si>
    <t>321/205-9353</t>
  </si>
  <si>
    <t>Nicolás  Pérez Fonseca</t>
  </si>
  <si>
    <t>n_perez@javeriana.edu.co</t>
  </si>
  <si>
    <t>317/242-4427</t>
  </si>
  <si>
    <t>Santiago  Zuñiga Martinez</t>
  </si>
  <si>
    <t>s.zunigam@javeriana.edu.co</t>
  </si>
  <si>
    <t>311/240-2464</t>
  </si>
  <si>
    <t>Santiago Alexander Rodríguez Becerra</t>
  </si>
  <si>
    <t>rodriguez.santiagoa@javeriana.edu.co</t>
  </si>
  <si>
    <t>318/352-7701</t>
  </si>
  <si>
    <t>Santiago  Burbano Puin</t>
  </si>
  <si>
    <t>sa.burbano@javeriana.edu.co</t>
  </si>
  <si>
    <t>304/368-0094</t>
  </si>
  <si>
    <t>Nicolas Daniel Vargas Ortiz</t>
  </si>
  <si>
    <t>vargaso-ndaniel@javeriana.edu.co</t>
  </si>
  <si>
    <t>310/203-7469</t>
  </si>
  <si>
    <t>Andrés Felipe Dorado Roncancio</t>
  </si>
  <si>
    <t>andresfdorado@javeriana.edu.co</t>
  </si>
  <si>
    <t>320/856-6189</t>
  </si>
  <si>
    <t>Juan  Sanchez Gaitan</t>
  </si>
  <si>
    <t>juansanchezg@javeriana.edu.co</t>
  </si>
  <si>
    <t>301/433-0305</t>
  </si>
  <si>
    <t>Pablo  Bright Vargas</t>
  </si>
  <si>
    <t>p.bright@javeriana.edu.co</t>
  </si>
  <si>
    <t>319/366-0734</t>
  </si>
  <si>
    <t>Juan Sebastian Vargas Torres</t>
  </si>
  <si>
    <t>vargas_jsebastian@javeriana.edu.co</t>
  </si>
  <si>
    <t>311/211-9918</t>
  </si>
  <si>
    <t>Juan Camilo Merchán Loza</t>
  </si>
  <si>
    <t>jcamilo.merchanl@javeriana.edu.co</t>
  </si>
  <si>
    <t>316/616-5680</t>
  </si>
  <si>
    <t>Sebastian Guillermo Martinez Velilla</t>
  </si>
  <si>
    <t>sgmartinez@javeriana.edu.co</t>
  </si>
  <si>
    <t>301/397-0427</t>
  </si>
  <si>
    <t>Fabian Andres Zapata Bonivento</t>
  </si>
  <si>
    <t>fa_zapata@javeriana.edu.co</t>
  </si>
  <si>
    <t>316/356-0821</t>
  </si>
  <si>
    <t>juan andres mejia rocha</t>
  </si>
  <si>
    <t>mejiaju@javeriana.edu.co</t>
  </si>
  <si>
    <t>313/859-0780</t>
  </si>
  <si>
    <t>Steban Felipe vanegas camacho</t>
  </si>
  <si>
    <t>steban_vanegasc@javeriana.edu.co</t>
  </si>
  <si>
    <t>316/450-6379</t>
  </si>
  <si>
    <t>Camilo Jose Narvaez Montenegro</t>
  </si>
  <si>
    <t>camilonarvaez@javeriana.edu.co</t>
  </si>
  <si>
    <t>310/410-4158</t>
  </si>
  <si>
    <t>Juan David Romero Torres</t>
  </si>
  <si>
    <t>jdavid.romero@javeriana.edu.co</t>
  </si>
  <si>
    <t>305/922-1613</t>
  </si>
  <si>
    <t>Juan Daniel Traslaviña Guevara</t>
  </si>
  <si>
    <t>juan.traslavina@javeriana.edu.co</t>
  </si>
  <si>
    <t>322/810-7861</t>
  </si>
  <si>
    <t>Abril  Cano Castro</t>
  </si>
  <si>
    <t>abrilcano@javeriana.edu.co</t>
  </si>
  <si>
    <t>322/405-5553</t>
  </si>
  <si>
    <t>David Alfonso Anteliz Bonilla</t>
  </si>
  <si>
    <t>anteliz_d@javeriana.edu.co</t>
  </si>
  <si>
    <t>318/498-8251</t>
  </si>
  <si>
    <t>Alvaro  Betancourt Guaba</t>
  </si>
  <si>
    <t>alvaro_betancourtg@javeriana.edu.co</t>
  </si>
  <si>
    <t>321/221-8015</t>
  </si>
  <si>
    <t>Carlos Andrés Borja González</t>
  </si>
  <si>
    <t>candres_borja@javeriana.edu.co</t>
  </si>
  <si>
    <t>311/565-4151</t>
  </si>
  <si>
    <t>Angela Catalina Llaña Arciniegas</t>
  </si>
  <si>
    <t>ll.angela@javeriana.edu.co</t>
  </si>
  <si>
    <t>300/270-9459</t>
  </si>
  <si>
    <t>Diego Fernando Sanchez Leyton</t>
  </si>
  <si>
    <t>dfsanchez@javeriana.edu.co</t>
  </si>
  <si>
    <t>312/472-8837</t>
  </si>
  <si>
    <t>Samuel  Sebastian Suarez Lopez</t>
  </si>
  <si>
    <t>su.samuel@javeriana.edu.co</t>
  </si>
  <si>
    <t>319/207-0122</t>
  </si>
  <si>
    <t>Gerardo  Hidalgo Carroll</t>
  </si>
  <si>
    <t>gerardo.hidalgoc@javeriana.edu.co</t>
  </si>
  <si>
    <t>313/838-7601</t>
  </si>
  <si>
    <t>Isabella  Fernanda Blanco Chaparro</t>
  </si>
  <si>
    <t>isabellaf_blancoc@javeriana.edu.co</t>
  </si>
  <si>
    <t>313/826-7885</t>
  </si>
  <si>
    <t>Nicolás David Cubillos Cubillos</t>
  </si>
  <si>
    <t>nicolasd-cubillos@javeriana.edu.co</t>
  </si>
  <si>
    <t>316/300-9512</t>
  </si>
  <si>
    <t>Esteban Alberto Rojas Molina</t>
  </si>
  <si>
    <t>rojases@javeriana.edu.co</t>
  </si>
  <si>
    <t>316/674-0356</t>
  </si>
  <si>
    <t>Gabriela  Mercedes Luigi Pena</t>
  </si>
  <si>
    <t>gabriela_luigi@javeriana.edu.co</t>
  </si>
  <si>
    <t>315/393-7422</t>
  </si>
  <si>
    <t>Richard  Fonseca Triviño</t>
  </si>
  <si>
    <t>r_fonseca@javeriana.edu.co</t>
  </si>
  <si>
    <t>322/310-9756</t>
  </si>
  <si>
    <t>Juan  David  Gómez Franco</t>
  </si>
  <si>
    <t>jdavidgomez@javeriana.edu.co</t>
  </si>
  <si>
    <t>305/349-8523</t>
  </si>
  <si>
    <t>Camilo Andres Ramírez  Andrade</t>
  </si>
  <si>
    <t>camilo_ramirez@javeriana.edu.co</t>
  </si>
  <si>
    <t>322/375-8653</t>
  </si>
  <si>
    <t>Juan Danilo Pinto Parra</t>
  </si>
  <si>
    <t>jdanilo.pinto@javeriana.edu.co</t>
  </si>
  <si>
    <t>319/294-5493</t>
  </si>
  <si>
    <t>Johnatan  David Alvarez Vera</t>
  </si>
  <si>
    <t>jo-alvarez@javeriana.edu.co</t>
  </si>
  <si>
    <t>350/663-1396</t>
  </si>
  <si>
    <t>Fredy  Alexander  Garcia  Cardozo</t>
  </si>
  <si>
    <t>garciafredy@javeriana.edu.co</t>
  </si>
  <si>
    <t>318/248-2731</t>
  </si>
  <si>
    <t>Juan Guillermo Pérez Echeverry</t>
  </si>
  <si>
    <t>perezjuang@javeriana.edu.co</t>
  </si>
  <si>
    <t>311/302-9888</t>
  </si>
  <si>
    <t>Pablo Esteban Gutiérrez Rivera</t>
  </si>
  <si>
    <t>pabloe.gutierrezr@javeriana.edu.co</t>
  </si>
  <si>
    <t>322/252-1325</t>
  </si>
  <si>
    <t xml:space="preserve">Juan Pablo Méndez  Alonso </t>
  </si>
  <si>
    <t>jp.mendez@javeriana.edu.co</t>
  </si>
  <si>
    <t>313/585-3061</t>
  </si>
  <si>
    <t>Juan  Camilo Bernal  Florez</t>
  </si>
  <si>
    <t>bernaljcamilo@javeriana.edu.co</t>
  </si>
  <si>
    <t>315/926-8905</t>
  </si>
  <si>
    <t>Maria Alejandra Carrillo Gomez</t>
  </si>
  <si>
    <t>mariaacarrillog@javeriana.edu.co</t>
  </si>
  <si>
    <t>311/526-0181</t>
  </si>
  <si>
    <t>Jhony Alejandro Herrera Parrado</t>
  </si>
  <si>
    <t>jhonyherrera@javeriana.edu.co</t>
  </si>
  <si>
    <t>315/216-6525</t>
  </si>
  <si>
    <t>Juan  Andrés Munar Barrera</t>
  </si>
  <si>
    <t>juan.munarb@javeriana.edu.co</t>
  </si>
  <si>
    <t>321/396-4145</t>
  </si>
  <si>
    <t>Andres Mateo Aldana Parada</t>
  </si>
  <si>
    <t>aldana_a@javeriana.edu.co</t>
  </si>
  <si>
    <t>313/806-2964</t>
  </si>
  <si>
    <t xml:space="preserve">LAURA  SOFÍA  RODRÍGUEZ  PÉREZ </t>
  </si>
  <si>
    <t>ls.rodriguezp@javeriana.edu.co</t>
  </si>
  <si>
    <t>315/833-3699</t>
  </si>
  <si>
    <t>Jhon Sebastian Yagama Parra</t>
  </si>
  <si>
    <t>jhon_yagama@javeriana.edu.co</t>
  </si>
  <si>
    <t>320/466-7928</t>
  </si>
  <si>
    <t>David  Orozco Orozco López</t>
  </si>
  <si>
    <t>davidorozco@javeriana.edu.co</t>
  </si>
  <si>
    <t>305/431-9466</t>
  </si>
  <si>
    <t xml:space="preserve">Juan  Diego  Ruiz Aguilera </t>
  </si>
  <si>
    <t>jdiego.ruiz@javeriana.edu.co</t>
  </si>
  <si>
    <t>316/331-2981</t>
  </si>
  <si>
    <t>Juan David Gonzalez Rodriguez</t>
  </si>
  <si>
    <t>juan-gonzalezr@javeriana.edu.co</t>
  </si>
  <si>
    <t>310/814-0771</t>
  </si>
  <si>
    <t xml:space="preserve">Julián  David  Betancourt  Marin </t>
  </si>
  <si>
    <t>betancourt_jd@javeriana.edu.co</t>
  </si>
  <si>
    <t>305/718-6565</t>
  </si>
  <si>
    <t xml:space="preserve">Sofia  Paola  Medina  Chica </t>
  </si>
  <si>
    <t>sp.medina@javeriana.edu.co</t>
  </si>
  <si>
    <t>321/455-6904</t>
  </si>
  <si>
    <t>Adriana Paola Badran Campo</t>
  </si>
  <si>
    <t>apbadran@javeriana.edu.co</t>
  </si>
  <si>
    <t>300/630-6463</t>
  </si>
  <si>
    <t>Catalina  Ortegon Betancourt</t>
  </si>
  <si>
    <t>c-ortegon@javeriana.edu.co</t>
  </si>
  <si>
    <t>300/502-1861</t>
  </si>
  <si>
    <t>Juanita  Buitrago Ardila</t>
  </si>
  <si>
    <t>j.buitragoa@javeriana.edu.co</t>
  </si>
  <si>
    <t>304/569-6559</t>
  </si>
  <si>
    <t>Diego Mauricio Guerrero Vélez</t>
  </si>
  <si>
    <t>diegom.guerrero@javeriana.edu.co</t>
  </si>
  <si>
    <t>312/451-6452</t>
  </si>
  <si>
    <t>Sofia   Hernandez  Fernandez</t>
  </si>
  <si>
    <t>hernandez-sofia@javeriana.edu.co</t>
  </si>
  <si>
    <t>310/327-9233</t>
  </si>
  <si>
    <t xml:space="preserve">Santiago  Andrés  Mesa Gutiérrez </t>
  </si>
  <si>
    <t>mesags@javeriana.edu.co</t>
  </si>
  <si>
    <t>312/473-4181</t>
  </si>
  <si>
    <t>Juan Manuel Pinto Coronel</t>
  </si>
  <si>
    <t>juanm_pintoc@javeriana.edu.co</t>
  </si>
  <si>
    <t>311/294-1364</t>
  </si>
  <si>
    <t>Daniel  Herrera Jiménez</t>
  </si>
  <si>
    <t>daniel_herreraj@javeriana.edu.co</t>
  </si>
  <si>
    <t>312/825-8832</t>
  </si>
  <si>
    <t>Nicolás  Castaño Castillo</t>
  </si>
  <si>
    <t>nicastano@javeriana.edu.co</t>
  </si>
  <si>
    <t>310/582-1365</t>
  </si>
  <si>
    <t xml:space="preserve">David Santiago Caceres Escobar </t>
  </si>
  <si>
    <t>cacerese.davids@javeriana.edu.co</t>
  </si>
  <si>
    <t>311/501-1236</t>
  </si>
  <si>
    <t>Juliana Alejandra  Pelaez Manrique</t>
  </si>
  <si>
    <t>juliana-pelaez@javeriana.edu.co</t>
  </si>
  <si>
    <t>310/266-3699</t>
  </si>
  <si>
    <t xml:space="preserve">Sergio  Mariño Ramírez </t>
  </si>
  <si>
    <t>s_marino@javeriana.edu.co</t>
  </si>
  <si>
    <t>320/865-6305</t>
  </si>
  <si>
    <t>RIOS CIFUENTES,CARLOS MAURICIO</t>
  </si>
  <si>
    <t>carlos.riosc@javeriana.edu.co</t>
  </si>
  <si>
    <t>314/362-2308</t>
  </si>
  <si>
    <t xml:space="preserve">Juan  Sebastian  Rivera  Montaño </t>
  </si>
  <si>
    <t>juanriveram@javeriana.edu.co</t>
  </si>
  <si>
    <t>318/547-1802</t>
  </si>
  <si>
    <t>Daniel Felipe Amorocho Espinosa</t>
  </si>
  <si>
    <t>dfelipe-amorocho@javeriana.edu.co</t>
  </si>
  <si>
    <t>350/452-2920</t>
  </si>
  <si>
    <t>Paula Valentina Plazas  Sanchez</t>
  </si>
  <si>
    <t>plazas.pv@javeriana.edu.co</t>
  </si>
  <si>
    <t>304/390-9343</t>
  </si>
  <si>
    <t>ZAMORA RUIZ,JULIAN RICARDO</t>
  </si>
  <si>
    <t>julian_zamora@javeriana.edu.co</t>
  </si>
  <si>
    <t>301/657-4285</t>
  </si>
  <si>
    <t xml:space="preserve">Andres  Felipe Angel Martinez </t>
  </si>
  <si>
    <t>angelma@javeriana.edu.co</t>
  </si>
  <si>
    <t>310/768-4189</t>
  </si>
  <si>
    <t>Paula Vanessa Duarte Peña</t>
  </si>
  <si>
    <t>pvduarte@javeriana.edu.co</t>
  </si>
  <si>
    <t>321/471-5039</t>
  </si>
  <si>
    <t>Zara  Sánchez  Pineda</t>
  </si>
  <si>
    <t>zara-sanchez@javeriana.edu.co</t>
  </si>
  <si>
    <t>+573202418230</t>
  </si>
  <si>
    <t>Laura  Lesmes Lesmes</t>
  </si>
  <si>
    <t>lauralesmesl@javeriana.edu.co</t>
  </si>
  <si>
    <t>322/845-1446</t>
  </si>
  <si>
    <t>Santiago  Ospina Ferreira</t>
  </si>
  <si>
    <t>ospinafsantiago@javeriana.edu.co</t>
  </si>
  <si>
    <t>305/715-1992</t>
  </si>
  <si>
    <t xml:space="preserve">Gabriela Alejandra Torres Suárez </t>
  </si>
  <si>
    <t>torress_gabrielaa@javeriana.edu.co</t>
  </si>
  <si>
    <t>319/249-0678</t>
  </si>
  <si>
    <t>Maria   Narvaez  Portilla</t>
  </si>
  <si>
    <t>narvaez_maria@javeriana.edu.co</t>
  </si>
  <si>
    <t>300/612-1753</t>
  </si>
  <si>
    <t>Camilo  Delgado Burbano</t>
  </si>
  <si>
    <t>delgado_camilo@javeriana.edu.co</t>
  </si>
  <si>
    <t>315/438-5102</t>
  </si>
  <si>
    <t>Catalina  Avila Fadul</t>
  </si>
  <si>
    <t>catalina-avila@javeriana.edu.co</t>
  </si>
  <si>
    <t>321/347-0737</t>
  </si>
  <si>
    <t xml:space="preserve">Fernando  José  Lizarazo  Gutiérrez </t>
  </si>
  <si>
    <t>flizarazo@javeriana.edu.co</t>
  </si>
  <si>
    <t>305/266-0755</t>
  </si>
  <si>
    <t>Juan Esteban Arévalo  Verjel</t>
  </si>
  <si>
    <t>juan-arevalov@javeriana.edu.co</t>
  </si>
  <si>
    <t>317/680-4296</t>
  </si>
  <si>
    <t>Álvaro  Esteban  Vincos  Contreras</t>
  </si>
  <si>
    <t>alvarovincosc@javeriana.edu.co</t>
  </si>
  <si>
    <t>311/550-9082</t>
  </si>
  <si>
    <t>Sofía   García  Cruz</t>
  </si>
  <si>
    <t>garciacsofia@javeriana.edu.co</t>
  </si>
  <si>
    <t>311/894-7531</t>
  </si>
  <si>
    <t>Camilo  Peñaranda Gomez</t>
  </si>
  <si>
    <t>camilo-penaranda@javeriana.edu.co</t>
  </si>
  <si>
    <t>323/309-1142</t>
  </si>
  <si>
    <t xml:space="preserve">Daniel  Felipe Pineda  Hernández </t>
  </si>
  <si>
    <t>dfelipe_pineda@javeriana.edu.co</t>
  </si>
  <si>
    <t>311/891-3828</t>
  </si>
  <si>
    <t>Sergio Andrés Muñoz Villanueva</t>
  </si>
  <si>
    <t>munozsa@javeriana.edu.co</t>
  </si>
  <si>
    <t>318/499-9695</t>
  </si>
  <si>
    <t>Juan  Andres Moreno Daza</t>
  </si>
  <si>
    <t>jamorenod@javeriana.edu.co</t>
  </si>
  <si>
    <t>314/345-7732</t>
  </si>
  <si>
    <t>Nicolas Ricardo  Vargas  Morales</t>
  </si>
  <si>
    <t>vargasmnicolas@javeriana.edu.co</t>
  </si>
  <si>
    <t>317/660-9505</t>
  </si>
  <si>
    <t>Valeria Sofia Rodriguez Herrera</t>
  </si>
  <si>
    <t>vsofia.rodriguez@javeriana.edu.co</t>
  </si>
  <si>
    <t>321/286-1545</t>
  </si>
  <si>
    <t xml:space="preserve">Juan  Felipe  Rincon Ramirez </t>
  </si>
  <si>
    <t>jfelipe.rinconr@javeriana.edu.co</t>
  </si>
  <si>
    <t>313/778-3301</t>
  </si>
  <si>
    <t xml:space="preserve">Valentina  Aguilar  Gómez </t>
  </si>
  <si>
    <t>valentina-aguilarg@javeriana.edu.co</t>
  </si>
  <si>
    <t>314/208-5847</t>
  </si>
  <si>
    <t>Jessica  Paola  Tarazona  Ruiz</t>
  </si>
  <si>
    <t>jessicaptarazonar@javeriana.edu.co</t>
  </si>
  <si>
    <t>304/214-8941</t>
  </si>
  <si>
    <t xml:space="preserve">Santiago   Castillo López </t>
  </si>
  <si>
    <t>castillosa@javeriana.edu.co</t>
  </si>
  <si>
    <t>318/679-2323</t>
  </si>
  <si>
    <t>Daniela  Cerón Salgado</t>
  </si>
  <si>
    <t>d.paezs@javeriana.edu.co</t>
  </si>
  <si>
    <t>318/618-4462</t>
  </si>
  <si>
    <t>Laura Sofia Barreto Rojas</t>
  </si>
  <si>
    <t>ls_barreto@javeriana.edu.co</t>
  </si>
  <si>
    <t>321/674-8835</t>
  </si>
  <si>
    <t>Angela  Maria Martínez  Benavides</t>
  </si>
  <si>
    <t>angelam-martinez@javeriana.edu.co</t>
  </si>
  <si>
    <t>316/867-3085</t>
  </si>
  <si>
    <t>Juana Valentina Amaya Barrera</t>
  </si>
  <si>
    <t>ju_amaya@javeriana.edu.co</t>
  </si>
  <si>
    <t>320/486-0155</t>
  </si>
  <si>
    <t>Juan  David Guacaneme  Perez</t>
  </si>
  <si>
    <t>guacaneme.j@javeriana.edu.co</t>
  </si>
  <si>
    <t>315/248-3687</t>
  </si>
  <si>
    <t xml:space="preserve">Valentina   Daza Gutierrez </t>
  </si>
  <si>
    <t>v.daza@javeriana.edu.co</t>
  </si>
  <si>
    <t>312/596-3146</t>
  </si>
  <si>
    <t xml:space="preserve">Fabio Alejandro Gómez  Morales </t>
  </si>
  <si>
    <t>fabiogomezm@javeriana.edu.co</t>
  </si>
  <si>
    <t>320/449-4446</t>
  </si>
  <si>
    <t>Maria Camila Urrea Espinosa</t>
  </si>
  <si>
    <t>maria.urrea@javeriana.edu.co</t>
  </si>
  <si>
    <t>316/580-1705</t>
  </si>
  <si>
    <t xml:space="preserve">María  Alejandra  Herrera Mejía </t>
  </si>
  <si>
    <t>herreram_a@javeriana.edu.co</t>
  </si>
  <si>
    <t>322/304-9107</t>
  </si>
  <si>
    <t>Nicole Daiana Buitrago Moreno</t>
  </si>
  <si>
    <t>nicoledbuitragom@javeriana.edu.co</t>
  </si>
  <si>
    <t>305/370-9117</t>
  </si>
  <si>
    <t>Juan Guillermo Benavides Franco</t>
  </si>
  <si>
    <t>benavidesfjuang@javeriana.edu.co</t>
  </si>
  <si>
    <t>300/345-7904</t>
  </si>
  <si>
    <t xml:space="preserve">Nicolas   Trujillo Riveros </t>
  </si>
  <si>
    <t>tr_nicolas@javeriana.edu.co</t>
  </si>
  <si>
    <t>318/547-1120</t>
  </si>
  <si>
    <t>Nathalie Alejandra Serrato Figueroa</t>
  </si>
  <si>
    <t>serratonathaliea@javeriana.edu.co</t>
  </si>
  <si>
    <t>302/788-2003</t>
  </si>
  <si>
    <t>Gabriela  Sánchez  Perez</t>
  </si>
  <si>
    <t>gabriela-sanchez@javeriana.edu.co</t>
  </si>
  <si>
    <t>310/812-6005</t>
  </si>
  <si>
    <t>Juan Jose Rojas Bonilla</t>
  </si>
  <si>
    <t>jjrojasb@javeriana.edu.co</t>
  </si>
  <si>
    <t>320/254-8123</t>
  </si>
  <si>
    <t xml:space="preserve">Mariana  Alvarez  Huertas </t>
  </si>
  <si>
    <t>ma_alvarez@javeriana.edu.co</t>
  </si>
  <si>
    <t>317/418-7797</t>
  </si>
  <si>
    <t>Juan Diego Martinez  Roa</t>
  </si>
  <si>
    <t>jdiegomartinezr@javeriana.edu.co</t>
  </si>
  <si>
    <t>312/575-0946</t>
  </si>
  <si>
    <t>Leonardo   Santamaria  Beltran</t>
  </si>
  <si>
    <t>l-santamaria@javeriana.edu.co</t>
  </si>
  <si>
    <t>316/872-8645</t>
  </si>
  <si>
    <t>Fernando  Sarmiento Galeano</t>
  </si>
  <si>
    <t>f.sarmientog@javeriana.edu.co</t>
  </si>
  <si>
    <t>304/567-4641</t>
  </si>
  <si>
    <t xml:space="preserve">Laura  Catalina  Huérfano  Páez </t>
  </si>
  <si>
    <t>lahuerfano@javeriana.edu.co</t>
  </si>
  <si>
    <t>310/777-1531</t>
  </si>
  <si>
    <t>Jessyka Alexandra Uzcategui Mantilla</t>
  </si>
  <si>
    <t>ja.uzcategui@javeriana.edu.co</t>
  </si>
  <si>
    <t>315/206-5689</t>
  </si>
  <si>
    <t>Juan Manuel Moreno Niño</t>
  </si>
  <si>
    <t>morenon_j@javeriana.edu.co</t>
  </si>
  <si>
    <t>310/687-4620</t>
  </si>
  <si>
    <t>Estefanía  Mendoza Cortés</t>
  </si>
  <si>
    <t>mendoza_estefania@javeriana.edu.co</t>
  </si>
  <si>
    <t>315/219-6326</t>
  </si>
  <si>
    <t xml:space="preserve">Carlos Jose Tabares Recalde </t>
  </si>
  <si>
    <t>carlosj.tabaresr@javeriana.edu.co</t>
  </si>
  <si>
    <t>314/605-1189</t>
  </si>
  <si>
    <t xml:space="preserve">María  Andrea Ariza Ortiz </t>
  </si>
  <si>
    <t>mariaaariza@javeriana.edu.co</t>
  </si>
  <si>
    <t>302/481-2860</t>
  </si>
  <si>
    <t>Mariana  Díaz Matuk</t>
  </si>
  <si>
    <t>mariana.diaz@javeriana.edu.co</t>
  </si>
  <si>
    <t>301/448-8698</t>
  </si>
  <si>
    <t>Daniel  Jimenez  Valbuena</t>
  </si>
  <si>
    <t>jimenezv.d@javeriana.edu.co</t>
  </si>
  <si>
    <t>305/453-8507</t>
  </si>
  <si>
    <t xml:space="preserve">Alejandra   Gamboa Martínez </t>
  </si>
  <si>
    <t>a-gamboa@javeriana.edu.co</t>
  </si>
  <si>
    <t>316/527-3236</t>
  </si>
  <si>
    <t>Andres  Santos Tovar</t>
  </si>
  <si>
    <t>santos-andres@javeriana.edu.co</t>
  </si>
  <si>
    <t>315/239-9117</t>
  </si>
  <si>
    <t>Daniela  Medina Olaya</t>
  </si>
  <si>
    <t xml:space="preserve">Andrés Felipe  Caballero  Beltrán </t>
  </si>
  <si>
    <t>caballerob.a@javeriana.edu.co</t>
  </si>
  <si>
    <t>302/467-4510</t>
  </si>
  <si>
    <t>Pablo  Caicedo Marquez</t>
  </si>
  <si>
    <t>pablocaicedo@javeriana.edu.co</t>
  </si>
  <si>
    <t>313/336-1660</t>
  </si>
  <si>
    <t>JUAN  NICOLAS MONTOYA MARTINEZ</t>
  </si>
  <si>
    <t>montoyajuan@javeriana.edu.co</t>
  </si>
  <si>
    <t>304/629-0570</t>
  </si>
  <si>
    <t>Laura  Juliana  Bonilla Gordillo</t>
  </si>
  <si>
    <t>la-bonilla@javeriana.edu.co</t>
  </si>
  <si>
    <t>316/871-3596</t>
  </si>
  <si>
    <t xml:space="preserve">Juliana   Cadena Rodriguez </t>
  </si>
  <si>
    <t>juliana_cadenar@javeriana.edu.co</t>
  </si>
  <si>
    <t>310/666-0430</t>
  </si>
  <si>
    <t>Laura  González Leguizamón</t>
  </si>
  <si>
    <t>gonzalezl-laurax@javeriana.edu.co</t>
  </si>
  <si>
    <t>300/478-1263</t>
  </si>
  <si>
    <t>Mariana  Rodriguez Niño</t>
  </si>
  <si>
    <t>mariana.rodriguezn@javeriana.edu.co</t>
  </si>
  <si>
    <t>316/624-6806</t>
  </si>
  <si>
    <t xml:space="preserve">David   Velásquez  Arevalo </t>
  </si>
  <si>
    <t>d.velazquez@javeriana.edu.co</t>
  </si>
  <si>
    <t>323/252-3490</t>
  </si>
  <si>
    <t>Santiago  Barrero Borrero</t>
  </si>
  <si>
    <t>Ivan  Delgado Guerrero</t>
  </si>
  <si>
    <t>delgadogi@javeriana.edu.co</t>
  </si>
  <si>
    <t>316/877-1769</t>
  </si>
  <si>
    <t xml:space="preserve">Angela   González  Roa </t>
  </si>
  <si>
    <t>angelap.gonzalez@javeriana.edu.co</t>
  </si>
  <si>
    <t>313/275-7962</t>
  </si>
  <si>
    <t>Andrés  Pérez  Narváez</t>
  </si>
  <si>
    <t>aperezn@javeriana.edu.co</t>
  </si>
  <si>
    <t>316/676-6662</t>
  </si>
  <si>
    <t>Andrea  Baquero  Medina</t>
  </si>
  <si>
    <t>baqueroag@javeriana.edu.co</t>
  </si>
  <si>
    <t>300/367-6619</t>
  </si>
  <si>
    <t>CALPA GARCIA,DANIEL FELIPE</t>
  </si>
  <si>
    <t>daniel_calpa@javeriana.edu.co</t>
  </si>
  <si>
    <t>317/667-8771</t>
  </si>
  <si>
    <t>Daniel  Aux  Lopez</t>
  </si>
  <si>
    <t>aux.d@javeriana.edu.co</t>
  </si>
  <si>
    <t>322/201-1038</t>
  </si>
  <si>
    <t>Alejandro  Pupo Araujo</t>
  </si>
  <si>
    <t>pupoalejandro@javeriana.edu.co</t>
  </si>
  <si>
    <t>310/257-8166</t>
  </si>
  <si>
    <t>Eduardo  Arenas Oliver</t>
  </si>
  <si>
    <t>arenas-eduardo@javeriana.edu.co</t>
  </si>
  <si>
    <t>315/681-0201</t>
  </si>
  <si>
    <t>David  Ariza Riveros</t>
  </si>
  <si>
    <t>david-ariza@javeriana.edu.co</t>
  </si>
  <si>
    <t>322-6951</t>
  </si>
  <si>
    <t>Grace  Oramas Bermúdez</t>
  </si>
  <si>
    <t>oramasbgrace@javeriana.edu.co</t>
  </si>
  <si>
    <t>318/377-0975</t>
  </si>
  <si>
    <t>German  Velasco Bossa</t>
  </si>
  <si>
    <t>germana-velasco@javeriana.edu.co</t>
  </si>
  <si>
    <t>313/451-7963</t>
  </si>
  <si>
    <t>lina  ceron bejarano</t>
  </si>
  <si>
    <t>ce.lina@javeriana.edu.co</t>
  </si>
  <si>
    <t>312/363-3516</t>
  </si>
  <si>
    <t xml:space="preserve">Estefania   Munar  Pérez </t>
  </si>
  <si>
    <t>estefania.munar@javeriana.edu.co</t>
  </si>
  <si>
    <t>317/318-6281</t>
  </si>
  <si>
    <t>Manuel  Rodríguez González</t>
  </si>
  <si>
    <t>rodriguez.manuelj@javeriana.edu.co</t>
  </si>
  <si>
    <t>320/346-9086</t>
  </si>
  <si>
    <t>Harold  Melo Troyano</t>
  </si>
  <si>
    <t>harold_melo@javeriana.edu.co</t>
  </si>
  <si>
    <t>304/546-0022</t>
  </si>
  <si>
    <t>María  González Pinzón</t>
  </si>
  <si>
    <t>mariagonzalezp@javeriana.edu.co</t>
  </si>
  <si>
    <t>314/490-8629</t>
  </si>
  <si>
    <t>Leonor Cristina Henríquez Hernández</t>
  </si>
  <si>
    <t>henriquez.lcristina@javeriana.edu.co</t>
  </si>
  <si>
    <t>313/812-8617</t>
  </si>
  <si>
    <t>Maria Clara Restrepo Lopez</t>
  </si>
  <si>
    <t>restrepol.mclara@javeriana.edu.co</t>
  </si>
  <si>
    <t>318/860-5778</t>
  </si>
  <si>
    <t xml:space="preserve">Juan  Manuel  Rodríguez  Matallana </t>
  </si>
  <si>
    <t>rodriguezm-juan@javeriana.edu.co</t>
  </si>
  <si>
    <t>310/804-6197</t>
  </si>
  <si>
    <t>Juan David  Beltran  Cortes</t>
  </si>
  <si>
    <t>juand.beltran@javeriana.edu.co</t>
  </si>
  <si>
    <t>321/968-7478</t>
  </si>
  <si>
    <t xml:space="preserve">Juan  Felipe Daza Barrera </t>
  </si>
  <si>
    <t>jfelipe.dazab@javeriana.edu.co</t>
  </si>
  <si>
    <t>301/523-5059</t>
  </si>
  <si>
    <t xml:space="preserve">Sofía   Rubio Pérez </t>
  </si>
  <si>
    <t>sofia-rubio@javeriana.edu.co</t>
  </si>
  <si>
    <t>312/566-7343</t>
  </si>
  <si>
    <t xml:space="preserve">Alejandra   Gómez  Arcila </t>
  </si>
  <si>
    <t>alejandra_gomeza@javeriana.edu.co</t>
  </si>
  <si>
    <t>318/357-2567</t>
  </si>
  <si>
    <t xml:space="preserve">María  Juliana  Gaona  Castañeda </t>
  </si>
  <si>
    <t>gaonac_mariaj@javeriana.edu.co</t>
  </si>
  <si>
    <t>313/264-5752</t>
  </si>
  <si>
    <t>Martín Enrique Bernal Cárdenas</t>
  </si>
  <si>
    <t>martin_bernal@javeriana.edu.co</t>
  </si>
  <si>
    <t>300/777-8288</t>
  </si>
  <si>
    <t xml:space="preserve">Ian Sebastina Corrales  Hernández </t>
  </si>
  <si>
    <t>ian-corralesh@javeriana.edu.co</t>
  </si>
  <si>
    <t>300/847-9970</t>
  </si>
  <si>
    <t xml:space="preserve">Santiago  Morales Domínguez </t>
  </si>
  <si>
    <t>santiagomoralesd@javeriana.edu.co</t>
  </si>
  <si>
    <t>310/312-8663</t>
  </si>
  <si>
    <t>Indira  Campo Neira</t>
  </si>
  <si>
    <t xml:space="preserve">Juan  Diego  Pachón  Castañeda </t>
  </si>
  <si>
    <t>jdiego-pachon@javeriana.edu.co</t>
  </si>
  <si>
    <t>318/656-0292</t>
  </si>
  <si>
    <t>Juan Diego Cifuentes Cortes</t>
  </si>
  <si>
    <t>cifuentesjdiego@javeriana.edu.co</t>
  </si>
  <si>
    <t>304/378-7518</t>
  </si>
  <si>
    <t>Vanessa Valentina Silva Celis</t>
  </si>
  <si>
    <t>silva.vanessav@javeriana.edu.co</t>
  </si>
  <si>
    <t>315/237-5485</t>
  </si>
  <si>
    <t>Juan  Sebastian  Gordillo Parra</t>
  </si>
  <si>
    <t>juan.gordillop@javeriana.edu.co</t>
  </si>
  <si>
    <t>301/755-2207</t>
  </si>
  <si>
    <t>Julián Andres Escobar Pineda</t>
  </si>
  <si>
    <t>escobarp.julian@javeriana.edu.co</t>
  </si>
  <si>
    <t>316/873-3435</t>
  </si>
  <si>
    <t>Santiago  Parra Castaño</t>
  </si>
  <si>
    <t>santiagoparra@javeriana.edu.co</t>
  </si>
  <si>
    <t>305/900-3616</t>
  </si>
  <si>
    <t xml:space="preserve">Ana Maria Rodriguez  Rojas </t>
  </si>
  <si>
    <t>anamrodriguezr@javeriana.edu.co</t>
  </si>
  <si>
    <t>315/860-9022</t>
  </si>
  <si>
    <t>Sergio  Torres Martinez</t>
  </si>
  <si>
    <t>torresms@javeriana.edu.co</t>
  </si>
  <si>
    <t>311/881-4847</t>
  </si>
  <si>
    <t>Juan Camilo Urrea Leon</t>
  </si>
  <si>
    <t>j_urrea@javeriana.edu.co</t>
  </si>
  <si>
    <t>315/335-3243</t>
  </si>
  <si>
    <t>Juan David Santacruz Rodas</t>
  </si>
  <si>
    <t>jdsantacruzr@javeriana.edu.co</t>
  </si>
  <si>
    <t>310/254-2813</t>
  </si>
  <si>
    <t>David Alejandro Durán Ladino</t>
  </si>
  <si>
    <t>david_duran@javeriana.edu.co</t>
  </si>
  <si>
    <t>320/805-8207</t>
  </si>
  <si>
    <t xml:space="preserve">David Andrés  Serrato Gutiérrez </t>
  </si>
  <si>
    <t>serratodandres@javeriana.edu.co</t>
  </si>
  <si>
    <t>304/228-2236</t>
  </si>
  <si>
    <t xml:space="preserve">Valenthina  Gómez  Callejas </t>
  </si>
  <si>
    <t>govalenthina@javeriana.edu.co</t>
  </si>
  <si>
    <t>304/657-8800</t>
  </si>
  <si>
    <t>Juan  Andres Escobar Perez</t>
  </si>
  <si>
    <t>escobarjandres@javeriana.edu.co</t>
  </si>
  <si>
    <t>313/457-6000</t>
  </si>
  <si>
    <t>Nicolas  Ortiz Pineda</t>
  </si>
  <si>
    <t>nicolas_ortizp@javeriana.edu.co</t>
  </si>
  <si>
    <t>316/618-0203</t>
  </si>
  <si>
    <t>Juan Sebastián Prieto Lancheros</t>
  </si>
  <si>
    <t>juans-prietol@javeriana.edu.co</t>
  </si>
  <si>
    <t>312/384-9223</t>
  </si>
  <si>
    <t>Dante Lucio Volpedo Matteucci</t>
  </si>
  <si>
    <t>dante_volpedo@javeriana.edu.co</t>
  </si>
  <si>
    <t>305/880-7766</t>
  </si>
  <si>
    <t xml:space="preserve">Andrea Vanessa Rodríguez  Merchán </t>
  </si>
  <si>
    <t>andreav.rodriguezm@javeriana.edu.co</t>
  </si>
  <si>
    <t>321/234-5535</t>
  </si>
  <si>
    <t>Jesus Manuel Ortega  Medina</t>
  </si>
  <si>
    <t>jesusm.ortega@javeriana.edu.co</t>
  </si>
  <si>
    <t>301/698-1323</t>
  </si>
  <si>
    <t xml:space="preserve">Luisa  Fernanda  Bautista González </t>
  </si>
  <si>
    <t>luisafbautistag@javeriana.edu.co</t>
  </si>
  <si>
    <t>313/476-5324</t>
  </si>
  <si>
    <t>Natalia 0 Varon Munevar</t>
  </si>
  <si>
    <t>varon-natalia@javeriana.edu.co</t>
  </si>
  <si>
    <t>317/368-7841</t>
  </si>
  <si>
    <t>MARIA JOSE VASQUEZ DE LA HOZ</t>
  </si>
  <si>
    <t>mj.vasquez@javeriana.edu.co</t>
  </si>
  <si>
    <t>322/907-7252</t>
  </si>
  <si>
    <t>Claudia  Vanessa Duque  Buitrago</t>
  </si>
  <si>
    <t>claudia.duqueb@javeriana.edu.co</t>
  </si>
  <si>
    <t>310/302-4394</t>
  </si>
  <si>
    <t>Juan Manuel Pinzón Acosta</t>
  </si>
  <si>
    <t>jmanuelpinzon@javeriana.edu.co</t>
  </si>
  <si>
    <t>320/489-5168</t>
  </si>
  <si>
    <t xml:space="preserve">Carla   Salcedo  Franco </t>
  </si>
  <si>
    <t>salcedof_carla@javeriana.edu.co</t>
  </si>
  <si>
    <t>322/857-2020</t>
  </si>
  <si>
    <t>Julieth Patricia Parra Herrera</t>
  </si>
  <si>
    <t>parra_jp@javeriana.edu.co</t>
  </si>
  <si>
    <t>316/340-9465</t>
  </si>
  <si>
    <t xml:space="preserve">Jose Alejandro  Motta Maldonado </t>
  </si>
  <si>
    <t>mo-jose@javeriana.edu.co</t>
  </si>
  <si>
    <t>300/299-5050</t>
  </si>
  <si>
    <t>María  Lucía Pérez Gartner</t>
  </si>
  <si>
    <t>perezgm@javeriana.edu.co</t>
  </si>
  <si>
    <t>305/724-1796</t>
  </si>
  <si>
    <t>Alejandro  Páez Cortés</t>
  </si>
  <si>
    <t>paez_l@javeriana.edu.co</t>
  </si>
  <si>
    <t>313/827-1094</t>
  </si>
  <si>
    <t>Maria Camila Ospina Medina</t>
  </si>
  <si>
    <t>ospinamaria@javeriana.edu.co</t>
  </si>
  <si>
    <t>304/615-7559</t>
  </si>
  <si>
    <t xml:space="preserve">Carlos  Julian Alvarez  Riveros </t>
  </si>
  <si>
    <t>alvarezc.a@javeriana.edu.co</t>
  </si>
  <si>
    <t>301/527-3858</t>
  </si>
  <si>
    <t>Gabriela  Jaimes Mantilla</t>
  </si>
  <si>
    <t>jaimesm_g@javeriana.edu.co</t>
  </si>
  <si>
    <t>322/363-1502</t>
  </si>
  <si>
    <t>Nicolás  Medina Barrera</t>
  </si>
  <si>
    <t>medinabnicolas@javeriana.edu.co</t>
  </si>
  <si>
    <t>310/532-6968</t>
  </si>
  <si>
    <t>Jose Fernando Salazar Bastos</t>
  </si>
  <si>
    <t>salazarjosef@javeriana.edu.co</t>
  </si>
  <si>
    <t>311/810-8790</t>
  </si>
  <si>
    <t>Samira Valentina Medellin Duque</t>
  </si>
  <si>
    <t>sv.medellin@javeriana.edu.co</t>
  </si>
  <si>
    <t>320/919-5471</t>
  </si>
  <si>
    <t xml:space="preserve">Santiago   Lopez Gonzalez </t>
  </si>
  <si>
    <t>lopezs.a@javeriana.edu.co</t>
  </si>
  <si>
    <t>318/690-9559</t>
  </si>
  <si>
    <t>Miriam Zareth Osorio Mendoza</t>
  </si>
  <si>
    <t>Nicolás   Aponte  Buitrago</t>
  </si>
  <si>
    <t>nicolas.aponteb@javeriana.edu.co</t>
  </si>
  <si>
    <t>311/445-0311</t>
  </si>
  <si>
    <t>Sofia  Latorre Castaño</t>
  </si>
  <si>
    <t>sofia_latorre@javeriana.edu.co</t>
  </si>
  <si>
    <t>317/567-2422</t>
  </si>
  <si>
    <t>Giovanna  Valentina  Pérez  Llain</t>
  </si>
  <si>
    <t>perezgi@javeriana.edu.co</t>
  </si>
  <si>
    <t>318/690-2801</t>
  </si>
  <si>
    <t>Juan Esteban Abril Reina</t>
  </si>
  <si>
    <t>juabril@javeriana.edu.co</t>
  </si>
  <si>
    <t>316/515-2028</t>
  </si>
  <si>
    <t xml:space="preserve">Nestor  Vasquez Ruiz </t>
  </si>
  <si>
    <t>nestor.vasquezr@javeriana.edu.co</t>
  </si>
  <si>
    <t>321/232-7908</t>
  </si>
  <si>
    <t xml:space="preserve">Juan  Diego  Torres  Ujueta </t>
  </si>
  <si>
    <t>juan_torresu@javeriana.edu.co</t>
  </si>
  <si>
    <t>317/376-6205</t>
  </si>
  <si>
    <t>Juan Sebastián Lis Mateus</t>
  </si>
  <si>
    <t>lism_js@javeriana.edu.co</t>
  </si>
  <si>
    <t>319/229-6155</t>
  </si>
  <si>
    <t>Valeria  Aparicio Acosta</t>
  </si>
  <si>
    <t>vaparicioa@javeriana.edu.co</t>
  </si>
  <si>
    <t>313/571-8299</t>
  </si>
  <si>
    <t>valentina  hoyos pinilla</t>
  </si>
  <si>
    <t>valentina.hoyosp@javeriana.edu.co</t>
  </si>
  <si>
    <t>310/476-3287</t>
  </si>
  <si>
    <t>Silvia Catalina Perez Teatino</t>
  </si>
  <si>
    <t>sc_perezt@javeriana.edu.co</t>
  </si>
  <si>
    <t>315/387-3989</t>
  </si>
  <si>
    <t>Álvaro Álvaro Vergara Feris</t>
  </si>
  <si>
    <t>alvaro.vergara@javeriana.edu.co</t>
  </si>
  <si>
    <t>317/434-1996</t>
  </si>
  <si>
    <t>MORA ZARZA,JUAN SEBASTIAN</t>
  </si>
  <si>
    <t>morazjs@javeriana.edu.co</t>
  </si>
  <si>
    <t>313/852-4408</t>
  </si>
  <si>
    <t>GRUBER PEREZ,VANESSA ANDREINA</t>
  </si>
  <si>
    <t>grubervanessa@javeriana.edu.co</t>
  </si>
  <si>
    <t>318/644-8166</t>
  </si>
  <si>
    <t>ESPOSITO ALBORNOZ,JORGE LUIS</t>
  </si>
  <si>
    <t>jesposito@javeriana.edu.co</t>
  </si>
  <si>
    <t>316/688-1905</t>
  </si>
  <si>
    <t>2023-20</t>
  </si>
  <si>
    <t>ECHEVERRI GIRALDO,LAURA</t>
  </si>
  <si>
    <t>laura-echeverrig@javeriana.edu.co</t>
  </si>
  <si>
    <t>321/767-4576</t>
  </si>
  <si>
    <t>GOMEZ ROA,WILLIAM ANDRES</t>
  </si>
  <si>
    <t>wa.gomez@javeriana.edu.co</t>
  </si>
  <si>
    <t>319/334-7861</t>
  </si>
  <si>
    <t>PIÑEROS SARAVIA,ESTEBAN</t>
  </si>
  <si>
    <t>es-pineros@javeriana.edu.co</t>
  </si>
  <si>
    <t>300/528-2176</t>
  </si>
  <si>
    <t>Ingeniería Mecánica</t>
  </si>
  <si>
    <t>UGUETO ESTE,PAULA ELENA</t>
  </si>
  <si>
    <t>ug_paula@javeriana.edu.co</t>
  </si>
  <si>
    <t>+33 6 62 01 30 39</t>
  </si>
  <si>
    <t>LOPEZ HERNANDEZ,JUAN MANUEL</t>
  </si>
  <si>
    <t>lopezhjm@javeriana.edu.co</t>
  </si>
  <si>
    <t>321/538-9105</t>
  </si>
  <si>
    <t>LOPEZ RODRIGUEZ,DIEGO ALEJANDRO</t>
  </si>
  <si>
    <t>diegoa.lopezr@javeriana.edu.co</t>
  </si>
  <si>
    <t>320/303-6094</t>
  </si>
  <si>
    <t>MELO JIMENEZ,LIBARDO ANDRES</t>
  </si>
  <si>
    <t>meloj.la@javeriana.edu.co</t>
  </si>
  <si>
    <t>751-8521</t>
  </si>
  <si>
    <t>MORA GEOVO,SEBASTIAN</t>
  </si>
  <si>
    <t>smorag@javeriana.edu.co</t>
  </si>
  <si>
    <t>301/488-6072</t>
  </si>
  <si>
    <t>RODRIGUEZ OROZCO,SAMUEL</t>
  </si>
  <si>
    <t>samuel_rodriguez@javeriana.edu.co</t>
  </si>
  <si>
    <t>313/497-8467</t>
  </si>
  <si>
    <t>RODRIGUEZ ZAMUDIO,DANIEL ALEJANDRO</t>
  </si>
  <si>
    <t>rodriguezz.daniel@javeriana.edu.co</t>
  </si>
  <si>
    <t>300/601-7037</t>
  </si>
  <si>
    <t>SANTAMARIA HOLGUIN,LEOPOLDO</t>
  </si>
  <si>
    <t>l_santamaria@javeriana.edu.co</t>
  </si>
  <si>
    <t>304/613-2288</t>
  </si>
  <si>
    <t>SOTO RODRIGUEZ,JUAN FERNANDO</t>
  </si>
  <si>
    <t>juanf_soto@javeriana.edu.co</t>
  </si>
  <si>
    <t>315/205-7210</t>
  </si>
  <si>
    <t>2023-30</t>
  </si>
  <si>
    <t>SANTIAGO MORENO RODRÍGUEZ</t>
  </si>
  <si>
    <t>santiagomorenor@javeriana.edu.co</t>
  </si>
  <si>
    <t>321/829-0170</t>
  </si>
  <si>
    <t>JUAN FELIPE SERRANO POLANIA</t>
  </si>
  <si>
    <t>serrano_juan@javeriana.edu.co</t>
  </si>
  <si>
    <t>312/361-1378</t>
  </si>
  <si>
    <t>ANGÉLICA MARÍA PINEDA GONZÁLEZ</t>
  </si>
  <si>
    <t>pinedagam@javeriana.edu.co</t>
  </si>
  <si>
    <t>318/833-6202</t>
  </si>
  <si>
    <t>MICHELL PAOLA PULIDO GONGORA</t>
  </si>
  <si>
    <t>pulido_michell@javeriana.edu.co</t>
  </si>
  <si>
    <t>321/426-5990</t>
  </si>
  <si>
    <t xml:space="preserve">HUMBERTO RUEDA CATAÑO </t>
  </si>
  <si>
    <t>h-rueda@javeriana.edu.co</t>
  </si>
  <si>
    <t>301/289-2227</t>
  </si>
  <si>
    <t xml:space="preserve">SEBASTIAN ORJUELA SÁNCHEZ </t>
  </si>
  <si>
    <t>or_sebastian@javeriana.edu.co</t>
  </si>
  <si>
    <t>322/226-3066</t>
  </si>
  <si>
    <t>LAURA SOFIA GÓMEZ LIZARAZO</t>
  </si>
  <si>
    <t>lsofia.gomezl@javeriana.edu.co</t>
  </si>
  <si>
    <t>301/513-4097</t>
  </si>
  <si>
    <t>SERGIO ENRIQUE GONZÁLEZ MARTÍNEZ</t>
  </si>
  <si>
    <t>sergioegonzalez@javeriana.edu.co</t>
  </si>
  <si>
    <t>322/201-5496</t>
  </si>
  <si>
    <t xml:space="preserve">SARAY ANDREA ISAZA VIDES </t>
  </si>
  <si>
    <t>isaza_s@javeriana.edu.co</t>
  </si>
  <si>
    <t>318/323-0871</t>
  </si>
  <si>
    <t xml:space="preserve">SANDRA VALENTINA ANGARITA RAMOS </t>
  </si>
  <si>
    <t>s_angarita@javeriana.edu.co</t>
  </si>
  <si>
    <t>301/481-2661</t>
  </si>
  <si>
    <t>MARIA VALENTINA CASTELLANOS CORREA</t>
  </si>
  <si>
    <t>v-castellanos@javeriana.edu.co</t>
  </si>
  <si>
    <t>313/365-9038</t>
  </si>
  <si>
    <t xml:space="preserve">GISELLE STEFANNY MAYORGA GARZÓN </t>
  </si>
  <si>
    <t>mayorga_giselle@javeriana.edu.co</t>
  </si>
  <si>
    <t>315/826-1842</t>
  </si>
  <si>
    <t xml:space="preserve">JUAN PABLO ESPINEL DÍAZ </t>
  </si>
  <si>
    <t>espinelju@javeriana.edu.co</t>
  </si>
  <si>
    <t>317/648-3481</t>
  </si>
  <si>
    <t xml:space="preserve">JUAN GUILLERMO GUZMÁN SUÁREZ </t>
  </si>
  <si>
    <t>jg_guzman@javeriana.edu.co</t>
  </si>
  <si>
    <t>302/408-8593</t>
  </si>
  <si>
    <t>JUAN JOSE SANABRIA GALINDO</t>
  </si>
  <si>
    <t>ju.sanabria@javeriana.edu.co</t>
  </si>
  <si>
    <t>320/470-4994</t>
  </si>
  <si>
    <t>ADRIANA VALENTINA CARDONA GÓMEZ</t>
  </si>
  <si>
    <t>adriana_cardona@javeriana.edu.co</t>
  </si>
  <si>
    <t>311/237-9492</t>
  </si>
  <si>
    <t>CESAR LUIS BRAVO REINA</t>
  </si>
  <si>
    <t>cesarlbravor@javeriana.edu.co</t>
  </si>
  <si>
    <t>320/749-7983</t>
  </si>
  <si>
    <t xml:space="preserve">LAURA CATALINA GONZALEZ JIMENEZ </t>
  </si>
  <si>
    <t>laura.gonzalezj@javeriana.edu.co</t>
  </si>
  <si>
    <t>319/538-6572</t>
  </si>
  <si>
    <t>OLMAN ESTEBAN ROJAS PEÑA</t>
  </si>
  <si>
    <t>o_rojas@javeriana.edu.co</t>
  </si>
  <si>
    <t>321/986-4596</t>
  </si>
  <si>
    <t xml:space="preserve">ANDREA VALENTINA BOLAÑOZ ALVARADO </t>
  </si>
  <si>
    <t>bolanozaav@javeriana.edu.co</t>
  </si>
  <si>
    <t>319/343-5828</t>
  </si>
  <si>
    <t xml:space="preserve">OSCAR GUILLERMO ORDOÑEZ LEYTON </t>
  </si>
  <si>
    <t>oscar_ordonez@javeriana.edu.co</t>
  </si>
  <si>
    <t>301/307-0462</t>
  </si>
  <si>
    <t xml:space="preserve">DAVID CAMILO GARCIA PINZON </t>
  </si>
  <si>
    <t>garciap_d@javeriana.edu.co</t>
  </si>
  <si>
    <t>311/830-8164</t>
  </si>
  <si>
    <t>LINA GABRIELA VERA APARICIO</t>
  </si>
  <si>
    <t>lgabrielavera@javeriana.edu.co</t>
  </si>
  <si>
    <t>316/431-3030</t>
  </si>
  <si>
    <t xml:space="preserve">DAVID SANTIAGO WILSON PÉREZ </t>
  </si>
  <si>
    <t>davidswilson@javeriana.edu.co</t>
  </si>
  <si>
    <t>350/885-5656</t>
  </si>
  <si>
    <t>JOSÉ ALEJANDRO NARANJO CABEZAS</t>
  </si>
  <si>
    <t>ja_naranjo@javeriana.edu.co</t>
  </si>
  <si>
    <t>313/875-4612</t>
  </si>
  <si>
    <t>SEBASTIAN ARDILA CLARO</t>
  </si>
  <si>
    <t>ardilasebastian@javeriana.edu.co</t>
  </si>
  <si>
    <t>314/367-4476</t>
  </si>
  <si>
    <t xml:space="preserve">MARIA FERNANDA BARÓN TARAZONA </t>
  </si>
  <si>
    <t>barontmaria@javeriana.edu.co</t>
  </si>
  <si>
    <t>321/491-7664</t>
  </si>
  <si>
    <t xml:space="preserve">JOSÉ FERNANDO RINCÓN ABREO </t>
  </si>
  <si>
    <t>rinconjfernando@javeriana.edu.co</t>
  </si>
  <si>
    <t>301/771-9587</t>
  </si>
  <si>
    <t xml:space="preserve">JUAN SEBASTIAN CASTRO PERDOMO </t>
  </si>
  <si>
    <t>castro.jsebastian@javeriana.edu.co</t>
  </si>
  <si>
    <t>310/449-7637</t>
  </si>
  <si>
    <t>GABRIELA GARCÉS DÍAZ</t>
  </si>
  <si>
    <t>garcesga@javeriana.edu.co</t>
  </si>
  <si>
    <t>317/574-9282</t>
  </si>
  <si>
    <t xml:space="preserve">JUAN PABLO GONZÁLEZ RINCÓN </t>
  </si>
  <si>
    <t>gonzalez-juanp@javeriana.edu.co</t>
  </si>
  <si>
    <t>318/320-3265</t>
  </si>
  <si>
    <t xml:space="preserve">DAVID ALEJANDRO ROA VELASQUEZ </t>
  </si>
  <si>
    <t>road.a@javeriana.edu.co</t>
  </si>
  <si>
    <t>310/262-6785</t>
  </si>
  <si>
    <t>SANTIAGO ALEJANDRO CAMACHO VILLEGAS</t>
  </si>
  <si>
    <t>santiagocamachov@javeriana.edu.co</t>
  </si>
  <si>
    <t>320/218-6515</t>
  </si>
  <si>
    <t xml:space="preserve">JAZMIN DAYANA SANCHEZ GUEVARA </t>
  </si>
  <si>
    <t>jazmin_sanchez@javeriana.edu.co</t>
  </si>
  <si>
    <t>304/370-3206</t>
  </si>
  <si>
    <t xml:space="preserve">SANTIAGO MESA </t>
  </si>
  <si>
    <t>santiagoa.mesan@javeriana.edu.co</t>
  </si>
  <si>
    <t>320/317-9088</t>
  </si>
  <si>
    <t>ALEJANDRO SACRISTÁN LEAL</t>
  </si>
  <si>
    <t>alejandro-sacristan@javeriana.edu.co</t>
  </si>
  <si>
    <t>311/493-2143</t>
  </si>
  <si>
    <t xml:space="preserve">JUAN DAVID ROBLEDO GARZON </t>
  </si>
  <si>
    <t>jd.robledo@javeriana.edu.co</t>
  </si>
  <si>
    <t>301/414-5623</t>
  </si>
  <si>
    <t xml:space="preserve">JUAN PABLO MORA PÁEZ </t>
  </si>
  <si>
    <t>juanp.mora@javeriana.edu.co</t>
  </si>
  <si>
    <t>316/756-1012</t>
  </si>
  <si>
    <t xml:space="preserve">MARIA PAULA ROSAS ABAÚNZA </t>
  </si>
  <si>
    <t>rosasamariap@javeriana.edu.co</t>
  </si>
  <si>
    <t>321/288-6593</t>
  </si>
  <si>
    <t xml:space="preserve">KEVIN FELIPE PUERTO BORDA </t>
  </si>
  <si>
    <t>puertokfelipe@javeriana.edu.co</t>
  </si>
  <si>
    <t>315/774-5908</t>
  </si>
  <si>
    <t xml:space="preserve">LUIS FERNANDO ORDUÑA CARRILLO </t>
  </si>
  <si>
    <t>orduna_lf@javeriana.edu.co</t>
  </si>
  <si>
    <t>310/868-1503</t>
  </si>
  <si>
    <t xml:space="preserve">VALENTINA CALDERON MORENO </t>
  </si>
  <si>
    <t>v.calderonm@javeriana.edu.co</t>
  </si>
  <si>
    <t>316/846-5764</t>
  </si>
  <si>
    <t xml:space="preserve">JUAN SEBASTIÁN MURILLO TOLEDO </t>
  </si>
  <si>
    <t>murillojuans@javeriana.edu.co</t>
  </si>
  <si>
    <t>311/842-1509</t>
  </si>
  <si>
    <t xml:space="preserve">IVÁN SEBASTIÁN CONTRERAS SUÁREZ </t>
  </si>
  <si>
    <t>contreras.ivan@javeriana.edu.co</t>
  </si>
  <si>
    <t>302/574-4561</t>
  </si>
  <si>
    <t>JOSE MANUEL MARTÍNEZ SERRANO</t>
  </si>
  <si>
    <t>jo-martinez@javeriana.edu.co</t>
  </si>
  <si>
    <t>300/804-5902</t>
  </si>
  <si>
    <t>ALVARO ISAZA MEZA</t>
  </si>
  <si>
    <t>alvaro-isaza@javeriana.edu.co</t>
  </si>
  <si>
    <t>318/557-3592</t>
  </si>
  <si>
    <t xml:space="preserve">DANIEL FELIPE NUÑEZ SOLANO </t>
  </si>
  <si>
    <t>d-nunez@javeriana.edu.co</t>
  </si>
  <si>
    <t>317/439-1936</t>
  </si>
  <si>
    <t xml:space="preserve">JOSÉ DAVID MENDEZ PARRA </t>
  </si>
  <si>
    <t>mendezjdavid@javeriana.edu.co</t>
  </si>
  <si>
    <t>320/889-5463</t>
  </si>
  <si>
    <t>JUAN SEBASTIAN GONZALEZ SALCEDO</t>
  </si>
  <si>
    <t>jsebastian.gonzalez@javeriana.edu.co</t>
  </si>
  <si>
    <t>318/735-1552</t>
  </si>
  <si>
    <t xml:space="preserve">KEVIN SANTIAGO VARGAS BOCACHICA </t>
  </si>
  <si>
    <t>kevinsvargas@javeriana.edu.co</t>
  </si>
  <si>
    <t>312/318-4521</t>
  </si>
  <si>
    <t>JUANITA ANDRADE MASMELA</t>
  </si>
  <si>
    <t>jandradem@javeriana.edu.co</t>
  </si>
  <si>
    <t>321/319-9647</t>
  </si>
  <si>
    <t>LAURA DANIELA BAYONA QUIÑONES</t>
  </si>
  <si>
    <t>la_bayona@javeriana.edu.co</t>
  </si>
  <si>
    <t>313/356-7530</t>
  </si>
  <si>
    <t>NASSAR HADAD LUNA</t>
  </si>
  <si>
    <t>nassarhadad@javeriana.edu.co</t>
  </si>
  <si>
    <t>313/231-4811</t>
  </si>
  <si>
    <t>JUAN PABLO GUZMAN PEDRAZA</t>
  </si>
  <si>
    <t>guzmanpjpablo@javeriana.edu.co</t>
  </si>
  <si>
    <t>316/613-9577</t>
  </si>
  <si>
    <t>ALEJANDRO DALLOS</t>
  </si>
  <si>
    <t>a_dallos@javeriana.edu.co</t>
  </si>
  <si>
    <t>311/874-1146</t>
  </si>
  <si>
    <t>JULIAN DAVID SANCHEZ ECHEVERRI</t>
  </si>
  <si>
    <t>sanchez.juliand@javeriana.edu.co</t>
  </si>
  <si>
    <t>324/686-8684</t>
  </si>
  <si>
    <t>SANTIAGO ALARCON CARREÑO</t>
  </si>
  <si>
    <t>s.alarconc@javeriana.edu.co</t>
  </si>
  <si>
    <t>312/315-2448</t>
  </si>
  <si>
    <t>LUIS ESTEBAN MARTINEZ URZOLA</t>
  </si>
  <si>
    <t>martinezulesteban@javeriana.edu.co</t>
  </si>
  <si>
    <t>315/731-2129</t>
  </si>
  <si>
    <t>ANDRÉS DAVID ROA SEGURA</t>
  </si>
  <si>
    <t>adroa@javeriana.edu.co</t>
  </si>
  <si>
    <t>321/328-2527</t>
  </si>
  <si>
    <t xml:space="preserve">JUAN SEBASTIAN MUTIZ ANZOLA </t>
  </si>
  <si>
    <t>mutizjuan@javeriana.edu.co</t>
  </si>
  <si>
    <t>316/522-3856</t>
  </si>
  <si>
    <t>JUAN MANUEL PADILLA HOYOS</t>
  </si>
  <si>
    <t>padillahjuan@javeriana.edu.co</t>
  </si>
  <si>
    <t>300/210-7550</t>
  </si>
  <si>
    <t>JULIAN PUENTES</t>
  </si>
  <si>
    <t>julian.puentest@javeriana.edu.co</t>
  </si>
  <si>
    <t>315/202-2240</t>
  </si>
  <si>
    <t xml:space="preserve">NICOLAS PINTO PRIETO </t>
  </si>
  <si>
    <t>n.pintop@javeriana.edu.co</t>
  </si>
  <si>
    <t>320/244-8024</t>
  </si>
  <si>
    <t>ROCHELLE STRAUCH SEDAN</t>
  </si>
  <si>
    <t>strauchsr@javeriana.edu.co</t>
  </si>
  <si>
    <t>322/681-2453</t>
  </si>
  <si>
    <t>ANA SOFÍA ESCALANTE MAHECHA</t>
  </si>
  <si>
    <t>asofiaescalante@javeriana.edu.co</t>
  </si>
  <si>
    <t>317/558-6993</t>
  </si>
  <si>
    <t>LINA MARÍA BELTRÁN SANTOYO</t>
  </si>
  <si>
    <t>lina-beltran@javeriana.edu.co</t>
  </si>
  <si>
    <t>317/363-7342</t>
  </si>
  <si>
    <t>PAULA NIETO</t>
  </si>
  <si>
    <t>paulasnieto@javeriana.edu.co</t>
  </si>
  <si>
    <t>317/544-0152</t>
  </si>
  <si>
    <t>MARTIN ZHAOHONG CHEN HE</t>
  </si>
  <si>
    <t>chenh_mz@javeriana.edu.co</t>
  </si>
  <si>
    <t>310/295-3325</t>
  </si>
  <si>
    <t xml:space="preserve">DAVID ANDRÉS TOVAR BARRERA </t>
  </si>
  <si>
    <t>davidatovar@javeriana.edu.co</t>
  </si>
  <si>
    <t>313/884-3227</t>
  </si>
  <si>
    <t>MARIANA DÍAZ PUENTES</t>
  </si>
  <si>
    <t>diazmariana@javeriana.edu.co</t>
  </si>
  <si>
    <t>305/775-8750</t>
  </si>
  <si>
    <t>JUAN JOSÉ MUÑOZ RIOS</t>
  </si>
  <si>
    <t>jj.munoz@javeriana.edu.co</t>
  </si>
  <si>
    <t>315/299-3963</t>
  </si>
  <si>
    <t>TATIANA QUIROGA LECOMPTE</t>
  </si>
  <si>
    <t>tatiana-quiroga@javeriana.edu.co</t>
  </si>
  <si>
    <t>316/395-9796</t>
  </si>
  <si>
    <t>VALENTINA HERNANDEZ BAYONA</t>
  </si>
  <si>
    <t>hernandezv_a@javeriana.edu.co</t>
  </si>
  <si>
    <t>315/550-1804</t>
  </si>
  <si>
    <t>MARTÍN FELIPE VASQUEZ LEYTON</t>
  </si>
  <si>
    <t>vasquezmf@javeriana.edu.co</t>
  </si>
  <si>
    <t>301/500-9923</t>
  </si>
  <si>
    <t xml:space="preserve">SARA CATALINA GONZALEZ RAMIREZ </t>
  </si>
  <si>
    <t>saracgonzalez@javeriana.edu.co</t>
  </si>
  <si>
    <t>320/578-4256</t>
  </si>
  <si>
    <t>DANNA MILENA CAYCEDO CAMARGO</t>
  </si>
  <si>
    <t>caycedodc@javeriana.edu.co</t>
  </si>
  <si>
    <t>322/759-6483</t>
  </si>
  <si>
    <t>DANIELA RICO PRADA</t>
  </si>
  <si>
    <t>rico.daniela@javeriana.edu.co</t>
  </si>
  <si>
    <t>322/777-3392</t>
  </si>
  <si>
    <t xml:space="preserve">SEBASTIÁN FELIPE GARCÍA ROJAS </t>
  </si>
  <si>
    <t>garcia-sebastianf@javeriana.edu.co</t>
  </si>
  <si>
    <t>313/776-6986</t>
  </si>
  <si>
    <t>JUAN DAVID GONZÁLEZ GUÁQUETA</t>
  </si>
  <si>
    <t>jd-gonzalez@javeriana.edu.co</t>
  </si>
  <si>
    <t>317/497-2865</t>
  </si>
  <si>
    <t xml:space="preserve">JUAN FELIPE LONDOÑO MARTINEZ </t>
  </si>
  <si>
    <t>londonom.juan@javeriana.edu.co</t>
  </si>
  <si>
    <t>318/380-0133</t>
  </si>
  <si>
    <t>JUAN PABLO DIAZ FONTECHA</t>
  </si>
  <si>
    <t>diazju@javeriana.edu.co</t>
  </si>
  <si>
    <t>321/361-9949</t>
  </si>
  <si>
    <t xml:space="preserve">YOJANAN VALERIA VELA POLANIA </t>
  </si>
  <si>
    <t>velap-yvaleria@javeriana.edu.co</t>
  </si>
  <si>
    <t>320/917-7797</t>
  </si>
  <si>
    <t>JAIDER DAVID DAZA PARDO</t>
  </si>
  <si>
    <t>daza_jd@javeriana.edu.co</t>
  </si>
  <si>
    <t>321/916-8660</t>
  </si>
  <si>
    <t xml:space="preserve">CAMILO ANDRÉS MELO BERNAL </t>
  </si>
  <si>
    <t>melobca@javeriana.edu.co</t>
  </si>
  <si>
    <t>350/580-5783</t>
  </si>
  <si>
    <t xml:space="preserve">JEISSON CAMILO RUIZ CRISTANCHO </t>
  </si>
  <si>
    <t>jeissonc_ruizc@javeriana.edu.co</t>
  </si>
  <si>
    <t>313/365-3991</t>
  </si>
  <si>
    <t xml:space="preserve">PEDRO LUIS ACOSTA DÍAZ </t>
  </si>
  <si>
    <t>pedrol.acosta@javeriana.edu.co</t>
  </si>
  <si>
    <t>314/244-0171</t>
  </si>
  <si>
    <t>NICOLAS PEDRAZA FORERO</t>
  </si>
  <si>
    <t>npedrazaf@javeriana.edu.co</t>
  </si>
  <si>
    <t>320/910-3148</t>
  </si>
  <si>
    <t xml:space="preserve">ANGÉLICA DEL PILAR BARÓN ÁVILA </t>
  </si>
  <si>
    <t>ba.angelica@javeriana.edu.co</t>
  </si>
  <si>
    <t>315/257-0250</t>
  </si>
  <si>
    <t xml:space="preserve">PAULA ALEJANDRA MORENO GONZÁLEZ </t>
  </si>
  <si>
    <t>moreno-pa@javeriana.edu.co</t>
  </si>
  <si>
    <t>301/635-9370</t>
  </si>
  <si>
    <t>DAVID FELIPE BUITRAGO VANEGAS</t>
  </si>
  <si>
    <t>david.buitragov@javeriana.edu.co</t>
  </si>
  <si>
    <t>317/869-6869</t>
  </si>
  <si>
    <t xml:space="preserve">FRANCISCO JAVIER DEL RÍO GONZALEZ </t>
  </si>
  <si>
    <t>franciscojdelriog@javeriana.edu.co</t>
  </si>
  <si>
    <t>304/648-1740</t>
  </si>
  <si>
    <t>NICOLL ANDREA GÓMEZ MEDINA</t>
  </si>
  <si>
    <t>gonicoll@javeriana.edu.co</t>
  </si>
  <si>
    <t>305/779-4288</t>
  </si>
  <si>
    <t xml:space="preserve">ANDRÉS FELIPE ESPINOSA OSPINA </t>
  </si>
  <si>
    <t>espinosa_afelipe@javeriana.edu.co</t>
  </si>
  <si>
    <t>321/407-9284</t>
  </si>
  <si>
    <t xml:space="preserve">ISABELA CARDOZO VÁSQUEZ </t>
  </si>
  <si>
    <t>isabela_cardozo@javeriana.edu.co</t>
  </si>
  <si>
    <t>310/868-9378</t>
  </si>
  <si>
    <t xml:space="preserve">JUAN DIEGO RINCON CONTRERAS </t>
  </si>
  <si>
    <t>jd.rincon@javeriana.edu.co</t>
  </si>
  <si>
    <t>322/445-3702</t>
  </si>
  <si>
    <t>EMILIO GARCÍA GONZÁLEZ</t>
  </si>
  <si>
    <t xml:space="preserve">ANGIE TATIANA PEÑA </t>
  </si>
  <si>
    <t>penap_at@javeriana.edu.co</t>
  </si>
  <si>
    <t>322/680-7460</t>
  </si>
  <si>
    <t>SANTIAGO SILVA ROA</t>
  </si>
  <si>
    <t>silva_santiago@javeriana.edu.co</t>
  </si>
  <si>
    <t>318/247-7737</t>
  </si>
  <si>
    <t xml:space="preserve">DANIEL PLATA URIBE </t>
  </si>
  <si>
    <t>daniel_plata@javeriana.edu.co</t>
  </si>
  <si>
    <t>311/730-6071</t>
  </si>
  <si>
    <t>LUZ GABRIELA FIGUEREDO DELGADO</t>
  </si>
  <si>
    <t>figueredodluz@javeriana.edu.co</t>
  </si>
  <si>
    <t>311/848-2593</t>
  </si>
  <si>
    <t>ANDRES MAURICIO MEDINA SALGADO</t>
  </si>
  <si>
    <t>medina_am@javeriana.edu.co</t>
  </si>
  <si>
    <t>315/346-4882</t>
  </si>
  <si>
    <t>DIEGO NICOLAS BONILLA</t>
  </si>
  <si>
    <t>dnbonilla@javeriana.edu.co</t>
  </si>
  <si>
    <t>300/597-0240</t>
  </si>
  <si>
    <t>JUANA LEON</t>
  </si>
  <si>
    <t>j.leonp@javeriana.edu.co</t>
  </si>
  <si>
    <t>313/821-9858</t>
  </si>
  <si>
    <t>SANTIAGO ALEJANDRO BENAVIDES PANQUEVA</t>
  </si>
  <si>
    <t>benavides-sa@javeriana.edu.co</t>
  </si>
  <si>
    <t>320/431-0974</t>
  </si>
  <si>
    <t>MARÍA LUCÍA CASTILLO VARGAS</t>
  </si>
  <si>
    <t>marial.castillov@javeriana.edu.co</t>
  </si>
  <si>
    <t>320/304-2032</t>
  </si>
  <si>
    <t xml:space="preserve">NICOLE SOFIA PRIETO ORJUELA </t>
  </si>
  <si>
    <t>nicoles_prieto@javeriana.edu.co</t>
  </si>
  <si>
    <t>350/592-5907</t>
  </si>
  <si>
    <t xml:space="preserve">MARÍA FERNANDA GARAVITO ORTIZ </t>
  </si>
  <si>
    <t>garavito-mariaf@javeriana.edu.co</t>
  </si>
  <si>
    <t>300/488-5863</t>
  </si>
  <si>
    <t>SILVANA OLMOS FERNANDEZ</t>
  </si>
  <si>
    <t>silvana.olmos@javeriana.edu.co</t>
  </si>
  <si>
    <t>316/231-1954</t>
  </si>
  <si>
    <t>XIOMARA HERRERA</t>
  </si>
  <si>
    <t>x_herrera@javeriana.edu.co</t>
  </si>
  <si>
    <t>313/329-0446</t>
  </si>
  <si>
    <t xml:space="preserve">LAURA DANIELA CORREA PÉREZ </t>
  </si>
  <si>
    <t>laurad_correap@javeriana.edu.co</t>
  </si>
  <si>
    <t>320/682-5231</t>
  </si>
  <si>
    <t xml:space="preserve">KAREN DANIELA ALBARRACIN BARRIOS </t>
  </si>
  <si>
    <t>albarracin_k@javeriana.edu.co</t>
  </si>
  <si>
    <t>317/792-0249</t>
  </si>
  <si>
    <t xml:space="preserve">NICOLAS MENDOZA RODRIGUEZ </t>
  </si>
  <si>
    <t>nmendozar@javeriana.edu.co</t>
  </si>
  <si>
    <t>305/764-0063</t>
  </si>
  <si>
    <t>SANTIAGO FERNANDEZ ARAQUE</t>
  </si>
  <si>
    <t>safernandez@javeriana.edu.co</t>
  </si>
  <si>
    <t>322/215-0716</t>
  </si>
  <si>
    <t xml:space="preserve">DANIEL RICARDO BURGOS SIERRA </t>
  </si>
  <si>
    <t>daniel.burgos@javeriana.edu.co</t>
  </si>
  <si>
    <t>300/568-5004</t>
  </si>
  <si>
    <t>CATALINA GÓMEZ RIVERO</t>
  </si>
  <si>
    <t>catalinagomezr@javeriana.edu.co</t>
  </si>
  <si>
    <t>320/846-6864</t>
  </si>
  <si>
    <t xml:space="preserve">EDWARD NICOLAS DUARTE VALENCIA </t>
  </si>
  <si>
    <t>edwardduarte@javeriana.edu.co</t>
  </si>
  <si>
    <t>315/627-9012</t>
  </si>
  <si>
    <t xml:space="preserve">MARCO ANTONIO MUÑOZ RAMÍREZ </t>
  </si>
  <si>
    <t>munoz_marco@javeriana.edu.co</t>
  </si>
  <si>
    <t>311/606-0955</t>
  </si>
  <si>
    <t>JAIRO ESTEBAN ACEVEDO FAJARDO</t>
  </si>
  <si>
    <t>je_acevedof@javeriana.edu.co</t>
  </si>
  <si>
    <t>310/337-7836</t>
  </si>
  <si>
    <t>JUAN CAMILO MORENO ZORNOSA</t>
  </si>
  <si>
    <t>jcamilo_moreno@javeriana.edu.co</t>
  </si>
  <si>
    <t>315/213-6201</t>
  </si>
  <si>
    <t>STEFAN SIEGEL PACHECO</t>
  </si>
  <si>
    <t>stefan_siegel@javeriana.edu.co</t>
  </si>
  <si>
    <t>314/404-3168</t>
  </si>
  <si>
    <t>Ingeniería Mecatrónica</t>
  </si>
  <si>
    <t xml:space="preserve">MARÍA PAULA ALVARADO PEDRAZA </t>
  </si>
  <si>
    <t>alvaradomariap@javeriana.edu.co</t>
  </si>
  <si>
    <t>313/385-8770</t>
  </si>
  <si>
    <t xml:space="preserve">LAURA SOFÍA VIRGÜEZ SÁNCHEZ </t>
  </si>
  <si>
    <t>lauras.virguez@javeriana.edu.co</t>
  </si>
  <si>
    <t>318/442-6608</t>
  </si>
  <si>
    <t>SANTIAGO VASQUEZ SANCHEZ</t>
  </si>
  <si>
    <t>santiago.vasquezs@javeriana.edu.co</t>
  </si>
  <si>
    <t>350/690-9605</t>
  </si>
  <si>
    <t>ANDRÉS NISHIZAWA DUQUE</t>
  </si>
  <si>
    <t>andres-nishizawa@javeriana.edu.co</t>
  </si>
  <si>
    <t>317/373-3049</t>
  </si>
  <si>
    <t>ANDREA CATALINA CHAPARRO GUZMAN</t>
  </si>
  <si>
    <t>andreacchaparro@javeriana.edu.co</t>
  </si>
  <si>
    <t>313/254-5678</t>
  </si>
  <si>
    <t>ANDRÉS FELIPE HERRERA GARZON</t>
  </si>
  <si>
    <t>af.herrerag@javeriana.edu.co</t>
  </si>
  <si>
    <t>301/648-7408</t>
  </si>
  <si>
    <t>JUAN FELIPE GONZALEZ CARVAJAL</t>
  </si>
  <si>
    <t>juanf.gonzalez@javeriana.edu.co</t>
  </si>
  <si>
    <t>744713946</t>
  </si>
  <si>
    <t>VALENTINA ROZO GONZALEZ</t>
  </si>
  <si>
    <t>rozovalentina@javeriana.edu.co</t>
  </si>
  <si>
    <t>310/801-7236</t>
  </si>
  <si>
    <t>NOAH DANIELA JAIME</t>
  </si>
  <si>
    <t>noahdjaime@javeriana.edu.co</t>
  </si>
  <si>
    <t>300/286-2602</t>
  </si>
  <si>
    <t xml:space="preserve">JUAN ESTEBAN BOTERO HURTADO </t>
  </si>
  <si>
    <t>boterohj@javeriana.edu.co</t>
  </si>
  <si>
    <t>321/454-3779</t>
  </si>
  <si>
    <t xml:space="preserve">LAURA SOFIA PERDOMO TRONCOSO </t>
  </si>
  <si>
    <t>ls_perdomot@javeriana.edu.co</t>
  </si>
  <si>
    <t>300/243-3497</t>
  </si>
  <si>
    <t xml:space="preserve">ISABELLA CUBILLOS BENAVIDES </t>
  </si>
  <si>
    <t>cubillosi_s@javeriana.edu.co</t>
  </si>
  <si>
    <t>313/457-3426</t>
  </si>
  <si>
    <t xml:space="preserve">MARLON JOHAN OTERO RODRÍGUEZ </t>
  </si>
  <si>
    <t>maotero@javeriana.edu.co</t>
  </si>
  <si>
    <t>301/237-3977</t>
  </si>
  <si>
    <t xml:space="preserve">JUAN CARLOS RODRIGUEZ ALVARADO </t>
  </si>
  <si>
    <t>juancrodriguez@javeriana.edu.co</t>
  </si>
  <si>
    <t>314/369-5234</t>
  </si>
  <si>
    <t>ALEJANDRO GARCÍA SÁNCHEZ</t>
  </si>
  <si>
    <t>al-garcia@javeriana.edu.co</t>
  </si>
  <si>
    <t>304/385-9199</t>
  </si>
  <si>
    <t>DILAN STIVEN FERNÁNDEZ BARRERA</t>
  </si>
  <si>
    <t>dilanfernandezb01@javeriana.edu.co</t>
  </si>
  <si>
    <t>317/425-1545</t>
  </si>
  <si>
    <t xml:space="preserve">ALEJANDRO RUIZ GUAMPE </t>
  </si>
  <si>
    <t>alejandro_ruizg@javeriana.edu.co</t>
  </si>
  <si>
    <t>318/401-4142</t>
  </si>
  <si>
    <t>JUAN JOSÉ MERCHÁN PAIPA</t>
  </si>
  <si>
    <t>juanj.merchanp@javeriana.edu.co</t>
  </si>
  <si>
    <t>310/482-1278</t>
  </si>
  <si>
    <t xml:space="preserve">JUAN SEBASTIÁN NOVA GONZÁLEZ </t>
  </si>
  <si>
    <t>nova-js@javeriana.edu.co</t>
  </si>
  <si>
    <t>315/478-8756</t>
  </si>
  <si>
    <t>JUAN ANDRÉS CAMACHO PARRA</t>
  </si>
  <si>
    <t>juancamachop@javeriana.edu.co</t>
  </si>
  <si>
    <t>314/462-9594</t>
  </si>
  <si>
    <t>PABLO SANTOS CASTELLANOS</t>
  </si>
  <si>
    <t>pj.santosc@javeriana.edu.co</t>
  </si>
  <si>
    <t>316/666-1710</t>
  </si>
  <si>
    <t xml:space="preserve">PAULA MELISSA SÁENZ ZEA </t>
  </si>
  <si>
    <t>pmsaenz@javeriana.edu.co</t>
  </si>
  <si>
    <t>320/941-8892</t>
  </si>
  <si>
    <t xml:space="preserve">JUAN FERNANDO CORREA CAMACHO </t>
  </si>
  <si>
    <t>jf_correac@javeriana.edu.co</t>
  </si>
  <si>
    <t>312/338-7094</t>
  </si>
  <si>
    <t xml:space="preserve">PAULA GÓMEZ </t>
  </si>
  <si>
    <t>paulaa_gomez@javeriana.edu.co</t>
  </si>
  <si>
    <t>300/658-3852</t>
  </si>
  <si>
    <t xml:space="preserve">JUAN CAMILO DÍAZ ROLON </t>
  </si>
  <si>
    <t>diazr.jcamilo@javeriana.edu.co</t>
  </si>
  <si>
    <t>321/365-3977</t>
  </si>
  <si>
    <t xml:space="preserve">DANIEL FELIPE GARCIA TAPIAS </t>
  </si>
  <si>
    <t>daniel.garciat@javeriana.edu.co</t>
  </si>
  <si>
    <t>312/548-9467</t>
  </si>
  <si>
    <t>MARIA PAULA HURTADO PUENTES</t>
  </si>
  <si>
    <t>hurtadomariap@javeriana.edu.co</t>
  </si>
  <si>
    <t>312/393-3744</t>
  </si>
  <si>
    <t xml:space="preserve">JUAN SEBASTIÁN RINCÓN GÓMEZ </t>
  </si>
  <si>
    <t>jsebastian_rincon@javeriana.edu.co</t>
  </si>
  <si>
    <t>300/756-8381</t>
  </si>
  <si>
    <t xml:space="preserve">LAURA GERALDINE CARO FONSECA </t>
  </si>
  <si>
    <t>caro_l@javeriana.edu.co</t>
  </si>
  <si>
    <t>301/586-8028</t>
  </si>
  <si>
    <t>JUAN SEBASTIAN CALA RODRÍGUEZ</t>
  </si>
  <si>
    <t>juan.calar@javeriana.edu.co</t>
  </si>
  <si>
    <t>314/471-0325</t>
  </si>
  <si>
    <t xml:space="preserve">ALEJANDRA ZAPATA URRUTIA </t>
  </si>
  <si>
    <t>alejandra.zapatau@javeriana.edu.co</t>
  </si>
  <si>
    <t>310/384-8949</t>
  </si>
  <si>
    <t xml:space="preserve">LISETH TATIANA DAZA GÓMEZ </t>
  </si>
  <si>
    <t>dazag_l@javeriana.edu.co</t>
  </si>
  <si>
    <t>313/779-8880</t>
  </si>
  <si>
    <t>DANIEL STIVEN FLORIDO SAEZ</t>
  </si>
  <si>
    <t>d.florido@javeriana.edu.co</t>
  </si>
  <si>
    <t>301/577-2611</t>
  </si>
  <si>
    <t>JUAN SEBASTIAN GALEANO GONZALEZ</t>
  </si>
  <si>
    <t>jsebastian-galeano@javeriana.edu.co</t>
  </si>
  <si>
    <t>314/469-1585</t>
  </si>
  <si>
    <t>DANIEL ALEJANDRO LÓPEZ SÁNCHEZ</t>
  </si>
  <si>
    <t>lopezd_a@javeriana.edu.co</t>
  </si>
  <si>
    <t>305/916-7318</t>
  </si>
  <si>
    <t>JUAN DIEGO DÍAZ POSADA</t>
  </si>
  <si>
    <t>diazp.jd@javeriana.edu.co</t>
  </si>
  <si>
    <t>315/771-7858</t>
  </si>
  <si>
    <t xml:space="preserve">CARLOS DANIEL CRUZ VILLARRAGA </t>
  </si>
  <si>
    <t>cruzcdaniel@javeriana.edu.co</t>
  </si>
  <si>
    <t>318/601-3701</t>
  </si>
  <si>
    <t xml:space="preserve">JULIAN EDUARDO RANGEL ROJAS </t>
  </si>
  <si>
    <t>rajulian@javeriana.edu.co</t>
  </si>
  <si>
    <t>301/265-3882</t>
  </si>
  <si>
    <t xml:space="preserve">JUAN DIEGO MALDONADO BAYONA </t>
  </si>
  <si>
    <t>maldonadob-juan@javeriana.edu.co</t>
  </si>
  <si>
    <t>320/406-6847</t>
  </si>
  <si>
    <t>JUAN MANUEL SALAZAR VILLEGAS</t>
  </si>
  <si>
    <t>salazarjuanm@javeriana.edu.co</t>
  </si>
  <si>
    <t>321/450-0865</t>
  </si>
  <si>
    <t>HASBLEIDY MORENO HERRERA</t>
  </si>
  <si>
    <t>hasbleidy.moreno@javeriana.edu.co</t>
  </si>
  <si>
    <t>311/823-6122</t>
  </si>
  <si>
    <t xml:space="preserve">SANTIAGO ANDRÉS LEAL OMAÑA </t>
  </si>
  <si>
    <t>leal.sa@javeriana.edu.co</t>
  </si>
  <si>
    <t>315/384-3713</t>
  </si>
  <si>
    <t>LUIS ALEJANDRO RENGIFO CARRIZOSA</t>
  </si>
  <si>
    <t>rengifocluis@javeriana.edu.co</t>
  </si>
  <si>
    <t>314/578-4227</t>
  </si>
  <si>
    <t>JULIANA BRICEÑO SERNA</t>
  </si>
  <si>
    <t>juliana.briceno@javeriana.edu.co</t>
  </si>
  <si>
    <t>304/377-3570</t>
  </si>
  <si>
    <t>ANGIE KATHERINE CASTRO FLOREZ</t>
  </si>
  <si>
    <t>castroangie@javeriana.edu.co</t>
  </si>
  <si>
    <t>301/772-6111</t>
  </si>
  <si>
    <t>MAUREN NATALIA RIVERA BAUTISTA</t>
  </si>
  <si>
    <t>maurenrivera@javeriana.edu.co</t>
  </si>
  <si>
    <t>301/447-6096</t>
  </si>
  <si>
    <t xml:space="preserve">SEBASTIAN ISAZA JIMENEZ </t>
  </si>
  <si>
    <t>sebastian.isazaj@javeriana.edu.co</t>
  </si>
  <si>
    <t>318/687-8589</t>
  </si>
  <si>
    <t xml:space="preserve">ANGELA MARÍA OSPINA ARELLANO </t>
  </si>
  <si>
    <t>am.ospina@javeriana.edu.co</t>
  </si>
  <si>
    <t>317/822-3393</t>
  </si>
  <si>
    <t xml:space="preserve">NICOLAS DIAZ AGUDELO </t>
  </si>
  <si>
    <t>diaza-nicolas@javeriana.edu.co</t>
  </si>
  <si>
    <t>310/857-0648</t>
  </si>
  <si>
    <t>JOSÉ GABRIEL CHIA CRUZ</t>
  </si>
  <si>
    <t>josegchiac@javeriana.edu.co</t>
  </si>
  <si>
    <t>314/877-1924</t>
  </si>
  <si>
    <t xml:space="preserve">SANTIAGO LOZANO MARIÑO </t>
  </si>
  <si>
    <t>santiagolozano@javeriana.edu.co</t>
  </si>
  <si>
    <t>317/585-9290</t>
  </si>
  <si>
    <t>ANA SOFÍA GONZÁLEZ MERIZALDE</t>
  </si>
  <si>
    <t>gonzalezasofia@javeriana.edu.co</t>
  </si>
  <si>
    <t>314/487-8261</t>
  </si>
  <si>
    <t>AGUSTÍN MORENO GUERRERO</t>
  </si>
  <si>
    <t>agustin-morenog@javeriana.edu.co</t>
  </si>
  <si>
    <t>305/745-6625</t>
  </si>
  <si>
    <t>ANDRÉS FELIPE OBANDO CARDOSO</t>
  </si>
  <si>
    <t>obando_andres@javeriana.edu.co</t>
  </si>
  <si>
    <t>317/287-1243</t>
  </si>
  <si>
    <t>JUAN PABLO ABRIL URREGO</t>
  </si>
  <si>
    <t>juan_abril@javeriana.edu.co</t>
  </si>
  <si>
    <t>310/405-2849</t>
  </si>
  <si>
    <t xml:space="preserve">CARLOS ALBERTO IDARRAGA BASTIDAS </t>
  </si>
  <si>
    <t>id.carlos@javeriana.edu.co</t>
  </si>
  <si>
    <t>301/518-3937</t>
  </si>
  <si>
    <t>SANTIAGO JAIMES RUEDA</t>
  </si>
  <si>
    <t>sa_jaimes@javeriana.edu.co</t>
  </si>
  <si>
    <t>301/358-8557</t>
  </si>
  <si>
    <t xml:space="preserve">JORGE ANDRÉS CAJICÁ GUERRA </t>
  </si>
  <si>
    <t>j.cajica@javeriana.edu.co</t>
  </si>
  <si>
    <t>301/493-8874</t>
  </si>
  <si>
    <t xml:space="preserve">NATALIA DANIELA BRUGES MORA </t>
  </si>
  <si>
    <t>nataliadbruges@javeriana.edu.co</t>
  </si>
  <si>
    <t>312/860-2108</t>
  </si>
  <si>
    <t xml:space="preserve">BENJAMIN GONZÁLEZ COLLAZOS </t>
  </si>
  <si>
    <t>b_gonzalez@javeriana.edu.co</t>
  </si>
  <si>
    <t>316/287-7730</t>
  </si>
  <si>
    <t>JOSÉ DAVID LÓPEZ CASTRO</t>
  </si>
  <si>
    <t>jdavidlopez@javeriana.edu.co</t>
  </si>
  <si>
    <t>704-8660</t>
  </si>
  <si>
    <t>DANIEL VARGAS PEÑA</t>
  </si>
  <si>
    <t>dvargasp@javeriana.edu.co</t>
  </si>
  <si>
    <t>350/327-0274</t>
  </si>
  <si>
    <t xml:space="preserve">LAURA DANIELA BELLO RODRÍGUEZ </t>
  </si>
  <si>
    <t>ldbellor@javeriana.edu.co</t>
  </si>
  <si>
    <t>310/862-8931</t>
  </si>
  <si>
    <t xml:space="preserve">LAURA CATALINA REY LEMUS </t>
  </si>
  <si>
    <t>lcatalina.reyl@javeriana.edu.co</t>
  </si>
  <si>
    <t>305/915-1555</t>
  </si>
  <si>
    <t>NÍDOLOS JESUS BERNAL CARDENAS</t>
  </si>
  <si>
    <t>bernal_nicolas@javeriana.edu.co</t>
  </si>
  <si>
    <t>300/777-8336</t>
  </si>
  <si>
    <t>DANIEL ESTEBAN PALENCIA BOCAREJO</t>
  </si>
  <si>
    <t>daniel.palencia@javeriana.edu.co</t>
  </si>
  <si>
    <t>312/454-0655</t>
  </si>
  <si>
    <t>SANTIAGO MUÑOZ ORTIZ</t>
  </si>
  <si>
    <t>sa-munoz@javeriana.edu.co</t>
  </si>
  <si>
    <t>312/586-2520</t>
  </si>
  <si>
    <t xml:space="preserve">GABRIEL ALBERTO BALLEN PINEDA </t>
  </si>
  <si>
    <t>ga-ballen@javeriana.edu.co</t>
  </si>
  <si>
    <t>317/424-0937</t>
  </si>
  <si>
    <t xml:space="preserve">JUAN FELIPE GÓMEZ URRIAGO </t>
  </si>
  <si>
    <t>gomez.jfelipe@javeriana.edu.co</t>
  </si>
  <si>
    <t>302/246-6217</t>
  </si>
  <si>
    <t>SEBASTIAN CASTIBLANCO VELANDIA</t>
  </si>
  <si>
    <t>scastiblancov@javeriana.edu.co</t>
  </si>
  <si>
    <t>320/404-5428</t>
  </si>
  <si>
    <t>SAMUEL CASTAÑO ROBAYO</t>
  </si>
  <si>
    <t>ca_samuel@javeriana.edu.co</t>
  </si>
  <si>
    <t>321/372-3637</t>
  </si>
  <si>
    <t>FREDY ALBERTO GARCIA PERTUZ</t>
  </si>
  <si>
    <t>fredy.garcia@javeriana.edu.co</t>
  </si>
  <si>
    <t>314/368-4900</t>
  </si>
  <si>
    <t>CAMILO ALEJANDRO DIAZ GARCIA</t>
  </si>
  <si>
    <t>diaz.ca@javeriana.edu.co</t>
  </si>
  <si>
    <t>310/772-2253</t>
  </si>
  <si>
    <t>PERUGACHI CHACON,GABRIELA</t>
  </si>
  <si>
    <t>gabrielaperugachic@javeriana.edu.co</t>
  </si>
  <si>
    <t>311/887-8741</t>
  </si>
  <si>
    <t>GUARNIZO CAMPOS,SEBASTIAN</t>
  </si>
  <si>
    <t>sebastian_guarnizo@javeriana.edu.co</t>
  </si>
  <si>
    <t>314/736-8101</t>
  </si>
  <si>
    <t>GARCIA GONZALEZ,EMILIO</t>
  </si>
  <si>
    <t>egarciag@javeriana.edu.co</t>
  </si>
  <si>
    <t>324/582-5696</t>
  </si>
  <si>
    <t>2024-10</t>
  </si>
  <si>
    <t>MARÍA ALEJANDRA VARGAS HOLGUÍN</t>
  </si>
  <si>
    <t>mariaavargas@javeriana.edu.co</t>
  </si>
  <si>
    <t>314/785-6938</t>
  </si>
  <si>
    <t>DAVID SANTIAGO VELASQUEZ ARÉVALO</t>
  </si>
  <si>
    <t>ANDRES FELIPE OÑATE GONZALEZ</t>
  </si>
  <si>
    <t>af-onateg@javeriana.edu.co</t>
  </si>
  <si>
    <t>311/564-1373</t>
  </si>
  <si>
    <t>NATALIA DELGADO GUTIÉRREZ</t>
  </si>
  <si>
    <t>ndelgadog@javeriana.edu.co</t>
  </si>
  <si>
    <t>320/230-1713</t>
  </si>
  <si>
    <t>ANGIE TATIANA CARVAJAL VARGAS</t>
  </si>
  <si>
    <t>angiet.carvajal@javeriana.edu.co</t>
  </si>
  <si>
    <t>304/587-3326</t>
  </si>
  <si>
    <t>JUAN ESTEBAN CAMPOS AVELLANEDA</t>
  </si>
  <si>
    <t>je.camposa@javeriana.edu.co</t>
  </si>
  <si>
    <t>318/588-1886</t>
  </si>
  <si>
    <t>RODION ROMANOVICH TABARES CORREA</t>
  </si>
  <si>
    <t>tabares_rr@javeriana.edu.co</t>
  </si>
  <si>
    <t>300/121-7448</t>
  </si>
  <si>
    <t>ALISSON ALEJANDRA SARMIENTO GOMEZ</t>
  </si>
  <si>
    <t>alisson_sarmiento@javeriana.edu.co</t>
  </si>
  <si>
    <t>322/330-2601</t>
  </si>
  <si>
    <t>ANDRES FELIPE RODRIGUEZ MOLINA</t>
  </si>
  <si>
    <t>rodriguezafelipe@javeriana.edu.co</t>
  </si>
  <si>
    <t>321/207-0781</t>
  </si>
  <si>
    <t>ANDRES GONZALEZ ESPINOSA</t>
  </si>
  <si>
    <t>andresgonzaleze@javeriana.edu.co</t>
  </si>
  <si>
    <t>655-0098</t>
  </si>
  <si>
    <t>HUGO ANDRES BAQUERO GARCIA</t>
  </si>
  <si>
    <t>handres.baquero@javeriana.edu.co</t>
  </si>
  <si>
    <t>317/367-2874</t>
  </si>
  <si>
    <t>JUAN SEBASTIAN SILVA BAREÑO</t>
  </si>
  <si>
    <t>juanssilva@javeriana.edu.co</t>
  </si>
  <si>
    <t>310/277-9036</t>
  </si>
  <si>
    <t>LAURA SOFIA PÉREZ CORREA</t>
  </si>
  <si>
    <t>perezlauras@javeriana.edu.co</t>
  </si>
  <si>
    <t>314/242-3298</t>
  </si>
  <si>
    <t>MARIANA PINEDA URIBE</t>
  </si>
  <si>
    <t>marianapineda@javeriana.edu.co</t>
  </si>
  <si>
    <t>322/598-7649</t>
  </si>
  <si>
    <t>NIKOLAS PEREZ VERDUGO</t>
  </si>
  <si>
    <t>perez_nikolas@javeriana.edu.co</t>
  </si>
  <si>
    <t>314/541-8867</t>
  </si>
  <si>
    <t>PAULA JULIANA ALVAREZ SALINAS</t>
  </si>
  <si>
    <t>paulajalvarez@javeriana.edu.co</t>
  </si>
  <si>
    <t>304/530-8705</t>
  </si>
  <si>
    <t>SANTANDER MAFIOLI PUCHE</t>
  </si>
  <si>
    <t>s_mafioli@javeriana.edu.co</t>
  </si>
  <si>
    <t>301/390-2924</t>
  </si>
  <si>
    <t>VALERY QUINTERO CHACÓN</t>
  </si>
  <si>
    <t>quinterovalery@javeriana.edu.co</t>
  </si>
  <si>
    <t>322/396-4483</t>
  </si>
  <si>
    <t>WALID JESUS RAFEH GANEM</t>
  </si>
  <si>
    <t>rafehgwj@javeriana.edu.co</t>
  </si>
  <si>
    <t>304/470-3747</t>
  </si>
  <si>
    <t>DANIEL ESTEBAN GUTIERREZ RODRIGUEZ</t>
  </si>
  <si>
    <t>de_gutierrez@javeriana.edu.co</t>
  </si>
  <si>
    <t>302/467-7712</t>
  </si>
  <si>
    <t>ERICK SANTIAGO GARAVITO VILLAMIL</t>
  </si>
  <si>
    <t>erick.garavitov@javeriana.edu.co</t>
  </si>
  <si>
    <t>312/409-4766</t>
  </si>
  <si>
    <t>JOHAN NICOLÀS MOYANO POVEDA</t>
  </si>
  <si>
    <t>jnicolas_moyano@javeriana.edu.co</t>
  </si>
  <si>
    <t>302/818-7848</t>
  </si>
  <si>
    <t>SANTIAGO MEJIA FERNANDEZ</t>
  </si>
  <si>
    <t>santiagomejiaf@javeriana.edu.co</t>
  </si>
  <si>
    <t>322/304-5822</t>
  </si>
  <si>
    <t>ANDERSON JAIR ALVARADO RUBIO</t>
  </si>
  <si>
    <t>andersonjalvarado@javeriana.edu.co</t>
  </si>
  <si>
    <t>319/699-7799</t>
  </si>
  <si>
    <t>ANDRES FELIPE DUARTE LEAL</t>
  </si>
  <si>
    <t>anduarte@javeriana.edu.co</t>
  </si>
  <si>
    <t>300/826-5569</t>
  </si>
  <si>
    <t>JESUS DANIEL MOLINA EMILIANI</t>
  </si>
  <si>
    <t>jesus_molina@javeriana.edu.co</t>
  </si>
  <si>
    <t>316/517-1561</t>
  </si>
  <si>
    <t>JUAN CAMILO SÁNCHEZ URREGO</t>
  </si>
  <si>
    <t>sanchezjcamilo@javeriana.edu.co</t>
  </si>
  <si>
    <t>318/650-6135</t>
  </si>
  <si>
    <t>JUAN MANUEL AGUIAR OROZCO</t>
  </si>
  <si>
    <t>j.aguiar@javeriana.edu.co</t>
  </si>
  <si>
    <t>306-7356</t>
  </si>
  <si>
    <t>KAROL GERALDINE CEBALLOS CASTRO</t>
  </si>
  <si>
    <t>kgceballos@javeriana.edu.co</t>
  </si>
  <si>
    <t>300/572-2679</t>
  </si>
  <si>
    <t>MARÍA ALEJANDRA AMAYA MEJÍA</t>
  </si>
  <si>
    <t>amaya_maria@javeriana.edu.co</t>
  </si>
  <si>
    <t>301/324-0976</t>
  </si>
  <si>
    <t>ROBERTO ANDRES CUERVO TORRES</t>
  </si>
  <si>
    <t>ra.cuervo@javeriana.edu.co</t>
  </si>
  <si>
    <t>300/257-3593</t>
  </si>
  <si>
    <t>SANTIAGO VIDES SALCEDO</t>
  </si>
  <si>
    <t>visantiago@javeriana.edu.co</t>
  </si>
  <si>
    <t>313/506-4722</t>
  </si>
  <si>
    <t>LUIS MARIO ATENCIO BEDOYA</t>
  </si>
  <si>
    <t>lm-atencio@javeriana.edu.co</t>
  </si>
  <si>
    <t>301/385-9410</t>
  </si>
  <si>
    <t>MARIA ALEJANDRA MESA ORJUELA</t>
  </si>
  <si>
    <t>malejandramesa@javeriana.edu.co</t>
  </si>
  <si>
    <t>310/793-8336</t>
  </si>
  <si>
    <t>SAMUEL OCHOA AYA</t>
  </si>
  <si>
    <t>ochoaa-samuel@javeriana.edu.co</t>
  </si>
  <si>
    <t>300/229-1722</t>
  </si>
  <si>
    <t>JULIANA IGUARÁN VARELA</t>
  </si>
  <si>
    <t>iguaranjuliana@javeriana.edu.co</t>
  </si>
  <si>
    <t>310/278-0688</t>
  </si>
  <si>
    <t>NATALIA LORENA RAMÍREZ RIVEROS</t>
  </si>
  <si>
    <t>ramirezr.natalia@javeriana.edu.co</t>
  </si>
  <si>
    <t>314/243-2401</t>
  </si>
  <si>
    <t>PABLO JAVIER ESCOBAR GÓMEZ</t>
  </si>
  <si>
    <t>escobargp@javeriana.edu.co</t>
  </si>
  <si>
    <t>310/881-8025</t>
  </si>
  <si>
    <t>JULIANA TORO CAMELO</t>
  </si>
  <si>
    <t>julianatoroc@javeriana.edu.co</t>
  </si>
  <si>
    <t>322/549-9841</t>
  </si>
  <si>
    <t>DANIEL FELIPE MILLAN GÓMEZ</t>
  </si>
  <si>
    <t>df_millan@javeriana.edu.co</t>
  </si>
  <si>
    <t>304/255-0832</t>
  </si>
  <si>
    <t>JUAN DIEGO DUARTE NIETO</t>
  </si>
  <si>
    <t>jdiego-duarte@javeriana.edu.co</t>
  </si>
  <si>
    <t>301/333-9402</t>
  </si>
  <si>
    <t>ANA MARIA CRUZ GONZÁLEZ</t>
  </si>
  <si>
    <t>amaria.cruz@javeriana.edu.co</t>
  </si>
  <si>
    <t>311/810-2713</t>
  </si>
  <si>
    <t>JUANITA VALBUENA SUAREZ</t>
  </si>
  <si>
    <t>juanita-valbuena@javeriana.edu.co</t>
  </si>
  <si>
    <t>315/207-5019</t>
  </si>
  <si>
    <t>SARA BOTERO CARMONA</t>
  </si>
  <si>
    <t>sara_boteroc@javeriana.edu.co</t>
  </si>
  <si>
    <t>311/304-1208</t>
  </si>
  <si>
    <t>DANIEL CAMILO UBAQUE SILVA</t>
  </si>
  <si>
    <t>ubaques.daniel@javeriana.edu.co</t>
  </si>
  <si>
    <t>301/694-2054</t>
  </si>
  <si>
    <t>JUAN FELIPE GAVIRIA GONZALEZ</t>
  </si>
  <si>
    <t>juangaviriag@javeriana.edu.co</t>
  </si>
  <si>
    <t>350/503-0729</t>
  </si>
  <si>
    <t>KATALINA CASAS ROCHA</t>
  </si>
  <si>
    <t>katalina_casasr@javeriana.edu.co</t>
  </si>
  <si>
    <t>322/338-9186</t>
  </si>
  <si>
    <t>MILENA ALEJANDRA GONZÁLEZ PUENTES</t>
  </si>
  <si>
    <t>malejandragonzalez@javeriana.edu.co</t>
  </si>
  <si>
    <t>321/348-1134</t>
  </si>
  <si>
    <t>PAULA ANDREA GUTIÉRREZ RAMÍREZ</t>
  </si>
  <si>
    <t>gutierrezr-paula@javeriana.edu.co</t>
  </si>
  <si>
    <t>311/456-1510</t>
  </si>
  <si>
    <t>SEBASTIAN ACUÑA ORTEGA</t>
  </si>
  <si>
    <t>ac_sebastian@javeriana.edu.co</t>
  </si>
  <si>
    <t>313/224-6003</t>
  </si>
  <si>
    <t>CARLOS SANTIAGO ROJAS CALDERÓN</t>
  </si>
  <si>
    <t>carloss-rojasc@javeriana.edu.co</t>
  </si>
  <si>
    <t>312/603-0865</t>
  </si>
  <si>
    <t>LUISA FERNANDA QUINTERO RAMÍREZ</t>
  </si>
  <si>
    <t>lf_quintero@javeriana.edu.co</t>
  </si>
  <si>
    <t>304/664-6978</t>
  </si>
  <si>
    <t>NICOLÁS MONTAÑEZ VELASCO</t>
  </si>
  <si>
    <t>n_montanez@javeriana.edu.co</t>
  </si>
  <si>
    <t>300/389-8475</t>
  </si>
  <si>
    <t>CAROLINA SANTOS BAQUERO</t>
  </si>
  <si>
    <t>carolinasantosb@javeriana.edu.co</t>
  </si>
  <si>
    <t>313/551-5175</t>
  </si>
  <si>
    <t>JUAN DAVID CASTRO BOCAREJO</t>
  </si>
  <si>
    <t>juand.castrob@javeriana.edu.co</t>
  </si>
  <si>
    <t>311/463-0824</t>
  </si>
  <si>
    <t>ALBERTO LUIS VIGNA ARROYO</t>
  </si>
  <si>
    <t>a-vigna@javeriana.edu.co</t>
  </si>
  <si>
    <t>318/523-4355</t>
  </si>
  <si>
    <t>ANDRES SALAMANCA LOZANO</t>
  </si>
  <si>
    <t>salamanca-andres@javeriana.edu.co</t>
  </si>
  <si>
    <t>313/486-5061</t>
  </si>
  <si>
    <t>CAMILO JOSÉ MARTÍNEZ PATIÑO</t>
  </si>
  <si>
    <t>camilomartinezp@javeriana.edu.co</t>
  </si>
  <si>
    <t>316/495-1440</t>
  </si>
  <si>
    <t>DANNA SOFÍA CASTILLO COY</t>
  </si>
  <si>
    <t>dannacastilloc@javeriana.edu.co</t>
  </si>
  <si>
    <t>313/332-3217</t>
  </si>
  <si>
    <t>GABRIEL FRANCISCO ORTIZ GARCIA</t>
  </si>
  <si>
    <t>gabriel-ortiz@javeriana.edu.co</t>
  </si>
  <si>
    <t>314/778-8355</t>
  </si>
  <si>
    <t>LUISA FERNANDA BAUTISTA GONZALEZ</t>
  </si>
  <si>
    <t>NATALIA CARRASCAL BELTRÁN</t>
  </si>
  <si>
    <t>na.carrascal@javeriana.edu.co</t>
  </si>
  <si>
    <t>305/427-0288</t>
  </si>
  <si>
    <t>JUAN MANUEL DURÁN RUEDA</t>
  </si>
  <si>
    <t>jm.duran@javeriana.edu.co</t>
  </si>
  <si>
    <t>300/596-3474</t>
  </si>
  <si>
    <t>LINA MARÍA SALAMANCA TOVAR</t>
  </si>
  <si>
    <t>salamanca.lm@javeriana.edu.co</t>
  </si>
  <si>
    <t>317/725-7165</t>
  </si>
  <si>
    <t>LORENA NUÑEZ PAVA</t>
  </si>
  <si>
    <t>nunezpl@javeriana.edu.co</t>
  </si>
  <si>
    <t>310/636-6353</t>
  </si>
  <si>
    <t>MARÍA ISABELLA RODRÍGUEZ ARÉVALO</t>
  </si>
  <si>
    <t>misabellarodrigueza@javeriana.edu.co</t>
  </si>
  <si>
    <t>322/206-9032</t>
  </si>
  <si>
    <t>MARIA PAULA CARDONA RODRIGUEZ</t>
  </si>
  <si>
    <t>mp.cardonar@javeriana.edu.co</t>
  </si>
  <si>
    <t>315/852-1318</t>
  </si>
  <si>
    <t>SANTIAGO ANDRÉS FANDIÑO GÓMEZ</t>
  </si>
  <si>
    <t>sa.fandino@javeriana.edu.co</t>
  </si>
  <si>
    <t>315/421-9808</t>
  </si>
  <si>
    <t>JUAN PABLO GONZALEZ POSADA</t>
  </si>
  <si>
    <t>juan.gonzalezp@javeriana.edu.co</t>
  </si>
  <si>
    <t>305/324-3182</t>
  </si>
  <si>
    <t>SOFÍA VALENTINA DELGADO PINZÓN</t>
  </si>
  <si>
    <t>de-sofia@javeriana.edu.co</t>
  </si>
  <si>
    <t>320/735-1835</t>
  </si>
  <si>
    <t>DANIEL FERNANDO CORTÉS SANABRIA</t>
  </si>
  <si>
    <t>danielf_cortes@javeriana.edu.co</t>
  </si>
  <si>
    <t>313/546-9901</t>
  </si>
  <si>
    <t>JUAN JOSÉ REYES PERILLA</t>
  </si>
  <si>
    <t>reyesp_jj@javeriana.edu.co</t>
  </si>
  <si>
    <t>350/540-0383</t>
  </si>
  <si>
    <t>JONATHAN SANTIAGO SALAZAR CHAVARRO</t>
  </si>
  <si>
    <t>js.salazar@javeriana.edu.co</t>
  </si>
  <si>
    <t>320/554-4135</t>
  </si>
  <si>
    <t>LAURA SOFÍA CASTAÑEDA VILLAMIL</t>
  </si>
  <si>
    <t>lsofia.castaneda@javeriana.edu.co</t>
  </si>
  <si>
    <t>322/340-1061</t>
  </si>
  <si>
    <t>LAURA VALERIA ROMERO MÉNDEZ</t>
  </si>
  <si>
    <t>romerolv@javeriana.edu.co</t>
  </si>
  <si>
    <t>323/215-4790</t>
  </si>
  <si>
    <t>NICOLAS AMADO BORRAY</t>
  </si>
  <si>
    <t>amadob_n@javeriana.edu.co</t>
  </si>
  <si>
    <t>321/993-9622</t>
  </si>
  <si>
    <t>NICOLLE AGUDELO PADILLA</t>
  </si>
  <si>
    <t>agudelo_nicolle@javeriana.edu.co</t>
  </si>
  <si>
    <t>314/487-7268</t>
  </si>
  <si>
    <t>ORLANDO RODRIGUEZ TRIANA</t>
  </si>
  <si>
    <t>rodriguezt-o@javeriana.edu.co</t>
  </si>
  <si>
    <t>32134619639</t>
  </si>
  <si>
    <t>DANIEL ALFONSO ALVAREZ MIRANDA</t>
  </si>
  <si>
    <t>da.alvarez@javeriana.edu.co</t>
  </si>
  <si>
    <t>311/275-9286</t>
  </si>
  <si>
    <t>VALERIA MOSQUERA RAMÍREZ</t>
  </si>
  <si>
    <t>valeriamosquera@javeriana.edu.co</t>
  </si>
  <si>
    <t>313/728-3323</t>
  </si>
  <si>
    <t>SUAREZ ACOSTA,ALEJANDRO ENRIQUE</t>
  </si>
  <si>
    <t>alejandroesuareza@javeriana.edu.co</t>
  </si>
  <si>
    <t>310/299-6660</t>
  </si>
  <si>
    <t>HERNANDEZ ZAPATA,CAMILO ANDRES</t>
  </si>
  <si>
    <t>hernandezz_camilo@javeriana.edu.co</t>
  </si>
  <si>
    <t>302/800-2725</t>
  </si>
  <si>
    <t>QUINTANA CUARTAS,NICOLAS</t>
  </si>
  <si>
    <t>quintana.nicolas@javeriana.edu.co</t>
  </si>
  <si>
    <t>304/554-8660</t>
  </si>
  <si>
    <t>RODRIGUEZ GONZALEZ,PABLO ARTURO</t>
  </si>
  <si>
    <t>pablo.rodriguezg@javeriana.edu.co</t>
  </si>
  <si>
    <t>314/243-3502</t>
  </si>
  <si>
    <t>YAÑEZ BARAJAS,SANTIAGO</t>
  </si>
  <si>
    <t>santiago.yanezb@javeriana.edu.co</t>
  </si>
  <si>
    <t>320/214-9152</t>
  </si>
  <si>
    <t>PAULA ELIZABETH RIVEROS CORTES</t>
  </si>
  <si>
    <t>riveros.pe@javeriana.edu.co</t>
  </si>
  <si>
    <t>321/374-6202</t>
  </si>
  <si>
    <t>ANDRÉS FELIPE MILLÁN CORTÉS</t>
  </si>
  <si>
    <t>andresf-millan@javeriana.edu.co</t>
  </si>
  <si>
    <t>313/226-4952</t>
  </si>
  <si>
    <t>FRANK SEBASTIÁN HERNÁNDEZ LLANOS</t>
  </si>
  <si>
    <t>fs.hernandezl@javeriana.edu.co</t>
  </si>
  <si>
    <t>301/240-5276</t>
  </si>
  <si>
    <t>GABRIEL ESPITIA ROMERO</t>
  </si>
  <si>
    <t>espitia.gabriel@javeriana.edu.co</t>
  </si>
  <si>
    <t>316/623-3520</t>
  </si>
  <si>
    <t>DAVID SANTIAGO BUSTOS ULLOA</t>
  </si>
  <si>
    <t>bustosdsantiago@javeriana.edu.co</t>
  </si>
  <si>
    <t>320/862-4089</t>
  </si>
  <si>
    <t>JUAN CAMILO PARRADO CEPEDA</t>
  </si>
  <si>
    <t>jcparradoc@javeriana.edu.co</t>
  </si>
  <si>
    <t>350/678-8755</t>
  </si>
  <si>
    <t>JUAN DAVID BELTRAN BOCANEGRA</t>
  </si>
  <si>
    <t>juan.beltranb@javeriana.edu.co</t>
  </si>
  <si>
    <t>313/227-1036</t>
  </si>
  <si>
    <t>JUAN FERNANDO LESMES CASTAÑEDA</t>
  </si>
  <si>
    <t>j-lesmes@javeriana.edu.co</t>
  </si>
  <si>
    <t>322/534-9144</t>
  </si>
  <si>
    <t>MANUEL ALEJANDRO GONZÁLEZ CORTÉS</t>
  </si>
  <si>
    <t>ma.gonzalezc@javeriana.edu.co</t>
  </si>
  <si>
    <t>321/253-2959</t>
  </si>
  <si>
    <t>SANTIAGO ALONSO OSPINA</t>
  </si>
  <si>
    <t>salonsoo@javeriana.edu.co</t>
  </si>
  <si>
    <t>323/473-9258</t>
  </si>
  <si>
    <t>ANDRES FELIPE ALARCON VEJARANO</t>
  </si>
  <si>
    <t>alarcon_a@javeriana.edu.co</t>
  </si>
  <si>
    <t>316/421-5243</t>
  </si>
  <si>
    <t>MARÍA ANDREA MÉNDEZ BELTRÁN</t>
  </si>
  <si>
    <t>mariaa.mendez@javeriana.edu.co</t>
  </si>
  <si>
    <t>314/479-4026</t>
  </si>
  <si>
    <t>NATALIA MEJÍA ESTRADA</t>
  </si>
  <si>
    <t>nataliamejia@javeriana.edu.co</t>
  </si>
  <si>
    <t>315/674-3686</t>
  </si>
  <si>
    <t>KEVIN LEONARDO LÓPEZ GARCIA</t>
  </si>
  <si>
    <t>kevin_lopezg@javeriana.edu.co</t>
  </si>
  <si>
    <t>319/618-9369</t>
  </si>
  <si>
    <t>MARIA JOSE GOMEZ GARCIA</t>
  </si>
  <si>
    <t>mariagomezg@javeriana.edu.co</t>
  </si>
  <si>
    <t>300/828-5962</t>
  </si>
  <si>
    <t>SANTIAGO CAMILO REY BENAVIDES</t>
  </si>
  <si>
    <t>screyb@javeriana.edu.co</t>
  </si>
  <si>
    <t>311/631-0551</t>
  </si>
  <si>
    <t>SANTIAGO GALLO JAIMES</t>
  </si>
  <si>
    <t>santiago.gallo@javeriana.edu.co</t>
  </si>
  <si>
    <t>322/314-8194</t>
  </si>
  <si>
    <t>SARA LORENA SUÁREZ VILLAMIZAR</t>
  </si>
  <si>
    <t>sl.suarez@javeriana.edu.co</t>
  </si>
  <si>
    <t>350/576-4484</t>
  </si>
  <si>
    <t>ANDRÉS GARCÍA MONTOYA</t>
  </si>
  <si>
    <t>andresgarciam@javeriana.edu.co</t>
  </si>
  <si>
    <t>300/744-4456</t>
  </si>
  <si>
    <t>FABIO LUIS BUITRAGO OCHOA</t>
  </si>
  <si>
    <t>fabio_buitrago@javeriana.edu.co</t>
  </si>
  <si>
    <t>312/460-6315</t>
  </si>
  <si>
    <t>NICOLAS DAVID RINCON BALLESTEROS</t>
  </si>
  <si>
    <t>ni.rincon@javeriana.edu.co</t>
  </si>
  <si>
    <t>313/358-4638</t>
  </si>
  <si>
    <t>ANGIE VALENTINA LEON GONZALEZ</t>
  </si>
  <si>
    <t>an.leon@javeriana.edu.co</t>
  </si>
  <si>
    <t>350/778-9626</t>
  </si>
  <si>
    <t>CAMILO ALEJANDRO NOSSA CALDERON</t>
  </si>
  <si>
    <t>calejandro_nossa@javeriana.edu.co</t>
  </si>
  <si>
    <t>320/980-4475</t>
  </si>
  <si>
    <t>GIANLUCA GRAMEGNA PARRA</t>
  </si>
  <si>
    <t>gianluca.gramegnap@javeriana.edu.co</t>
  </si>
  <si>
    <t>315/487-0018</t>
  </si>
  <si>
    <t>JULIÁN ANDRES EDUARDO ARANA GÜIZA</t>
  </si>
  <si>
    <t>juliana-aranag@javeriana.edu.co</t>
  </si>
  <si>
    <t>300/777-0847</t>
  </si>
  <si>
    <t>LARA SALCEDO FRANCO</t>
  </si>
  <si>
    <t>lara.salcedo@javeriana.edu.co</t>
  </si>
  <si>
    <t>310/589-6457</t>
  </si>
  <si>
    <t>STIVEN ORTIZ NOREÑA</t>
  </si>
  <si>
    <t>ortiz.stiven@javeriana.edu.co</t>
  </si>
  <si>
    <t>317/672-2599</t>
  </si>
  <si>
    <t>SEBASTIÁN FELIPE GÓMEZ MARIÑO</t>
  </si>
  <si>
    <t>sf.gomez@javeriana.edu.co</t>
  </si>
  <si>
    <t>310/203-2232</t>
  </si>
  <si>
    <t>SAMUEL FORERO CADAVID</t>
  </si>
  <si>
    <t>forero-samuel@javeriana.edu.co</t>
  </si>
  <si>
    <t>313/487-5652</t>
  </si>
  <si>
    <t>JUAN DIEGO CARDONA CHIQUILLO</t>
  </si>
  <si>
    <t>jd_cardonac@javeriana.edu.co</t>
  </si>
  <si>
    <t>302/383-9977</t>
  </si>
  <si>
    <t>JUAN SEBASTIAN PINZÓN GIRALDO</t>
  </si>
  <si>
    <t>jspinzon@javeriana.edu.co</t>
  </si>
  <si>
    <t>318/360-3547</t>
  </si>
  <si>
    <t>ISABELLA SIERRA USECHE</t>
  </si>
  <si>
    <t>sierrau.i@javeriana.edu.co</t>
  </si>
  <si>
    <t>316/301-4233</t>
  </si>
  <si>
    <t>ALEJANDRO GUERRERO URBANO</t>
  </si>
  <si>
    <t>alejandro.guerrero@javeriana.edu.co</t>
  </si>
  <si>
    <t>314/463-1981</t>
  </si>
  <si>
    <t>ANA SOFIA LIZARAZO CHACON</t>
  </si>
  <si>
    <t>lizarazoc-anas@javeriana.edu.co</t>
  </si>
  <si>
    <t>300/739-0755</t>
  </si>
  <si>
    <t>ANDRES CAMILO OSUNA NIÑO</t>
  </si>
  <si>
    <t>osunana@javeriana.edu.co</t>
  </si>
  <si>
    <t>305/297-4633</t>
  </si>
  <si>
    <t>DIEGO ALEJANDRO RIOS ROJAS</t>
  </si>
  <si>
    <t>diegoarios@javeriana.edu.co</t>
  </si>
  <si>
    <t>321/371-9560</t>
  </si>
  <si>
    <t>IVAN MATEO RODRIGUEZ FAJARDO</t>
  </si>
  <si>
    <t>rodriguez.im@javeriana.edu.co</t>
  </si>
  <si>
    <t>316/721-0050</t>
  </si>
  <si>
    <t>JOSHUA JACOB SORUCO ALBA</t>
  </si>
  <si>
    <t>soruco-jjacob@javeriana.edu.co</t>
  </si>
  <si>
    <t>316/820-4339</t>
  </si>
  <si>
    <t>JUAN CAMILO MARTINEZ LIZARAZO</t>
  </si>
  <si>
    <t>martinezjc@javeriana.edu.co</t>
  </si>
  <si>
    <t>320/331-7933</t>
  </si>
  <si>
    <t>JUANITA GONZALEZ DUQUE</t>
  </si>
  <si>
    <t>j.gonzalezd@javeriana.edu.co</t>
  </si>
  <si>
    <t>304/470-2554</t>
  </si>
  <si>
    <t>MARIO MIGUEL NOGUERA LÓPEZ</t>
  </si>
  <si>
    <t>mario.nogueral@javeriana.edu.co</t>
  </si>
  <si>
    <t>315/492-8874</t>
  </si>
  <si>
    <t>YURGEN ANDREY CORDERO REYES</t>
  </si>
  <si>
    <t>yurgen.cordero@javeriana.edu.co</t>
  </si>
  <si>
    <t>322/365-6413</t>
  </si>
  <si>
    <t>ANGELA JUDITH MANRIQUE SUÁREZ</t>
  </si>
  <si>
    <t>maangela@javeriana.edu.co</t>
  </si>
  <si>
    <t>310/689-0158</t>
  </si>
  <si>
    <t>CÉSAR ALEJANDRO MALDONADO TRUJILLO</t>
  </si>
  <si>
    <t>cesar-maldonado@javeriana.edu.co</t>
  </si>
  <si>
    <t>320/475-0253</t>
  </si>
  <si>
    <t>DAVID ALEJANDRO SEQUERA LIEVANO</t>
  </si>
  <si>
    <t>david-sequera@javeriana.edu.co</t>
  </si>
  <si>
    <t>300/547-0099</t>
  </si>
  <si>
    <t>JUAN ESTEBAN ABAY GOMEZ</t>
  </si>
  <si>
    <t>ju_abay@javeriana.edu.co</t>
  </si>
  <si>
    <t>350/857-6108</t>
  </si>
  <si>
    <t>LAURA JULIANA YULIETH ESTRADA CORENA</t>
  </si>
  <si>
    <t>estradac_laura@javeriana.edu.co</t>
  </si>
  <si>
    <t>310/886-9452</t>
  </si>
  <si>
    <t>MIGUEL ÁNGEL MORALES DURÁN</t>
  </si>
  <si>
    <t>miguelamorales@javeriana.edu.co</t>
  </si>
  <si>
    <t>316/362-8491</t>
  </si>
  <si>
    <t>DAVID SANTIAGO ALFONSO MONTAÑEZ</t>
  </si>
  <si>
    <t>david_alfonso@javeriana.edu.co</t>
  </si>
  <si>
    <t>322/398-1552</t>
  </si>
  <si>
    <t>SANTIAGO AVILÉS TIBOCHA</t>
  </si>
  <si>
    <t>aviles_santiago@javeriana.edu.co</t>
  </si>
  <si>
    <t>316/522-3991</t>
  </si>
  <si>
    <t>CARLOS ANTONIO D'SILVESTRI RUIZ</t>
  </si>
  <si>
    <t>carlosdesilvestrir@javeriana.edu.co</t>
  </si>
  <si>
    <t>302/345-5254</t>
  </si>
  <si>
    <t>CATALINA SILVA RETTIZ</t>
  </si>
  <si>
    <t>silva.catalina@javeriana.edu.co</t>
  </si>
  <si>
    <t>311/341-7392</t>
  </si>
  <si>
    <t>JUAN FELIPE ARIAS CASTILLO</t>
  </si>
  <si>
    <t>jfelipeariasc@javeriana.edu.co</t>
  </si>
  <si>
    <t>319/558-9632</t>
  </si>
  <si>
    <t>MANUELA SANTAMARIA PINZÓN</t>
  </si>
  <si>
    <t>manuela-santamaria@javeriana.edu.co</t>
  </si>
  <si>
    <t>320/221-9641</t>
  </si>
  <si>
    <t>NICOLAS ALEXANDER SANCHEZ LAITON</t>
  </si>
  <si>
    <t>sanchezl-na@javeriana.edu.co</t>
  </si>
  <si>
    <t>319/567-9364</t>
  </si>
  <si>
    <t>NICOLÁS NOVA GONZÁLEZ</t>
  </si>
  <si>
    <t>nicolas_novag@javeriana.edu.co</t>
  </si>
  <si>
    <t>317/642-4017</t>
  </si>
  <si>
    <t>PAULA ANDREA PEÑUELA BARRERA</t>
  </si>
  <si>
    <t>paula_penuelab@javeriana.edu.co</t>
  </si>
  <si>
    <t>315/563-6913</t>
  </si>
  <si>
    <t>TOMÁS HENRIQUE MARTÍNEZ GÓMEZ</t>
  </si>
  <si>
    <t>tomashmartinez@javeriana.edu.co</t>
  </si>
  <si>
    <t>300/826-5739</t>
  </si>
  <si>
    <t>WILLIAM DANIEL MARTÍNEZ OVIEDO</t>
  </si>
  <si>
    <t>mawilliam@javeriana.edu.co</t>
  </si>
  <si>
    <t>300/560-9505</t>
  </si>
  <si>
    <t>ALEJANDRO SALAMANCA LOZANO</t>
  </si>
  <si>
    <t>al_salamanca@javeriana.edu.co</t>
  </si>
  <si>
    <t>428-4096</t>
  </si>
  <si>
    <t>ALEX DAVID SIMANCA TOBIO</t>
  </si>
  <si>
    <t>alexdsimancat@javeriana.edu.co</t>
  </si>
  <si>
    <t>304/597-1101</t>
  </si>
  <si>
    <t>ANA MARIA ORTEGON SEPULVEDA</t>
  </si>
  <si>
    <t>ortegon-ana@javeriana.edu.co</t>
  </si>
  <si>
    <t>316/472-3020</t>
  </si>
  <si>
    <t>ANGIE CAROLINA ESQUIVEL LOPEZ</t>
  </si>
  <si>
    <t>angiec-esquivell@javeriana.edu.co</t>
  </si>
  <si>
    <t>350/239-2711</t>
  </si>
  <si>
    <t>BIANKA NATHALIA MORENO CASTILLO</t>
  </si>
  <si>
    <t>moreno_b@javeriana.edu.co</t>
  </si>
  <si>
    <t>301/260-6220</t>
  </si>
  <si>
    <t>DIEGO ALEJANDRO PARDO MONTERO</t>
  </si>
  <si>
    <t>di-pardo@javeriana.edu.co</t>
  </si>
  <si>
    <t>302/306-3447</t>
  </si>
  <si>
    <t>JUAN DIEGO SANCHEZ ROJAS</t>
  </si>
  <si>
    <t>sanchez.juand@javeriana.edu.co</t>
  </si>
  <si>
    <t>310/697-5247</t>
  </si>
  <si>
    <t>FELIPE GARCIA CASTIBLANCO</t>
  </si>
  <si>
    <t>felipe-garcia@javeriana.edu.co</t>
  </si>
  <si>
    <t>319/272-9725</t>
  </si>
  <si>
    <t>GABRIEL ALEJANDRO MARTÍN SÁNCHEZ</t>
  </si>
  <si>
    <t>ga_martin@javeriana.edu.co</t>
  </si>
  <si>
    <t>315/627-8793</t>
  </si>
  <si>
    <t>JOSE DANIEL SOTO ZAPATA</t>
  </si>
  <si>
    <t>sotojosed@javeriana.edu.co</t>
  </si>
  <si>
    <t>315/053-7003</t>
  </si>
  <si>
    <t>JUAN CAMILO MURCIA SUÁREZ</t>
  </si>
  <si>
    <t>jcmurcia@javeriana.edu.co</t>
  </si>
  <si>
    <t>319/325-1795</t>
  </si>
  <si>
    <t>JUAN DIEGO PALACIOS TOLEDO</t>
  </si>
  <si>
    <t>ju.palacios@javeriana.edu.co</t>
  </si>
  <si>
    <t>314/222-6449</t>
  </si>
  <si>
    <t>JUAN ESTEBAN MUÑOZ DIAZ</t>
  </si>
  <si>
    <t>munozd.juan@javeriana.edu.co</t>
  </si>
  <si>
    <t>305/895-7432</t>
  </si>
  <si>
    <t>JUAN FERNANDO GARCÍA FLÓREZ</t>
  </si>
  <si>
    <t>juan_garciaf@javeriana.edu.co</t>
  </si>
  <si>
    <t>317/726-2158</t>
  </si>
  <si>
    <t>JUAN JOSÉ MARTÍNEZ MORALES</t>
  </si>
  <si>
    <t>juanmartinezm@javeriana.edu.co</t>
  </si>
  <si>
    <t>300/386-3014</t>
  </si>
  <si>
    <t>JUAN PABLO PEREZ ROMERO</t>
  </si>
  <si>
    <t>juanperezr@javeriana.edu.co</t>
  </si>
  <si>
    <t>350/695-9951</t>
  </si>
  <si>
    <t>ANDRES FELIPE MORALES FORERO</t>
  </si>
  <si>
    <t>amoralesf@javeriana.edu.co</t>
  </si>
  <si>
    <t>301/212-1237</t>
  </si>
  <si>
    <t>LAURA ALEJANDRA SALAMANCA BELLO</t>
  </si>
  <si>
    <t>lauraa_salamanca@javeriana.edu.co</t>
  </si>
  <si>
    <t>300/150-3228</t>
  </si>
  <si>
    <t>LAURA SOFÍA JIMÉNEZ ACOSTA</t>
  </si>
  <si>
    <t>laura.jimeneza@javeriana.edu.co</t>
  </si>
  <si>
    <t>315/699-6436</t>
  </si>
  <si>
    <t>LUISA LORENA PARRA NIVIA</t>
  </si>
  <si>
    <t>parran_ll@javeriana.edu.co</t>
  </si>
  <si>
    <t>310/875-4602</t>
  </si>
  <si>
    <t>MARÍA ALEJANDRA MOLINA GIRALDO</t>
  </si>
  <si>
    <t>molina.ma@javeriana.edu.co</t>
  </si>
  <si>
    <t>319/213-3451</t>
  </si>
  <si>
    <t>NICOLAS RAMIREZ TAMAYO</t>
  </si>
  <si>
    <t>ra_nicolas@javeriana.edu.co</t>
  </si>
  <si>
    <t>350/876-8888</t>
  </si>
  <si>
    <t>PAULA ANDREA CARDONA OCAMPO</t>
  </si>
  <si>
    <t>paulaa.cardonao@javeriana.edu.co</t>
  </si>
  <si>
    <t>315/586-3658</t>
  </si>
  <si>
    <t>SADY DAVID SUAVITA ALFONSO</t>
  </si>
  <si>
    <t>suavitaa-s@javeriana.edu.co</t>
  </si>
  <si>
    <t>318/312-5156</t>
  </si>
  <si>
    <t>SANTIAGO MOLINA ARANZA</t>
  </si>
  <si>
    <t>sa-molina@javeriana.edu.co</t>
  </si>
  <si>
    <t>315/255-8465</t>
  </si>
  <si>
    <t>SARA VALENTINA SIERRA ESCOBAR</t>
  </si>
  <si>
    <t>svalentinasierra@javeriana.edu.co</t>
  </si>
  <si>
    <t>304/676-7743</t>
  </si>
  <si>
    <t>JUAN DIEGO CORREA CAMACHO</t>
  </si>
  <si>
    <t>correa.juand@javeriana.edu.co</t>
  </si>
  <si>
    <t>311/284-0020</t>
  </si>
  <si>
    <t>SIMÓN ALBERTO MONTIEL ISEA</t>
  </si>
  <si>
    <t>montieli_simon@javeriana.edu.co</t>
  </si>
  <si>
    <t>301/605-2010</t>
  </si>
  <si>
    <t>YOHANY ANDRÉS QUINTERO CORREA</t>
  </si>
  <si>
    <t>quintero-ya@javeriana.edu.co</t>
  </si>
  <si>
    <t>321/475-0043</t>
  </si>
  <si>
    <t>JAIRO ESTEBAN PATIÑO SILVA</t>
  </si>
  <si>
    <t>jairopatinos@javeriana.edu.co</t>
  </si>
  <si>
    <t>319/342-5279</t>
  </si>
  <si>
    <t>JUAN PABLO VALCARCEL SALCEDO</t>
  </si>
  <si>
    <t>valcarceljpablo@javeriana.edu.co</t>
  </si>
  <si>
    <t>311/454-9528</t>
  </si>
  <si>
    <t>LUIS ALEJANDRO BRAVO FERREIRA</t>
  </si>
  <si>
    <t>luis.bravof@javeriana.edu.co</t>
  </si>
  <si>
    <t>316/285-8804</t>
  </si>
  <si>
    <t>MARIA JOSÉ AVELLANEDA BALAMBA</t>
  </si>
  <si>
    <t>mj_avellanedab@javeriana.edu.co</t>
  </si>
  <si>
    <t>300/243-0885</t>
  </si>
  <si>
    <t>ANA MARÍA MAYORGA ZAMUDIO</t>
  </si>
  <si>
    <t>anamayorgaz@javeriana.edu.co</t>
  </si>
  <si>
    <t>314/277-6181</t>
  </si>
  <si>
    <t>ANDRÉS DAVID VALBUENA VILLAMIL</t>
  </si>
  <si>
    <t>andresd.valbuenav@javeriana.edu.co</t>
  </si>
  <si>
    <t>301/619-9381</t>
  </si>
  <si>
    <t>DAVID FELIPE LADINO GOMEZ</t>
  </si>
  <si>
    <t>davidladino@javeriana.edu.co</t>
  </si>
  <si>
    <t>316/221-6489</t>
  </si>
  <si>
    <t>DIEGO MAURICIO GONZÁLEZ BONILLA</t>
  </si>
  <si>
    <t>dm_gonzalez@javeriana.edu.co</t>
  </si>
  <si>
    <t>312/304-6812</t>
  </si>
  <si>
    <t>JUAN DAVID TORRES BORBON</t>
  </si>
  <si>
    <t>jd_torresb@javeriana.edu.co</t>
  </si>
  <si>
    <t>312/551-5627</t>
  </si>
  <si>
    <t>KAREN TATIANA AREVALO BRICEÑO</t>
  </si>
  <si>
    <t>ktatiana.arevalo@javeriana.edu.co</t>
  </si>
  <si>
    <t>+573138674706</t>
  </si>
  <si>
    <t>LORENA SOFIA CASTRO SALAMANCA</t>
  </si>
  <si>
    <t>castro_lorena@javeriana.edu.co</t>
  </si>
  <si>
    <t>305/762-9486</t>
  </si>
  <si>
    <t>MARÍA PAULA LOZANO ALVARADO</t>
  </si>
  <si>
    <t>mp.lozano@javeriana.edu.co</t>
  </si>
  <si>
    <t>314/222-2228</t>
  </si>
  <si>
    <t>NIKOLLE NAYEIDY GUZMÁN HERRERA</t>
  </si>
  <si>
    <t>guzmanh.nikolle@javeriana.edu.co</t>
  </si>
  <si>
    <t>313/359-2107</t>
  </si>
  <si>
    <t>VALERIA RUBIO HERNANDEZ</t>
  </si>
  <si>
    <t>rubiova@javeriana.edu.co</t>
  </si>
  <si>
    <t>314/486-3547</t>
  </si>
  <si>
    <t>GABRIEL FELIPE PUERTA GALINDO</t>
  </si>
  <si>
    <t>puertag.gabriel@javeriana.edu.co</t>
  </si>
  <si>
    <t>312/471-3119</t>
  </si>
  <si>
    <t>JULIAN DAVID MORALES BOLIVAR</t>
  </si>
  <si>
    <t>morales_j@javeriana.edu.co</t>
  </si>
  <si>
    <t>319/293-0685</t>
  </si>
  <si>
    <t>EDUARDO DURAN GARCIA</t>
  </si>
  <si>
    <t>eduardo-duran@javeriana.edu.co</t>
  </si>
  <si>
    <t>320/859-3644</t>
  </si>
  <si>
    <t>SERGIO ANDRES RODRIGUEZ PADILLA</t>
  </si>
  <si>
    <t>sergiorodriguezp@javeriana.edu.co</t>
  </si>
  <si>
    <t>322/715-1897</t>
  </si>
  <si>
    <t>MANUELA MARTÍNEZ QUIROGA</t>
  </si>
  <si>
    <t>manuela.martinezq@javeriana.edu.co</t>
  </si>
  <si>
    <t>321/921-4116</t>
  </si>
  <si>
    <t>TRIANA VARGAS,TOMAS DAVID</t>
  </si>
  <si>
    <t>triana_td@javeriana.edu.co</t>
  </si>
  <si>
    <t>312/528-5033</t>
  </si>
  <si>
    <t>2024-20</t>
  </si>
  <si>
    <t>ESPAÑA ANDRADE,JUAN FELIPE</t>
  </si>
  <si>
    <t>espana.jf@javeriana.edu.co</t>
  </si>
  <si>
    <t>301/360-4934</t>
  </si>
  <si>
    <t>AREVALO MERCHAN,SEBASTIAN</t>
  </si>
  <si>
    <t>ar.sebastian@javeriana.edu.co</t>
  </si>
  <si>
    <t>321/289-5002</t>
  </si>
  <si>
    <t>CUSGUEN JARAMILLO,TATIANA ISABEL</t>
  </si>
  <si>
    <t>cusguenj_tatiana@javeriana.edu.co</t>
  </si>
  <si>
    <t>305/260-6320</t>
  </si>
  <si>
    <t>GARAVITO LEON,JUAN ALEJANDRO</t>
  </si>
  <si>
    <t>garavitojalejandro@javeriana.edu.co</t>
  </si>
  <si>
    <t>317/510-2979</t>
  </si>
  <si>
    <t>GARZON ZAMBRANO,DANIEL FELIPE</t>
  </si>
  <si>
    <t>garzonzdanielf@javeriana.edu.co</t>
  </si>
  <si>
    <t>300/507-1606</t>
  </si>
  <si>
    <t>MEDRANO MARQUEZ,DAVID ESTEBAN</t>
  </si>
  <si>
    <t>de.medrano@javeriana.edu.co</t>
  </si>
  <si>
    <t>317/361-1240</t>
  </si>
  <si>
    <t>NARVAEZ GALLON,CRISTHIAN JOSE</t>
  </si>
  <si>
    <t>narvaez.cristhian@javeriana.edu.co</t>
  </si>
  <si>
    <t>320/328-3187</t>
  </si>
  <si>
    <t>PACHON GARZON,ALEJANDRO</t>
  </si>
  <si>
    <t>paalejandro@javeriana.edu.co</t>
  </si>
  <si>
    <t>316/329-5331</t>
  </si>
  <si>
    <t>PARADA HOYOS,MIGUEL AUGUSTO</t>
  </si>
  <si>
    <t>paradamiguel@javeriana.edu.co</t>
  </si>
  <si>
    <t>321/494-8450</t>
  </si>
  <si>
    <t>RODRIGUEZ HERNANDEZ,JUAN ESTEBAN</t>
  </si>
  <si>
    <t>jesteban.rodriguez@javeriana.edu.co</t>
  </si>
  <si>
    <t>313/823-7419</t>
  </si>
  <si>
    <t>TORRES APARICIO,JOSE MIGUEL</t>
  </si>
  <si>
    <t>torresj-o@javeriana.edu.co</t>
  </si>
  <si>
    <t>312/492-6847</t>
  </si>
  <si>
    <t>VELASQUEZ PEÑA,MARIA LUCIA</t>
  </si>
  <si>
    <t>marialvelasquez@javeriana.edu.co</t>
  </si>
  <si>
    <t>312/586-3054</t>
  </si>
  <si>
    <t>VERA ORTEGA,DIEGO ALEJANDRO</t>
  </si>
  <si>
    <t>dalejandro.vera@javeriana.edu.co</t>
  </si>
  <si>
    <t>304747613</t>
  </si>
  <si>
    <t>2024-30</t>
  </si>
  <si>
    <t>ABINADAB ANGELICA MORALES PEREZ</t>
  </si>
  <si>
    <t>morales.abinadab@javeriana.edu.co</t>
  </si>
  <si>
    <t>315/464-1607</t>
  </si>
  <si>
    <t>2430BIOINMAR-2</t>
  </si>
  <si>
    <t>ADRIAN FEDERICO CESPEDES ALVAREZ</t>
  </si>
  <si>
    <t>adcespedes@javeriana.edu.co</t>
  </si>
  <si>
    <t>315/606-7331</t>
  </si>
  <si>
    <t>2430ICIVLLUI-6</t>
  </si>
  <si>
    <t>ALANIS NICOLE FORERO SALAS</t>
  </si>
  <si>
    <t>alanis.forero@javeriana.edu.co</t>
  </si>
  <si>
    <t>321/861-8090</t>
  </si>
  <si>
    <t>2430ISISTALI-9</t>
  </si>
  <si>
    <t>ALEJANDRA RODRIGUEZ MARTINEZ</t>
  </si>
  <si>
    <t>alejandra-rodriguezm@javeriana.edu.co</t>
  </si>
  <si>
    <t>323/208-1976</t>
  </si>
  <si>
    <t>2430IINDSCLA-6</t>
  </si>
  <si>
    <t>ALEJANDRO BARRAGÁN AMORTEGUI</t>
  </si>
  <si>
    <t>albarragan@javeriana.edu.co</t>
  </si>
  <si>
    <t>301/720-2327</t>
  </si>
  <si>
    <t>2430ISISTALI-13</t>
  </si>
  <si>
    <t>ALEJANDRO CELIS RIVEROS</t>
  </si>
  <si>
    <t>acelisr@javeriana.edu.co</t>
  </si>
  <si>
    <t>313/873-8803</t>
  </si>
  <si>
    <t>2430IINDSBLA-4</t>
  </si>
  <si>
    <t>ALEJANDRO USCÁTEGUI TORRES</t>
  </si>
  <si>
    <t>uscateguia.l@javeriana.edu.co</t>
  </si>
  <si>
    <t>302/489-1231</t>
  </si>
  <si>
    <t>2430ISISTALI-1</t>
  </si>
  <si>
    <t>ANA SOFIA CHAVEZ MARMOLEJO</t>
  </si>
  <si>
    <t>as.chavez@javeriana.edu.co</t>
  </si>
  <si>
    <t>318/414-1766</t>
  </si>
  <si>
    <t>ANDRES FELIPE CENTANARO TIBAQUIRA</t>
  </si>
  <si>
    <t>centanarot-afelipe@javeriana.edu.co</t>
  </si>
  <si>
    <t>320/358-9556</t>
  </si>
  <si>
    <t>2430ISISTALI-8</t>
  </si>
  <si>
    <t>ANDRES FELIPE PEDRAZA ALMANZA</t>
  </si>
  <si>
    <t>afelipe_pedraza@javeriana.edu.co</t>
  </si>
  <si>
    <t>304/545-8694</t>
  </si>
  <si>
    <t>2430IMECAMAR-1</t>
  </si>
  <si>
    <t>ANDRÉS FELIPE VACA LAGO</t>
  </si>
  <si>
    <t>afelipe-vaca@javeriana.edu.co</t>
  </si>
  <si>
    <t>305/315-3428</t>
  </si>
  <si>
    <t>2430ISISTALI-24</t>
  </si>
  <si>
    <t>ANDRES FELIPE VIVAS PARRA</t>
  </si>
  <si>
    <t>andresvivasp@javeriana.edu.co</t>
  </si>
  <si>
    <t>320/400-5202</t>
  </si>
  <si>
    <t>2430IINDSCLA-1</t>
  </si>
  <si>
    <t>ANDRES JAVIER PUERTO VELASCO</t>
  </si>
  <si>
    <t>puertovandres@javeriana.edu.co</t>
  </si>
  <si>
    <t>320/493-4329</t>
  </si>
  <si>
    <t>2430ICIVLLUI-2</t>
  </si>
  <si>
    <t>ANDRÉS SANTIAGO ÁVILA SANTOS</t>
  </si>
  <si>
    <t>avilasasantiago@javeriana.edu.co</t>
  </si>
  <si>
    <t>322/232-6215</t>
  </si>
  <si>
    <t>2430ICIVLLUI-4</t>
  </si>
  <si>
    <t>ANDREY SANTIAGO MILLÁN JAIMES</t>
  </si>
  <si>
    <t>millanandreys@javeriana.edu.co</t>
  </si>
  <si>
    <t>319/485-7602</t>
  </si>
  <si>
    <t>2430IINDSBLA-5</t>
  </si>
  <si>
    <t>ARIANA SALCEDO FRANCO</t>
  </si>
  <si>
    <t>salcedof_ariana@javeriana.edu.co</t>
  </si>
  <si>
    <t>322/857-2046</t>
  </si>
  <si>
    <t>2430IELECJOS-1</t>
  </si>
  <si>
    <t>AXEL NICOLAS CARO ROJAS</t>
  </si>
  <si>
    <t>ca.axel@javeriana.edu.co</t>
  </si>
  <si>
    <t>321/396-9588</t>
  </si>
  <si>
    <t>2430ISISTALI-7</t>
  </si>
  <si>
    <t>CAMILO ANDRES ALVAREZ GOMEZ</t>
  </si>
  <si>
    <t>alvarezcamilo@javeriana.edu.co</t>
  </si>
  <si>
    <t>315/762-8300</t>
  </si>
  <si>
    <t>2430IINDSGIO-5</t>
  </si>
  <si>
    <t>CAMILO ANDRES RODRIGUEZ RUIZ</t>
  </si>
  <si>
    <t>rodriguezr_ca@javeriana.edu.co</t>
  </si>
  <si>
    <t>316/789-6897</t>
  </si>
  <si>
    <t>2430ISISTALI-27</t>
  </si>
  <si>
    <t>CAMILO ESTEBAN MORA GÓMEZ</t>
  </si>
  <si>
    <t>camora@javeriana.edu.co</t>
  </si>
  <si>
    <t>312/332-5048</t>
  </si>
  <si>
    <t>2430ISISTALI-11</t>
  </si>
  <si>
    <t>CARLOS ANDRÉS VELANDIA PAREDES</t>
  </si>
  <si>
    <t>ca_velandiap@javeriana.edu.co</t>
  </si>
  <si>
    <t>317/457-4233</t>
  </si>
  <si>
    <t>2430IINDSBLA-3</t>
  </si>
  <si>
    <t>CARLOS ESTEBAN RUIZ BELTRAN</t>
  </si>
  <si>
    <t>ce_ruizb@javeriana.edu.co</t>
  </si>
  <si>
    <t>311/620-7171</t>
  </si>
  <si>
    <t>2430IINDSBLA-1</t>
  </si>
  <si>
    <t>CARLOS FELIPE CASTELLANOS TORRES</t>
  </si>
  <si>
    <t>carlos.castellanost@javeriana.edu.co</t>
  </si>
  <si>
    <t>317/478-6403</t>
  </si>
  <si>
    <t>CRISTHIAN BENJAMIN LOPEZ RAMIREZ</t>
  </si>
  <si>
    <t>lopezrcb@javeriana.edu.co</t>
  </si>
  <si>
    <t>322/886-5441</t>
  </si>
  <si>
    <t>2430IINDSGIO-4</t>
  </si>
  <si>
    <t>CRISTIAN DAVID FLOREZ MARTINEZ</t>
  </si>
  <si>
    <t>florezmc@javeriana.edu.co</t>
  </si>
  <si>
    <t>300/327-2637</t>
  </si>
  <si>
    <t>DANIEL ALEJANDRO JIMENEZ GIRALDO</t>
  </si>
  <si>
    <t>danieljimenezg@javeriana.edu.co</t>
  </si>
  <si>
    <t>350/889-0275</t>
  </si>
  <si>
    <t>2430BIOINMAR-1</t>
  </si>
  <si>
    <t>DANIEL ALEJANDRO TERÁN ESCOBAR</t>
  </si>
  <si>
    <t>daniel_teran@javeriana.edu.co</t>
  </si>
  <si>
    <t>321/463-0808</t>
  </si>
  <si>
    <t>2430ISISTALI-28</t>
  </si>
  <si>
    <t>DANIEL FELIPE ALZATE MATEUS</t>
  </si>
  <si>
    <t>daniel-alzatem@javeriana.edu.co</t>
  </si>
  <si>
    <t>314/325-2337</t>
  </si>
  <si>
    <t>2430ISISTALI-3</t>
  </si>
  <si>
    <t>DANIEL FELIPE GARZON VILLAFAÑE</t>
  </si>
  <si>
    <t>garzon_df@javeriana.edu.co</t>
  </si>
  <si>
    <t>320/867-0769</t>
  </si>
  <si>
    <t>2430ISISTALI-25</t>
  </si>
  <si>
    <t>DANIEL FELIPE LÓPEZ ESCOBAR</t>
  </si>
  <si>
    <t>dfelipe_lopez@javeriana.edu.co</t>
  </si>
  <si>
    <t>320/433-9423</t>
  </si>
  <si>
    <t>2430IELECDIE-2</t>
  </si>
  <si>
    <t>DANIEL MEJIA FORERO</t>
  </si>
  <si>
    <t>mejia_daniel@javeriana.edu.co</t>
  </si>
  <si>
    <t>318/237-1320</t>
  </si>
  <si>
    <t>2430ISISTALI-10</t>
  </si>
  <si>
    <t>DANIELA FLOREZ VILLAMIL</t>
  </si>
  <si>
    <t>fl.daniela@javeriana.edu.co</t>
  </si>
  <si>
    <t>367-0434</t>
  </si>
  <si>
    <t>2430ISISTALI-18</t>
  </si>
  <si>
    <t>DANIELA MARTÍNEZ QUIROGA</t>
  </si>
  <si>
    <t>martinezq.d@javeriana.edu.co</t>
  </si>
  <si>
    <t>320/864-3487</t>
  </si>
  <si>
    <t>DANIELA OLAYA SCOVINO</t>
  </si>
  <si>
    <t>olaya-daniela@javeriana.edu.co</t>
  </si>
  <si>
    <t>320/967-7320</t>
  </si>
  <si>
    <t>2430IINDSCLA-4</t>
  </si>
  <si>
    <t>DANIELA ROMERO CAGHUANA</t>
  </si>
  <si>
    <t>romerocdaniela@javeriana.edu.co</t>
  </si>
  <si>
    <t>314/605-6622</t>
  </si>
  <si>
    <t>2430ICIVLLUI-3</t>
  </si>
  <si>
    <t>DANIELA VALENTINA MARIN SASTOQUE</t>
  </si>
  <si>
    <t>dv.marins@javeriana.edu.co</t>
  </si>
  <si>
    <t>321/312-7596</t>
  </si>
  <si>
    <t>2430IINDSCLA-5</t>
  </si>
  <si>
    <t>DAVID ALEJANDRO ARIAS GUERRERO</t>
  </si>
  <si>
    <t>davidaariasg@javeriana.edu.co</t>
  </si>
  <si>
    <t>321/430-5093</t>
  </si>
  <si>
    <t>2430IMECAMAR-5</t>
  </si>
  <si>
    <t>DAVID FELIPE ARIZA MARTÍNEZ</t>
  </si>
  <si>
    <t>ariza_david@javeriana.edu.co</t>
  </si>
  <si>
    <t>313/834-2213</t>
  </si>
  <si>
    <t>2430IELECJOS-2</t>
  </si>
  <si>
    <t>DAVID FELIPE CASTRO AREVALO</t>
  </si>
  <si>
    <t>dfelipe_castro@javeriana.edu.co</t>
  </si>
  <si>
    <t>321/475-4965</t>
  </si>
  <si>
    <t>DAVID FERNANDO PEREZ MEDINA</t>
  </si>
  <si>
    <t>davidf-perezm@javeriana.edu.co</t>
  </si>
  <si>
    <t>318/801-7597</t>
  </si>
  <si>
    <t>DAVID FERNANDO ROJAS ROMERO</t>
  </si>
  <si>
    <t>davidf.rojas@javeriana.edu.co</t>
  </si>
  <si>
    <t>320/908-0559</t>
  </si>
  <si>
    <t>DAVID HERNANDO LEON RODRÍGUEZ</t>
  </si>
  <si>
    <t>davidhleonr@javeriana.edu.co</t>
  </si>
  <si>
    <t>313/438-9441</t>
  </si>
  <si>
    <t>2430IINDSCLA-3</t>
  </si>
  <si>
    <t>DAVID RICARDO ROZO CANIZALES</t>
  </si>
  <si>
    <t>drrozoc@javeriana.edu.co</t>
  </si>
  <si>
    <t>305/329-1138</t>
  </si>
  <si>
    <t>DAVID SANTIAGO AGUIRRE POLANCO</t>
  </si>
  <si>
    <t>ds_aguirre@javeriana.edu.co</t>
  </si>
  <si>
    <t>300/468-8685</t>
  </si>
  <si>
    <t>DAVID SANTIAGO BARRETO MORA</t>
  </si>
  <si>
    <t>davids_barretom@javeriana.edu.co</t>
  </si>
  <si>
    <t>301/255-8747</t>
  </si>
  <si>
    <t>2430ISISTALI-12</t>
  </si>
  <si>
    <t>DAVID SANTIAGO PARRA PÉREZ</t>
  </si>
  <si>
    <t>parrap.david@javeriana.edu.co</t>
  </si>
  <si>
    <t>312/770-1620</t>
  </si>
  <si>
    <t>2430IMECAMAR-2</t>
  </si>
  <si>
    <t>DIANA SOFIA MONTOYA TOVAR</t>
  </si>
  <si>
    <t>dsofiamontoya@javeriana.edu.co</t>
  </si>
  <si>
    <t>317/578-8734</t>
  </si>
  <si>
    <t>DIEGO ALEJANDRO GUATAME CAMELO</t>
  </si>
  <si>
    <t>guatame.d@javeriana.edu.co</t>
  </si>
  <si>
    <t>319/614-7207</t>
  </si>
  <si>
    <t>DIEGO ALEJANDRO JARA ROJAS</t>
  </si>
  <si>
    <t>jara-da@javeriana.edu.co</t>
  </si>
  <si>
    <t>320/966-6909</t>
  </si>
  <si>
    <t>2430ISISTALI-5</t>
  </si>
  <si>
    <t>DIEGO ANDRÉS CORONADO DORIA</t>
  </si>
  <si>
    <t>coronado-diego@javeriana.edu.co</t>
  </si>
  <si>
    <t>315/665-1624</t>
  </si>
  <si>
    <t>ESTEBAN HERNANDO PEDRAZA SOLANO</t>
  </si>
  <si>
    <t>estebanpedraza@javeriana.edu.co</t>
  </si>
  <si>
    <t>310/677-3846</t>
  </si>
  <si>
    <t>ESTEBAN SALAZAR ARBELÁEZ</t>
  </si>
  <si>
    <t>salazaraesteban@javeriana.edu.co</t>
  </si>
  <si>
    <t>302/247-2264</t>
  </si>
  <si>
    <t>FELIPE BOLIVAR MANCILLA</t>
  </si>
  <si>
    <t>bo.felipe@javeriana.edu.co</t>
  </si>
  <si>
    <t>350/867-8102</t>
  </si>
  <si>
    <t>2430ISISTALI-26</t>
  </si>
  <si>
    <t>GABRIEL ANDRÉS NEGRÍN HERNÁNDEZ</t>
  </si>
  <si>
    <t>ga_negrin@javeriana.edu.co</t>
  </si>
  <si>
    <t>318/835-0601</t>
  </si>
  <si>
    <t>GABRIEL FELIPE GRANADOS RAMIREZ</t>
  </si>
  <si>
    <t>gr.gabriel@javeriana.edu.co</t>
  </si>
  <si>
    <t>315/816-9108</t>
  </si>
  <si>
    <t>2430BIOINMAR-3</t>
  </si>
  <si>
    <t>GABRIELLA PEREA PEÑUELA</t>
  </si>
  <si>
    <t>gabriellaperea@javeriana.edu.co</t>
  </si>
  <si>
    <t>320/211-0887</t>
  </si>
  <si>
    <t>HECTOR WILLIAM STEVEN ROMERO TORRES</t>
  </si>
  <si>
    <t>rohector@javeriana.edu.co</t>
  </si>
  <si>
    <t>301/268-4938</t>
  </si>
  <si>
    <t>2430ICIVLLUI-5</t>
  </si>
  <si>
    <t>HERMANN DAVID HERNANDEZ PINTO</t>
  </si>
  <si>
    <t>hd.hernandez@javeriana.edu.co</t>
  </si>
  <si>
    <t>320/881-5603</t>
  </si>
  <si>
    <t>ISABELLA BALLESTEROS NAZATE</t>
  </si>
  <si>
    <t>i_ballesteros@javeriana.edu.co</t>
  </si>
  <si>
    <t>305/712-5751</t>
  </si>
  <si>
    <t>ISABELLA DE LA HOZ SEGURA</t>
  </si>
  <si>
    <t>isabella-delahoz@javeriana.edu.co</t>
  </si>
  <si>
    <t>316/781-9238</t>
  </si>
  <si>
    <t>ISABELLA MENDEZ CHING</t>
  </si>
  <si>
    <t>isabella_mendez@javeriana.edu.co</t>
  </si>
  <si>
    <t>313/776-8467</t>
  </si>
  <si>
    <t>ISABELLA YANIN CARCAMO AREVALO</t>
  </si>
  <si>
    <t>iyannin.carcamoa@javeriana.edu.co</t>
  </si>
  <si>
    <t>312/206-9346</t>
  </si>
  <si>
    <t>IVAN ALEJANDRO MARTINEZ GRACIA</t>
  </si>
  <si>
    <t>iamartinezg@javeriana.edu.co</t>
  </si>
  <si>
    <t>313/803-9679</t>
  </si>
  <si>
    <t>JAIME ANDRÉS JARA RODRÍGUEZ</t>
  </si>
  <si>
    <t>jandres.jarar@javeriana.edu.co</t>
  </si>
  <si>
    <t>322/219-7743</t>
  </si>
  <si>
    <t>JAIME ARTURO LEPELEY LIMA</t>
  </si>
  <si>
    <t>lepeleyj@javeriana.edu.co</t>
  </si>
  <si>
    <t>318/290-4027</t>
  </si>
  <si>
    <t>2430ISISTALI-2</t>
  </si>
  <si>
    <t>JAIRO ANDRES ARBOLEDA JIMENEZ</t>
  </si>
  <si>
    <t>arboleda_ja@javeriana.edu.co</t>
  </si>
  <si>
    <t>320/578-5718</t>
  </si>
  <si>
    <t>2430IINDSGIO-2</t>
  </si>
  <si>
    <t>JAIRO ANDRES SIERRA COMBARIZA</t>
  </si>
  <si>
    <t>jairo_sierra@javeriana.edu.co</t>
  </si>
  <si>
    <t>311/582-3500</t>
  </si>
  <si>
    <t>JAVIER ALEJANDRO MOYANO CIPAMOCHA</t>
  </si>
  <si>
    <t>moyanoc-j@javeriana.edu.co</t>
  </si>
  <si>
    <t>322/841-5701</t>
  </si>
  <si>
    <t>JAVIER EMIRO USECHE ACOSTA</t>
  </si>
  <si>
    <t>javierusechea@javeriana.edu.co</t>
  </si>
  <si>
    <t>312/831-4004</t>
  </si>
  <si>
    <t>JAVIER FELIPE SANTANA DÍAZ</t>
  </si>
  <si>
    <t>santanadj@javeriana.edu.co</t>
  </si>
  <si>
    <t>318/540-7741</t>
  </si>
  <si>
    <t>2430ISISTALI-6</t>
  </si>
  <si>
    <t>JEFFREY ALEXANDER CADENA SUAREZ</t>
  </si>
  <si>
    <t>cadena.jeffreya@javeriana.edu.co</t>
  </si>
  <si>
    <t>320/229-0196</t>
  </si>
  <si>
    <t>JENIFFER NAHOMY BARÓN ESPITIA</t>
  </si>
  <si>
    <t>jn_baron@javeriana.edu.co</t>
  </si>
  <si>
    <t>321/537-9098</t>
  </si>
  <si>
    <t>JESUS MANUEL MONCAYO RICARDO</t>
  </si>
  <si>
    <t>jm-moncayo@javeriana.edu.co</t>
  </si>
  <si>
    <t>310/787-2267</t>
  </si>
  <si>
    <t>2430IELECDIE-3</t>
  </si>
  <si>
    <t>JHON FELIPE OLAYA ALVAREZ</t>
  </si>
  <si>
    <t>jfelipeolayaa@javeriana.edu.co</t>
  </si>
  <si>
    <t>314/399-1697</t>
  </si>
  <si>
    <t>JOHAN ALEJANDRO ESPITIA COBOS</t>
  </si>
  <si>
    <t>jalejandroespitiac@javeriana.edu.co</t>
  </si>
  <si>
    <t>312/518-5389</t>
  </si>
  <si>
    <t>JONATHAN ANDRES RAMIREZ SANTANA</t>
  </si>
  <si>
    <t>j-remirez@javeriana.edu.co</t>
  </si>
  <si>
    <t>304/292-8372</t>
  </si>
  <si>
    <t>2430IINDSGIO-3</t>
  </si>
  <si>
    <t>JORGE CAMILO CHANTRYT FERNANDEZ</t>
  </si>
  <si>
    <t>jcamilo-chantryt@javeriana.edu.co</t>
  </si>
  <si>
    <t>300/216-9119</t>
  </si>
  <si>
    <t>JOSE DANIEL APARICIO BUCHELI</t>
  </si>
  <si>
    <t>jose-apariciob@javeriana.edu.co</t>
  </si>
  <si>
    <t>314/374-6331</t>
  </si>
  <si>
    <t>2430IINDSCLA-7</t>
  </si>
  <si>
    <t>JOSE GABRIEL ARREGOCES BELLO</t>
  </si>
  <si>
    <t>josearregocesb@javeriana.edu.co</t>
  </si>
  <si>
    <t>319/639-6716</t>
  </si>
  <si>
    <t>JOSE GUILLERMO ANTONIO DE JESUS GONZALEZ CARRILLO</t>
  </si>
  <si>
    <t>jg-gonzalez@javeriana.edu.co</t>
  </si>
  <si>
    <t>323/310-9844</t>
  </si>
  <si>
    <t>2430IELECJOS-3</t>
  </si>
  <si>
    <t>JOSE MANUEL RODRIGUEZ ARDILA</t>
  </si>
  <si>
    <t>josemrodriguez@javeriana.edu.co</t>
  </si>
  <si>
    <t>320/865-8711</t>
  </si>
  <si>
    <t>JUAN ANTONIO HERNANDEZ MARTÍNEZ</t>
  </si>
  <si>
    <t>jantonio_hernandez@javeriana.edu.co</t>
  </si>
  <si>
    <t>317/661-1069</t>
  </si>
  <si>
    <t>JUAN CAMILO VILLEGAS RODRIGUEZ</t>
  </si>
  <si>
    <t>villegasr.jc@javeriana.edu.co</t>
  </si>
  <si>
    <t>313206585</t>
  </si>
  <si>
    <t>JUAN DAVID BARAJAS URREA</t>
  </si>
  <si>
    <t>juand.barajas@javeriana.edu.co</t>
  </si>
  <si>
    <t>312/323-0231</t>
  </si>
  <si>
    <t>JUAN DAVID CASTILLO LAVERDE</t>
  </si>
  <si>
    <t>juand-castillo@javeriana.edu.co</t>
  </si>
  <si>
    <t>318/339-3868</t>
  </si>
  <si>
    <t>JUAN DAVID HERNANDEZ RODRIGUEZ</t>
  </si>
  <si>
    <t>juan_hernandezr@javeriana.edu.co</t>
  </si>
  <si>
    <t>319/717-0050</t>
  </si>
  <si>
    <t>JUAN DAVID PARRA CAICEDO</t>
  </si>
  <si>
    <t>juand.parrac@javeriana.edu.co</t>
  </si>
  <si>
    <t>322/889-2882</t>
  </si>
  <si>
    <t>2430IELECJOS-5</t>
  </si>
  <si>
    <t>JUAN DAVID RAMÍREZ JUZGA</t>
  </si>
  <si>
    <t>jdavid.ramirez@javeriana.edu.co</t>
  </si>
  <si>
    <t>318/827-4286</t>
  </si>
  <si>
    <t>JUAN DAVID TORRES CHAPARRO</t>
  </si>
  <si>
    <t>torrescjuan@javeriana.edu.co</t>
  </si>
  <si>
    <t>301/450-3704</t>
  </si>
  <si>
    <t>2430ISISTALI-22</t>
  </si>
  <si>
    <t>JUAN DIEGO CONDE ALMONACID</t>
  </si>
  <si>
    <t>condejdiego@javeriana.edu.co</t>
  </si>
  <si>
    <t>321/360-5916</t>
  </si>
  <si>
    <t>JUAN DIEGO CÓRDOBA FERNANDEZ</t>
  </si>
  <si>
    <t>cojuandiego@javeriana.edu.co</t>
  </si>
  <si>
    <t>300/209-8711</t>
  </si>
  <si>
    <t>2430ISISTALI-19</t>
  </si>
  <si>
    <t>JUAN DIEGO ECHEVERRY PLAZAS</t>
  </si>
  <si>
    <t>juan_echeverry@javeriana.edu.co</t>
  </si>
  <si>
    <t>302/383-5142</t>
  </si>
  <si>
    <t>2430ISISTALI-4</t>
  </si>
  <si>
    <t>JUAN DIEGO MAYORGA GUZMÁN</t>
  </si>
  <si>
    <t>jd.mayorga@javeriana.edu.co</t>
  </si>
  <si>
    <t>318/569-3381</t>
  </si>
  <si>
    <t>2430IMECAMAR-4</t>
  </si>
  <si>
    <t>JUAN DIEGO PÉREZ DUARTE</t>
  </si>
  <si>
    <t>jdiego-perez@javeriana.edu.co</t>
  </si>
  <si>
    <t>300/504-6009</t>
  </si>
  <si>
    <t>JUAN ESTEBAN BUITRAGO MENDIVELSO</t>
  </si>
  <si>
    <t>buitrago_je@javeriana.edu.co</t>
  </si>
  <si>
    <t>310/793-8433</t>
  </si>
  <si>
    <t>JUAN ESTEBAN GRANADA OBRIEN</t>
  </si>
  <si>
    <t>jesteban.granada@javeriana.edu.co</t>
  </si>
  <si>
    <t>321/322-8515</t>
  </si>
  <si>
    <t>JUAN ESTEBAN REYES TAUSA</t>
  </si>
  <si>
    <t>jestebanreyes@javeriana.edu.co</t>
  </si>
  <si>
    <t>310/524-8940</t>
  </si>
  <si>
    <t>JUAN ESTEBAN VILLAMIL ARDILA</t>
  </si>
  <si>
    <t>villamila_j@javeriana.edu.co</t>
  </si>
  <si>
    <t>321/387-3727</t>
  </si>
  <si>
    <t>JUAN FELIPE BRIÑEZ GÓMEZ</t>
  </si>
  <si>
    <t>juanf.brinezg@javeriana.edu.co</t>
  </si>
  <si>
    <t>314/221-1457</t>
  </si>
  <si>
    <t>JUAN FELIPE BURBANO PAREDES</t>
  </si>
  <si>
    <t>juan_burbano@javeriana.edu.co</t>
  </si>
  <si>
    <t>310/219-9783</t>
  </si>
  <si>
    <t>JUAN FELIPE GONZÁLEZ QUINTERO</t>
  </si>
  <si>
    <t>jf-gonzalez@javeriana.edu.co</t>
  </si>
  <si>
    <t>312/439-8989</t>
  </si>
  <si>
    <t>JUAN FELIPE MONTES VILLALOBOS</t>
  </si>
  <si>
    <t>jfmontesv@javeriana.edu.co</t>
  </si>
  <si>
    <t>310/352-6862</t>
  </si>
  <si>
    <t>JUAN FELIPE ORREGO SANCHEZ</t>
  </si>
  <si>
    <t>orregojuan@javeriana.edu.co</t>
  </si>
  <si>
    <t>312/521-9404</t>
  </si>
  <si>
    <t>JUAN FELIPE PEREZ QUEVEDO</t>
  </si>
  <si>
    <t>jf.perez@javeriana.edu.co</t>
  </si>
  <si>
    <t>350/487-5460</t>
  </si>
  <si>
    <t>JUAN FRANCISCO RAMÍREZ ESCOBAR</t>
  </si>
  <si>
    <t>juanframireze@javeriana.edu.co</t>
  </si>
  <si>
    <t>321/966-8133</t>
  </si>
  <si>
    <t>JUAN JOSE GOMEZ ARENAS</t>
  </si>
  <si>
    <t>jjosegomez@javeriana.edu.co</t>
  </si>
  <si>
    <t>321/483-9899</t>
  </si>
  <si>
    <t>JUAN JOSE GONZALEZ FORERO</t>
  </si>
  <si>
    <t>juangonzalezf@javeriana.edu.co</t>
  </si>
  <si>
    <t>320/370-9483</t>
  </si>
  <si>
    <t>JUAN JOSE PEÑA ARENAS</t>
  </si>
  <si>
    <t>juan.penaa@javeriana.edu.co</t>
  </si>
  <si>
    <t>320/455-6937</t>
  </si>
  <si>
    <t>JUAN JOSÉ ROJAS BARÓN</t>
  </si>
  <si>
    <t>juan_rojasb@javeriana.edu.co</t>
  </si>
  <si>
    <t>317/893-0652</t>
  </si>
  <si>
    <t>JUAN MANUEL RODRIGUEZ MONTOYA</t>
  </si>
  <si>
    <t>juanm-rodriguezm@javeriana.edu.co</t>
  </si>
  <si>
    <t>321/924-9440</t>
  </si>
  <si>
    <t>JUAN MANUEL RODRIGUEZ NIEBLES</t>
  </si>
  <si>
    <t>juanm_rodriguez@javeriana.edu.co</t>
  </si>
  <si>
    <t>302/788-9297</t>
  </si>
  <si>
    <t>JUAN MIGUEL ZULUAGA SUÁREZ</t>
  </si>
  <si>
    <t>jmiguel_zuluaga@javeriana.edu.co</t>
  </si>
  <si>
    <t>315/303-3378</t>
  </si>
  <si>
    <t>JUAN PABLO GONZÁLEZ DÍAZ</t>
  </si>
  <si>
    <t>jp.gonzalezd@javeriana.edu.co</t>
  </si>
  <si>
    <t>300/289-7418</t>
  </si>
  <si>
    <t>JUAN PABLO MUÑOZ MORENO</t>
  </si>
  <si>
    <t>munoz_juanp@javeriana.edu.co</t>
  </si>
  <si>
    <t>311/277-2759</t>
  </si>
  <si>
    <t>JUAN SEBASTIAN CÁRDENAS TORRES</t>
  </si>
  <si>
    <t>juanscardenast@javeriana.edu.co</t>
  </si>
  <si>
    <t>310/794-6414</t>
  </si>
  <si>
    <t>2430IELECDIE-1</t>
  </si>
  <si>
    <t>JUAN SEBASTIAN DAVILA ORDOÑEZ</t>
  </si>
  <si>
    <t>j-davila@javeriana.edu.co</t>
  </si>
  <si>
    <t>321/365-5299</t>
  </si>
  <si>
    <t>2430IINDSMAR-1</t>
  </si>
  <si>
    <t>JUAN SEBASTIAN GALVIS FIGUEROA</t>
  </si>
  <si>
    <t>jsgalvis@javeriana.edu.co</t>
  </si>
  <si>
    <t>318/714-5977</t>
  </si>
  <si>
    <t>2430IMECAMAR-3</t>
  </si>
  <si>
    <t>JUAN SEBASTIAN HURTADO PALACIOS</t>
  </si>
  <si>
    <t>hurtadojuan@javeriana.edu.co</t>
  </si>
  <si>
    <t>314/242-2519</t>
  </si>
  <si>
    <t>JUAN SEBASTIAN NOVOA GARCIA</t>
  </si>
  <si>
    <t>juan-novoa@javeriana.edu.co</t>
  </si>
  <si>
    <t>310/385-3993</t>
  </si>
  <si>
    <t>JUAN SEBASTIAN PACHECO CASTILLA</t>
  </si>
  <si>
    <t>pacheco.juans@javeriana.edu.co</t>
  </si>
  <si>
    <t>316/694-7063</t>
  </si>
  <si>
    <t>JUANA VALENTINA RODRIGUEZ ROJAS</t>
  </si>
  <si>
    <t>jvrodriguezr@javeriana.edu.co</t>
  </si>
  <si>
    <t>319/757-2244</t>
  </si>
  <si>
    <t>JULIAN DAVID ROZO OSPINA</t>
  </si>
  <si>
    <t>jd.rozoo@javeriana.edu.co</t>
  </si>
  <si>
    <t>301/224-8648</t>
  </si>
  <si>
    <t>JULIANA CAMILA CASTRO NEIZA</t>
  </si>
  <si>
    <t>castronjulianac@javeriana.edu.co</t>
  </si>
  <si>
    <t>301/773-5681</t>
  </si>
  <si>
    <t>KAMILT ANDRES BEJARANO DIAZ</t>
  </si>
  <si>
    <t>bejarano_ka@javeriana.edu.co</t>
  </si>
  <si>
    <t>310/666-5164</t>
  </si>
  <si>
    <t>KEVIN ESTIVEN VELASCO PINTO</t>
  </si>
  <si>
    <t>kevinevelasco@javeriana.edu.co</t>
  </si>
  <si>
    <t>313/771-4546</t>
  </si>
  <si>
    <t>KEVIN JAIMES CARRILLO</t>
  </si>
  <si>
    <t>k-jaimes@javeriana.edu.co</t>
  </si>
  <si>
    <t>316/628-9892</t>
  </si>
  <si>
    <t>LAURA ALEXANDRA KARARA RODRÍGUEZ HERNÁNDEZ</t>
  </si>
  <si>
    <t>rodriguezhl@javeriana.edu.co</t>
  </si>
  <si>
    <t>302/267-8421</t>
  </si>
  <si>
    <t>LAURA CATALINA BALAGUERA ROJAS</t>
  </si>
  <si>
    <t>balaguerarlaura@javeriana.edu.co</t>
  </si>
  <si>
    <t>317/637-0854</t>
  </si>
  <si>
    <t>LAURA DANIELA FRANCO CESPEDES</t>
  </si>
  <si>
    <t>ld-francoc@javeriana.edu.co</t>
  </si>
  <si>
    <t>320/445-2134</t>
  </si>
  <si>
    <t>LAURA NATHALIA CASTRO FLOREZ</t>
  </si>
  <si>
    <t>lnathalia.castro@javeriana.edu.co</t>
  </si>
  <si>
    <t>322/686-4277</t>
  </si>
  <si>
    <t>LAURA VALENTINA MARTÍNEZ FERIA</t>
  </si>
  <si>
    <t>laura-martinezf@javeriana.edu.co</t>
  </si>
  <si>
    <t>301/597-4949</t>
  </si>
  <si>
    <t>LAURA VALENTINA OVALLE BENÍTEZ</t>
  </si>
  <si>
    <t>ovalle.laura@javeriana.edu.co</t>
  </si>
  <si>
    <t>320/469-6467</t>
  </si>
  <si>
    <t>LEONARDO VELÁZQUEZ COLIN</t>
  </si>
  <si>
    <t>levelazquez@javeriana.edu.co</t>
  </si>
  <si>
    <t>320/876-1377</t>
  </si>
  <si>
    <t>LUIS FERNANDO LEE RODRIGUEZ</t>
  </si>
  <si>
    <t>lf_leer@javeriana.edu.co</t>
  </si>
  <si>
    <t>305/327-7799</t>
  </si>
  <si>
    <t>LUISA FERNANDA VARGAS GÓMEZ</t>
  </si>
  <si>
    <t>va_luisa@javeriana.edu.co</t>
  </si>
  <si>
    <t>301/337-1470</t>
  </si>
  <si>
    <t>LUKAS FERNANDO RODRÍGUEZ PELÁEZ</t>
  </si>
  <si>
    <t>rodriguezlukas@javeriana.edu.co</t>
  </si>
  <si>
    <t>320/917-7912</t>
  </si>
  <si>
    <t>MAIKOL ALEXANDER VERGARA TORRES</t>
  </si>
  <si>
    <t>maikol.vergara@javeriana.edu.co</t>
  </si>
  <si>
    <t>475-4379</t>
  </si>
  <si>
    <t>MARCO ANTONIO PUENTES RIVERA</t>
  </si>
  <si>
    <t>puentes.ma@javeriana.edu.co</t>
  </si>
  <si>
    <t>323/572-2588</t>
  </si>
  <si>
    <t>MARIA ALEJANDRA ACOSTA ÁLVAREZ</t>
  </si>
  <si>
    <t>mariaa.acosta@javeriana.edu.co</t>
  </si>
  <si>
    <t>318/223-7432</t>
  </si>
  <si>
    <t>MARIA CAMILA ALFONSO RODRIGUEZ</t>
  </si>
  <si>
    <t>ma_alfonso@javeriana.edu.co</t>
  </si>
  <si>
    <t>313/554-8151</t>
  </si>
  <si>
    <t>MARIA CAMILA SAAVEDRA MORENO</t>
  </si>
  <si>
    <t>maria-saavedram@javeriana.edu.co</t>
  </si>
  <si>
    <t>300/529-4400</t>
  </si>
  <si>
    <t>2430IINDSBLA-2</t>
  </si>
  <si>
    <t>MARIA FERNANDA CRUZ GUTIERREZ</t>
  </si>
  <si>
    <t>cercado-mfernanda@javeriana.edu.co</t>
  </si>
  <si>
    <t>314/380-4577</t>
  </si>
  <si>
    <t>MARÍA ISABEL ROCHA FANDIÑO</t>
  </si>
  <si>
    <t>rochaf-maria@javeriana.edu.co</t>
  </si>
  <si>
    <t>304/586-2418</t>
  </si>
  <si>
    <t>MARIA JOSÉ CAÑÓN QUINTERO</t>
  </si>
  <si>
    <t>mj-canon@javeriana.edu.co</t>
  </si>
  <si>
    <t>310/595-4314</t>
  </si>
  <si>
    <t>MARÍA JOSÉ JIMÉNEZ JIMÉNEZ</t>
  </si>
  <si>
    <t>jimenez_mj@javeriana.edu.co</t>
  </si>
  <si>
    <t>313/481-9055</t>
  </si>
  <si>
    <t>MARÍA JOSÉ QUIROGA MEDINA</t>
  </si>
  <si>
    <t>ma.quiroga@javeriana.edu.co</t>
  </si>
  <si>
    <t>318/541-3200</t>
  </si>
  <si>
    <t>MARÍA JUANITA ROJAS CHACON</t>
  </si>
  <si>
    <t>mjuanita.rojas@javeriana.edu.co</t>
  </si>
  <si>
    <t>301/784-1067</t>
  </si>
  <si>
    <t>MARIANA CASTILLO HERNANDEZ</t>
  </si>
  <si>
    <t>marianacastilloh@javeriana.edu.co</t>
  </si>
  <si>
    <t>305/750-9002</t>
  </si>
  <si>
    <t>MARTIN VANEGAS RODRIGUEZ</t>
  </si>
  <si>
    <t>martin.vanegasr@javeriana.edu.co</t>
  </si>
  <si>
    <t>321/566-7794</t>
  </si>
  <si>
    <t>MATEO ALEJANDRO RUIZ CUBIDES</t>
  </si>
  <si>
    <t>ruizmateo@javeriana.edu.co</t>
  </si>
  <si>
    <t>313/307-8354</t>
  </si>
  <si>
    <t>MICHELLE LEYTON GIRALDO</t>
  </si>
  <si>
    <t>mleyton@javeriana.edu.co</t>
  </si>
  <si>
    <t>316/235-4230</t>
  </si>
  <si>
    <t>2430IINDSMAR-2</t>
  </si>
  <si>
    <t>MIGUEL ANGEL URIBE VILLADA</t>
  </si>
  <si>
    <t>migueluribe@javeriana.edu.co</t>
  </si>
  <si>
    <t>305/283-4692</t>
  </si>
  <si>
    <t>MOISÉS DAVID QUINTERO MUÑOZ</t>
  </si>
  <si>
    <t>moisesd.quintero@javeriana.edu.co</t>
  </si>
  <si>
    <t>311/210-4160</t>
  </si>
  <si>
    <t>2430ISISTALI-20</t>
  </si>
  <si>
    <t>NARYI VANESA MEDINA CASTELO BRANCO</t>
  </si>
  <si>
    <t>medina.naryi@javeriana.edu.co</t>
  </si>
  <si>
    <t>318/249-6991</t>
  </si>
  <si>
    <t>NICOLÁS ALBERTO REYES DÍAZ</t>
  </si>
  <si>
    <t>na.reyesd@javeriana.edu.co</t>
  </si>
  <si>
    <t>319/272-7049</t>
  </si>
  <si>
    <t>NICOLÁS DAVID ROA PINTOR</t>
  </si>
  <si>
    <t>nicolas.roa@javeriana.edu.co</t>
  </si>
  <si>
    <t>319/586-7870</t>
  </si>
  <si>
    <t>NICOLAS FERNANDO TORO GOMEZ</t>
  </si>
  <si>
    <t>nicolas-toro@javeriana.edu.co</t>
  </si>
  <si>
    <t>313/438-8607</t>
  </si>
  <si>
    <t>NICOLÁS MONTAÑO ARIAS</t>
  </si>
  <si>
    <t>nmontanoa@javeriana.edu.co</t>
  </si>
  <si>
    <t>317/559-1382</t>
  </si>
  <si>
    <t>NICOLÁS PADILLA MEDINA</t>
  </si>
  <si>
    <t>nicolaspadillam@javeriana.edu.co</t>
  </si>
  <si>
    <t>312/594-1557</t>
  </si>
  <si>
    <t>NICOLAS TOVAR LOZANO</t>
  </si>
  <si>
    <t>tovar.nicolas@javeriana.edu.co</t>
  </si>
  <si>
    <t>315/525-5858</t>
  </si>
  <si>
    <t>2430IINDSCLA-2</t>
  </si>
  <si>
    <t>PABLO GUARIN LOPEZ</t>
  </si>
  <si>
    <t>pabloguarinl@javeriana.edu.co</t>
  </si>
  <si>
    <t>305/347-6899</t>
  </si>
  <si>
    <t>PABLO JOSÉ BAUTISTA SUÁREZ</t>
  </si>
  <si>
    <t>bautista_p@javeriana.edu.co</t>
  </si>
  <si>
    <t>320/919-8631</t>
  </si>
  <si>
    <t>PAULA ALEJANDRA BRAVO BETANCOURT</t>
  </si>
  <si>
    <t>paulabravo@javeriana.edu.co</t>
  </si>
  <si>
    <t>315/262-3664</t>
  </si>
  <si>
    <t>PAULA VALENTINA LOPEZ CUBILLOS</t>
  </si>
  <si>
    <t>pvalentinalopez@javeriana.edu.co</t>
  </si>
  <si>
    <t>322/237-5523</t>
  </si>
  <si>
    <t>2430ISISTALI-23</t>
  </si>
  <si>
    <t>SANTIAGO ANDRÉS HERNÁNDEZ MUÑOZ</t>
  </si>
  <si>
    <t>santiagoa_hernandez@javeriana.edu.co</t>
  </si>
  <si>
    <t>305/712-0878</t>
  </si>
  <si>
    <t>SANTIAGO BARAJAS BELTRÁN</t>
  </si>
  <si>
    <t>barajasb.santiago@javeriana.edu.co</t>
  </si>
  <si>
    <t>320/863-7680</t>
  </si>
  <si>
    <t>SANTIAGO BOTERO PACHECO</t>
  </si>
  <si>
    <t>santiagobotero@javeriana.edu.co</t>
  </si>
  <si>
    <t>300/483-1646</t>
  </si>
  <si>
    <t>SANTIAGO CASTRO MUÑOZ</t>
  </si>
  <si>
    <t>castromsantiago@javeriana.edu.co</t>
  </si>
  <si>
    <t>316/017-7051</t>
  </si>
  <si>
    <t>SANTIAGO GUERRERO DANDERINO</t>
  </si>
  <si>
    <t>santiago.guerrerod@javeriana.edu.co</t>
  </si>
  <si>
    <t>318/319-5301</t>
  </si>
  <si>
    <t>SANTIAGO GUZMAN MORALES</t>
  </si>
  <si>
    <t>sguzmanm@javeriana.edu.co</t>
  </si>
  <si>
    <t>319/412-8493</t>
  </si>
  <si>
    <t>SANTIAGO MENDOZA PICO</t>
  </si>
  <si>
    <t>mendoza_santiago@javeriana.edu.co</t>
  </si>
  <si>
    <t>318/784-2369</t>
  </si>
  <si>
    <t>SANTIAGO MUNAR ALDANA</t>
  </si>
  <si>
    <t>munar_santiago@javeriana.edu.co</t>
  </si>
  <si>
    <t>319/362-9196</t>
  </si>
  <si>
    <t>SANTIAGO NICOLÁS CERÓN DIMATÉ</t>
  </si>
  <si>
    <t>ceron_s@javeriana.edu.co</t>
  </si>
  <si>
    <t>316/337-3216</t>
  </si>
  <si>
    <t>SANTIAGO ORTIZ ALARCON</t>
  </si>
  <si>
    <t>or.santiago@javeriana.edu.co</t>
  </si>
  <si>
    <t>302/361-1296</t>
  </si>
  <si>
    <t>SANTIAGO SUAREZ TRIANA</t>
  </si>
  <si>
    <t>s.suarezt@javeriana.edu.co</t>
  </si>
  <si>
    <t>301/785-3959</t>
  </si>
  <si>
    <t>SARA ALEJANDRA SÁENZ TRUJILLO</t>
  </si>
  <si>
    <t>saenz.saraa@javeriana.edu.co</t>
  </si>
  <si>
    <t>320/856-9345</t>
  </si>
  <si>
    <t>2430IINDSGIO-1</t>
  </si>
  <si>
    <t>SARA JULIANA PEÑA GÓMEZ</t>
  </si>
  <si>
    <t>saraj.penag@javeriana.edu.co</t>
  </si>
  <si>
    <t>301/386-8267</t>
  </si>
  <si>
    <t>SARA LUCÍA GUTIÉRREZ RAMÍREZ</t>
  </si>
  <si>
    <t>saralgutierrez@javeriana.edu.co</t>
  </si>
  <si>
    <t>311/456-5271</t>
  </si>
  <si>
    <t>SEBASTIAN CAMILO HERNANDO MURCIA SIERRA</t>
  </si>
  <si>
    <t>scamilo.murcias@javeriana.edu.co</t>
  </si>
  <si>
    <t>350/597-2492</t>
  </si>
  <si>
    <t>SEBASTIAN DAVID NARIÑO MARTINEZ</t>
  </si>
  <si>
    <t>sebastian.narino@javeriana.edu.co</t>
  </si>
  <si>
    <t>300/445-5714</t>
  </si>
  <si>
    <t>SEBASTIAN ISAZA JIMENEZ</t>
  </si>
  <si>
    <t>SEBASTIÁN JAIMES CRAWFORD</t>
  </si>
  <si>
    <t>sebastianjaimesc@javeriana.edu.co</t>
  </si>
  <si>
    <t>301/456-7002</t>
  </si>
  <si>
    <t>SERGIO ANDRES RAMIREZ SALGUERO</t>
  </si>
  <si>
    <t>ramirezs_s@javeriana.edu.co</t>
  </si>
  <si>
    <t>322/369-4668</t>
  </si>
  <si>
    <t>SERGIO FELIPE BARRETO CIFUENTES</t>
  </si>
  <si>
    <t>ba.sergio@javeriana.edu.co</t>
  </si>
  <si>
    <t>312/421-2483</t>
  </si>
  <si>
    <t>SERGIO LUIS CAMPIÑO GOMEZ</t>
  </si>
  <si>
    <t>campino-sergio@javeriana.edu.co</t>
  </si>
  <si>
    <t>316/492-5675</t>
  </si>
  <si>
    <t>SERGIO SEPULVEDA ORTIZ</t>
  </si>
  <si>
    <t>sesergio@javeriana.edu.co</t>
  </si>
  <si>
    <t>313/411-9987</t>
  </si>
  <si>
    <t>SOFIA CHACON PARRA</t>
  </si>
  <si>
    <t>chaconp_sofia@javeriana.edu.co</t>
  </si>
  <si>
    <t>310/372-0256</t>
  </si>
  <si>
    <t>SOFÍA HENAO ESCRUCERÍA</t>
  </si>
  <si>
    <t>henao.sofia@javeriana.edu.co</t>
  </si>
  <si>
    <t>317/574-1602</t>
  </si>
  <si>
    <t>SOFIA ISABELLA CALDERON GIL</t>
  </si>
  <si>
    <t>sicalderon@javeriana.edu.co</t>
  </si>
  <si>
    <t>300/238-1019</t>
  </si>
  <si>
    <t>SOFIA MANUELA CARDENAS REYES</t>
  </si>
  <si>
    <t>sofiacardenasr@javeriana.edu.co</t>
  </si>
  <si>
    <t>305/813-7704</t>
  </si>
  <si>
    <t>STEPHANIA ORTIZ ZAPATA</t>
  </si>
  <si>
    <t>ortiz_stephania@javeriana.edu.co</t>
  </si>
  <si>
    <t>310/312-6928</t>
  </si>
  <si>
    <t>TOMAS ANDRES MEDINA GUERRA</t>
  </si>
  <si>
    <t>medina_tomas@javeriana.edu.co</t>
  </si>
  <si>
    <t>311/224-5059</t>
  </si>
  <si>
    <t>TOMAS ARBELAEZ SARRIA</t>
  </si>
  <si>
    <t>t-arbelaez@javeriana.edu.co</t>
  </si>
  <si>
    <t>304/638-3062</t>
  </si>
  <si>
    <t>TOMÁS FELIPE CASADIEGO CAMPOS</t>
  </si>
  <si>
    <t>to.casadiego@javeriana.edu.co</t>
  </si>
  <si>
    <t>315/493-9526</t>
  </si>
  <si>
    <t>TOMAS NOGUERA AVELLANEDA</t>
  </si>
  <si>
    <t>nogueraatomas@javeriana.edu.co</t>
  </si>
  <si>
    <t>321/334-1165</t>
  </si>
  <si>
    <t>VALENTINA DEL MAR PARRA NOVOA</t>
  </si>
  <si>
    <t>parra_vd@javeriana.edu.co</t>
  </si>
  <si>
    <t>304/588-3144</t>
  </si>
  <si>
    <t>VALENTINA FORERO HURTADO</t>
  </si>
  <si>
    <t>valentina_foreroh@javeriana.edu.co</t>
  </si>
  <si>
    <t>320/886-9255</t>
  </si>
  <si>
    <t>VALERIA HERRERA ARBOLEDA</t>
  </si>
  <si>
    <t>valeria.herrera@javeriana.edu.co</t>
  </si>
  <si>
    <t>314/690-6810</t>
  </si>
  <si>
    <t>VIVIANA VALENTINA LÓPEZ VILLAMIL</t>
  </si>
  <si>
    <t>vivianav_lopezv@javeriana.edu.co</t>
  </si>
  <si>
    <t>311/857-2231</t>
  </si>
  <si>
    <t>XIOMY TATIANA LOPEZ QUINTERO</t>
  </si>
  <si>
    <t>lopezqxiomyt@javeriana.edu.co</t>
  </si>
  <si>
    <t>311/296-3285</t>
  </si>
  <si>
    <t>2025-10</t>
  </si>
  <si>
    <t>JUAN PABLO HERNÁNDEZ CEBALLOS</t>
  </si>
  <si>
    <t>jp-hernandez@javeriana.edu.co</t>
  </si>
  <si>
    <t>320/873-8980</t>
  </si>
  <si>
    <t>2510ISISTALI-1</t>
  </si>
  <si>
    <t>PAOLA BENITEZ RUIZ</t>
  </si>
  <si>
    <t>benitezpaola@javeriana.edu.co</t>
  </si>
  <si>
    <t>311/802-0417</t>
  </si>
  <si>
    <t>ALEJANDRO MORENO GARCIA</t>
  </si>
  <si>
    <t>almoreno@javeriana.edu.co</t>
  </si>
  <si>
    <t>317/644-9049</t>
  </si>
  <si>
    <t>2510IINDSGIO-5</t>
  </si>
  <si>
    <t>CARLOS ENRIQUE SANCHEZ PEREIRA</t>
  </si>
  <si>
    <t>sanchezp.ce@javeriana.edu.co</t>
  </si>
  <si>
    <t>318/433-2371</t>
  </si>
  <si>
    <t>HERNANDO IGNACIO VEGA GOUFFRAY</t>
  </si>
  <si>
    <t>vegag-hignacio@javeriana.edu.co</t>
  </si>
  <si>
    <t>316/619-7879</t>
  </si>
  <si>
    <t>JUAN JOSE FLOREZ GUZMAN</t>
  </si>
  <si>
    <t>juan_florezg@javeriana.edu.co</t>
  </si>
  <si>
    <t>318/389-2101</t>
  </si>
  <si>
    <t>NICOLE ALDANA RINCON</t>
  </si>
  <si>
    <t>nicole.aldanar@javeriana.edu.co</t>
  </si>
  <si>
    <t>320/466-5420</t>
  </si>
  <si>
    <t>STEPHANIA LOPEZ OTALORA</t>
  </si>
  <si>
    <t>stephania_lopezo@javeriana.edu.co</t>
  </si>
  <si>
    <t>321/967-4749</t>
  </si>
  <si>
    <t>BRAYAN CAMILO LOZANO POLANIA</t>
  </si>
  <si>
    <t>brayan-lozano@javeriana.edu.co</t>
  </si>
  <si>
    <t>313/843-8851</t>
  </si>
  <si>
    <t>2510IELECDIE-1</t>
  </si>
  <si>
    <t>JORGE DANIEL REY RIOS</t>
  </si>
  <si>
    <t>jorge_rey@javeriana.edu.co</t>
  </si>
  <si>
    <t>321/947-0833</t>
  </si>
  <si>
    <t>LINA MARIA RAMIREZ VARGAS</t>
  </si>
  <si>
    <t>lina.ramirezv@javeriana.edu.co</t>
  </si>
  <si>
    <t>313/207-6932</t>
  </si>
  <si>
    <t>VALERIA JIMENEZ MOYANO</t>
  </si>
  <si>
    <t>jimenezm.v@javeriana.edu.co</t>
  </si>
  <si>
    <t>310/839-6714</t>
  </si>
  <si>
    <t>ANA SOFIA BARRETO SAUCEDO</t>
  </si>
  <si>
    <t>asofia_barreto@javeriana.edu.co</t>
  </si>
  <si>
    <t>312/377-2445</t>
  </si>
  <si>
    <t>2510ICIVLLUI-1</t>
  </si>
  <si>
    <t>CARLOS ANDRES TORO FORERO</t>
  </si>
  <si>
    <t>toro.carlos@javeriana.edu.co</t>
  </si>
  <si>
    <t>312/526-8346</t>
  </si>
  <si>
    <t>2510ICIVLJOR-1</t>
  </si>
  <si>
    <t>JERONIMO PEÑA DIAZ</t>
  </si>
  <si>
    <t>pena.jeronimo@javeriana.edu.co</t>
  </si>
  <si>
    <t>312/462-1990</t>
  </si>
  <si>
    <t>2510IINDSBLA-4</t>
  </si>
  <si>
    <t>JOHANA VALENTINA CAMELO ALBARRACIN</t>
  </si>
  <si>
    <t>cameloa.jv@javeriana.edu.co</t>
  </si>
  <si>
    <t>320/386-0696</t>
  </si>
  <si>
    <t>JUAN CAMILO RODRIGUEZ RODRIGUEZ</t>
  </si>
  <si>
    <t>jcamilorodriguez@javeriana.edu.co</t>
  </si>
  <si>
    <t>319/326-5919</t>
  </si>
  <si>
    <t>JUAN CAMILO SERRANO ALEMAN</t>
  </si>
  <si>
    <t>jcserranoa@javeriana.edu.co</t>
  </si>
  <si>
    <t>301/503-0926</t>
  </si>
  <si>
    <t>JUAN DAVID CARRILLO GUZMAN</t>
  </si>
  <si>
    <t>jdavid_carrillo@javeriana.edu.co</t>
  </si>
  <si>
    <t>300/603-9849</t>
  </si>
  <si>
    <t>JUANITA MERCHAN YEPES</t>
  </si>
  <si>
    <t>me-juanita@javeriana.edu.co</t>
  </si>
  <si>
    <t>301/660-9263</t>
  </si>
  <si>
    <t>JULIAN ESTEBAN OTAVO AVELLO</t>
  </si>
  <si>
    <t>otavojulian@javeriana.edu.co</t>
  </si>
  <si>
    <t>321/307-9471</t>
  </si>
  <si>
    <t>KAREN TATIANA VARGAS VIÑA</t>
  </si>
  <si>
    <t>karenvargas@javeriana.edu.co</t>
  </si>
  <si>
    <t>321/479-1231</t>
  </si>
  <si>
    <t>LAURA CAMILA RODRIGUEZ CUCHIA</t>
  </si>
  <si>
    <t>lauracrodriguez@javeriana.edu.co</t>
  </si>
  <si>
    <t>320/448-4819</t>
  </si>
  <si>
    <t>LAURA VALENTINA DURAN SANCHEZ</t>
  </si>
  <si>
    <t>duranslaurav@javeriana.edu.co</t>
  </si>
  <si>
    <t>320/323-4729</t>
  </si>
  <si>
    <t>LUIS FELIPE ROJAS JIMENEZ</t>
  </si>
  <si>
    <t>luisf_rojas@javeriana.edu.co</t>
  </si>
  <si>
    <t>322/241-1822</t>
  </si>
  <si>
    <t>MARIA ANDREA MARTINEZ SOLORZANO</t>
  </si>
  <si>
    <t>mariaa-martinez@javeriana.edu.co</t>
  </si>
  <si>
    <t>301/345-1005</t>
  </si>
  <si>
    <t>NESTOR SANTIAGO TOLEDO PEÑA</t>
  </si>
  <si>
    <t>toledo.nsantiago@javeriana.edu.co</t>
  </si>
  <si>
    <t>312/515-2677</t>
  </si>
  <si>
    <t>SANTIAGO CORREA CAICEDO</t>
  </si>
  <si>
    <t>correac.santiago@javeriana.edu.co</t>
  </si>
  <si>
    <t>304/461-2392</t>
  </si>
  <si>
    <t>SANTIAGO GOMEZ ESPITIA</t>
  </si>
  <si>
    <t>santiago-gomeze@javeriana.edu.co</t>
  </si>
  <si>
    <t>322/328-9155</t>
  </si>
  <si>
    <t>SANTIAGO RESTREPO CHARRY</t>
  </si>
  <si>
    <t>sarestrepo@javeriana.edu.co</t>
  </si>
  <si>
    <t>313/899-3642</t>
  </si>
  <si>
    <t>WILLIAM ENRIQUE HUAMANI CERMEÑO</t>
  </si>
  <si>
    <t>william-huamani@javeriana.edu.co</t>
  </si>
  <si>
    <t>315/213-4780</t>
  </si>
  <si>
    <t>SANTIAGO CASTRO ZULUAGA</t>
  </si>
  <si>
    <t>castrozsantiago@javeriana.edu.co</t>
  </si>
  <si>
    <t>314/271-0256</t>
  </si>
  <si>
    <t>2510ISISTJUA-12</t>
  </si>
  <si>
    <t>ANDRES RAMOS DIAZ</t>
  </si>
  <si>
    <t>andres_ramosd@javeriana.edu.co</t>
  </si>
  <si>
    <t>318/421-0155</t>
  </si>
  <si>
    <t>DANIEL ESTEBAN GÓMEZ VILLACREZ</t>
  </si>
  <si>
    <t>daniel.gomezv@javeriana.edu.co</t>
  </si>
  <si>
    <t>316/626-4341</t>
  </si>
  <si>
    <t>DANIEL FELIPE LEON BONILLA</t>
  </si>
  <si>
    <t>leon_daniel@javeriana.edu.co</t>
  </si>
  <si>
    <t>321/368-6389</t>
  </si>
  <si>
    <t>DANIEL GONZALEZ MORALES</t>
  </si>
  <si>
    <t>gonzalezm.daniel@javeriana.edu.co</t>
  </si>
  <si>
    <t>320/418-3286</t>
  </si>
  <si>
    <t>DANIELA OLARTE DIAZ</t>
  </si>
  <si>
    <t>dolarted@javeriana.edu.co</t>
  </si>
  <si>
    <t>300/768-0646</t>
  </si>
  <si>
    <t>GABRIEL EDUARDO RIVERA TRILLERAS</t>
  </si>
  <si>
    <t>rivera.ge@javeriana.edu.co</t>
  </si>
  <si>
    <t>317/653-8479</t>
  </si>
  <si>
    <t>JUAN ESTEBAN MAYORGA RAMIREZ</t>
  </si>
  <si>
    <t>jestebanmayorga@javeriana.edu.co</t>
  </si>
  <si>
    <t>322/902-7027</t>
  </si>
  <si>
    <t>JUAN SEBASTIAN FRESNEDA MUÑOZ</t>
  </si>
  <si>
    <t>j_fresneda@javeriana.edu.co</t>
  </si>
  <si>
    <t>318/895-8821</t>
  </si>
  <si>
    <t>JULIANA ROMERO GONZALEZ</t>
  </si>
  <si>
    <t>juliana_romero@javeriana.edu.co</t>
  </si>
  <si>
    <t>322/882-9789</t>
  </si>
  <si>
    <t>LAIA MAILY VALDERRAMA TOVAR</t>
  </si>
  <si>
    <t>laiamvalderrama@javeriana.edu.co</t>
  </si>
  <si>
    <t>320/238-6957</t>
  </si>
  <si>
    <t>MARIA PAULA ERAZO CAICEDO</t>
  </si>
  <si>
    <t>mpaulaerazo@javeriana.edu.co</t>
  </si>
  <si>
    <t>301/329-3141</t>
  </si>
  <si>
    <t>SANTIAGO ANDRES GUERRERO SIERRA</t>
  </si>
  <si>
    <t>guerreros.s@javeriana.edu.co</t>
  </si>
  <si>
    <t>310/887-4151</t>
  </si>
  <si>
    <t>SANTIAGO CARDONA HUERTAS</t>
  </si>
  <si>
    <t>s-cardona@javeriana.edu.co</t>
  </si>
  <si>
    <t>320/873-3759</t>
  </si>
  <si>
    <t>DANIELA LOZANO VILLALOBOS</t>
  </si>
  <si>
    <t>lozanovdaniela@javeriana.edu.co</t>
  </si>
  <si>
    <t>316/683-8649</t>
  </si>
  <si>
    <t>2510IELECJOS-3</t>
  </si>
  <si>
    <t>DAVID STIVEN PARRA BELTRAN</t>
  </si>
  <si>
    <t>d_parra@javeriana.edu.co</t>
  </si>
  <si>
    <t>314/217-4798</t>
  </si>
  <si>
    <t>2510ISISTALI-3</t>
  </si>
  <si>
    <t>INGRID NATALIA AVILA TORRES</t>
  </si>
  <si>
    <t>inatalia.avila@javeriana.edu.co</t>
  </si>
  <si>
    <t>313/371-3995</t>
  </si>
  <si>
    <t>JULIANA LUGO MARTINEZ</t>
  </si>
  <si>
    <t>julugo@javeriana.edu.co</t>
  </si>
  <si>
    <t>317/878-0128</t>
  </si>
  <si>
    <t>NICOLAS PEREZ CHAVEZ</t>
  </si>
  <si>
    <t>nicolasperezc@javeriana.edu.co</t>
  </si>
  <si>
    <t>321/840-3189</t>
  </si>
  <si>
    <t>NICOLAS RAMIREZ ARMELLA</t>
  </si>
  <si>
    <t>ramireza_nicolas@javeriana.edu.co</t>
  </si>
  <si>
    <t>311/521-3948</t>
  </si>
  <si>
    <t>PABLO GONZALEZ ALVAREZ</t>
  </si>
  <si>
    <t>p-gonzalez@javeriana.edu.co</t>
  </si>
  <si>
    <t>321/280-4415</t>
  </si>
  <si>
    <t>SANTIAGO RIVEROS ABONDANO</t>
  </si>
  <si>
    <t>santiagoriverosa@javeriana.edu.co</t>
  </si>
  <si>
    <t>311/209-2284</t>
  </si>
  <si>
    <t>SEBASTIAN ANDRES RODRIGUEZ PEREZ</t>
  </si>
  <si>
    <t>sa.rodriguezp@javeriana.edu.co</t>
  </si>
  <si>
    <t>300/426-6034</t>
  </si>
  <si>
    <t>VALENTINA PEDROZA JIMENEZ</t>
  </si>
  <si>
    <t>valentina_pedroza@javeriana.edu.co</t>
  </si>
  <si>
    <t>321/373-4105</t>
  </si>
  <si>
    <t>ANDRES SEBASTIAN ROJAS RUEDA</t>
  </si>
  <si>
    <t>rojasras@javeriana.edu.co</t>
  </si>
  <si>
    <t>322/839-7511</t>
  </si>
  <si>
    <t>2510ICIVLLUI-4</t>
  </si>
  <si>
    <t>AXL NICOLAS TORRES NOMESQUE</t>
  </si>
  <si>
    <t>axltorres@javeriana.edu.co</t>
  </si>
  <si>
    <t>313/201-1851</t>
  </si>
  <si>
    <t>DANIEL EDUARDO CUBILLOS RINCON</t>
  </si>
  <si>
    <t>cubillosr-daniel@javeriana.edu.co</t>
  </si>
  <si>
    <t>320/881-5288</t>
  </si>
  <si>
    <t>DANIEL FELIPE RODRÍGUEZ CASTELLANOS</t>
  </si>
  <si>
    <t>rodriguezc_df@javeriana.edu.co</t>
  </si>
  <si>
    <t>316/350-7129</t>
  </si>
  <si>
    <t>DAVID ESTEBAN SANCHEZ ARIAS</t>
  </si>
  <si>
    <t>sa-david@javeriana.edu.co</t>
  </si>
  <si>
    <t>311/518-9659</t>
  </si>
  <si>
    <t>DAVID SANTIAGO ROJAS QUEVEDO</t>
  </si>
  <si>
    <t>rojasd_a@javeriana.edu.co</t>
  </si>
  <si>
    <t>323/228-1965</t>
  </si>
  <si>
    <t>DIEGO SANABRIA NEIRA</t>
  </si>
  <si>
    <t>diegosanabrian@javeriana.edu.co</t>
  </si>
  <si>
    <t>318/552-2342</t>
  </si>
  <si>
    <t>FABIAN SANTIAGO BAEZ RINCON</t>
  </si>
  <si>
    <t>fsantiago-baez@javeriana.edu.co</t>
  </si>
  <si>
    <t>310/477-8439</t>
  </si>
  <si>
    <t>JONATAN DAVID PRIETO NUÑEZ</t>
  </si>
  <si>
    <t>jo_prieto@javeriana.edu.co</t>
  </si>
  <si>
    <t>313/779-0223</t>
  </si>
  <si>
    <t>JUAN CAMILO GOMEZ SANDOVAL</t>
  </si>
  <si>
    <t>jcamilo.gomezs@javeriana.edu.co</t>
  </si>
  <si>
    <t>313/311-4292</t>
  </si>
  <si>
    <t>JUAN ESTEBAN BERNAL TORRES</t>
  </si>
  <si>
    <t>bernal_jesteban@javeriana.edu.co</t>
  </si>
  <si>
    <t>310/232-7662</t>
  </si>
  <si>
    <t>JUAN SEBASTIAN MOLANO MORA</t>
  </si>
  <si>
    <t>juans.molanom@javeriana.edu.co</t>
  </si>
  <si>
    <t>314/779-3011</t>
  </si>
  <si>
    <t>JUAN TOMAS MARTINEZ FORERO</t>
  </si>
  <si>
    <t>martinez_jt@javeriana.edu.co</t>
  </si>
  <si>
    <t>317/779-3071</t>
  </si>
  <si>
    <t>JULIAN DAVID AMADOR GARCIA</t>
  </si>
  <si>
    <t>j-amador@javeriana.edu.co</t>
  </si>
  <si>
    <t>315/882-4228</t>
  </si>
  <si>
    <t>KAROL DANIELA BOBADILLA GUZMAN</t>
  </si>
  <si>
    <t>bobadillagk@javeriana.edu.co</t>
  </si>
  <si>
    <t>313/369-6425</t>
  </si>
  <si>
    <t>KENNETH CAMILO GUZMAN AGUDELO</t>
  </si>
  <si>
    <t>guzmanke@javeriana.edu.co</t>
  </si>
  <si>
    <t>301/305-3629</t>
  </si>
  <si>
    <t>LUIS GABRIEL MONTENEGRO RAMIREZ</t>
  </si>
  <si>
    <t>luis.montenegror@javeriana.edu.co</t>
  </si>
  <si>
    <t>318/345-4123</t>
  </si>
  <si>
    <t>MIGUEL ANGEL NUÑEZ CUBILLOS</t>
  </si>
  <si>
    <t>miguel-nunez@javeriana.edu.co</t>
  </si>
  <si>
    <t>310/442-8534</t>
  </si>
  <si>
    <t>PEDRO JOSE DIAZ DEL CASTILLO CAICEDO</t>
  </si>
  <si>
    <t>pjdiazdelcastillo@javeriana.edu.co</t>
  </si>
  <si>
    <t>314/632-8946</t>
  </si>
  <si>
    <t>SAMUEL EDUARDO LEON CLAROS</t>
  </si>
  <si>
    <t>leon.se@javeriana.edu.co</t>
  </si>
  <si>
    <t>318/348-9333</t>
  </si>
  <si>
    <t>SEBASTIAN ALEJANDRO DIAZ GUERRA</t>
  </si>
  <si>
    <t>diazgsa@javeriana.edu.co</t>
  </si>
  <si>
    <t>300/779-1512</t>
  </si>
  <si>
    <t>TOMAS CORTES MARTINEZ</t>
  </si>
  <si>
    <t>cortes.tomas@javeriana.edu.co</t>
  </si>
  <si>
    <t>305/411-5334</t>
  </si>
  <si>
    <t>VALERIA INÉS PÉREZ VARGAS</t>
  </si>
  <si>
    <t>valeria_perezv@javeriana.edu.co</t>
  </si>
  <si>
    <t>317/526-4845</t>
  </si>
  <si>
    <t>MARIA JULIANA CONTRERAS AREVALO</t>
  </si>
  <si>
    <t>contrerasmj@javeriana.edu.co</t>
  </si>
  <si>
    <t>322/241-8373</t>
  </si>
  <si>
    <t>2510IINDSCLA-5</t>
  </si>
  <si>
    <t>MARIA PAOLA AGUILERA GARCIA</t>
  </si>
  <si>
    <t>mp_aguilerag@javeriana.edu.co</t>
  </si>
  <si>
    <t>316/721-6215</t>
  </si>
  <si>
    <t>CAROLINA CORTES ARENAS</t>
  </si>
  <si>
    <t>co_carolina@javeriana.edu.co</t>
  </si>
  <si>
    <t>320/444-0288</t>
  </si>
  <si>
    <t>2510BIOINMAR-7</t>
  </si>
  <si>
    <t>ISABELLA ALEJANDRA QUEVEDO LESMES</t>
  </si>
  <si>
    <t>quevedoi_s@javeriana.edu.co</t>
  </si>
  <si>
    <t>300/752-8895</t>
  </si>
  <si>
    <t>KAREN LISSETH MARTINEZ LIBERATO</t>
  </si>
  <si>
    <t>martinezklisseth@javeriana.edu.co</t>
  </si>
  <si>
    <t>312/459-5258</t>
  </si>
  <si>
    <t>ANDRES FELIPE VELEZ ECHEVERRY</t>
  </si>
  <si>
    <t>andresveleze@javeriana.edu.co</t>
  </si>
  <si>
    <t>318/514-3658</t>
  </si>
  <si>
    <t>2510ISISTALI-4</t>
  </si>
  <si>
    <t>JOSE TOMAS SUAREZ ACERO</t>
  </si>
  <si>
    <t>jo_suarez@javeriana.edu.co</t>
  </si>
  <si>
    <t>315/807-0013</t>
  </si>
  <si>
    <t>JUAN SEBASTIAN MONDRAGON VALENCIANO</t>
  </si>
  <si>
    <t>juan.mondragon@javeriana.edu.co</t>
  </si>
  <si>
    <t>310/246-3555</t>
  </si>
  <si>
    <t>SOFIA CESPEDES VARGAS</t>
  </si>
  <si>
    <t>sofia.cespedes@javeriana.edu.co</t>
  </si>
  <si>
    <t>311/516-5451</t>
  </si>
  <si>
    <t>JUAN JOSE MANTILLA DIAZ</t>
  </si>
  <si>
    <t>mantilla_juan@javeriana.edu.co</t>
  </si>
  <si>
    <t>318/357-1426</t>
  </si>
  <si>
    <t>2510ICIVLLUI-2</t>
  </si>
  <si>
    <t>LUIS ALBERTO MARQUEZ AMADOR</t>
  </si>
  <si>
    <t>luis_marquez@javeriana.edu.co</t>
  </si>
  <si>
    <t>300/211-7321</t>
  </si>
  <si>
    <t>MICHAEL ALEJANDRO HERNANDEZ VALDERRAMA</t>
  </si>
  <si>
    <t>malejandrohernandez@javeriana.edu.co</t>
  </si>
  <si>
    <t>300/874-7306</t>
  </si>
  <si>
    <t>NICOLAS ROJAS AYALA</t>
  </si>
  <si>
    <t>nicolas_rojasa@javeriana.edu.co</t>
  </si>
  <si>
    <t>300/436-8045</t>
  </si>
  <si>
    <t>SHARED LORENA FERIA SILVA</t>
  </si>
  <si>
    <t>feria_sharedl@javeriana.edu.co</t>
  </si>
  <si>
    <t>316/734-0586</t>
  </si>
  <si>
    <t>VALENTINA MONJE GRANADOS</t>
  </si>
  <si>
    <t>va_monje@javeriana.edu.co</t>
  </si>
  <si>
    <t>312/486-7581</t>
  </si>
  <si>
    <t>CARLOS ANDRES CARRERO SANDOVAL</t>
  </si>
  <si>
    <t>carlos.carrero@javeriana.edu.co</t>
  </si>
  <si>
    <t>300/341-5796</t>
  </si>
  <si>
    <t>2510ISISTALI-5</t>
  </si>
  <si>
    <t>DANIEL FELIPE ALVAREZ MESA</t>
  </si>
  <si>
    <t>alvarez-daniel@javeriana.edu.co</t>
  </si>
  <si>
    <t>312/408-7653</t>
  </si>
  <si>
    <t>2510IELECJOS-1</t>
  </si>
  <si>
    <t>DANIEL SANTIAGO SILVA GOMEZ</t>
  </si>
  <si>
    <t>silvag-daniels@javeriana.edu.co</t>
  </si>
  <si>
    <t>315/578-4455</t>
  </si>
  <si>
    <t>DANIELA VELANDIA DUARTE</t>
  </si>
  <si>
    <t>d_velandia@javeriana.edu.co</t>
  </si>
  <si>
    <t>319/583-9535</t>
  </si>
  <si>
    <t>2510IINDSCLA-4</t>
  </si>
  <si>
    <t>EDGAR JULIAN GONZALEZ SIERRA</t>
  </si>
  <si>
    <t>ejgonzalez@javeriana.edu.co</t>
  </si>
  <si>
    <t>301/272-7540</t>
  </si>
  <si>
    <t>FRANCISCO JAVIER FRANCO ROMERO</t>
  </si>
  <si>
    <t>fjfrancor@javeriana.edu.co</t>
  </si>
  <si>
    <t>313/251-9624</t>
  </si>
  <si>
    <t>JUAN ANDRES SANCHEZ ZAMBRANO</t>
  </si>
  <si>
    <t>sanchez_ja@javeriana.edu.co</t>
  </si>
  <si>
    <t>313/441-4881</t>
  </si>
  <si>
    <t>2510BIOINMAR-5</t>
  </si>
  <si>
    <t>JULIANA BEJARANO SERRANO</t>
  </si>
  <si>
    <t>juliana_bejarano@javeriana.edu.co</t>
  </si>
  <si>
    <t>317/352-4123</t>
  </si>
  <si>
    <t>LAURA SOFIA CEBALLOS QUINTERO</t>
  </si>
  <si>
    <t>ceballoslauras@javeriana.edu.co</t>
  </si>
  <si>
    <t>302/219-5166</t>
  </si>
  <si>
    <t>LUISA FERNANDA CORONADO MORA</t>
  </si>
  <si>
    <t>coronadoluisaf@javeriana.edu.co</t>
  </si>
  <si>
    <t>313/306-6723</t>
  </si>
  <si>
    <t>LUNA SOFIA CORRALES SIERRA</t>
  </si>
  <si>
    <t>luna.corrales@javeriana.edu.co</t>
  </si>
  <si>
    <t>316/104-2004</t>
  </si>
  <si>
    <t>MARIA CAMILA OSUNA AVELLANEDA</t>
  </si>
  <si>
    <t>mc.osunaa@javeriana.edu.co</t>
  </si>
  <si>
    <t>314/879-6144</t>
  </si>
  <si>
    <t>MARIA JOSE CARDENAS MACHACA</t>
  </si>
  <si>
    <t>mariacardenasm@javeriana.edu.co</t>
  </si>
  <si>
    <t>320/841-9704</t>
  </si>
  <si>
    <t>NATALIA CAMACHO NIÑO</t>
  </si>
  <si>
    <t>ncamachon@javeriana.edu.co</t>
  </si>
  <si>
    <t>319/485-0286</t>
  </si>
  <si>
    <t>OSCAR ALEJANDRO RODRIGUEZ GOMEZ</t>
  </si>
  <si>
    <t>rodriguez.oalejandro@javeriana.edu.co</t>
  </si>
  <si>
    <t>300/827-6898</t>
  </si>
  <si>
    <t>SANTIAGO MARTINEZ BERMUDEZ</t>
  </si>
  <si>
    <t>santiagomartinezb@javeriana.edu.co</t>
  </si>
  <si>
    <t>302/381-7019</t>
  </si>
  <si>
    <t>SANTIAGO PINTO GALEANO</t>
  </si>
  <si>
    <t>pintog_santiago@javeriana.edu.co</t>
  </si>
  <si>
    <t>305/766-4627</t>
  </si>
  <si>
    <t>SARA LUCIA GUTIERREZ RAMIREZ</t>
  </si>
  <si>
    <t>YOSEF LADISLAV SUAREZ PEREZ</t>
  </si>
  <si>
    <t>yosef_suarezp@javeriana.edu.co</t>
  </si>
  <si>
    <t>321/403-0665</t>
  </si>
  <si>
    <t>SEBASTIAN VERGARA ALPIZAR</t>
  </si>
  <si>
    <t>s_vergara@javeriana.edu.co</t>
  </si>
  <si>
    <t>301/739-1589</t>
  </si>
  <si>
    <t>2510ISISTALI-6</t>
  </si>
  <si>
    <t>JUAN ESTEBAN DÍAZ LÓPEZ</t>
  </si>
  <si>
    <t>je.diazl@javeriana.edu.co</t>
  </si>
  <si>
    <t>312/379-0549</t>
  </si>
  <si>
    <t>2510BIOINMAR-3</t>
  </si>
  <si>
    <t>SANTIAGO CADAVID FRANCO</t>
  </si>
  <si>
    <t>sacadavid@javeriana.edu.co</t>
  </si>
  <si>
    <t>317/716-0022</t>
  </si>
  <si>
    <t>ALEJANDRO BERMUDEZ FAJARDO</t>
  </si>
  <si>
    <t>albermudez@javeriana.edu.co</t>
  </si>
  <si>
    <t>305/795-4977</t>
  </si>
  <si>
    <t>2510ISISTALI-7</t>
  </si>
  <si>
    <t>ANDRES FELIPE MANOSALVA GARZON</t>
  </si>
  <si>
    <t>a_manosalva@javeriana.edu.co</t>
  </si>
  <si>
    <t>316/470-9915</t>
  </si>
  <si>
    <t>CHRISTIAN SANTIAGO VERA ROJAS</t>
  </si>
  <si>
    <t>vera.christian@javeriana.edu.co</t>
  </si>
  <si>
    <t>313/811-6640</t>
  </si>
  <si>
    <t>JUAN ANDRES RAMIREZ PACHON</t>
  </si>
  <si>
    <t>ramirezpj@javeriana.edu.co</t>
  </si>
  <si>
    <t>300/397-0731</t>
  </si>
  <si>
    <t>JUAN DAVID SANCHEZ ALFONSO</t>
  </si>
  <si>
    <t>juandsanchez@javeriana.edu.co</t>
  </si>
  <si>
    <t>317/750-7271</t>
  </si>
  <si>
    <t>MIGUEL ANGEL GONZALEZ RODRIGUEZ</t>
  </si>
  <si>
    <t>miguel_gonzalezr@javeriana.edu.co</t>
  </si>
  <si>
    <t>300/372-4046</t>
  </si>
  <si>
    <t>CAROL JIMENA ALVARADO ROCHA</t>
  </si>
  <si>
    <t>cj.alvarado@javeriana.edu.co</t>
  </si>
  <si>
    <t>320/936-6016</t>
  </si>
  <si>
    <t>2510IELECJOS-7</t>
  </si>
  <si>
    <t>CRISTIAN CAMILO BELTRAN LOPEZ</t>
  </si>
  <si>
    <t>cristiancbeltran@javeriana.edu.co</t>
  </si>
  <si>
    <t>310/319-9372</t>
  </si>
  <si>
    <t>LAURA CASIEL RODRIGUEZ LABRADOR</t>
  </si>
  <si>
    <t>laurac-rodriguez@javeriana.edu.co</t>
  </si>
  <si>
    <t>310/520-0523</t>
  </si>
  <si>
    <t>2510IINDSCLA-6</t>
  </si>
  <si>
    <t>MARIA PAULA ANGULO RUBIANO</t>
  </si>
  <si>
    <t>angulomariap@javeriana.edu.co</t>
  </si>
  <si>
    <t>318/459-1365</t>
  </si>
  <si>
    <t>LAURA ISABEL MONTERO BLANCO</t>
  </si>
  <si>
    <t>limontero@javeriana.edu.co</t>
  </si>
  <si>
    <t>301/523-9799</t>
  </si>
  <si>
    <t>2510ISISTJUA-1</t>
  </si>
  <si>
    <t>SANTIAGO LEMUS VALLEJO</t>
  </si>
  <si>
    <t>lemusvsantiago@javeriana.edu.co</t>
  </si>
  <si>
    <t>318/285-1065</t>
  </si>
  <si>
    <t>JUAN DAVID RINCON POVEDA</t>
  </si>
  <si>
    <t>rinconjd@javeriana.edu.co</t>
  </si>
  <si>
    <t>321/334-2797</t>
  </si>
  <si>
    <t>2510ISISTJUA-2</t>
  </si>
  <si>
    <t>MARIA ALEJANDRA CASAS LOPEZ</t>
  </si>
  <si>
    <t>ma-casas@javeriana.edu.co</t>
  </si>
  <si>
    <t>301/620-3829</t>
  </si>
  <si>
    <t>THOMAS ALEJANDRO ORJUELA BELLO</t>
  </si>
  <si>
    <t>talejandroorjuela@javeriana.edu.co</t>
  </si>
  <si>
    <t>313/809-8727</t>
  </si>
  <si>
    <t>JUAN CARLOS CAÑON CARDENAS</t>
  </si>
  <si>
    <t>canonjcarlos@javeriana.edu.co</t>
  </si>
  <si>
    <t>317/716-2170</t>
  </si>
  <si>
    <t>2510BIOINMAR-4</t>
  </si>
  <si>
    <t>VANESSA MARÍA SERPA PÁEZ</t>
  </si>
  <si>
    <t>v_serpa@javeriana.edu.co</t>
  </si>
  <si>
    <t>302/380-4054</t>
  </si>
  <si>
    <t>DAVID SAID SIERRA GONZALEZ</t>
  </si>
  <si>
    <t>davids.sierrag@javeriana.edu.co</t>
  </si>
  <si>
    <t>304/619-8947</t>
  </si>
  <si>
    <t>2510BIOINMAR-2</t>
  </si>
  <si>
    <t>FELIPE KERGUELEN VILLADIEGO</t>
  </si>
  <si>
    <t>felipe_kerguelen@javeriana.edu.co</t>
  </si>
  <si>
    <t>304/498-3977</t>
  </si>
  <si>
    <t>GUILLERMO CORDOBA FERNANDEZ</t>
  </si>
  <si>
    <t>cordoba_g@javeriana.edu.co</t>
  </si>
  <si>
    <t>321/924-0269</t>
  </si>
  <si>
    <t>JEIMY VALENTINA TABORDA RIVERA</t>
  </si>
  <si>
    <t>jvtaborda@javeriana.edu.co</t>
  </si>
  <si>
    <t>300/304-0858</t>
  </si>
  <si>
    <t>JUAN DAVID APARICIO ZARATE</t>
  </si>
  <si>
    <t>jd_aparicio@javeriana.edu.co</t>
  </si>
  <si>
    <t>321/283-1163</t>
  </si>
  <si>
    <t>2510IINDSCLA-7</t>
  </si>
  <si>
    <t>JUAN DAVID RUBIO MOGOLLON</t>
  </si>
  <si>
    <t>juanrubiom@javeriana.edu.co</t>
  </si>
  <si>
    <t>312/587-3067</t>
  </si>
  <si>
    <t>SARA VALENTINA FUENTES SABOGAL</t>
  </si>
  <si>
    <t>fuentessvalentina@javeriana.edu.co</t>
  </si>
  <si>
    <t>314/442-6268</t>
  </si>
  <si>
    <t>WENDY ALEXANDRA LADINO CUERVO</t>
  </si>
  <si>
    <t>wladino@javeriana.edu.co</t>
  </si>
  <si>
    <t>321/414-3218</t>
  </si>
  <si>
    <t>GISETH VALENTINA VILLALOBOS ROCHA</t>
  </si>
  <si>
    <t>villalobos-g@javeriana.edu.co</t>
  </si>
  <si>
    <t>320/439-8024</t>
  </si>
  <si>
    <t>2510ISISTJUA-3</t>
  </si>
  <si>
    <t>JORGE ESTEBAN MARTINEZ CLAVIJO</t>
  </si>
  <si>
    <t>je.martinezc@javeriana.edu.co</t>
  </si>
  <si>
    <t>317/243-3936</t>
  </si>
  <si>
    <t>ALFREDO CUELLAR VALENCIA</t>
  </si>
  <si>
    <t>alcuellar@javeriana.edu.co</t>
  </si>
  <si>
    <t>320/293-8981</t>
  </si>
  <si>
    <t>2510IELECJOS-2</t>
  </si>
  <si>
    <t>COLLIN ANDREY SANCHEZ DIAZ</t>
  </si>
  <si>
    <t>ca-sanchezd@javeriana.edu.co</t>
  </si>
  <si>
    <t>319/475-3814</t>
  </si>
  <si>
    <t>JUAN JOSE CAICEDO PINZON</t>
  </si>
  <si>
    <t>caicedop-j@javeriana.edu.co</t>
  </si>
  <si>
    <t>322/219-3802</t>
  </si>
  <si>
    <t>JUAN SEBASTIAN VERGARA HUERFANO</t>
  </si>
  <si>
    <t>vergara-js@javeriana.edu.co</t>
  </si>
  <si>
    <t>311/565-2111</t>
  </si>
  <si>
    <t>MARIA JOSE CABRA ESPITIA</t>
  </si>
  <si>
    <t>mariajcabra@javeriana.edu.co</t>
  </si>
  <si>
    <t>317/875-1416</t>
  </si>
  <si>
    <t>MIGUEL ANGEL CERA CONTRERAS</t>
  </si>
  <si>
    <t>cera-mangel@javeriana.edu.co</t>
  </si>
  <si>
    <t>316/241-3377</t>
  </si>
  <si>
    <t>DAVID SANTIAGO ORTIZ CALDERON</t>
  </si>
  <si>
    <t>ortizcds@javeriana.edu.co</t>
  </si>
  <si>
    <t>321/900-4241</t>
  </si>
  <si>
    <t>2510ISISTJUA-4</t>
  </si>
  <si>
    <t>JUAN CAMILO CELIS ARDILA</t>
  </si>
  <si>
    <t>cejuan@javeriana.edu.co</t>
  </si>
  <si>
    <t>301/745-7542</t>
  </si>
  <si>
    <t>2510BIOINMAR-1</t>
  </si>
  <si>
    <t>JUAN DAVID ROA CAMARGO</t>
  </si>
  <si>
    <t>roa_juan@javeriana.edu.co</t>
  </si>
  <si>
    <t>310/247-2930</t>
  </si>
  <si>
    <t>JUAN SEBASTIAN MARTINEZ BUENO</t>
  </si>
  <si>
    <t>juans_martinez@javeriana.edu.co</t>
  </si>
  <si>
    <t>316/366-7985</t>
  </si>
  <si>
    <t>JULIAN ANDRES ESPINOSA CAIPE</t>
  </si>
  <si>
    <t>ju-espinosa@javeriana.edu.co</t>
  </si>
  <si>
    <t>300/233-8104</t>
  </si>
  <si>
    <t>SOFIA MARGARITA VEGA SANCHEZ</t>
  </si>
  <si>
    <t>sm_vega@javeriana.edu.co</t>
  </si>
  <si>
    <t>321/828-1792</t>
  </si>
  <si>
    <t>BRYAN NICOLAS SARMIENTO MERCHAN</t>
  </si>
  <si>
    <t>brsarmiento@javeriana.edu.co</t>
  </si>
  <si>
    <t>302/706-3422</t>
  </si>
  <si>
    <t>2510ISISTALI-9</t>
  </si>
  <si>
    <t>LISETH NATALIA LOZANO ZAMBRANO</t>
  </si>
  <si>
    <t>liseth.lozanoz@javeriana.edu.co</t>
  </si>
  <si>
    <t>304/367-3548</t>
  </si>
  <si>
    <t>DAVID RICARDO GUTIERREZ GONZALEZ</t>
  </si>
  <si>
    <t>drgutierrez@javeriana.edu.co</t>
  </si>
  <si>
    <t>316/048-0385</t>
  </si>
  <si>
    <t>2510ISISTJUA-6</t>
  </si>
  <si>
    <t>JONATHAN ISAAC JURADO SARMIENTO</t>
  </si>
  <si>
    <t>jonathan_jurado@javeriana.edu.co</t>
  </si>
  <si>
    <t>310/253-1337</t>
  </si>
  <si>
    <t>LUCAS RIVERA MORA</t>
  </si>
  <si>
    <t>lucasriveram@javeriana.edu.co</t>
  </si>
  <si>
    <t>301/430-6981</t>
  </si>
  <si>
    <t>MARIA DE LOS ANGELES DE LA ROSA ORTIZ</t>
  </si>
  <si>
    <t>m.delarosao@javeriana.edu.co</t>
  </si>
  <si>
    <t>301/528-2640</t>
  </si>
  <si>
    <t>CAROLINA VALENTINA HERRERA MARCHETTO</t>
  </si>
  <si>
    <t>herreracv@javeriana.edu.co</t>
  </si>
  <si>
    <t>316/767-6094</t>
  </si>
  <si>
    <t>2510BIOINMAR-6</t>
  </si>
  <si>
    <t>ISABELLA FERNANDEZ GONZALEZ</t>
  </si>
  <si>
    <t>fernandez.isabella@javeriana.edu.co</t>
  </si>
  <si>
    <t>312/548-7714</t>
  </si>
  <si>
    <t>2510IINDSCLA-2</t>
  </si>
  <si>
    <t>MARIA CAMILA BARRANTES LOZANO</t>
  </si>
  <si>
    <t>barrantesmaria@javeriana.edu.co</t>
  </si>
  <si>
    <t>320/416-8554</t>
  </si>
  <si>
    <t>ALEJANDRA CHACON SANCHEZ</t>
  </si>
  <si>
    <t>alejandra-chacon@javeriana.edu.co</t>
  </si>
  <si>
    <t>312/869-2408</t>
  </si>
  <si>
    <t>2510IINDSBLA-3</t>
  </si>
  <si>
    <t>GABRIELLA TAVERA AVILA</t>
  </si>
  <si>
    <t>gabriella.taveraa@javeriana.edu.co</t>
  </si>
  <si>
    <t>322/276-0517</t>
  </si>
  <si>
    <t>JUAN SEBASTIAN PEREA VILLALBA</t>
  </si>
  <si>
    <t>juan_pereav@javeriana.edu.co</t>
  </si>
  <si>
    <t>305/344-5264</t>
  </si>
  <si>
    <t>LAURA GABRIELA VIVAS MENDEZ</t>
  </si>
  <si>
    <t>laurag_vivasm@javeriana.edu.co</t>
  </si>
  <si>
    <t>313/427-9727</t>
  </si>
  <si>
    <t>MARIA ALEJANDRA GARCIA RIOS</t>
  </si>
  <si>
    <t>malejandra-garcia@javeriana.edu.co</t>
  </si>
  <si>
    <t>311/804-9017</t>
  </si>
  <si>
    <t>AIKO MARIA ALEJANDRA PINZON NOGUCHI</t>
  </si>
  <si>
    <t>am_pinzonn@javeriana.edu.co</t>
  </si>
  <si>
    <t>310/582-1375</t>
  </si>
  <si>
    <t>2510IINDSGIO-4</t>
  </si>
  <si>
    <t>ALEJANDRA NIETO FARIAS</t>
  </si>
  <si>
    <t>alejandra.nietof@javeriana.edu.co</t>
  </si>
  <si>
    <t>317/875-4484</t>
  </si>
  <si>
    <t>2510IINDSBLA-2</t>
  </si>
  <si>
    <t>ANA MARIA GÓMEZ MERLANO</t>
  </si>
  <si>
    <t>ana.gomezm@javeriana.edu.co</t>
  </si>
  <si>
    <t>350/887-4365</t>
  </si>
  <si>
    <t>2510IINDSBLA-5</t>
  </si>
  <si>
    <t>ANA SOFIA CASTILLA BELTRAN</t>
  </si>
  <si>
    <t>as.castillab@javeriana.edu.co</t>
  </si>
  <si>
    <t>310/353-8941</t>
  </si>
  <si>
    <t>ANA SOFIA RODRIGUEZ MARTINEZ</t>
  </si>
  <si>
    <t>anarodriguezm@javeriana.edu.co</t>
  </si>
  <si>
    <t>321/324-7234</t>
  </si>
  <si>
    <t>2510ISISTALI-10</t>
  </si>
  <si>
    <t>ANDRES FELIPE RUGE PASSITO</t>
  </si>
  <si>
    <t>afruge@javeriana.edu.co</t>
  </si>
  <si>
    <t>312/532-3530</t>
  </si>
  <si>
    <t>2510ISISTALI-11</t>
  </si>
  <si>
    <t>ANDRES RICARDO SANTOS VALBUENA</t>
  </si>
  <si>
    <t>santosan@javeriana.edu.co</t>
  </si>
  <si>
    <t>316/827-7607</t>
  </si>
  <si>
    <t>2510IINDSBLA-6</t>
  </si>
  <si>
    <t>ANGIE DANIELA TRIANA SEDANO</t>
  </si>
  <si>
    <t>trangie@javeriana.edu.co</t>
  </si>
  <si>
    <t>315/722-7382</t>
  </si>
  <si>
    <t>2510ICIVLLUI-3</t>
  </si>
  <si>
    <t>ARBEY FELIPE ESPITIA MALDONADO</t>
  </si>
  <si>
    <t>espitiaarbeyf@javeriana.edu.co</t>
  </si>
  <si>
    <t>315/608-0501</t>
  </si>
  <si>
    <t>2510IELECJOS-5</t>
  </si>
  <si>
    <t>CAROLINA PINZON FAJARDO</t>
  </si>
  <si>
    <t>pinzoncarolina@javeriana.edu.co</t>
  </si>
  <si>
    <t>317/772-1612</t>
  </si>
  <si>
    <t>CESAR ANDRES OLARTE MARIN</t>
  </si>
  <si>
    <t>olartecesar@javeriana.edu.co</t>
  </si>
  <si>
    <t>317/755-8211</t>
  </si>
  <si>
    <t>CRISTIAN ADALBERTO DIAZ CASTAÑO</t>
  </si>
  <si>
    <t>dicristian@javeriana.edu.co</t>
  </si>
  <si>
    <t>314/241-5011</t>
  </si>
  <si>
    <t>DANA SOFIA ACEVEDO SANTOS</t>
  </si>
  <si>
    <t>daacevedo@javeriana.edu.co</t>
  </si>
  <si>
    <t>+573124023118</t>
  </si>
  <si>
    <t>DANIEL DAVID HERAZO RODRIGUEZ</t>
  </si>
  <si>
    <t>herazo_d@javeriana.edu.co</t>
  </si>
  <si>
    <t>318/856-4925</t>
  </si>
  <si>
    <t>DANIEL HERNANDO CONTRERAS GARZON</t>
  </si>
  <si>
    <t>dh_contreras@javeriana.edu.co</t>
  </si>
  <si>
    <t>310/572-7172</t>
  </si>
  <si>
    <t>2510IINDSBLA-7</t>
  </si>
  <si>
    <t>DANIEL MANJARRES SAAVEDRA</t>
  </si>
  <si>
    <t>danielmanjarres@javeriana.edu.co</t>
  </si>
  <si>
    <t>310/594-3769</t>
  </si>
  <si>
    <t>DANIEL NIÑO MUÑOZ</t>
  </si>
  <si>
    <t>nino.jd@javeriana.edu.co</t>
  </si>
  <si>
    <t>300/677-7057</t>
  </si>
  <si>
    <t>JULIAN DAVID LOPEZ ZAMBRANO</t>
  </si>
  <si>
    <t>lopezz_jd@javeriana.edu.co</t>
  </si>
  <si>
    <t>317/351-7778</t>
  </si>
  <si>
    <t>ESTEBAN ALTAMIRANDA JULIO</t>
  </si>
  <si>
    <t>estebanaltamirandaj@javeriana.edu.co</t>
  </si>
  <si>
    <t>301/432-6136</t>
  </si>
  <si>
    <t>2510ISISTJUA-10</t>
  </si>
  <si>
    <t>LAURA ANDREA SOTO FERNANDEZ</t>
  </si>
  <si>
    <t>laura-sotof@javeriana.edu.co</t>
  </si>
  <si>
    <t>314/264-3974</t>
  </si>
  <si>
    <t>GABRIELA MARTINEZ RODRIGUEZ</t>
  </si>
  <si>
    <t>martinezr.g@javeriana.edu.co</t>
  </si>
  <si>
    <t>310/333-5108</t>
  </si>
  <si>
    <t>GABRIELA TORRES MENDOZA</t>
  </si>
  <si>
    <t>g.torresm@javeriana.edu.co</t>
  </si>
  <si>
    <t>321/224-7780</t>
  </si>
  <si>
    <t>GIANFRANCO CASSANDRO APRAEZ</t>
  </si>
  <si>
    <t>g_cassandro@javeriana.edu.co</t>
  </si>
  <si>
    <t>305/777-0684</t>
  </si>
  <si>
    <t>MIGUEL JOSE GUARIN CASTELLANOS</t>
  </si>
  <si>
    <t>mjoseguarin@javeriana.edu.co</t>
  </si>
  <si>
    <t>318/661-5262</t>
  </si>
  <si>
    <t>GUSTAVO ORTIZ LOAIZA</t>
  </si>
  <si>
    <t>g.ortizl@javeriana.edu.co</t>
  </si>
  <si>
    <t>303-4192</t>
  </si>
  <si>
    <t>2510ISISTALI-13</t>
  </si>
  <si>
    <t>HENRY JHON APAZA BALBOA</t>
  </si>
  <si>
    <t>henryj.apazab@javeriana.edu.co</t>
  </si>
  <si>
    <t>73570420</t>
  </si>
  <si>
    <t>Convenios Movilidad Internacio</t>
  </si>
  <si>
    <t>ISABELLA PEÑA MORA</t>
  </si>
  <si>
    <t>isabellapena@javeriana.edu.co</t>
  </si>
  <si>
    <t>320/457-9850</t>
  </si>
  <si>
    <t>2510ICIVLLUI-5</t>
  </si>
  <si>
    <t>JAIRO ANTONIO VILLEGAS IZQUIERDO</t>
  </si>
  <si>
    <t>villegas_jairo@javeriana.edu.co</t>
  </si>
  <si>
    <t>319/218-3715</t>
  </si>
  <si>
    <t>2510IINDSGIO-2</t>
  </si>
  <si>
    <t>OSCAR ANDRÉS NARANJO NARANJO</t>
  </si>
  <si>
    <t>naranjon_oandres@javeriana.edu.co</t>
  </si>
  <si>
    <t>320/496-9246</t>
  </si>
  <si>
    <t>JORGE EDUARDO TORRADO FORERO</t>
  </si>
  <si>
    <t>je.torradof@javeriana.edu.co</t>
  </si>
  <si>
    <t>300/275-0315</t>
  </si>
  <si>
    <t>JORGE HELI RUEDA URIBE</t>
  </si>
  <si>
    <t>jorge.ruedau@javeriana.edu.co</t>
  </si>
  <si>
    <t>315/234-4096</t>
  </si>
  <si>
    <t>JOSE DANIEL ESCOBAR MESA</t>
  </si>
  <si>
    <t>josedescobar@javeriana.edu.co</t>
  </si>
  <si>
    <t>305/371-7157</t>
  </si>
  <si>
    <t>JUAN ANDRES GIL DIAZ</t>
  </si>
  <si>
    <t>gild.juan@javeriana.edu.co</t>
  </si>
  <si>
    <t>315/263-6359</t>
  </si>
  <si>
    <t>JUAN ANDRES VASQUEZ VELASCO</t>
  </si>
  <si>
    <t>ja.vasquez@javeriana.edu.co</t>
  </si>
  <si>
    <t>302/852-9488</t>
  </si>
  <si>
    <t>JUAN CAMILO AHUMADA ROSAS</t>
  </si>
  <si>
    <t>ahumadajuanc@javeriana.edu.co</t>
  </si>
  <si>
    <t>314/478-1965</t>
  </si>
  <si>
    <t>JUAN CAMILO DIAZ PINZON</t>
  </si>
  <si>
    <t>jc_diaz@javeriana.edu.co</t>
  </si>
  <si>
    <t>312/512-9186</t>
  </si>
  <si>
    <t>JUAN CAMILO SÁNCHEZ NAVARRO</t>
  </si>
  <si>
    <t>sanchezs-j@javeriana.edu.co</t>
  </si>
  <si>
    <t>312/362-0225</t>
  </si>
  <si>
    <t>JUAN DANIEL CABRERA AMADOR</t>
  </si>
  <si>
    <t>cabreraa-jd@javeriana.edu.co</t>
  </si>
  <si>
    <t>316/638-5394</t>
  </si>
  <si>
    <t>JUAN DAVID CAMACHO ORDOÑEZ</t>
  </si>
  <si>
    <t>juan-camachoo@javeriana.edu.co</t>
  </si>
  <si>
    <t>310/569-3387</t>
  </si>
  <si>
    <t>2510IINDSBLA-1</t>
  </si>
  <si>
    <t>JUAN DAVID LOTE PEREZ</t>
  </si>
  <si>
    <t>juanlotep@javeriana.edu.co</t>
  </si>
  <si>
    <t>304/350-7116</t>
  </si>
  <si>
    <t>2510IELECDIE-4</t>
  </si>
  <si>
    <t>JUAN DAVID MANOSALVA DUARTE</t>
  </si>
  <si>
    <t>juan.manosalva@javeriana.edu.co</t>
  </si>
  <si>
    <t>320/493-6789</t>
  </si>
  <si>
    <t>2510IINDSGIO-6</t>
  </si>
  <si>
    <t>JUAN DIEGO DIAZ SABOGAL</t>
  </si>
  <si>
    <t>juand-diaz@javeriana.edu.co</t>
  </si>
  <si>
    <t>316/040-8886</t>
  </si>
  <si>
    <t>JUAN DIEGO MEDINA PINZON</t>
  </si>
  <si>
    <t>jdmedinap@javeriana.edu.co</t>
  </si>
  <si>
    <t>311/386-0612</t>
  </si>
  <si>
    <t>JUAN FELIPE MORALES ESPITIA</t>
  </si>
  <si>
    <t>moralese.j@javeriana.edu.co</t>
  </si>
  <si>
    <t>317/424-4974</t>
  </si>
  <si>
    <t>2510ISISTJUA-9</t>
  </si>
  <si>
    <t>JUAN FERNANDO CRESPO QUINTERO</t>
  </si>
  <si>
    <t>j.crespo@javeriana.edu.co</t>
  </si>
  <si>
    <t>315/856-4617</t>
  </si>
  <si>
    <t>JUAN FERNANDO RENGIFO RIOS</t>
  </si>
  <si>
    <t>juanf_rengifo@javeriana.edu.co</t>
  </si>
  <si>
    <t>302/367-3724</t>
  </si>
  <si>
    <t>JUANITA FRANCO SANCHEZ</t>
  </si>
  <si>
    <t>franco_juanita@javeriana.edu.co</t>
  </si>
  <si>
    <t>316/042-7177</t>
  </si>
  <si>
    <t>JUANITA MARIA ARCOS RODRIGUEZ</t>
  </si>
  <si>
    <t>juanitam.arcos@javeriana.edu.co</t>
  </si>
  <si>
    <t>305/400-4267</t>
  </si>
  <si>
    <t>JUANITA MUÑOZ CHALARCA</t>
  </si>
  <si>
    <t>munozcj@javeriana.edu.co</t>
  </si>
  <si>
    <t>315/216-0780</t>
  </si>
  <si>
    <t>JULIAN ANDRES MOLINA CALDERON</t>
  </si>
  <si>
    <t>julian.molinac@javeriana.edu.co</t>
  </si>
  <si>
    <t>302/368-8903</t>
  </si>
  <si>
    <t>DAVID ESTEBAN GONZALEZ ROZO</t>
  </si>
  <si>
    <t>desteban.gonzalezr@javeriana.edu.co</t>
  </si>
  <si>
    <t>305/717-5155</t>
  </si>
  <si>
    <t>2510IELECJOS-6</t>
  </si>
  <si>
    <t>JULIAN EDUARDO MALDONADO CASTRO</t>
  </si>
  <si>
    <t>maldonado_julian@javeriana.edu.co</t>
  </si>
  <si>
    <t>317/367-0030</t>
  </si>
  <si>
    <t>JULIAN RODRIGUEZ CESPEDES</t>
  </si>
  <si>
    <t>julianrodriguezc@javeriana.edu.co</t>
  </si>
  <si>
    <t>317/625-6412</t>
  </si>
  <si>
    <t>2510ISISTJUA-7</t>
  </si>
  <si>
    <t>FRANCY YULIANA TORRES MESA</t>
  </si>
  <si>
    <t>torresmfrancy@javeriana.edu.co</t>
  </si>
  <si>
    <t>321/344-2017</t>
  </si>
  <si>
    <t>LORENA ANDREA AYALA ALTAMIRANO</t>
  </si>
  <si>
    <t>LORIETH INGRY VALENTINA ABREO LOZA</t>
  </si>
  <si>
    <t>abreol_loriethingryv@javeriana.edu.co</t>
  </si>
  <si>
    <t>310 438 9250</t>
  </si>
  <si>
    <t>MARIA ALEJANDRA REMOLINA MENGUAL</t>
  </si>
  <si>
    <t>remolina.maria@javeriana.edu.co</t>
  </si>
  <si>
    <t>316/050-9016</t>
  </si>
  <si>
    <t>MARIA JOSE VALENCIA BEDOYA</t>
  </si>
  <si>
    <t>mjvalencia@javeriana.edu.co</t>
  </si>
  <si>
    <t>318/352-0223</t>
  </si>
  <si>
    <t>MATEO MENDOZA VILLEGAS</t>
  </si>
  <si>
    <t>MELISSA MARIE SCHOONEWOLFF DUQUE</t>
  </si>
  <si>
    <t>schoonewolff_melissa@javeriana.edu.co</t>
  </si>
  <si>
    <t>300/256-8413</t>
  </si>
  <si>
    <t>MICHAEL JOEL GONZALEZ DIAZ</t>
  </si>
  <si>
    <t>michael.gonzalez@javeriana.edu.co</t>
  </si>
  <si>
    <t>319/687-7225</t>
  </si>
  <si>
    <t>MIGUEL ANGEL BAYONA RIVERA</t>
  </si>
  <si>
    <t>bayona-miguel@javeriana.edu.co</t>
  </si>
  <si>
    <t>321/948-7524</t>
  </si>
  <si>
    <t>2510ISISTJUA-8</t>
  </si>
  <si>
    <t>GUILLERMO ANDRES AGUILERA HURTADO</t>
  </si>
  <si>
    <t>aguilera.g@javeriana.edu.co</t>
  </si>
  <si>
    <t>305/312-6604</t>
  </si>
  <si>
    <t>NASLY VERONICA NOVOA LOZANO</t>
  </si>
  <si>
    <t>novoa_nv@javeriana.edu.co</t>
  </si>
  <si>
    <t>319/488-8767</t>
  </si>
  <si>
    <t>NATALIA DANIELA PEREZ AREVALO</t>
  </si>
  <si>
    <t>ndaniela-perez@javeriana.edu.co</t>
  </si>
  <si>
    <t>300/711-7517</t>
  </si>
  <si>
    <t>NICOLAS ESTEBAN SANCHEZ</t>
  </si>
  <si>
    <t>nicolase_sanchez@javeriana.edu.co</t>
  </si>
  <si>
    <t>319/474-7699</t>
  </si>
  <si>
    <t>NICOLAS MURILLO CASTRO</t>
  </si>
  <si>
    <t>nicolas.murillo@javeriana.edu.co</t>
  </si>
  <si>
    <t>315/407-7656</t>
  </si>
  <si>
    <t>OMAR SANTIAGO FONSECA BUSTOS</t>
  </si>
  <si>
    <t>fonsecabos@javeriana.edu.co</t>
  </si>
  <si>
    <t>317/717-5702</t>
  </si>
  <si>
    <t>JERONIMO RUEDA GIRALDO</t>
  </si>
  <si>
    <t>jeronimorueda@javeriana.edu.co</t>
  </si>
  <si>
    <t>314/241-7802</t>
  </si>
  <si>
    <t>SAMUEL RAMIREZ ALVAREZ</t>
  </si>
  <si>
    <t>ra.samuel@javeriana.edu.co</t>
  </si>
  <si>
    <t>350/342-1410</t>
  </si>
  <si>
    <t>SANTIAGO IBARRA PRADA</t>
  </si>
  <si>
    <t>ibarra_santiago@javeriana.edu.co</t>
  </si>
  <si>
    <t>318/526-7362</t>
  </si>
  <si>
    <t>SIMON PARDO GUERRA</t>
  </si>
  <si>
    <t>simonpardo@javeriana.edu.co</t>
  </si>
  <si>
    <t>317/367-3715</t>
  </si>
  <si>
    <t>TOMAS CAMACHO CASTELLANOS</t>
  </si>
  <si>
    <t>tomascamacho@javeriana.edu.co</t>
  </si>
  <si>
    <t>320/402-3686</t>
  </si>
  <si>
    <t>VALENTINA MOLINA FERNANDEZ</t>
  </si>
  <si>
    <t>molinaf.valentina@javeriana.edu.co</t>
  </si>
  <si>
    <t>313/818-2538</t>
  </si>
  <si>
    <t>VALERIA FONSECA CRUZ</t>
  </si>
  <si>
    <t>valeria.fonseca@javeriana.edu.co</t>
  </si>
  <si>
    <t>320/998-6865</t>
  </si>
  <si>
    <t>ANDRES DARIO VERGARA CANO</t>
  </si>
  <si>
    <t>andres-vergarac@javeriana.edu.co</t>
  </si>
  <si>
    <t>320/877-8476</t>
  </si>
  <si>
    <t>2510ISISTJUA-11</t>
  </si>
  <si>
    <t>ANDRES FELIPE FLOREZ BUITRAGO</t>
  </si>
  <si>
    <t>an_florez@javeriana.edu.co</t>
  </si>
  <si>
    <t>315/614-6157</t>
  </si>
  <si>
    <t>JOSE SIMON ORTEGA COTES</t>
  </si>
  <si>
    <t>ortegac.js@javeriana.edu.co</t>
  </si>
  <si>
    <t>321/971-6358</t>
  </si>
  <si>
    <t>JUAN FELIPE FERNANDEZ BARRERO</t>
  </si>
  <si>
    <t>juanffernandezb@javeriana.edu.co</t>
  </si>
  <si>
    <t>304/635-1684</t>
  </si>
  <si>
    <t>MIGUEL ANGEL BARON ALFONSO</t>
  </si>
  <si>
    <t>mangel.baron@javeriana.edu.co</t>
  </si>
  <si>
    <t>305/778-4795</t>
  </si>
  <si>
    <t>NICOLAS GUTIERREZ ACUÑA</t>
  </si>
  <si>
    <t>gutierrez_nicolas@javeriana.edu.co</t>
  </si>
  <si>
    <t>320/889-4120</t>
  </si>
  <si>
    <t>2510IINDSCLA-3</t>
  </si>
  <si>
    <t>NICOLAS HINCAPIE JARA</t>
  </si>
  <si>
    <t>nicolas.hincapiej@javeriana.edu.co</t>
  </si>
  <si>
    <t>317/775-9800</t>
  </si>
  <si>
    <t>PAULA CAMILA BOHORQUEZ GAHONA</t>
  </si>
  <si>
    <t>bohorquez_paulac@javeriana.edu.co</t>
  </si>
  <si>
    <t>312/341-5593</t>
  </si>
  <si>
    <t>2025-20</t>
  </si>
  <si>
    <t>JUAN CAMILO CONTRERAS  CASTRO</t>
  </si>
  <si>
    <t>jcamilo.contreras@javeriana.edu.co</t>
  </si>
  <si>
    <t>305/860-5116</t>
  </si>
  <si>
    <t>2520IELECDIE-1</t>
  </si>
  <si>
    <t>VALENTINA BALLESTEROS GOMEZ</t>
  </si>
  <si>
    <t>v.ballesteros@javeriana.edu.co</t>
  </si>
  <si>
    <t>322/471-9782</t>
  </si>
  <si>
    <t>LINA MARIA VELASQUEZ PEÑA</t>
  </si>
  <si>
    <t>velasquezp.linam@javeriana.edu.co</t>
  </si>
  <si>
    <t>312/348-3222</t>
  </si>
  <si>
    <t>MIGUEL ANGEL MEDINA RODRIGUEZ</t>
  </si>
  <si>
    <t>medinar.m@javeriana.edu.co</t>
  </si>
  <si>
    <t>316/491-1959</t>
  </si>
  <si>
    <t>SAMUEL NIÑO GONZALEZ</t>
  </si>
  <si>
    <t>ninogsamuel@javeriana.edu.co</t>
  </si>
  <si>
    <t>321/378-1617</t>
  </si>
  <si>
    <t>MARIANA CASTELLANOS SANCHEZ</t>
  </si>
  <si>
    <t>mariana-castellanoss@javeriana.edu.co</t>
  </si>
  <si>
    <t>313/285-9223</t>
  </si>
  <si>
    <t>DIEGO NICOLAS GARZON AMAYA</t>
  </si>
  <si>
    <t>diegon_garzona@javeriana.edu.co</t>
  </si>
  <si>
    <t>319/230-1489</t>
  </si>
  <si>
    <t>2520IELECJOS-1</t>
  </si>
  <si>
    <t>JUAN FERNANDO LOZANO CRISTIANO</t>
  </si>
  <si>
    <t>jfernando-lozano@javeriana.edu.co</t>
  </si>
  <si>
    <t>314/295-8813</t>
  </si>
  <si>
    <t>PABLO DANIEL ALFONSO OBANDO</t>
  </si>
  <si>
    <t>pablo_alfonsoo@javeriana.edu.co</t>
  </si>
  <si>
    <t>323/944-7901</t>
  </si>
  <si>
    <t>SAMUEL RODRIGUEZ OCHOA</t>
  </si>
  <si>
    <t>ro.samuel@javeriana.edu.co</t>
  </si>
  <si>
    <t>318/739-6064</t>
  </si>
  <si>
    <t>JULIAN DAVID RINCON GARZON</t>
  </si>
  <si>
    <t>julianrincong@javeriana.edu.co</t>
  </si>
  <si>
    <t>321/473-9100</t>
  </si>
  <si>
    <t>ANDRES FELIPE SALCEDO CORTES</t>
  </si>
  <si>
    <t>andresfsalcedoc@javeriana.edu.co</t>
  </si>
  <si>
    <t>315/706-8826</t>
  </si>
  <si>
    <t>2520IELECJOS-2</t>
  </si>
  <si>
    <t>JUAN CARLOS BOBADILLA SANCHEZ</t>
  </si>
  <si>
    <t>jc.bobadillas@javeriana.edu.co</t>
  </si>
  <si>
    <t>319/471-4340</t>
  </si>
  <si>
    <t>LUIS ENRIQUE SKOVKJAER ARANGO</t>
  </si>
  <si>
    <t>luise_skovkjaer@javeriana.edu.co</t>
  </si>
  <si>
    <t>320/528-2199</t>
  </si>
  <si>
    <t>SAMUEL ESTEBAN CAMERO GOMEZ</t>
  </si>
  <si>
    <t>camerog_se@javeriana.edu.co</t>
  </si>
  <si>
    <t>300/475-9996</t>
  </si>
  <si>
    <t>SEBASTIAN GALLARDO SUAREZ</t>
  </si>
  <si>
    <t>s_gallardo@javeriana.edu.co</t>
  </si>
  <si>
    <t>300/703-7239</t>
  </si>
  <si>
    <t>JUAN SEBASTIAN CLAVIJO MARTINEZ</t>
  </si>
  <si>
    <t>jsebastian.clavijoc@javeriana.edu.co</t>
  </si>
  <si>
    <t>321/418-0084</t>
  </si>
  <si>
    <t>Ing Redes Y Telecomunicaciones</t>
  </si>
  <si>
    <t>2520IELECDIE-4</t>
  </si>
  <si>
    <t>CARLOS ENRIQUE RINCON RODRIGUEZ</t>
  </si>
  <si>
    <t>rinconcarlos@javeriana.edu.co</t>
  </si>
  <si>
    <t>313/308-2804</t>
  </si>
  <si>
    <t>DANIEL HUMBERTO SUAREZ GARZON</t>
  </si>
  <si>
    <t>su-daniel@javeriana.edu.co</t>
  </si>
  <si>
    <t>320/653-7744</t>
  </si>
  <si>
    <t>2025-30</t>
  </si>
  <si>
    <t>JUAN CAMILO BOHORQUEZ GARCIA</t>
  </si>
  <si>
    <t>bohorquez.jc@javeriana.edu.co</t>
  </si>
  <si>
    <t>312/370-6794</t>
  </si>
  <si>
    <t>2530IINDSMAR-2</t>
  </si>
  <si>
    <t>ANDRÉS FELIPE JIMÉNEZ ALBOR</t>
  </si>
  <si>
    <t>andresf.jimeneza@javeriana.edu.co</t>
  </si>
  <si>
    <t>315/629-1356</t>
  </si>
  <si>
    <t>2530IELECDIE-5</t>
  </si>
  <si>
    <t>JAVIER EDUARDO DIAZ CASTILLO</t>
  </si>
  <si>
    <t>diazc.javiere@javeriana.edu.co</t>
  </si>
  <si>
    <t>321/341-0176</t>
  </si>
  <si>
    <t>2530ICIVLLUI-1</t>
  </si>
  <si>
    <t>JOSE DAVID VARGAS TOVAR</t>
  </si>
  <si>
    <t>jdavid.vargast@javeriana.edu.co</t>
  </si>
  <si>
    <t>305/411-6769</t>
  </si>
  <si>
    <t>JUAN JOSE ROA EGEA</t>
  </si>
  <si>
    <t>juan-roae@javeriana.edu.co</t>
  </si>
  <si>
    <t>320/427-2483</t>
  </si>
  <si>
    <t>JUAN MATEO VALENCIA BERNAL</t>
  </si>
  <si>
    <t>jmateo.valencia@javeriana.edu.co</t>
  </si>
  <si>
    <t>310/204-7483</t>
  </si>
  <si>
    <t>ROBERTO JOSE COTES CASTRO</t>
  </si>
  <si>
    <t>r.cotes@javeriana.edu.co</t>
  </si>
  <si>
    <t>318/516-7944</t>
  </si>
  <si>
    <t>ANA MARIA VARGAS GUERRA</t>
  </si>
  <si>
    <t>amariavargas@javeriana.edu.co</t>
  </si>
  <si>
    <t>311/408-8900</t>
  </si>
  <si>
    <t>2530ICIVLLUI-3</t>
  </si>
  <si>
    <t>NICOLAS AGUILAR CHAPARRO</t>
  </si>
  <si>
    <t>aguilar-nicolas@javeriana.edu.co</t>
  </si>
  <si>
    <t>310/639-2666</t>
  </si>
  <si>
    <t>2530ISISTALI-1</t>
  </si>
  <si>
    <t>ALEJANDRO PINZON FAJARDO</t>
  </si>
  <si>
    <t>alejandro_pinzon@javeriana.edu.co</t>
  </si>
  <si>
    <t>311/536-9454</t>
  </si>
  <si>
    <t>2530ISISTALI-5</t>
  </si>
  <si>
    <t>SEBASTIAN FELIPE GALINDO RODRIGUEZ</t>
  </si>
  <si>
    <t>sfelipe.galindor@javeriana.edu.co</t>
  </si>
  <si>
    <t>319/457-7964</t>
  </si>
  <si>
    <t>VALENTINA GARCIA ALFONSO</t>
  </si>
  <si>
    <t>valentina.garciaa@javeriana.edu.co</t>
  </si>
  <si>
    <t>311/208-0808</t>
  </si>
  <si>
    <t>MIGUEL ANGEL RICO LLANOS</t>
  </si>
  <si>
    <t>ricolmiguel@javeriana.edu.co</t>
  </si>
  <si>
    <t>317/417-6669</t>
  </si>
  <si>
    <t>2530ISISTALI-6</t>
  </si>
  <si>
    <t>MARIANA CAMACHO SANCHEZ</t>
  </si>
  <si>
    <t>mcamachos@javeriana.edu.co</t>
  </si>
  <si>
    <t>317/363-5943</t>
  </si>
  <si>
    <t>JUAN FELIPE MARTINEZ DIAZ</t>
  </si>
  <si>
    <t>jfelipemartinez@javeriana.edu.co</t>
  </si>
  <si>
    <t>305/426-5786</t>
  </si>
  <si>
    <t>2530IINDSCLA-7</t>
  </si>
  <si>
    <t>JAIDER ESTEBAN CARDONA MORENO</t>
  </si>
  <si>
    <t>ja.cardona@javeriana.edu.co</t>
  </si>
  <si>
    <t>313/895-4143</t>
  </si>
  <si>
    <t>TOMAS DAVID TRIANA VARGAS</t>
  </si>
  <si>
    <t>2530IMECAMAR-1</t>
  </si>
  <si>
    <t>ANDRÉS FELIPE GÓMEZ GALINDO</t>
  </si>
  <si>
    <t>andresf-gomez@javeriana.edu.co</t>
  </si>
  <si>
    <t>315/925-2839</t>
  </si>
  <si>
    <t>2530IINDSBLA-3</t>
  </si>
  <si>
    <t>BRAYAN DAVID FAJARDO GUIZA</t>
  </si>
  <si>
    <t>b-fajardo@javeriana.edu.co</t>
  </si>
  <si>
    <t>312/377-1835</t>
  </si>
  <si>
    <t>2530ISISTJUA-10</t>
  </si>
  <si>
    <t>DANIEL ESTEBAN CASTELLANOS ECHEVERRIA</t>
  </si>
  <si>
    <t>castellanose_daniele@javeriana.edu.co</t>
  </si>
  <si>
    <t>305/936-8969</t>
  </si>
  <si>
    <t>2530ISISTALI-10</t>
  </si>
  <si>
    <t>HENRY DANIEL CRUZ PARRADO</t>
  </si>
  <si>
    <t>hdaniel-cruz@javeriana.edu.co</t>
  </si>
  <si>
    <t>321/268-0790</t>
  </si>
  <si>
    <t>LUIS FELIPE GUTIERREZ RODRIGUEZ</t>
  </si>
  <si>
    <t>gutierrez-lfelipe@javeriana.edu.co</t>
  </si>
  <si>
    <t>312/480-0435</t>
  </si>
  <si>
    <t>2530ISISTJUA-8</t>
  </si>
  <si>
    <t>2530IINDSBLA-1</t>
  </si>
  <si>
    <t>MATIAS FELIPE GONZALEZ VALENCIA</t>
  </si>
  <si>
    <t>matias_gonzalez@javeriana.edu.co</t>
  </si>
  <si>
    <t>350/270-4518</t>
  </si>
  <si>
    <t>2530ISISTALI-17</t>
  </si>
  <si>
    <t>MIGUEL DAVID NIÑO ARIZA</t>
  </si>
  <si>
    <t>ninoa-m@javeriana.edu.co</t>
  </si>
  <si>
    <t>320/285-5416</t>
  </si>
  <si>
    <t>NICOLAS SANTIAGO PRADA RONDÓN</t>
  </si>
  <si>
    <t>prada_nicolas@javeriana.edu.co</t>
  </si>
  <si>
    <t>311/841-3050</t>
  </si>
  <si>
    <t>NICOLLE KARINA VIVAS GUZMAN</t>
  </si>
  <si>
    <t>nicolle.vivasg@javeriana.edu.co</t>
  </si>
  <si>
    <t>315/850-3391</t>
  </si>
  <si>
    <t>2530IINDSBLA-2</t>
  </si>
  <si>
    <t>SEBASTIÁN SIMCHA DÍAZ MERCADO</t>
  </si>
  <si>
    <t>2530IINDSGIO-3</t>
  </si>
  <si>
    <t>STEPHANY VALENTINA SEPULVEDA RAMIREZ</t>
  </si>
  <si>
    <t>stephany.sepulvedar@javeriana.edu.co</t>
  </si>
  <si>
    <t>311/825-4231</t>
  </si>
  <si>
    <t>ANNIKA ANDREA CARL CORREDOR</t>
  </si>
  <si>
    <t>carl.annika@javeriana.edu.co</t>
  </si>
  <si>
    <t>321/393-7636</t>
  </si>
  <si>
    <t>2530IINDSMAR-1</t>
  </si>
  <si>
    <t>GABRIELA PAEZ SANDOVAL</t>
  </si>
  <si>
    <t>paez_gabriela@javeriana.edu.co</t>
  </si>
  <si>
    <t>315/903-0006</t>
  </si>
  <si>
    <t>JUAN CAMILO GUERRERO MARTINEZ</t>
  </si>
  <si>
    <t>juancguerrerom@javeriana.edu.co</t>
  </si>
  <si>
    <t>318/723-3069</t>
  </si>
  <si>
    <t>JUAN ESTEBAN CORTES CAMARGO</t>
  </si>
  <si>
    <t>juancortesc@javeriana.edu.co</t>
  </si>
  <si>
    <t>314/385-8252</t>
  </si>
  <si>
    <t>KAREN JULIANA JAIME LOPEZ</t>
  </si>
  <si>
    <t>kjjaime@javeriana.edu.co</t>
  </si>
  <si>
    <t>305/832-1858</t>
  </si>
  <si>
    <t>JUAN JOSE MERA GAMBOA</t>
  </si>
  <si>
    <t>jj.mera@javeriana.edu.co</t>
  </si>
  <si>
    <t>350/575-4991</t>
  </si>
  <si>
    <t>2530IINDSGIO-5</t>
  </si>
  <si>
    <t>JUAN JOSE SOLER DORIA</t>
  </si>
  <si>
    <t>solerdjuanj@javeriana.edu.co</t>
  </si>
  <si>
    <t>315/707-2640</t>
  </si>
  <si>
    <t>JUAN MANUEL MONCALEANO MENDOZA</t>
  </si>
  <si>
    <t>juan-moncaleano@javeriana.edu.co</t>
  </si>
  <si>
    <t>322/479-6398</t>
  </si>
  <si>
    <t>MICHAEL STEVEN MARTINEZ AMARILLO</t>
  </si>
  <si>
    <t>ma_michael@javeriana.edu.co</t>
  </si>
  <si>
    <t>320/426-1292</t>
  </si>
  <si>
    <t>PAULA VICTORIA ROA QUINTERO</t>
  </si>
  <si>
    <t>paulav.roaq@javeriana.edu.co</t>
  </si>
  <si>
    <t>350/406-5130</t>
  </si>
  <si>
    <t>ALEJANDRO ALBERTO LOBO OLAYA</t>
  </si>
  <si>
    <t>loboalejandro@javeriana.edu.co</t>
  </si>
  <si>
    <t>318/606-1940</t>
  </si>
  <si>
    <t>2530IELECJOS-1</t>
  </si>
  <si>
    <t>ANDRES FELIPE RAMIREZ QUINTERO</t>
  </si>
  <si>
    <t>ramirezqandres@javeriana.edu.co</t>
  </si>
  <si>
    <t>300/319-8473</t>
  </si>
  <si>
    <t>2530IELECDIE-1</t>
  </si>
  <si>
    <t>CARLOS ANTONIO MONTALVO ZAMBRANO</t>
  </si>
  <si>
    <t>carlos.montalvo@javeriana.edu.co</t>
  </si>
  <si>
    <t>302/467-0351</t>
  </si>
  <si>
    <t>2530IELECJOS-2</t>
  </si>
  <si>
    <t>CARLOS EDUARDO CORTES CORTES</t>
  </si>
  <si>
    <t>cortescarlose@javeriana.edu.co</t>
  </si>
  <si>
    <t>318/338-6175</t>
  </si>
  <si>
    <t>CARLOS GABRIEL MENESES CACERES</t>
  </si>
  <si>
    <t>carlosg_meneses@javeriana.edu.co</t>
  </si>
  <si>
    <t>314/335-7119</t>
  </si>
  <si>
    <t>2530IELECJOS-7</t>
  </si>
  <si>
    <t>DANIEL ALEJANDRO CUBILLOS MURILLO</t>
  </si>
  <si>
    <t>daniel.cubillosm@javeriana.edu.co</t>
  </si>
  <si>
    <t>321/909-0867</t>
  </si>
  <si>
    <t>DANIEL ANDRES ROSERO ALONSO</t>
  </si>
  <si>
    <t>roserod.a@javeriana.edu.co</t>
  </si>
  <si>
    <t>310/217-1695</t>
  </si>
  <si>
    <t>DANIEL ARMANDO PARRA CUERVO</t>
  </si>
  <si>
    <t>daniel-parra@javeriana.edu.co</t>
  </si>
  <si>
    <t>322/421-7553</t>
  </si>
  <si>
    <t>GILMER FELIPE DASILVA CARDOZO</t>
  </si>
  <si>
    <t>gfdasilva@javeriana.edu.co</t>
  </si>
  <si>
    <t>312/548-6671</t>
  </si>
  <si>
    <t>JOSE LUIS CABRERA OVIEDO</t>
  </si>
  <si>
    <t>cabrera-jose@javeriana.edu.co</t>
  </si>
  <si>
    <t>323/210-8954</t>
  </si>
  <si>
    <t>JUAN CAMILO CASTRO SANCHEZ</t>
  </si>
  <si>
    <t>castros_jcamilo@javeriana.edu.co</t>
  </si>
  <si>
    <t>318/691-1354</t>
  </si>
  <si>
    <t>SARA ISABELLA LÓPEZ AVILA</t>
  </si>
  <si>
    <t>sa_lopez@javeriana.edu.co</t>
  </si>
  <si>
    <t>322/200-4818</t>
  </si>
  <si>
    <t>VALENTINA ESTEVEZ BARCO</t>
  </si>
  <si>
    <t>vaestevez@javeriana.edu.co</t>
  </si>
  <si>
    <t>+573178953992</t>
  </si>
  <si>
    <t>VALERIA TELLO ORTIZ</t>
  </si>
  <si>
    <t>valeria.telloo@javeriana.edu.co</t>
  </si>
  <si>
    <t>321/798-6303</t>
  </si>
  <si>
    <t>CRISTIAN ANDRES ORTIZ AGUILAR</t>
  </si>
  <si>
    <t>cristianortiz@javeriana.edu.co</t>
  </si>
  <si>
    <t>305/759-5847</t>
  </si>
  <si>
    <t>DANIEL DAVID GIRALDO MÉNDEZ</t>
  </si>
  <si>
    <t>dd.giraldo@javeriana.edu.co</t>
  </si>
  <si>
    <t>350/215-0238</t>
  </si>
  <si>
    <t>DANIEL MAURICIO GUTIERREZ URREGO</t>
  </si>
  <si>
    <t>gutierrezu_dm@javeriana.edu.co</t>
  </si>
  <si>
    <t>318/339-6308</t>
  </si>
  <si>
    <t>EDUAR MAURICIO BARRERO LOPEZ</t>
  </si>
  <si>
    <t>barrrero.eduar@javeriana.edu.co</t>
  </si>
  <si>
    <t>30130155015</t>
  </si>
  <si>
    <t>ISAACK CACERES CASTILLO</t>
  </si>
  <si>
    <t>icaceresc@javeriana.edu.co</t>
  </si>
  <si>
    <t>317/726-8644</t>
  </si>
  <si>
    <t>ALEJANDRO CAICEDO CAICEDO</t>
  </si>
  <si>
    <t>caicedo_alejandro@javeriana.edu.co</t>
  </si>
  <si>
    <t>317/386-4844</t>
  </si>
  <si>
    <t>JUAN CAMILO AMARILLO MORALES</t>
  </si>
  <si>
    <t>j-amarillo@javeriana.edu.co</t>
  </si>
  <si>
    <t>320/266-1798</t>
  </si>
  <si>
    <t>LUCAS MARTINEZ VASQUEZ</t>
  </si>
  <si>
    <t>lucas.martinezv@javeriana.edu.co</t>
  </si>
  <si>
    <t>305/414-3125</t>
  </si>
  <si>
    <t>2530IINDSCLA-5</t>
  </si>
  <si>
    <t>HILLARY SOFIA CIFUENTES LADINO</t>
  </si>
  <si>
    <t>hs.cifuentes@javeriana.edu.co</t>
  </si>
  <si>
    <t>313/330-3596</t>
  </si>
  <si>
    <t>MARIA PAULA RODRIGUEZ MANCERA</t>
  </si>
  <si>
    <t>mpaularodriguezm@javeriana.edu.co</t>
  </si>
  <si>
    <t>317/894-9305</t>
  </si>
  <si>
    <t>2530ISISTALI-4</t>
  </si>
  <si>
    <t>MARIANA PEREZ CASALLAS</t>
  </si>
  <si>
    <t>perezc.mariana@javeriana.edu.co</t>
  </si>
  <si>
    <t>323/218-4716</t>
  </si>
  <si>
    <t>NATALIA ROSALIA RAMIREZ ROMERO</t>
  </si>
  <si>
    <t>ramirez.nr@javeriana.edu.co</t>
  </si>
  <si>
    <t>321/930-8170</t>
  </si>
  <si>
    <t>JUAN FELIPE GALVIS VARGAS</t>
  </si>
  <si>
    <t>galvisjf@javeriana.edu.co</t>
  </si>
  <si>
    <t>313/451-8285</t>
  </si>
  <si>
    <t>ADRIAN EDUARDO RUIZ CERQUERA</t>
  </si>
  <si>
    <t>ruiz-adrian@javeriana.edu.co</t>
  </si>
  <si>
    <t>318/227-3533</t>
  </si>
  <si>
    <t>2530ISISTALI-7</t>
  </si>
  <si>
    <t>JUAN DAVID AARON PARRA</t>
  </si>
  <si>
    <t>juan_aaronp@javeriana.edu.co</t>
  </si>
  <si>
    <t>312/367-0285</t>
  </si>
  <si>
    <t>DANIEL ALEJANDRO VERGARA DIAZ</t>
  </si>
  <si>
    <t>dalejandro-vergara@javeriana.edu.co</t>
  </si>
  <si>
    <t>301/442-3036</t>
  </si>
  <si>
    <t>2530BIOINMAR-8</t>
  </si>
  <si>
    <t>DANIEL ALFREDO VIDAL DE LEON</t>
  </si>
  <si>
    <t>vidal.da@javeriana.edu.co</t>
  </si>
  <si>
    <t>300/218-6741</t>
  </si>
  <si>
    <t>2530ISISTALI-16</t>
  </si>
  <si>
    <t>DANIEL CARVAJAL GUTIERREZ</t>
  </si>
  <si>
    <t>daniel.carvajalg@javeriana.edu.co</t>
  </si>
  <si>
    <t>305/763-3240</t>
  </si>
  <si>
    <t>JUAN PABLO RUIZ PUENTE</t>
  </si>
  <si>
    <t>juanruizp@javeriana.edu.co</t>
  </si>
  <si>
    <t>310/680-9235</t>
  </si>
  <si>
    <t>JUAN SEBASTIAN GARCIA RAMIREZ</t>
  </si>
  <si>
    <t>garciar_juans@javeriana.edu.co</t>
  </si>
  <si>
    <t>322/435-6707</t>
  </si>
  <si>
    <t>JUAN DIEGO ROMERO PLATA</t>
  </si>
  <si>
    <t>juand.romero@javeriana.edu.co</t>
  </si>
  <si>
    <t>318/330-2900</t>
  </si>
  <si>
    <t>JUAN ESTEBAN PAEZ ALFONSO</t>
  </si>
  <si>
    <t>jesteban_paez@javeriana.edu.co</t>
  </si>
  <si>
    <t>300/680-0217</t>
  </si>
  <si>
    <t>JULIAN ALBERTO ARAQUE RODRIGUEZ</t>
  </si>
  <si>
    <t>j-araque@javeriana.edu.co</t>
  </si>
  <si>
    <t>314/382-7642</t>
  </si>
  <si>
    <t>KAREN SOFIA MENDEZ SALAS</t>
  </si>
  <si>
    <t>ks.mendezs@javeriana.edu.co</t>
  </si>
  <si>
    <t>320/311-1572</t>
  </si>
  <si>
    <t>MARIA DANIELA MORENO LEON</t>
  </si>
  <si>
    <t>morenol_md@javeriana.edu.co</t>
  </si>
  <si>
    <t>304/594-2556</t>
  </si>
  <si>
    <t>NATALIA ECHEVERRY SALCEDO</t>
  </si>
  <si>
    <t>nataliaecheverry@javeriana.edu.co</t>
  </si>
  <si>
    <t>321/271-9803</t>
  </si>
  <si>
    <t>SIMON RIVEROS PEREIRA</t>
  </si>
  <si>
    <t>simonriveros@javeriana.edu.co</t>
  </si>
  <si>
    <t>601/802-6502</t>
  </si>
  <si>
    <t>SOFIA CARVAJAL ROMERO</t>
  </si>
  <si>
    <t>sofiacarvajal@javeriana.edu.co</t>
  </si>
  <si>
    <t>313/733-9224</t>
  </si>
  <si>
    <t>CARLOS DAVID MERCADO GALLEGO</t>
  </si>
  <si>
    <t>mercado-carlos@javeriana.edu.co</t>
  </si>
  <si>
    <t>324/686-5118</t>
  </si>
  <si>
    <t>JUAN ENRIQUE ROZO TARACHE</t>
  </si>
  <si>
    <t>juan.rozot@javeriana.edu.co</t>
  </si>
  <si>
    <t>318/607-0752</t>
  </si>
  <si>
    <t>MARIA PAULA RODRIGUEZ RUIZ</t>
  </si>
  <si>
    <t>rodriguezr.mp@javeriana.edu.co</t>
  </si>
  <si>
    <t>315/651-1970</t>
  </si>
  <si>
    <t>EDUARDO DE BRIGARD CARREÑO</t>
  </si>
  <si>
    <t>debrigard.eduardo@javeriana.edu.co</t>
  </si>
  <si>
    <t>300/602-3052</t>
  </si>
  <si>
    <t>JOSE DAVID BERNAL ORTIZ</t>
  </si>
  <si>
    <t>jdbernalo@javeriana.edu.co</t>
  </si>
  <si>
    <t>322/904-5261</t>
  </si>
  <si>
    <t>2530BIOINMAR-5</t>
  </si>
  <si>
    <t>SANTIAGO FELIPE TRIANA GUZMAN</t>
  </si>
  <si>
    <t>trianasfelipe@javeriana.edu.co</t>
  </si>
  <si>
    <t>313/873-0633</t>
  </si>
  <si>
    <t>2530IMECAMAR-5</t>
  </si>
  <si>
    <t>SERGIO MIGUEL CUELLAR BERNAL</t>
  </si>
  <si>
    <t>sergio.cuellarb@javeriana.edu.co</t>
  </si>
  <si>
    <t>318/752-6475</t>
  </si>
  <si>
    <t>ADRIANA ROCIO DIAZ SANCHEZ</t>
  </si>
  <si>
    <t>addiaz@javeriana.edu.co</t>
  </si>
  <si>
    <t>315/607-7294</t>
  </si>
  <si>
    <t>JULIAN DAVID AREVALO CARRERO</t>
  </si>
  <si>
    <t>ar_julian@javeriana.edu.co</t>
  </si>
  <si>
    <t>317/867-3094</t>
  </si>
  <si>
    <t>KAREN VANESSA WILCHES BELTRAN</t>
  </si>
  <si>
    <t>karenv-wilchesb@javeriana.edu.co</t>
  </si>
  <si>
    <t>312/241-2641</t>
  </si>
  <si>
    <t>CIRO SEBASTIAN SAAVEDRA MEDINA</t>
  </si>
  <si>
    <t>saavedraa_c@javeriana.edu.co</t>
  </si>
  <si>
    <t>316/610-0186</t>
  </si>
  <si>
    <t>DANIEL FERNANDO GONZALEZ CORTES</t>
  </si>
  <si>
    <t>gonzalezdanielf@javeriana.edu.co</t>
  </si>
  <si>
    <t>300/685-7524</t>
  </si>
  <si>
    <t>DIEGO ALEJANDRO TORRES CELY</t>
  </si>
  <si>
    <t>diegoatorres@javeriana.edu.co</t>
  </si>
  <si>
    <t>322/795-5955</t>
  </si>
  <si>
    <t>DIEGO ANDRES VILLABON CORREA</t>
  </si>
  <si>
    <t>diego-villabon@javeriana.edu.co</t>
  </si>
  <si>
    <t>318/527-3115</t>
  </si>
  <si>
    <t>JUAN FELIPE BERNAL CIFUENTES</t>
  </si>
  <si>
    <t>bernal_jf@javeriana.edu.co</t>
  </si>
  <si>
    <t>321/225-0306</t>
  </si>
  <si>
    <t>2530IINDSCLA-4</t>
  </si>
  <si>
    <t>JUAN JOSE BERMUDEZ PALACIOS</t>
  </si>
  <si>
    <t>bermudezjuanj@javeriana.edu.co</t>
  </si>
  <si>
    <t>315/231-5801</t>
  </si>
  <si>
    <t>LUISA FERNANDA CRUZ CARDONA</t>
  </si>
  <si>
    <t>luisafcruz@javeriana.edu.co</t>
  </si>
  <si>
    <t>316/236-4458</t>
  </si>
  <si>
    <t>2530IELECJOS-9</t>
  </si>
  <si>
    <t>MELISSA ANDREA FIGUEROA JIMENEZ</t>
  </si>
  <si>
    <t>mefigueroa@javeriana.edu.co</t>
  </si>
  <si>
    <t>301/736-4553</t>
  </si>
  <si>
    <t>MIGUEL ANGEL DUARTE CLAVIJO</t>
  </si>
  <si>
    <t>duartecmiguel@javeriana.edu.co</t>
  </si>
  <si>
    <t>319/455-5946</t>
  </si>
  <si>
    <t>PABLO APARICIO ARANGO</t>
  </si>
  <si>
    <t>p.aparicioa@javeriana.edu.co</t>
  </si>
  <si>
    <t>300/558-5192</t>
  </si>
  <si>
    <t>RENATO FERNANDO NEGRETE PUENTE</t>
  </si>
  <si>
    <t>renatofnegrete@javeriana.edu.co</t>
  </si>
  <si>
    <t>319/596-8667</t>
  </si>
  <si>
    <t>SANTIAGO BERNAL LUGO</t>
  </si>
  <si>
    <t>bernallsantiago@javeriana.edu.co</t>
  </si>
  <si>
    <t>311/594-3058</t>
  </si>
  <si>
    <t>SANTIAGO GARCIA ALBA</t>
  </si>
  <si>
    <t>sa_garcia@javeriana.edu.co</t>
  </si>
  <si>
    <t>304/553-9819</t>
  </si>
  <si>
    <t>SARA CAROLINA PINTO MARTINEZ</t>
  </si>
  <si>
    <t>pinto.sarac@javeriana.edu.co</t>
  </si>
  <si>
    <t>302/299-4701</t>
  </si>
  <si>
    <t>SERGIO IVAN HERRERA TELLEZ</t>
  </si>
  <si>
    <t>sergioherrerat@javeriana.edu.co</t>
  </si>
  <si>
    <t>316/352-2308</t>
  </si>
  <si>
    <t>ANA SOFIA CARRANZA GRANADOS</t>
  </si>
  <si>
    <t>ana_carranzag@javeriana.edu.co</t>
  </si>
  <si>
    <t>315/323-1107</t>
  </si>
  <si>
    <t>2530IINDSGIO-6</t>
  </si>
  <si>
    <t>CARLOS ESTEBAN MEJIA COY</t>
  </si>
  <si>
    <t>mejia.carlose@javeriana.edu.co</t>
  </si>
  <si>
    <t>313/439-6891</t>
  </si>
  <si>
    <t>DIANA CAROLINA ROJAS ORJUELA</t>
  </si>
  <si>
    <t>dc-rojaso@javeriana.edu.co</t>
  </si>
  <si>
    <t>305/262-4590</t>
  </si>
  <si>
    <t>2530BIOINMAR-3</t>
  </si>
  <si>
    <t>JUAN SEBASTIAN ARISTIZABAL CALDERON</t>
  </si>
  <si>
    <t>js.aristizabal@javeriana.edu.co</t>
  </si>
  <si>
    <t>322/510-1230</t>
  </si>
  <si>
    <t>BRYAN CAMILO OCAMPO GALVIS</t>
  </si>
  <si>
    <t>bryan.ocampo@javeriana.edu.co</t>
  </si>
  <si>
    <t>322/656-5814</t>
  </si>
  <si>
    <t>2530ISISTJUA-2</t>
  </si>
  <si>
    <t>CAMILO ENRIQUE PEÑUELA ESPINOSA</t>
  </si>
  <si>
    <t>ce-penuelae@javeriana.edu.co</t>
  </si>
  <si>
    <t>301/611-3151</t>
  </si>
  <si>
    <t>DEREK SARMIENTO LOEBER</t>
  </si>
  <si>
    <t>dereksarmiento@javeriana.edu.co</t>
  </si>
  <si>
    <t>320/472-4441</t>
  </si>
  <si>
    <t>TOMAS PINILLA FLOREZ</t>
  </si>
  <si>
    <t>tomaspinilla@javeriana.edu.co</t>
  </si>
  <si>
    <t>316/256-7689</t>
  </si>
  <si>
    <t>EDUAR MATEO GUTIERREZ MALAVER</t>
  </si>
  <si>
    <t>emateo.gutierrez@javeriana.edu.co</t>
  </si>
  <si>
    <t>317/535-8162</t>
  </si>
  <si>
    <t>2530BIOINMAR-4</t>
  </si>
  <si>
    <t>JAVIER DAVID RINCON ARENAS</t>
  </si>
  <si>
    <t>rinconjavier@javeriana.edu.co</t>
  </si>
  <si>
    <t>302/442-9643</t>
  </si>
  <si>
    <t>2530IMECAMAR-4</t>
  </si>
  <si>
    <t>JUAN ESTEBAN ROJAS DIAZ</t>
  </si>
  <si>
    <t>rojas_juane@javeriana.edu.co</t>
  </si>
  <si>
    <t>318/306-9900</t>
  </si>
  <si>
    <t>MARIA LUCIA PEÑA MARTINEZ</t>
  </si>
  <si>
    <t>marialpenam@javeriana.edu.co</t>
  </si>
  <si>
    <t>314/777-5050</t>
  </si>
  <si>
    <t>JUAN CARLOS MUÑOZ MUÑOZ</t>
  </si>
  <si>
    <t>juanmunozm@javeriana.edu.co</t>
  </si>
  <si>
    <t>301/287-0140</t>
  </si>
  <si>
    <t>2530IMECAMAR-2</t>
  </si>
  <si>
    <t>DAVID ALEJANDRO RODRIGUEZ RINCON</t>
  </si>
  <si>
    <t>rodriguezr-david@javeriana.edu.co</t>
  </si>
  <si>
    <t>312/858-3812</t>
  </si>
  <si>
    <t>JOHN ESTEBAN DÁVILA ESTRADA</t>
  </si>
  <si>
    <t>johndavila@javeriana.edu.co</t>
  </si>
  <si>
    <t>323/421-4851</t>
  </si>
  <si>
    <t>JUAN PABLO GUTIERREZ GOMEZ</t>
  </si>
  <si>
    <t>jp.gutierrez@javeriana.edu.co</t>
  </si>
  <si>
    <t>317/762-9080</t>
  </si>
  <si>
    <t>MANUEL SANTIAGO SUAREZ ESPITIA</t>
  </si>
  <si>
    <t>suarez_manuels@javeriana.edu.co</t>
  </si>
  <si>
    <t>322/766-2034</t>
  </si>
  <si>
    <t>SEBASTIAN LEMUS FIGUEROA</t>
  </si>
  <si>
    <t>sebastian.lemus@javeriana.edu.co</t>
  </si>
  <si>
    <t>312/299-2074</t>
  </si>
  <si>
    <t>NATALIA CATALINA GUZMAN FUENTES</t>
  </si>
  <si>
    <t>guzman_nataliac@javeriana.edu.co</t>
  </si>
  <si>
    <t>313/245-1698</t>
  </si>
  <si>
    <t>2530BIOINMAR-2</t>
  </si>
  <si>
    <t>SANTIAGO PANCHA CUEVAS</t>
  </si>
  <si>
    <t>pancha-santiago@javeriana.edu.co</t>
  </si>
  <si>
    <t>320/921-8597</t>
  </si>
  <si>
    <t>DANIEL FELIPE CASTRO MORENO</t>
  </si>
  <si>
    <t>castro-df@javeriana.edu.co</t>
  </si>
  <si>
    <t>319/496-6224</t>
  </si>
  <si>
    <t>2530ISISTALI-15</t>
  </si>
  <si>
    <t>DAVID FELIPE VARGAS CARDENAS</t>
  </si>
  <si>
    <t>df.vargasc@javeriana.edu.co</t>
  </si>
  <si>
    <t>310/652-8119</t>
  </si>
  <si>
    <t>ELIANA KATHERINE CEPEDA GONZALEZ</t>
  </si>
  <si>
    <t>elianacepeda@javeriana.edu.co</t>
  </si>
  <si>
    <t>315/750-0608</t>
  </si>
  <si>
    <t>GABRIEL ANIBAL RIAÑO BELTRAN</t>
  </si>
  <si>
    <t>rianogabriel@javeriana.edu.co</t>
  </si>
  <si>
    <t>305/724-0137</t>
  </si>
  <si>
    <t>JUAN ANDRES RODRIGUEZ RUBIO</t>
  </si>
  <si>
    <t>rodriguezjandres@javeriana.edu.co</t>
  </si>
  <si>
    <t>305/865-2227</t>
  </si>
  <si>
    <t>JUAN CAMILO CARVAJAL RODRIGUEZ</t>
  </si>
  <si>
    <t>carvajalr_jc@javeriana.edu.co</t>
  </si>
  <si>
    <t>322/337-4913</t>
  </si>
  <si>
    <t>VALERIA ANDREA ARENAS BECERRA</t>
  </si>
  <si>
    <t>valeria.arenas@javeriana.edu.co</t>
  </si>
  <si>
    <t>316/266-3353</t>
  </si>
  <si>
    <t>ANDRES DAVID PEREZ CELY</t>
  </si>
  <si>
    <t>ad_perez@javeriana.edu.co</t>
  </si>
  <si>
    <t>317/711-1255</t>
  </si>
  <si>
    <t>2530ISISTALI-13</t>
  </si>
  <si>
    <t>MIGUEL ANDRES CAYACHOA VARGAS</t>
  </si>
  <si>
    <t>cayachoa.mandres@javeriana.edu.co</t>
  </si>
  <si>
    <t>314/413-9436</t>
  </si>
  <si>
    <t>MIGUEL ANGEL PANCHA ARIAS</t>
  </si>
  <si>
    <t>miguel_pancha@javeriana.edu.co</t>
  </si>
  <si>
    <t>305/832-2748</t>
  </si>
  <si>
    <t>ANDRES EDUARDO INSIGNARES LLACH</t>
  </si>
  <si>
    <t>andres.insignares@javeriana.edu.co</t>
  </si>
  <si>
    <t>301/280-1486</t>
  </si>
  <si>
    <t>2530IINDSGIO-2</t>
  </si>
  <si>
    <t>ANA SOFIA MONTAÑA CAMACHO</t>
  </si>
  <si>
    <t>ana.montana@javeriana.edu.co</t>
  </si>
  <si>
    <t>320/731-3896</t>
  </si>
  <si>
    <t>ALEJANDRO CAÑADAS PARRA</t>
  </si>
  <si>
    <t>a.canadas@javeriana.edu.co</t>
  </si>
  <si>
    <t>317/805-1920</t>
  </si>
  <si>
    <t>2530ISISTJUA-4</t>
  </si>
  <si>
    <t>BRAYAM STIVE PEREZ CUARTAS</t>
  </si>
  <si>
    <t>bs_perez@javeriana.edu.co</t>
  </si>
  <si>
    <t>301/381-4893</t>
  </si>
  <si>
    <t>CAMILO ANDRES REY MOJICA</t>
  </si>
  <si>
    <t>reyca@javeriana.edu.co</t>
  </si>
  <si>
    <t>311/200-2370</t>
  </si>
  <si>
    <t>CAMILO CUBILLOS QUINTERO</t>
  </si>
  <si>
    <t>cubillosc_a@javeriana.edu.co</t>
  </si>
  <si>
    <t>304/550-4923</t>
  </si>
  <si>
    <t>2530BIOINMAR-1</t>
  </si>
  <si>
    <t>DANIEL FELIPE LEON PEREZ</t>
  </si>
  <si>
    <t>daniel_leon@javeriana.edu.co</t>
  </si>
  <si>
    <t>318/201-8778</t>
  </si>
  <si>
    <t>JOVANI ALEXANDER BENAVIDES SANCHEZ</t>
  </si>
  <si>
    <t>jovani.benavides@javeriana.edu.co</t>
  </si>
  <si>
    <t>321/476-9510</t>
  </si>
  <si>
    <t>JUAN PABLO DAVILA MARTINEZ</t>
  </si>
  <si>
    <t>jpdavila@javeriana.edu.co</t>
  </si>
  <si>
    <t>313/447-3893</t>
  </si>
  <si>
    <t>JUAN SEBASTIAN SALAMANCA AVILA</t>
  </si>
  <si>
    <t>salamancaajsebastian@javeriana.edu.co</t>
  </si>
  <si>
    <t>313/850-8457</t>
  </si>
  <si>
    <t>MARTIN FELIPE CHARRY RETAVIZCA</t>
  </si>
  <si>
    <t>charry_mf@javeriana.edu.co</t>
  </si>
  <si>
    <t>321/323-3296</t>
  </si>
  <si>
    <t>IBSEN ANNETH SANCHEZ HERNANDEZ</t>
  </si>
  <si>
    <t>sanchezh-ianneth@javeriana.edu.co</t>
  </si>
  <si>
    <t>310/809-9598</t>
  </si>
  <si>
    <t>DANIEL FRANCISCO OSORIO ROJAS</t>
  </si>
  <si>
    <t>osoriodaniel@javeriana.edu.co</t>
  </si>
  <si>
    <t>320/335-9458</t>
  </si>
  <si>
    <t>2530ISISTJUA-14</t>
  </si>
  <si>
    <t>DAVID JULIAN CUADROS ASTRO</t>
  </si>
  <si>
    <t>davidjcuadros@javeriana.edu.co</t>
  </si>
  <si>
    <t>320/272-3566</t>
  </si>
  <si>
    <t>2530ISISTJUA-15</t>
  </si>
  <si>
    <t>ERICK SANTIAGO CAMARGO GARCIA</t>
  </si>
  <si>
    <t>ercamargo@javeriana.edu.co</t>
  </si>
  <si>
    <t>320/888-0658</t>
  </si>
  <si>
    <t>2530ISISTJUA-17</t>
  </si>
  <si>
    <t>FABIO ANDRES TRIANA RODRIGUEZ</t>
  </si>
  <si>
    <t>fa.triana@javeriana.edu.co</t>
  </si>
  <si>
    <t>318/245-1094</t>
  </si>
  <si>
    <t>2530ISISTJUA-16</t>
  </si>
  <si>
    <t>ANDRES FELIPE MARROQUIN MARTIN</t>
  </si>
  <si>
    <t>andresfmarroquin@javeriana.edu.co</t>
  </si>
  <si>
    <t>300/411-2197</t>
  </si>
  <si>
    <t>ANDRES FELIPE QUIROGA MARTIN</t>
  </si>
  <si>
    <t>quirogama@javeriana.edu.co</t>
  </si>
  <si>
    <t>320/814-1460</t>
  </si>
  <si>
    <t>CARLOS ANDRES VARGAS ALVARADO</t>
  </si>
  <si>
    <t>carlos.vargasa@javeriana.edu.co</t>
  </si>
  <si>
    <t>319/511-4287</t>
  </si>
  <si>
    <t>CARLOS EDUARDO ROJAS MARTINEZ</t>
  </si>
  <si>
    <t>ce.rojas@javeriana.edu.co</t>
  </si>
  <si>
    <t>313/844-2537</t>
  </si>
  <si>
    <t>2530ISISTALI-11</t>
  </si>
  <si>
    <t>CARLOS GABRIEL LOPEZ MEDINA</t>
  </si>
  <si>
    <t>lopezcg@javeriana.edu.co</t>
  </si>
  <si>
    <t>310/777-3398</t>
  </si>
  <si>
    <t>CRISTIAN CISNEROS ARTEAGA</t>
  </si>
  <si>
    <t>cisneros_cristian@javeriana.edu.co</t>
  </si>
  <si>
    <t>301/446-6713</t>
  </si>
  <si>
    <t>CRISTIAN EDUARDO VARGAS CUADROS</t>
  </si>
  <si>
    <t>cevargas@javeriana.edu.co</t>
  </si>
  <si>
    <t>319/740-0674</t>
  </si>
  <si>
    <t>2530ISISTJUA-13</t>
  </si>
  <si>
    <t>OMAR JUNIORS ORTIZ PAZ</t>
  </si>
  <si>
    <t>omar-ortiz@javeriana.edu.co</t>
  </si>
  <si>
    <t>300/332-3781</t>
  </si>
  <si>
    <t>DANIEL PEREZ PINILLA</t>
  </si>
  <si>
    <t>perezpdaniel@javeriana.edu.co</t>
  </si>
  <si>
    <t>315/230-1063</t>
  </si>
  <si>
    <t>DIEGO ALEJANDRO ALBARRACIN MALDONADO</t>
  </si>
  <si>
    <t>di.albarracin@javeriana.edu.co</t>
  </si>
  <si>
    <t>322/457-9664</t>
  </si>
  <si>
    <t>DIEGO MARTINEZ SANDOVAL</t>
  </si>
  <si>
    <t>martinezs_d@javeriana.edu.co</t>
  </si>
  <si>
    <t>315/709-7566</t>
  </si>
  <si>
    <t>EMILY SOFIA IBAÑEZ CORRECHA</t>
  </si>
  <si>
    <t>ibanezc.emily@javeriana.edu.co</t>
  </si>
  <si>
    <t>302/459-6666</t>
  </si>
  <si>
    <t>EUGENIA VICTORIA DAYOUB BARITO</t>
  </si>
  <si>
    <t>eugeniav.dayoub@javeriana.edu.co</t>
  </si>
  <si>
    <t>318/888-9385</t>
  </si>
  <si>
    <t>2530ISISTJUA-7</t>
  </si>
  <si>
    <t>FELIPE TRONCOSO LONDOÑO</t>
  </si>
  <si>
    <t>f-troncoso@javeriana.edu.co</t>
  </si>
  <si>
    <t>318/660-8929</t>
  </si>
  <si>
    <t>GABRIEL FRANCISCO CORONADO SANCHEZ</t>
  </si>
  <si>
    <t>g-coronado@javeriana.edu.co</t>
  </si>
  <si>
    <t>302/288-7731</t>
  </si>
  <si>
    <t>GABRIELA ROJAS MARTINEZ</t>
  </si>
  <si>
    <t>gabriela-rojas@javeriana.edu.co</t>
  </si>
  <si>
    <t>317/323-3037</t>
  </si>
  <si>
    <t>HAIJO ANDREY KNOL DAZA</t>
  </si>
  <si>
    <t>haijo_knold@javeriana.edu.co</t>
  </si>
  <si>
    <t>300/562-8644</t>
  </si>
  <si>
    <t>IVAN DARIO GOMEZ VEGA</t>
  </si>
  <si>
    <t>iv.gomez@javeriana.edu.co</t>
  </si>
  <si>
    <t>310/758-1412</t>
  </si>
  <si>
    <t>2530IELECDIE-4</t>
  </si>
  <si>
    <t>JAIRO ENRIQUE AMAYA CELIS</t>
  </si>
  <si>
    <t>jairoeamayac@javeriana.edu.co</t>
  </si>
  <si>
    <t>302/836-1979</t>
  </si>
  <si>
    <t>JOAQUIN ESTEBAN OSPINA LONDOÑO</t>
  </si>
  <si>
    <t>jo.ospina@javeriana.edu.co</t>
  </si>
  <si>
    <t>320/414-0588</t>
  </si>
  <si>
    <t>2530IINDSBLA-5</t>
  </si>
  <si>
    <t>JORGE DAVID CAMACHO LEON</t>
  </si>
  <si>
    <t>jdavid_camacho@javeriana.edu.co</t>
  </si>
  <si>
    <t>310/482-7620</t>
  </si>
  <si>
    <t>2530ICIVLLUI-2</t>
  </si>
  <si>
    <t>JOSE ALEJANDRO MAESTRE ROSAS</t>
  </si>
  <si>
    <t>j_maestre@javeriana.edu.co</t>
  </si>
  <si>
    <t>305/350-5086</t>
  </si>
  <si>
    <t>JOSE IGNACIO PELAEZ GUAPACHA</t>
  </si>
  <si>
    <t>j-pelaez@javeriana.edu.co</t>
  </si>
  <si>
    <t>310/566-4964</t>
  </si>
  <si>
    <t>JOSHUA MATEO GONZALEZ ARTEAGA</t>
  </si>
  <si>
    <t>jo_gonzalez@javeriana.edu.co</t>
  </si>
  <si>
    <t>317/576-9791</t>
  </si>
  <si>
    <t>2530ICIVLLUI-4</t>
  </si>
  <si>
    <t>JUAN CAMILO REY MONTES</t>
  </si>
  <si>
    <t>jcamilorey@javeriana.edu.co</t>
  </si>
  <si>
    <t>320/938-2477</t>
  </si>
  <si>
    <t>JUAN CAMILO ZUÑIGA SUAREZ</t>
  </si>
  <si>
    <t>jc.zuniga@javeriana.edu.co</t>
  </si>
  <si>
    <t>323/336-7001</t>
  </si>
  <si>
    <t>JUAN DAVID CEPEDA DELGADO</t>
  </si>
  <si>
    <t>cepeda_jd@javeriana.edu.co</t>
  </si>
  <si>
    <t>316/640-3280</t>
  </si>
  <si>
    <t>2530IINDSBLA-4</t>
  </si>
  <si>
    <t>JUAN DAVID OSORIO BAQUERO</t>
  </si>
  <si>
    <t>jd_osorio@javeriana.edu.co</t>
  </si>
  <si>
    <t>320/486-8596</t>
  </si>
  <si>
    <t>JUAN DIEGO REYES RODRIGUEZ</t>
  </si>
  <si>
    <t>reyes.jdiego@javeriana.edu.co</t>
  </si>
  <si>
    <t>322/317-4411</t>
  </si>
  <si>
    <t>JUAN ESTEBAN JARAMILLO AGUIRRE</t>
  </si>
  <si>
    <t>jaramillo_je@javeriana.edu.co</t>
  </si>
  <si>
    <t>612582390</t>
  </si>
  <si>
    <t>JUAN JOSE GIL FERNANDEZ</t>
  </si>
  <si>
    <t>gil.jj@javeriana.edu.co</t>
  </si>
  <si>
    <t>316/414-8955</t>
  </si>
  <si>
    <t>JUAN JOSE RIVERA CALDERON</t>
  </si>
  <si>
    <t>riverajj@javeriana.edu.co</t>
  </si>
  <si>
    <t>313/802-5485</t>
  </si>
  <si>
    <t>2530IINDSGIO-4</t>
  </si>
  <si>
    <t>JUAN NICOLAS RIVERA AGUIRRE</t>
  </si>
  <si>
    <t>riveraaj@javeriana.edu.co</t>
  </si>
  <si>
    <t>315/224-1733</t>
  </si>
  <si>
    <t>JUAN PABLO CASAS GARCIA</t>
  </si>
  <si>
    <t>juan.casasg@javeriana.edu.co</t>
  </si>
  <si>
    <t>323/475-2914</t>
  </si>
  <si>
    <t>2530ISISTJUA-11</t>
  </si>
  <si>
    <t>JUAN PABLO GOMEZ HERNANDEZ</t>
  </si>
  <si>
    <t>juangomezh@javeriana.edu.co</t>
  </si>
  <si>
    <t>310/801-4541</t>
  </si>
  <si>
    <t>JUAN PABLO SANABRIA ALBA</t>
  </si>
  <si>
    <t>jpsanabria@javeriana.edu.co</t>
  </si>
  <si>
    <t>310/851-0979</t>
  </si>
  <si>
    <t>JUAN SANTIAGO SAAVEDRA HOLGUIN</t>
  </si>
  <si>
    <t>saavedrah.js@javeriana.edu.co</t>
  </si>
  <si>
    <t>321/292-0993</t>
  </si>
  <si>
    <t>JUAN SEBASTIAN CRUZ ROJAS</t>
  </si>
  <si>
    <t>jsebastian.cruz@javeriana.edu.co</t>
  </si>
  <si>
    <t>312/320-1565</t>
  </si>
  <si>
    <t>JUAN SEBASTIAN GONZALEZ CASTRO</t>
  </si>
  <si>
    <t>js-gonzalez@javeriana.edu.co</t>
  </si>
  <si>
    <t>318/316-7399</t>
  </si>
  <si>
    <t>2530IELECJOS-8</t>
  </si>
  <si>
    <t>JUAN SEBASTIAN SARMIENTO GARCIA</t>
  </si>
  <si>
    <t>jsebastiansarmientog@javeriana.edu.co</t>
  </si>
  <si>
    <t>320/860-4809</t>
  </si>
  <si>
    <t>JUAN SEBASTIAN VELASCO HERNANDEZ</t>
  </si>
  <si>
    <t>velascoh.js@javeriana.edu.co</t>
  </si>
  <si>
    <t>320/260-5751</t>
  </si>
  <si>
    <t>JULIO ANDRES URIBE FORTICH</t>
  </si>
  <si>
    <t>julioauribef@javeriana.edu.co</t>
  </si>
  <si>
    <t>314/215-9303</t>
  </si>
  <si>
    <t>KEVIN MATEO ALBA PRADA</t>
  </si>
  <si>
    <t>albap_kevin@javeriana.edu.co</t>
  </si>
  <si>
    <t>311/590-0174</t>
  </si>
  <si>
    <t>LAURA DANIELA NARVAEZ TOVAR</t>
  </si>
  <si>
    <t>la.narvaez@javeriana.edu.co</t>
  </si>
  <si>
    <t>302/840-8836</t>
  </si>
  <si>
    <t>LIS SOFIA RAMOS PESTANA</t>
  </si>
  <si>
    <t>ls-ramosp@javeriana.edu.co</t>
  </si>
  <si>
    <t>321/512-5805</t>
  </si>
  <si>
    <t>LUIS ALEJANDRO SAENZ ORTEGON</t>
  </si>
  <si>
    <t>saenzlu@javeriana.edu.co</t>
  </si>
  <si>
    <t>322/700-6275</t>
  </si>
  <si>
    <t>LUIS DAVID MANTILLA VANOY</t>
  </si>
  <si>
    <t>luis.mantillav@javeriana.edu.co</t>
  </si>
  <si>
    <t>302/623-0638</t>
  </si>
  <si>
    <t>MARIA CAMILA LESMES CASTIBLANCO</t>
  </si>
  <si>
    <t>mariac_lesmesc@javeriana.edu.co</t>
  </si>
  <si>
    <t>319/371-5018</t>
  </si>
  <si>
    <t>MARIA PAZ JIMENEZ BUSTAMANTE</t>
  </si>
  <si>
    <t>jimenezb.mpaz@javeriana.edu.co</t>
  </si>
  <si>
    <t>305/750-0941</t>
  </si>
  <si>
    <t>MARTIN MEDINA NOVOA</t>
  </si>
  <si>
    <t>medinanmartin@javeriana.edu.co</t>
  </si>
  <si>
    <t>350/219-6450</t>
  </si>
  <si>
    <t>SANTIAGO ALEJANDRO ARISTIZABAL MARTINEZ</t>
  </si>
  <si>
    <t>arsantiago@javeriana.edu.co</t>
  </si>
  <si>
    <t>301/525-8993</t>
  </si>
  <si>
    <t>MAURICIO GARZON PONCE</t>
  </si>
  <si>
    <t>garzonma@javeriana.edu.co</t>
  </si>
  <si>
    <t>315/348-8341</t>
  </si>
  <si>
    <t>MIGUEL ANGEL HURTADO AYALA</t>
  </si>
  <si>
    <t>hurtadom.i@javeriana.edu.co</t>
  </si>
  <si>
    <t>304/635-5489</t>
  </si>
  <si>
    <t>MIGUEL ANGEL MARQUEZ POSSO</t>
  </si>
  <si>
    <t>marquez_miguela@javeriana.edu.co</t>
  </si>
  <si>
    <t>302/303-9381</t>
  </si>
  <si>
    <t>MIGUEL SANTIAGO COMBITA MOLANO</t>
  </si>
  <si>
    <t>combitamsantiago@javeriana.edu.co</t>
  </si>
  <si>
    <t>310/408-7363</t>
  </si>
  <si>
    <t>NATHALIA NIETO GUZMAN</t>
  </si>
  <si>
    <t>ni.nathalia@javeriana.edu.co</t>
  </si>
  <si>
    <t>301/242-4746</t>
  </si>
  <si>
    <t>2530ICIVLLUI-5</t>
  </si>
  <si>
    <t>NICHOLAS ANDREW BROWNRIGG BALCAZAR</t>
  </si>
  <si>
    <t>brownriggb_n@javeriana.edu.co</t>
  </si>
  <si>
    <t>317/869-7687</t>
  </si>
  <si>
    <t>PABLO ESTEBAN GAIBOR GONZALEZ</t>
  </si>
  <si>
    <t>p-gaibor@javeriana.edu.co</t>
  </si>
  <si>
    <t>320/563-9337</t>
  </si>
  <si>
    <t>PAULA SOFÍA CHARRY JIMÉNEZ</t>
  </si>
  <si>
    <t>paulas_charry@javeriana.edu.co</t>
  </si>
  <si>
    <t>318/841-0892</t>
  </si>
  <si>
    <t>ROBERT MATTHEW SCHAFER PEREZ</t>
  </si>
  <si>
    <t>robert.schafer@javeriana.edu.co</t>
  </si>
  <si>
    <t>321/246-4461</t>
  </si>
  <si>
    <t>SANTIAGO ROMERO CORTES</t>
  </si>
  <si>
    <t>romeroc-santiago@javeriana.edu.co</t>
  </si>
  <si>
    <t>315/285-7844</t>
  </si>
  <si>
    <t>SAMUEL ESTEBAN MEDINA MORENO</t>
  </si>
  <si>
    <t>samuel.medina@javeriana.edu.co</t>
  </si>
  <si>
    <t>301/319-6886</t>
  </si>
  <si>
    <t>SAMUEL FERNANDO HERNANDEZ BORDA</t>
  </si>
  <si>
    <t>he_samuel@javeriana.edu.co</t>
  </si>
  <si>
    <t>321/206-8667</t>
  </si>
  <si>
    <t>SERGIO ANDRES LOPEZ SANCHEZ</t>
  </si>
  <si>
    <t>lopez_sergio@javeriana.edu.co</t>
  </si>
  <si>
    <t>321/773-5861</t>
  </si>
  <si>
    <t>SAMUEL GRAJALES SERNA</t>
  </si>
  <si>
    <t>samuel.grajales@javeriana.edu.co</t>
  </si>
  <si>
    <t>321/837-1522</t>
  </si>
  <si>
    <t>SAMUEL SANTIAGO CASTRILLON CELIS</t>
  </si>
  <si>
    <t>samuel.castrillon@javeriana.edu.co</t>
  </si>
  <si>
    <t>301/622-8413</t>
  </si>
  <si>
    <t>2530IELECJOS-4</t>
  </si>
  <si>
    <t>SANTIAGO JIMÉNEZ PINZÓN</t>
  </si>
  <si>
    <t>santiago_jimenezp@javeriana.edu.co</t>
  </si>
  <si>
    <t>314/311-0108</t>
  </si>
  <si>
    <t>SANTIAGO MARTINEZ NIÑO</t>
  </si>
  <si>
    <t>martineznsantiago@javeriana.edu.co</t>
  </si>
  <si>
    <t>322/842-3486</t>
  </si>
  <si>
    <t>SARA SOFIA ROBAYO NEGRETE</t>
  </si>
  <si>
    <t>robayosara@javeriana.edu.co</t>
  </si>
  <si>
    <t>319/256-2507</t>
  </si>
  <si>
    <t>SARAH LUCIA GONZALEZ GARCIA</t>
  </si>
  <si>
    <t>gonzalezsarahl@javeriana.edu.co</t>
  </si>
  <si>
    <t>316/533-1269</t>
  </si>
  <si>
    <t>SHARIFF PINZON FORERO</t>
  </si>
  <si>
    <t>shariff.pinzon@javeriana.edu.co</t>
  </si>
  <si>
    <t>313/899-6563</t>
  </si>
  <si>
    <t>SERGIO ANTONIO HERRERA CASTRO</t>
  </si>
  <si>
    <t>se-herrera@javeriana.edu.co</t>
  </si>
  <si>
    <t>305/808-9969</t>
  </si>
  <si>
    <t>2530IELECJOS-5</t>
  </si>
  <si>
    <t>SOFIA PERAFAN SIERRA</t>
  </si>
  <si>
    <t>sofia.perafans@javeriana.edu.co</t>
  </si>
  <si>
    <t>318/816-9537</t>
  </si>
  <si>
    <t>VALENTINA ARCE ESPAÑA</t>
  </si>
  <si>
    <t>arce_v@javeriana.edu.co</t>
  </si>
  <si>
    <t>316/603-5565</t>
  </si>
  <si>
    <t>VALENTINA CASTRO CERON</t>
  </si>
  <si>
    <t>castrov.a@javeriana.edu.co</t>
  </si>
  <si>
    <t>304/661-4220</t>
  </si>
  <si>
    <t>VALERIA PACHECO D'ALTO</t>
  </si>
  <si>
    <t>v-pacheco@javeriana.edu.co</t>
  </si>
  <si>
    <t>062/424-9630</t>
  </si>
  <si>
    <t>VALERIA RAMIREZ ACERO</t>
  </si>
  <si>
    <t>ramirezav@javeriana.edu.co</t>
  </si>
  <si>
    <t>313/690-1452</t>
  </si>
  <si>
    <t>WILLIAM FELIPE AVENDAÑO CÁRDENAS</t>
  </si>
  <si>
    <t>w.avendano@javeriana.edu.co</t>
  </si>
  <si>
    <t>322/883-5054</t>
  </si>
  <si>
    <t>SIMON MARQUEZ RAMIREZ</t>
  </si>
  <si>
    <t>simonmarquez@javeriana.edu.co</t>
  </si>
  <si>
    <t>316/819-2421</t>
  </si>
  <si>
    <t>2530ISISTALI-14</t>
  </si>
  <si>
    <t>ANA SOFIA GRASS GIRALDO</t>
  </si>
  <si>
    <t>as-grass@javeriana.edu.co</t>
  </si>
  <si>
    <t>313/777-6041</t>
  </si>
  <si>
    <t>JUAN MANUEL SANCHEZ BERMUDEZ</t>
  </si>
  <si>
    <t>sanchez.jm@javeriana.edu.co</t>
  </si>
  <si>
    <t>322/413-0318</t>
  </si>
  <si>
    <t>JUAN PABLO CAÑÓN CONTRERAS</t>
  </si>
  <si>
    <t>canonjp@javeriana.edu.co</t>
  </si>
  <si>
    <t>318/767-7436</t>
  </si>
  <si>
    <t>LUIS ALEJANDRO VERA MORENO</t>
  </si>
  <si>
    <t>luisvera@javeriana.edu.co</t>
  </si>
  <si>
    <t>316/629-3291</t>
  </si>
  <si>
    <t>NICOLAS FRANCISCO CAMACHO ALARCON</t>
  </si>
  <si>
    <t>camachoa.nicolas@javeriana.edu.co</t>
  </si>
  <si>
    <t>317/571-4599</t>
  </si>
  <si>
    <t>TATIANA VIVAS RESTREPO</t>
  </si>
  <si>
    <t>t_vivas@javeriana.edu.co</t>
  </si>
  <si>
    <t>317/403-8954</t>
  </si>
  <si>
    <t>2026-10</t>
  </si>
  <si>
    <t>ADRIANA LIZETH MATTOS PONTON</t>
  </si>
  <si>
    <t>ad_mattos@javeriana.edu.co</t>
  </si>
  <si>
    <t>320/220-7427</t>
  </si>
  <si>
    <t>2610ICIVLLUI-5</t>
  </si>
  <si>
    <t>ANDRES FELIPE PARRA RENGIFO</t>
  </si>
  <si>
    <t>andres_parrar@javeriana.edu.co</t>
  </si>
  <si>
    <t>301/623-7691</t>
  </si>
  <si>
    <t>2610ICIVLLUI-1</t>
  </si>
  <si>
    <t>TI</t>
  </si>
  <si>
    <t>Daniel Felipe Quintana Echavarria</t>
  </si>
  <si>
    <t>quintanadaniel@javeriana.edu.co</t>
  </si>
  <si>
    <t>318/865-9480</t>
  </si>
  <si>
    <t>EDGARDO JOSE MEJIA RAYO</t>
  </si>
  <si>
    <t>mejia-edgardoj@javeriana.edu.co</t>
  </si>
  <si>
    <t>301/722-4932</t>
  </si>
  <si>
    <t>2610ICIVLLUI-6</t>
  </si>
  <si>
    <t>ESTEFANIA MENESES RUBIO</t>
  </si>
  <si>
    <t>estefaniameneses@javeriana.edu.co</t>
  </si>
  <si>
    <t>311/586-5440</t>
  </si>
  <si>
    <t>GABRIEL SANTIAGO LAVERDE VILLAMIZAR</t>
  </si>
  <si>
    <t>gs_laverdev@javeriana.edu.co</t>
  </si>
  <si>
    <t>319/679-9065</t>
  </si>
  <si>
    <t>2610ICIVLLUI-4</t>
  </si>
  <si>
    <t>JEAN PAUL MESA PEREZ</t>
  </si>
  <si>
    <t>me_jean@javeriana.edu.co</t>
  </si>
  <si>
    <t>321/322-0969</t>
  </si>
  <si>
    <t>JEISON ESTEBAN MURILLO LOPEZ</t>
  </si>
  <si>
    <t>jesteban-murillo@javeriana.edu.co</t>
  </si>
  <si>
    <t>302/865-6636</t>
  </si>
  <si>
    <t>2610ICIVLLUI-3</t>
  </si>
  <si>
    <t>JHON SEBASTIAN TRUJILLO RODRIGUEZ</t>
  </si>
  <si>
    <t>trujillojsebastian@javeriana.edu.co</t>
  </si>
  <si>
    <t>324/445-5347</t>
  </si>
  <si>
    <t>2610ICIVLJOR-1</t>
  </si>
  <si>
    <t>JOAN SEBASTIAN GARCES MORALES</t>
  </si>
  <si>
    <t>garces_jsebastian@javeriana.edu.co</t>
  </si>
  <si>
    <t>300/302-9718</t>
  </si>
  <si>
    <t>JOHAN DANIEL HUYO VARGAS</t>
  </si>
  <si>
    <t>jdhuyov@javeriana.edu.co</t>
  </si>
  <si>
    <t>310/571-1465</t>
  </si>
  <si>
    <t>JORGE EDUARDO BOADA RIAÑO</t>
  </si>
  <si>
    <t>jeduardo_boada@javeriana.edu.co</t>
  </si>
  <si>
    <t>318/653-2657</t>
  </si>
  <si>
    <t>Juan Andrés Feres Nuñez</t>
  </si>
  <si>
    <t>feres.juan@javeriana.edu.co</t>
  </si>
  <si>
    <t>311/529-0566</t>
  </si>
  <si>
    <t>JUAN ESTEBAN TARAPUEZ LIMA</t>
  </si>
  <si>
    <t>tarapuezjesteban@javeriana.edu.co</t>
  </si>
  <si>
    <t>318/237-4788</t>
  </si>
  <si>
    <t>JUAN NICOLAS GAMEZ DIAZ</t>
  </si>
  <si>
    <t>gamezjn@javeriana.edu.co</t>
  </si>
  <si>
    <t>322/364-9990</t>
  </si>
  <si>
    <t>LAURA MARIA ALEJANDRA GAITAN MIRANDA</t>
  </si>
  <si>
    <t>laura-gaitan@javeriana.edu.co</t>
  </si>
  <si>
    <t>312 3596915</t>
  </si>
  <si>
    <t>LORENA BUITRAGO DAZA</t>
  </si>
  <si>
    <t>lbuitragod@javeriana.edu.co</t>
  </si>
  <si>
    <t>319/540-8603</t>
  </si>
  <si>
    <t>2610ICIVLLUI-2</t>
  </si>
  <si>
    <t>LUCIANO JOSE LOPEZ DIAZ</t>
  </si>
  <si>
    <t>luciano-lopezd@javeriana.edu.co</t>
  </si>
  <si>
    <t>312/740-0287</t>
  </si>
  <si>
    <t>LUNA DANIELA CALDERON ACUÑA</t>
  </si>
  <si>
    <t>lucalderon@javeriana.edu.co</t>
  </si>
  <si>
    <t>300/673-6466</t>
  </si>
  <si>
    <t>LYNA JULIANA AVELLA ZABALA</t>
  </si>
  <si>
    <t>ljavellaz@javeriana.edu.co</t>
  </si>
  <si>
    <t>311/567-0019</t>
  </si>
  <si>
    <t>MANUEL HERNANDO VIVEROS BRAVO</t>
  </si>
  <si>
    <t>manuelh-viveros@javeriana.edu.co</t>
  </si>
  <si>
    <t>313/845-5520</t>
  </si>
  <si>
    <t>MANUEL SANTIAGO LEON RAMIREZ</t>
  </si>
  <si>
    <t>leonr-m@javeriana.edu.co</t>
  </si>
  <si>
    <t>315/874-7205</t>
  </si>
  <si>
    <t>Maria Camila Otalora Cantor</t>
  </si>
  <si>
    <t>ma.otalora@javeriana.edu.co</t>
  </si>
  <si>
    <t>311/808-2927</t>
  </si>
  <si>
    <t>NICOLAS VELASQUEZ ROJAS</t>
  </si>
  <si>
    <t>velasquez.nicolas@javeriana.edu.co</t>
  </si>
  <si>
    <t>313/726-3358</t>
  </si>
  <si>
    <t>PAULA ANDREA MONTEZUMA CABRERA</t>
  </si>
  <si>
    <t>paulaamontezumac@javeriana.edu.co</t>
  </si>
  <si>
    <t>316/823-4947</t>
  </si>
  <si>
    <t>SANTIAGO AUGUSTO CELIS MARTIN</t>
  </si>
  <si>
    <t>celis_sa@javeriana.edu.co</t>
  </si>
  <si>
    <t>310/732-1547</t>
  </si>
  <si>
    <t>SANTIAGO CASALLAS LOPEZ</t>
  </si>
  <si>
    <t>ca.santiago@javeriana.edu.co</t>
  </si>
  <si>
    <t>304/480-9085</t>
  </si>
  <si>
    <t>SOFIA JULIETTA CALIXTO AGUILAR</t>
  </si>
  <si>
    <t>calixtoa-sofiaj@javeriana.edu.co</t>
  </si>
  <si>
    <t>313/282-2130</t>
  </si>
  <si>
    <t>TEIT ERIK MOSCOTE MONTAÑA</t>
  </si>
  <si>
    <t>moscote_teit@javeriana.edu.co</t>
  </si>
  <si>
    <t>321/635-2335</t>
  </si>
  <si>
    <t>TOMAS ALEJANDRO GONZALEZ ACERO</t>
  </si>
  <si>
    <t>gonzalez.tomas@javeriana.edu.co</t>
  </si>
  <si>
    <t>322/438-1269</t>
  </si>
  <si>
    <t>JUAN DAVID HERNANDEZ AYALA</t>
  </si>
  <si>
    <t>juanhernandeza@javeriana.edu.co</t>
  </si>
  <si>
    <t>310/263-6611</t>
  </si>
  <si>
    <t>ANA GABRIELA BELALCAZAR RODRIGUEZ</t>
  </si>
  <si>
    <t>belalcazarag@javeriana.edu.co</t>
  </si>
  <si>
    <t>320/922-6799</t>
  </si>
  <si>
    <t>2610IMECAJOR-1</t>
  </si>
  <si>
    <t>ANDRES SANTIAGO JARAMILLO SOTO</t>
  </si>
  <si>
    <t>andresjaramillo@javeriana.edu.co</t>
  </si>
  <si>
    <t>350/730-1386</t>
  </si>
  <si>
    <t>2610IMECAJOR-2</t>
  </si>
  <si>
    <t>JUAN FELIPE NIÑO PLAZAS</t>
  </si>
  <si>
    <t>nijuan@javeriana.edu.co</t>
  </si>
  <si>
    <t>311/287-6271</t>
  </si>
  <si>
    <t>JUANA MARCELA LAGOS TARAZONA</t>
  </si>
  <si>
    <t>lagos_jmarcela@javeriana.edu.co</t>
  </si>
  <si>
    <t>322/788-0554</t>
  </si>
  <si>
    <t>LESNY JHOANNA HERRERA ARIAS</t>
  </si>
  <si>
    <t>le_herrera@javeriana.edu.co</t>
  </si>
  <si>
    <t>305/364-1013</t>
  </si>
  <si>
    <t>LUIS ALEJANDRO GARZON OLAYA</t>
  </si>
  <si>
    <t>la_garzono@javeriana.edu.co</t>
  </si>
  <si>
    <t>301/433-7386</t>
  </si>
  <si>
    <t>LUNA KARINA CAMPO RODRIGUEZ</t>
  </si>
  <si>
    <t>campolunak@javeriana.edu.co</t>
  </si>
  <si>
    <t>314/306-2232</t>
  </si>
  <si>
    <t>MARIA DEL PILAR MUÑOZ NORIEGA</t>
  </si>
  <si>
    <t>munoz_md@javeriana.edu.co</t>
  </si>
  <si>
    <t>320/855-2063</t>
  </si>
  <si>
    <t>MICHELLE NICOLE VILLAMIL ROMERO</t>
  </si>
  <si>
    <t>michellen.villamil@javeriana.edu.co</t>
  </si>
  <si>
    <t>314/301-4887</t>
  </si>
  <si>
    <t>OSCAR GERARDO LOPEZ MOLANO</t>
  </si>
  <si>
    <t>oscarlopezm@javeriana.edu.co</t>
  </si>
  <si>
    <t>311/887-9328</t>
  </si>
  <si>
    <t>Samuel Gustavo Pedraza Martinez</t>
  </si>
  <si>
    <t>sgpedrazam@javeriana.edu.co</t>
  </si>
  <si>
    <t>320/760-1898</t>
  </si>
  <si>
    <t>SANTIAGO LIBOS DALLOS</t>
  </si>
  <si>
    <t>libosd-santiago@javeriana.edu.co</t>
  </si>
  <si>
    <t>314/366-4875</t>
  </si>
  <si>
    <t>ALEJANDRA ISAZA GALEANO</t>
  </si>
  <si>
    <t>alejandra.isaza@javeriana.edu.co</t>
  </si>
  <si>
    <t>305/325-8764</t>
  </si>
  <si>
    <t>2610BIOINMAR-1</t>
  </si>
  <si>
    <t>ANGIE XILENA PICO SANCHEZ</t>
  </si>
  <si>
    <t>an_pico@javeriana.edu.co</t>
  </si>
  <si>
    <t>311/819-9704</t>
  </si>
  <si>
    <t>2610BIOINMAR-8</t>
  </si>
  <si>
    <t>DIANA CAROLINA RAMIREZ ALVAREZ</t>
  </si>
  <si>
    <t>dianac.ramireza@javeriana.edu.co</t>
  </si>
  <si>
    <t>319/444-3976</t>
  </si>
  <si>
    <t>FRANCISCO ANTONIO JUAN ROBERTO A DE MONTOZON LEYVA</t>
  </si>
  <si>
    <t>demontozon.f@javeriana.edu.co</t>
  </si>
  <si>
    <t>321/903-5278</t>
  </si>
  <si>
    <t>2610BIOINMAR-4</t>
  </si>
  <si>
    <t>GABRIELA BONILLA RAMIREZ</t>
  </si>
  <si>
    <t>gabriela_bonilla@javeriana.edu.co</t>
  </si>
  <si>
    <t>311/855-5095</t>
  </si>
  <si>
    <t>JAZLYN VICTORIA ACERO SEPULVEDA</t>
  </si>
  <si>
    <t>jv.acero@javeriana.edu.co</t>
  </si>
  <si>
    <t>315/433-0538</t>
  </si>
  <si>
    <t>JUAN DAVID GONZALEZ OLAYA</t>
  </si>
  <si>
    <t>gonzalez_juand@javeriana.edu.co</t>
  </si>
  <si>
    <t>315/838-9326</t>
  </si>
  <si>
    <t>MARIA ALEJANDRA GALLEGO MEDINA</t>
  </si>
  <si>
    <t>m_gallego@javeriana.edu.co</t>
  </si>
  <si>
    <t>310/293-2882</t>
  </si>
  <si>
    <t>2610BIOINMAR-2</t>
  </si>
  <si>
    <t>MARTIN EDUARDO BUENO BELTRAN</t>
  </si>
  <si>
    <t>bu.martin@javeriana.edu.co</t>
  </si>
  <si>
    <t>310/342-4346</t>
  </si>
  <si>
    <t>NICOLAS GARCIA RAMIREZ</t>
  </si>
  <si>
    <t>nicolas_garciar@javeriana.edu.co</t>
  </si>
  <si>
    <t>321/314-4987</t>
  </si>
  <si>
    <t>SANTIAGO BARRAGAN PAIPILLA</t>
  </si>
  <si>
    <t>santiago-barraganp@javeriana.edu.co</t>
  </si>
  <si>
    <t>315/259-7404</t>
  </si>
  <si>
    <t>2610BIOINMAR-9</t>
  </si>
  <si>
    <t>SARA CAROLINA OSPINA BOHORQUEZ</t>
  </si>
  <si>
    <t>sc_ospina@javeriana.edu.co</t>
  </si>
  <si>
    <t>301/719-3106</t>
  </si>
  <si>
    <t>VALENTINA ORDOÑEZ JIMENEZ</t>
  </si>
  <si>
    <t>valentinaordonez@javeriana.edu.co</t>
  </si>
  <si>
    <t>316/415-6441</t>
  </si>
  <si>
    <t>ALEJANDRA ABAUNZA SUAREZ</t>
  </si>
  <si>
    <t>abaunzaalejandra@javeriana.edu.co</t>
  </si>
  <si>
    <t>300/606-2695</t>
  </si>
  <si>
    <t>2610ISISTALI-28</t>
  </si>
  <si>
    <t>ALEJANDRO CASTELBLANCO ARIAS</t>
  </si>
  <si>
    <t>castelblancoa.a@javeriana.edu.co</t>
  </si>
  <si>
    <t>323/521-0008</t>
  </si>
  <si>
    <t>2610ISISTALI-32</t>
  </si>
  <si>
    <t>AUGUSTO DANIEL PEDICINO FLOREZ</t>
  </si>
  <si>
    <t>adaniel.pedicino@javeriana.edu.co</t>
  </si>
  <si>
    <t>320/621-4141</t>
  </si>
  <si>
    <t>2610ISISTALI-26</t>
  </si>
  <si>
    <t>DANIEL EDUARDO ORJUELA MALAGON</t>
  </si>
  <si>
    <t>or_daniel@javeriana.edu.co</t>
  </si>
  <si>
    <t>311/233-1665</t>
  </si>
  <si>
    <t>2610ISISTALI-31</t>
  </si>
  <si>
    <t>DANIEL VICENTE SANDOVAL SANABRIA</t>
  </si>
  <si>
    <t>dvsandoval@javeriana.edu.co</t>
  </si>
  <si>
    <t>305/917-8586</t>
  </si>
  <si>
    <t>DIEGO ALEJANDRO HERRERA RINCON</t>
  </si>
  <si>
    <t>diegoaherrerar@javeriana.edu.co</t>
  </si>
  <si>
    <t>311/222-7444</t>
  </si>
  <si>
    <t>2610ISISTALI-23</t>
  </si>
  <si>
    <t>DIEGO ALEJANDRO VIERA HERRERA</t>
  </si>
  <si>
    <t>diego_viera@javeriana.edu.co</t>
  </si>
  <si>
    <t>321/419-6738</t>
  </si>
  <si>
    <t>DIEGO CAMILO JIMENEZ NOVOA</t>
  </si>
  <si>
    <t>di_jimenez@javeriana.edu.co</t>
  </si>
  <si>
    <t>317/351-1722</t>
  </si>
  <si>
    <t>2610ISISTALI-29</t>
  </si>
  <si>
    <t>EMANUEL BENAVIDES LEON</t>
  </si>
  <si>
    <t>emanuel-benavides@javeriana.edu.co</t>
  </si>
  <si>
    <t>311/821-4742</t>
  </si>
  <si>
    <t>ERICK SALAZAR SUAREZ</t>
  </si>
  <si>
    <t>ericksalazar@javeriana.edu.co</t>
  </si>
  <si>
    <t>319/782-7251</t>
  </si>
  <si>
    <t>2610ISISTALI-33</t>
  </si>
  <si>
    <t>ISAAC ALEJANDRO JANICA PIÑEROS</t>
  </si>
  <si>
    <t>janica.i@javeriana.edu.co</t>
  </si>
  <si>
    <t>319/594-5932</t>
  </si>
  <si>
    <t>2610ISISTALI-34</t>
  </si>
  <si>
    <t>JORGE ANDRES FORTICH ORDOSGOITIA</t>
  </si>
  <si>
    <t>fortich.jorgea@javeriana.edu.co</t>
  </si>
  <si>
    <t>323/463-2125</t>
  </si>
  <si>
    <t>2610ISISTALI-22</t>
  </si>
  <si>
    <t>Jorge Humberto Sierra Laiton</t>
  </si>
  <si>
    <t>sierral-jorgeh@javeriana.edu.co</t>
  </si>
  <si>
    <t>302/854-0107</t>
  </si>
  <si>
    <t>2610ISISTALI-3</t>
  </si>
  <si>
    <t>JOSE ANDRES JARAMILLO CAICA</t>
  </si>
  <si>
    <t>jaramillocj@javeriana.edu.co</t>
  </si>
  <si>
    <t>319/488-7542</t>
  </si>
  <si>
    <t>2610ISISTALI-7</t>
  </si>
  <si>
    <t>JUAN DANIEL CORDOBA CARDOZO</t>
  </si>
  <si>
    <t>juan_cordobac@javeriana.edu.co</t>
  </si>
  <si>
    <t>310/801-9471</t>
  </si>
  <si>
    <t>2610ISISTALI-5</t>
  </si>
  <si>
    <t>JUAN DIEGO ARIAS DURAN</t>
  </si>
  <si>
    <t>ariasd.j@javeriana.edu.co</t>
  </si>
  <si>
    <t>310/211-1367</t>
  </si>
  <si>
    <t>JUAN EDUARDO DIAZ ROJAS</t>
  </si>
  <si>
    <t>diazr_jeduardo@javeriana.edu.co</t>
  </si>
  <si>
    <t>320/961-1144</t>
  </si>
  <si>
    <t>JUAN ESTEBAN CAMARGO VERGARA</t>
  </si>
  <si>
    <t>camargov.j@javeriana.edu.co</t>
  </si>
  <si>
    <t>313/818-0570</t>
  </si>
  <si>
    <t>JUAN FELIPE ROMERO ORTIZ</t>
  </si>
  <si>
    <t>juanromeroo@javeriana.edu.co</t>
  </si>
  <si>
    <t>310/799-2366</t>
  </si>
  <si>
    <t>JUAN FRANCISCO VARGAS ARIZA</t>
  </si>
  <si>
    <t>jf-vargas@javeriana.edu.co</t>
  </si>
  <si>
    <t>315/494-4979</t>
  </si>
  <si>
    <t>JUAN MARTIN TREJOS VANEGAS</t>
  </si>
  <si>
    <t>jm.trejos@javeriana.edu.co</t>
  </si>
  <si>
    <t>305/474-5438</t>
  </si>
  <si>
    <t>JUAN MATEO MADRIGAL LUZ</t>
  </si>
  <si>
    <t>juanmmadrigall@javeriana.edu.co</t>
  </si>
  <si>
    <t>350/877-5727</t>
  </si>
  <si>
    <t>2610ISISTALI-18</t>
  </si>
  <si>
    <t>JUAN NICOLAS AVELLA BARRAGAN</t>
  </si>
  <si>
    <t>jnavellab@javeriana.edu.co</t>
  </si>
  <si>
    <t>320/996-3992</t>
  </si>
  <si>
    <t>Juan Pablo Flautero Contreras</t>
  </si>
  <si>
    <t>juflautero@javeriana.edu.co</t>
  </si>
  <si>
    <t>313/309-5166</t>
  </si>
  <si>
    <t>JUAN SEBASTIAN TELLEZ VALLEJO</t>
  </si>
  <si>
    <t>tellez-juan@javeriana.edu.co</t>
  </si>
  <si>
    <t>318/203-6259</t>
  </si>
  <si>
    <t>LAURA JULIANA GARZON ARIAS</t>
  </si>
  <si>
    <t>garzonlj@javeriana.edu.co</t>
  </si>
  <si>
    <t>312/593-1182</t>
  </si>
  <si>
    <t>LAURA SOFIA MENDIETA GARZON</t>
  </si>
  <si>
    <t>mendieta.laura@javeriana.edu.co</t>
  </si>
  <si>
    <t>319/340-8310</t>
  </si>
  <si>
    <t>LUIS NICOLAS CALDERON CORREA</t>
  </si>
  <si>
    <t>calderonc_luisn@javeriana.edu.co</t>
  </si>
  <si>
    <t>315/246-3310</t>
  </si>
  <si>
    <t>MARTIN VASQUEZ RAMIREZ</t>
  </si>
  <si>
    <t>vasquezrm@javeriana.edu.co</t>
  </si>
  <si>
    <t>304/573-5378</t>
  </si>
  <si>
    <t>MIGUEL ANGEL GARCIA RODRIGUEZ</t>
  </si>
  <si>
    <t>miguelagarcia@javeriana.edu.co</t>
  </si>
  <si>
    <t>310/500-6528</t>
  </si>
  <si>
    <t>NATALIA ALEXANDRA JIMENEZ CAÑAS</t>
  </si>
  <si>
    <t>na-jimenezc@javeriana.edu.co</t>
  </si>
  <si>
    <t>304/341-7457</t>
  </si>
  <si>
    <t>PABLO ENRIQUE QUINTERO CALLAMAND</t>
  </si>
  <si>
    <t>p_quintero@javeriana.edu.co</t>
  </si>
  <si>
    <t>310/285-9845</t>
  </si>
  <si>
    <t>SANTIAGO CHITIVA CONTRERAS</t>
  </si>
  <si>
    <t>schitiva@javeriana.edu.co</t>
  </si>
  <si>
    <t>322/937-8026</t>
  </si>
  <si>
    <t>SARA VALENTINA GARCIA GRANADOS</t>
  </si>
  <si>
    <t>sv_garciag@javeriana.edu.co</t>
  </si>
  <si>
    <t>304/366-9925</t>
  </si>
  <si>
    <t>SOPHIA ARISTIZABAL FLOREZ</t>
  </si>
  <si>
    <t>so.aristizabal@javeriana.edu.co</t>
  </si>
  <si>
    <t>305/265-4701</t>
  </si>
  <si>
    <t>VICTOR ALI SANCHEZ CARDENAS</t>
  </si>
  <si>
    <t>sanchezc_victor@javeriana.edu.co</t>
  </si>
  <si>
    <t>310/884-4809</t>
  </si>
  <si>
    <t>ANDRES DAVID ORTIZ FORERO</t>
  </si>
  <si>
    <t>ortizf.ad@javeriana.edu.co</t>
  </si>
  <si>
    <t>314/356-5472</t>
  </si>
  <si>
    <t>CE</t>
  </si>
  <si>
    <t>Anton Patrignani</t>
  </si>
  <si>
    <t>DANIEL FELIPE BOHORQUEZ CASAS</t>
  </si>
  <si>
    <t>daniel.bohorquezc@javeriana.edu.co</t>
  </si>
  <si>
    <t>301/336-6545</t>
  </si>
  <si>
    <t>DAVID ROA NEISA</t>
  </si>
  <si>
    <t>roan.david@javeriana.edu.co</t>
  </si>
  <si>
    <t>300/365-8312</t>
  </si>
  <si>
    <t>2610ISISTALI-1</t>
  </si>
  <si>
    <t>ISABELLA PALACIO FAJARDO</t>
  </si>
  <si>
    <t>palacioisabella@javeriana.edu.co</t>
  </si>
  <si>
    <t>316/659-9910</t>
  </si>
  <si>
    <t>2610ISISTALI-4</t>
  </si>
  <si>
    <t>ISMAEL SANTIAGO FORERO ROMERO</t>
  </si>
  <si>
    <t>is.forero@javeriana.edu.co</t>
  </si>
  <si>
    <t>310/353-4091</t>
  </si>
  <si>
    <t>JERONIMO VANEGAS JIMENEZ</t>
  </si>
  <si>
    <t>vanegas-jeronimo@javeriana.edu.co</t>
  </si>
  <si>
    <t>320/358-1295</t>
  </si>
  <si>
    <t>Johann Sebastian Berrio Barreto</t>
  </si>
  <si>
    <t>johann.berrio@javeriana.edu.co</t>
  </si>
  <si>
    <t>315/429-4188</t>
  </si>
  <si>
    <t>JORGE ESTEBAN GOMEZ ZULUAGA</t>
  </si>
  <si>
    <t>gomezjo@javeriana.edu.co</t>
  </si>
  <si>
    <t>319/548-0750</t>
  </si>
  <si>
    <t>JUAN CAMILO ALBA CASTRO</t>
  </si>
  <si>
    <t>alba-jc@javeriana.edu.co</t>
  </si>
  <si>
    <t>314/262-4291</t>
  </si>
  <si>
    <t>JUAN CARLOS CORREA CARVAJAL</t>
  </si>
  <si>
    <t>juanccorreac@javeriana.edu.co</t>
  </si>
  <si>
    <t>315/618-0993</t>
  </si>
  <si>
    <t>JUAN DIEGO CIFUENTES BUITRAGO</t>
  </si>
  <si>
    <t>cifuentes.jd@javeriana.edu.co</t>
  </si>
  <si>
    <t>314/443-5878</t>
  </si>
  <si>
    <t>JUAN DIEGO MUÑOZ ANGULO</t>
  </si>
  <si>
    <t>munoz.juand@javeriana.edu.co</t>
  </si>
  <si>
    <t>300/823-7819</t>
  </si>
  <si>
    <t>JUAN ESTEBAN DIAZ TOLEDO</t>
  </si>
  <si>
    <t>je.diazt@javeriana.edu.co</t>
  </si>
  <si>
    <t>311/553-1185</t>
  </si>
  <si>
    <t>JULIAN ALEXANDER DIAZ ORTIZ</t>
  </si>
  <si>
    <t>ja-diaz@javeriana.edu.co</t>
  </si>
  <si>
    <t>324/566-4226</t>
  </si>
  <si>
    <t>JULIAN CAMILO RAMOS GRANADA</t>
  </si>
  <si>
    <t>julianc.ramos@javeriana.edu.co</t>
  </si>
  <si>
    <t>302/255-4831</t>
  </si>
  <si>
    <t>KAREN DANIELA MEDINA NARANJO</t>
  </si>
  <si>
    <t>kdaniela.medina@javeriana.edu.co</t>
  </si>
  <si>
    <t>312/545-0791</t>
  </si>
  <si>
    <t>MARIA FERNANDA RODRIGUEZ OSPINA</t>
  </si>
  <si>
    <t>mf-rodriguezo@javeriana.edu.co</t>
  </si>
  <si>
    <t>314/328-7728</t>
  </si>
  <si>
    <t>2610ISISTALI-20</t>
  </si>
  <si>
    <t>MATEO MORENO MUÑOZ</t>
  </si>
  <si>
    <t>mateo_morenom@javeriana.edu.co</t>
  </si>
  <si>
    <t>318/773-8457</t>
  </si>
  <si>
    <t>MELISSA FERNANDA RUIZ BARRERA</t>
  </si>
  <si>
    <t>melissafruizb@javeriana.edu.co</t>
  </si>
  <si>
    <t>316/678-1222</t>
  </si>
  <si>
    <t>MICHELLE GABRIELA CRUZ PINO</t>
  </si>
  <si>
    <t>cruzpmg@javeriana.edu.co</t>
  </si>
  <si>
    <t>311/570-3735</t>
  </si>
  <si>
    <t>NICOLAS ALBERTO PEDRAZA VASQUEZ</t>
  </si>
  <si>
    <t>pedraza_n@javeriana.edu.co</t>
  </si>
  <si>
    <t>301/213-0916</t>
  </si>
  <si>
    <t>PAULA ALEJANDRA GARCIA AFRICANO</t>
  </si>
  <si>
    <t>garciaapaula@javeriana.edu.co</t>
  </si>
  <si>
    <t>323/243-9787</t>
  </si>
  <si>
    <t>2610Isistali-5</t>
  </si>
  <si>
    <t>Samuel Jesús Mejía Díaz</t>
  </si>
  <si>
    <t>samejia@javeriana.edu.co</t>
  </si>
  <si>
    <t>300/751-6047</t>
  </si>
  <si>
    <t>SANTIAGO CASTRO GARZON</t>
  </si>
  <si>
    <t>sa-castro@javeriana.edu.co</t>
  </si>
  <si>
    <t>573132336287</t>
  </si>
  <si>
    <t>SANTIAGO MARTINEZ LOPEZ</t>
  </si>
  <si>
    <t>martinezlsantiago@javeriana.edu.co</t>
  </si>
  <si>
    <t>305/700-2405</t>
  </si>
  <si>
    <t>SERGIO ASENCIO RODRIGUEZ</t>
  </si>
  <si>
    <t>asencio_s@javeriana.edu.co</t>
  </si>
  <si>
    <t>305/898-0074</t>
  </si>
  <si>
    <t>SERGIO DAVID ORTIZ HERNANDEZ</t>
  </si>
  <si>
    <t>sdortizh@javeriana.edu.co</t>
  </si>
  <si>
    <t>302/648-6989</t>
  </si>
  <si>
    <t>SIMON DIAZ MONROY</t>
  </si>
  <si>
    <t>simondiaz@javeriana.edu.co</t>
  </si>
  <si>
    <t>314/316-4108</t>
  </si>
  <si>
    <t>Tomas Ortega Fernández</t>
  </si>
  <si>
    <t>tomas_ortega@javeriana.edu.co</t>
  </si>
  <si>
    <t>324/585-6866</t>
  </si>
  <si>
    <t>TOMAS RAMIREZ ROA</t>
  </si>
  <si>
    <t>t_ramirez@javeriana.edu.co</t>
  </si>
  <si>
    <t>319/709-6175</t>
  </si>
  <si>
    <t>ANDRES DAVID RUEDA SANDOVAL</t>
  </si>
  <si>
    <t>adavid-rueda@javeriana.edu.co</t>
  </si>
  <si>
    <t>317/334-2229</t>
  </si>
  <si>
    <t>2610ISISTJUA-9</t>
  </si>
  <si>
    <t>ANDRES FELIPE TORRES MONROY</t>
  </si>
  <si>
    <t>andres_torresm@javeriana.edu.co</t>
  </si>
  <si>
    <t>318/665-4130</t>
  </si>
  <si>
    <t>2610ISISTJUA-13</t>
  </si>
  <si>
    <t>ANDRES HENAO NIÑO</t>
  </si>
  <si>
    <t>ahenaon@javeriana.edu.co</t>
  </si>
  <si>
    <t>315/055-2887</t>
  </si>
  <si>
    <t>2610ISISTJUA-5</t>
  </si>
  <si>
    <t>ARANTXA MARIAN ESPEJO MALAGON</t>
  </si>
  <si>
    <t>arantxa-espejo@javeriana.edu.co</t>
  </si>
  <si>
    <t>302/704-4144</t>
  </si>
  <si>
    <t>2610ISISTJUA-11</t>
  </si>
  <si>
    <t>CARLOS ENRIQUE CAICEDO GUERRERO</t>
  </si>
  <si>
    <t>caicedog.ce@javeriana.edu.co</t>
  </si>
  <si>
    <t>321/226-5248</t>
  </si>
  <si>
    <t>2610ISISTJUA-2</t>
  </si>
  <si>
    <t>CARLOS MANUEL VILLEGAS RUIZ</t>
  </si>
  <si>
    <t>villegas.carlos@javeriana.edu.co</t>
  </si>
  <si>
    <t>310/853-7253</t>
  </si>
  <si>
    <t>2610ISISTJUA-8</t>
  </si>
  <si>
    <t>DAVID ANDRES RAMIREZ GONZALEZ</t>
  </si>
  <si>
    <t>ramirezg.david@javeriana.edu.co</t>
  </si>
  <si>
    <t>302/447-0955</t>
  </si>
  <si>
    <t>Ciencia de Datos</t>
  </si>
  <si>
    <t>DAVID SANTIAGO PIÑEROS RODRIGUEZ</t>
  </si>
  <si>
    <t>pinerosrdavid@javeriana.edu.co</t>
  </si>
  <si>
    <t>320/442-2056</t>
  </si>
  <si>
    <t>2610ISISTJUA-3</t>
  </si>
  <si>
    <t>FRANCISCO JAVIER GUZMAN VILLEGAS</t>
  </si>
  <si>
    <t>francisco-guzmanv@javeriana.edu.co</t>
  </si>
  <si>
    <t>318/870-9555</t>
  </si>
  <si>
    <t>GABRIEL ALEJANDRO CAMACHO RIVERA</t>
  </si>
  <si>
    <t>gabrielcamachor@javeriana.edu.co</t>
  </si>
  <si>
    <t>312/367-7888</t>
  </si>
  <si>
    <t>HARRY ESTEBAN SANCHEZ GUEVARA</t>
  </si>
  <si>
    <t>sanchezg_harry@javeriana.edu.co</t>
  </si>
  <si>
    <t>304/350-3763</t>
  </si>
  <si>
    <t>JOAN EMMANUEL ORDUZ CHIA</t>
  </si>
  <si>
    <t>joan_orduz@javeriana.edu.co</t>
  </si>
  <si>
    <t>312/316-4634</t>
  </si>
  <si>
    <t>2610ISISTJUA-6</t>
  </si>
  <si>
    <t>JOHAN SEBASTIAN LOPEZ ARCINIEGAS</t>
  </si>
  <si>
    <t>johans_lopez@javeriana.edu.co</t>
  </si>
  <si>
    <t>317/386-7897</t>
  </si>
  <si>
    <t>2610ISISTJUA-14</t>
  </si>
  <si>
    <t>JOSHUA PRIETO ZAMBRANO</t>
  </si>
  <si>
    <t>prietojoshua@javeriana.edu.co</t>
  </si>
  <si>
    <t>311/846-8556</t>
  </si>
  <si>
    <t>2610ISISTJUA-4</t>
  </si>
  <si>
    <t>JUAN CAMILO GOMEZ CONTENTO</t>
  </si>
  <si>
    <t>jcamilo.gomez@javeriana.edu.co</t>
  </si>
  <si>
    <t>321/456-7243</t>
  </si>
  <si>
    <t>JUAN DAVID GARRIDO RAMOS</t>
  </si>
  <si>
    <t>juan.garrido@javeriana.edu.co</t>
  </si>
  <si>
    <t>311/271-9625</t>
  </si>
  <si>
    <t>JUAN DIEGO ROJAS VARGAS</t>
  </si>
  <si>
    <t>jdiego-rojas@javeriana.edu.co</t>
  </si>
  <si>
    <t>313/860-4561</t>
  </si>
  <si>
    <t>2610ISISTJUA-15</t>
  </si>
  <si>
    <t>JUAN LUIS ARDILA VELASCO</t>
  </si>
  <si>
    <t>ardilavjuan@javeriana.edu.co</t>
  </si>
  <si>
    <t>319/590-4481</t>
  </si>
  <si>
    <t>2610ISISTJUA-12</t>
  </si>
  <si>
    <t>JUAN MARTIN SANCHEZ BURBANO</t>
  </si>
  <si>
    <t>jmartin_sanchez@javeriana.edu.co</t>
  </si>
  <si>
    <t>316/753-8247</t>
  </si>
  <si>
    <t>KARLA MARIANA MARTINEZ CEDEÑO</t>
  </si>
  <si>
    <t>karla.martinezc@javeriana.edu.co</t>
  </si>
  <si>
    <t>317/588-7777</t>
  </si>
  <si>
    <t>2610ISISTJUA-10</t>
  </si>
  <si>
    <t>KATHERYN SOFIA GUASCA CHAVARRO</t>
  </si>
  <si>
    <t>ksofia.guasca@javeriana.edu.co</t>
  </si>
  <si>
    <t>305/814-0252</t>
  </si>
  <si>
    <t>MAY SANTIAGO VARGAS ALEGRIA</t>
  </si>
  <si>
    <t>ms_vargas@javeriana.edu.co</t>
  </si>
  <si>
    <t>313/366-0217</t>
  </si>
  <si>
    <t>NICOLAS MATEO MORALES SANCHEZ</t>
  </si>
  <si>
    <t>mo.nicolas@javeriana.edu.co</t>
  </si>
  <si>
    <t>317/452-1386</t>
  </si>
  <si>
    <t>SALOMON ALFREDO AVILA LARROTTA</t>
  </si>
  <si>
    <t>avila_sa@javeriana.edu.co</t>
  </si>
  <si>
    <t>318/867-2756</t>
  </si>
  <si>
    <t>SAMUEL EDUARDO EMPERADOR CONTRERAS</t>
  </si>
  <si>
    <t>emperadorc.s@javeriana.edu.co</t>
  </si>
  <si>
    <t>321/418-1852</t>
  </si>
  <si>
    <t>2610ISISTJUA-1</t>
  </si>
  <si>
    <t>SAMUEL OSORIO RODRIGUEZ</t>
  </si>
  <si>
    <t>samuel_osorio@javeriana.edu.co</t>
  </si>
  <si>
    <t>322/231-3633</t>
  </si>
  <si>
    <t>2610ISISTJUA-7</t>
  </si>
  <si>
    <t>SANTIAGO AVILA BARBUDO</t>
  </si>
  <si>
    <t>santiagoavila@javeriana.edu.co</t>
  </si>
  <si>
    <t>301/324-5136</t>
  </si>
  <si>
    <t>SANTIAGO HERNANDEZ BARBOSA</t>
  </si>
  <si>
    <t>santiagohernandezb@javeriana.edu.co</t>
  </si>
  <si>
    <t>322/393-3898</t>
  </si>
  <si>
    <t>SANTIAGO PINEDA MORA</t>
  </si>
  <si>
    <t>santiago.pineda@javeriana.edu.co</t>
  </si>
  <si>
    <t>305/311-3534</t>
  </si>
  <si>
    <t>SEBASTIAN ANGULO VERGARA</t>
  </si>
  <si>
    <t>angulosebastian@javeriana.edu.co</t>
  </si>
  <si>
    <t>317/756-5162</t>
  </si>
  <si>
    <t>VALERIA CATALINA CAYCEDO RAMIREZ</t>
  </si>
  <si>
    <t>v_caycedo@javeriana.edu.co</t>
  </si>
  <si>
    <t>300/218-0504</t>
  </si>
  <si>
    <t>VICTOR JULIO PEÑARANDA FLOREZ</t>
  </si>
  <si>
    <t>penarandaf.victorj@javeriana.edu.co</t>
  </si>
  <si>
    <t>310/431-7159</t>
  </si>
  <si>
    <t>2610ISISTJUA-16</t>
  </si>
  <si>
    <t>ANDRES DAVID POLO CHARRIS</t>
  </si>
  <si>
    <t>adavid.polo@javeriana.edu.co</t>
  </si>
  <si>
    <t>321/444-7617</t>
  </si>
  <si>
    <t>2610IELECSAN-2</t>
  </si>
  <si>
    <t>ANDRES FELIPE PEREZ DIAZ</t>
  </si>
  <si>
    <t>andresfperezd@javeriana.edu.co</t>
  </si>
  <si>
    <t>310/666-5850</t>
  </si>
  <si>
    <t>CARLOS EDUARDO LARA LIZARAZO</t>
  </si>
  <si>
    <t>laracarlos@javeriana.edu.co</t>
  </si>
  <si>
    <t>312/518-0522</t>
  </si>
  <si>
    <t>2610IELECSAN-3</t>
  </si>
  <si>
    <t>DANIEL FELIPE SALAZAR NIZO</t>
  </si>
  <si>
    <t>danielfsalazarn@javeriana.edu.co</t>
  </si>
  <si>
    <t>313/482-6236</t>
  </si>
  <si>
    <t>DIEGO ALEJANDRO MARTINEZ ATENCIA</t>
  </si>
  <si>
    <t>martineza.d@javeriana.edu.co</t>
  </si>
  <si>
    <t>322/437-9112</t>
  </si>
  <si>
    <t>JOHN ALEJANDRO MORALES USECHE</t>
  </si>
  <si>
    <t>moralesuj@javeriana.edu.co</t>
  </si>
  <si>
    <t>301/435-2525</t>
  </si>
  <si>
    <t>2610IELECSAN-1</t>
  </si>
  <si>
    <t>JUAN ESTEBAN MALAGON PALACIOS</t>
  </si>
  <si>
    <t>juanemalagon@javeriana.edu.co</t>
  </si>
  <si>
    <t>312/297-1532</t>
  </si>
  <si>
    <t>JUAN SEBASTIAN GONZALEZ HERNANDEZ</t>
  </si>
  <si>
    <t>juans_gonzalezh@javeriana.edu.co</t>
  </si>
  <si>
    <t>304/603-5941</t>
  </si>
  <si>
    <t>JULIAN FELIPE GONZALEZ MARIN</t>
  </si>
  <si>
    <t>jf.gonzalezm@javeriana.edu.co</t>
  </si>
  <si>
    <t>316/864-7505</t>
  </si>
  <si>
    <t>LINA PAOLA DIAZ CARO</t>
  </si>
  <si>
    <t>linap.diaz@javeriana.edu.co</t>
  </si>
  <si>
    <t>310/768-1827</t>
  </si>
  <si>
    <t>NICOLAS FONSECA PUENTES</t>
  </si>
  <si>
    <t>nicolasfonseca@javeriana.edu.co</t>
  </si>
  <si>
    <t>322/797-5780</t>
  </si>
  <si>
    <t>NICOLAS ORLANDO CORTES GUTIERREZ</t>
  </si>
  <si>
    <t>cortesg_no@javeriana.edu.co</t>
  </si>
  <si>
    <t>316/528-8072</t>
  </si>
  <si>
    <t>NICOLAS VARGAS FAJARDO</t>
  </si>
  <si>
    <t>va.nicolas@javeriana.edu.co</t>
  </si>
  <si>
    <t>320/302-8163</t>
  </si>
  <si>
    <t>RUSLAN DOMINGUEZ IVANOVA</t>
  </si>
  <si>
    <t>ru-dominguez@javeriana.edu.co</t>
  </si>
  <si>
    <t>315/247-1629</t>
  </si>
  <si>
    <t>SAMUEL DAVID OVALLE ROSAS</t>
  </si>
  <si>
    <t>sd-ovalle@javeriana.edu.co</t>
  </si>
  <si>
    <t>312/597-6542</t>
  </si>
  <si>
    <t>VALENTINA SANDOVAL APARICIO</t>
  </si>
  <si>
    <t>valentina.sandoval@javeriana.edu.co</t>
  </si>
  <si>
    <t>316/361-7635</t>
  </si>
  <si>
    <t>ALEXANDER NOVOA SANCHEZ</t>
  </si>
  <si>
    <t>alexander-novoa@javeriana.edu.co</t>
  </si>
  <si>
    <t>318/894-8028</t>
  </si>
  <si>
    <t>2610IELECJOS-1</t>
  </si>
  <si>
    <t>DANIEL SANTIAGO CAICEDO GUZMAN</t>
  </si>
  <si>
    <t>caicedo-ds@javeriana.edu.co</t>
  </si>
  <si>
    <t>310/566-7254</t>
  </si>
  <si>
    <t>Ing Redes y Telecomunicaciones</t>
  </si>
  <si>
    <t>2610IELECJOS-8</t>
  </si>
  <si>
    <t>EDWARD ANTONIO BENAVIDES TRUJILLO</t>
  </si>
  <si>
    <t>ed.benavides@javeriana.edu.co</t>
  </si>
  <si>
    <t>323/811-3323</t>
  </si>
  <si>
    <t>EMMANUELLE MAYA ARROYAVE</t>
  </si>
  <si>
    <t>mayaemmanuelle@javeriana.edu.co</t>
  </si>
  <si>
    <t>316/828-6557</t>
  </si>
  <si>
    <t>2610IELECJOS-7</t>
  </si>
  <si>
    <t>EUGENIO JOSE VEGA CONTRERAS</t>
  </si>
  <si>
    <t>vegaej@javeriana.edu.co</t>
  </si>
  <si>
    <t>316/510-8995</t>
  </si>
  <si>
    <t>2610IELECJOS-9</t>
  </si>
  <si>
    <t>FELIPE QUEVEDO ORJUELA</t>
  </si>
  <si>
    <t>quevedofelipe@javeriana.edu.co</t>
  </si>
  <si>
    <t>311/322-8685</t>
  </si>
  <si>
    <t>2610IELECJOS-5</t>
  </si>
  <si>
    <t>HELVER SANTIAGO GAMBOA PACHECO</t>
  </si>
  <si>
    <t>hs_gamboa@javeriana.edu.co</t>
  </si>
  <si>
    <t>311/879-2232</t>
  </si>
  <si>
    <t>2610IELECJOS-2</t>
  </si>
  <si>
    <t>JUAN ALBERTO VILLAMIL ANGULO</t>
  </si>
  <si>
    <t>villamil-jalberto@javeriana.edu.co</t>
  </si>
  <si>
    <t>310/608-9043</t>
  </si>
  <si>
    <t>JUAN DAVID RAMIREZ CRUZ</t>
  </si>
  <si>
    <t>jdramirezc@javeriana.edu.co</t>
  </si>
  <si>
    <t>321/961-0288</t>
  </si>
  <si>
    <t>JUAN PABLO ARENAS VARGAS</t>
  </si>
  <si>
    <t>juanp-arenas@javeriana.edu.co</t>
  </si>
  <si>
    <t>305/369-0291</t>
  </si>
  <si>
    <t>LINDA SOPHIA OVALLE SANCHEZ</t>
  </si>
  <si>
    <t>ovalles.l@javeriana.edu.co</t>
  </si>
  <si>
    <t>316/547-5386</t>
  </si>
  <si>
    <t>LUIS MIGUEL BERNAL RODRIGUEZ</t>
  </si>
  <si>
    <t>lm_bernalr@javeriana.edu.co</t>
  </si>
  <si>
    <t>316 470 7247</t>
  </si>
  <si>
    <t>MARIA CLARA URREGO BURGOS</t>
  </si>
  <si>
    <t>urregoma@javeriana.edu.co</t>
  </si>
  <si>
    <t>350/344-7770</t>
  </si>
  <si>
    <t>2610IELECJOS-4</t>
  </si>
  <si>
    <t>MIGUEL ANGEL MARTINEZ CARDENAS</t>
  </si>
  <si>
    <t>mi.martinez@javeriana.edu.co</t>
  </si>
  <si>
    <t>318/326-1390</t>
  </si>
  <si>
    <t>SAMUEL ALEJANDRO ARIAS DIAZ</t>
  </si>
  <si>
    <t>salejandro_arias@javeriana.edu.co</t>
  </si>
  <si>
    <t>316/622-0327</t>
  </si>
  <si>
    <t>SAMUEL MONTOYA PIEDRAHITA</t>
  </si>
  <si>
    <t>samuel-montoya@javeriana.edu.co</t>
  </si>
  <si>
    <t>+573002587641</t>
  </si>
  <si>
    <t>SAMUEL SALAZAR ARBELAEZ</t>
  </si>
  <si>
    <t>salazara.s@javeriana.edu.co</t>
  </si>
  <si>
    <t>314/384-8460</t>
  </si>
  <si>
    <t>THOMAS SANTIAGO RAMIREZ MORENO</t>
  </si>
  <si>
    <t>thomas.ramirezm@javeriana.edu.co</t>
  </si>
  <si>
    <t>30194013307</t>
  </si>
  <si>
    <t>DAVID NICOLAS FORERO RIVERA</t>
  </si>
  <si>
    <t>dn.forero@javeriana.edu.co</t>
  </si>
  <si>
    <t>305/370-2411</t>
  </si>
  <si>
    <t>2610IINDSGIO-1</t>
  </si>
  <si>
    <t>ENRIQUE DAZA RAMOS</t>
  </si>
  <si>
    <t>daza_enrique@javeriana.edu.co</t>
  </si>
  <si>
    <t>300/883-8591</t>
  </si>
  <si>
    <t>FEDERICO ARAGON OCHOA</t>
  </si>
  <si>
    <t>faragono@javeriana.edu.co</t>
  </si>
  <si>
    <t>310/333-6911</t>
  </si>
  <si>
    <t>2610IINDSGIO-5</t>
  </si>
  <si>
    <t>FELIPE CASTELLANOS AZULA</t>
  </si>
  <si>
    <t>f.castellanos@javeriana.edu.co</t>
  </si>
  <si>
    <t>315/641-1344</t>
  </si>
  <si>
    <t>Gabriela Martinez Torres</t>
  </si>
  <si>
    <t>ma.gabriela@javeriana.edu.co</t>
  </si>
  <si>
    <t>323/421-8231</t>
  </si>
  <si>
    <t>HELENNE BIBIANA CASTAÑEDA BARRETO</t>
  </si>
  <si>
    <t>hb_castanedab@javeriana.edu.co</t>
  </si>
  <si>
    <t>319/536-3370</t>
  </si>
  <si>
    <t>2610IINDSGIO-4</t>
  </si>
  <si>
    <t>ISABELLA BELTRAN PEREZ</t>
  </si>
  <si>
    <t>isabella.beltranp@javeriana.edu.co</t>
  </si>
  <si>
    <t>315/558-9423</t>
  </si>
  <si>
    <t>JADITH RUIZ RODRIGUEZ</t>
  </si>
  <si>
    <t>ruizj-a@javeriana.edu.co</t>
  </si>
  <si>
    <t>320/572-2251</t>
  </si>
  <si>
    <t>JHOSSUA LOSADA CARMONA</t>
  </si>
  <si>
    <t>jhossua_losada@javeriana.edu.co</t>
  </si>
  <si>
    <t>310/849-0119</t>
  </si>
  <si>
    <t>2610IINDSGIO-6</t>
  </si>
  <si>
    <t>JOSE LUIS BUITRAGO ROJAS</t>
  </si>
  <si>
    <t>jl.buitrago@javeriana.edu.co</t>
  </si>
  <si>
    <t>314/729-1344</t>
  </si>
  <si>
    <t>JUAN DANIEL ARIZA ARIZA</t>
  </si>
  <si>
    <t>jd_arizaa@javeriana.edu.co</t>
  </si>
  <si>
    <t>310/689-4925</t>
  </si>
  <si>
    <t>JUAN ESTEBAN VERA LAGOS</t>
  </si>
  <si>
    <t>jesteban.vera@javeriana.edu.co</t>
  </si>
  <si>
    <t>321/603-3823</t>
  </si>
  <si>
    <t>2610IINDSGIO-2</t>
  </si>
  <si>
    <t>JUAN FERNANDO GALINDO PEÑA</t>
  </si>
  <si>
    <t>ju.galindo@javeriana.edu.co</t>
  </si>
  <si>
    <t>320/936-4880</t>
  </si>
  <si>
    <t>JUAN JOSE GOMEZ MUÑOZ</t>
  </si>
  <si>
    <t>jjgomezm@javeriana.edu.co</t>
  </si>
  <si>
    <t>300/797-4121</t>
  </si>
  <si>
    <t>JUAN SEBASTIAN BARRERA LOZANO</t>
  </si>
  <si>
    <t>barreral-juan@javeriana.edu.co</t>
  </si>
  <si>
    <t>322/830-3525</t>
  </si>
  <si>
    <t>MARIA JOSE AMADOR HENAO</t>
  </si>
  <si>
    <t>maria.amadorh@javeriana.edu.co</t>
  </si>
  <si>
    <t>316/798-4246</t>
  </si>
  <si>
    <t>2610IINDSGIO-3</t>
  </si>
  <si>
    <t>MARIA JOSE SALAMANCA CAMPOS</t>
  </si>
  <si>
    <t>salamanca-mj@javeriana.edu.co</t>
  </si>
  <si>
    <t>320/827-3682</t>
  </si>
  <si>
    <t>MARIANA AMAYA RAMOS</t>
  </si>
  <si>
    <t>marianaamayar@javeriana.edu.co</t>
  </si>
  <si>
    <t>'3507870662</t>
  </si>
  <si>
    <t>MARTIN DAVID CADENA MALAVER</t>
  </si>
  <si>
    <t>martin-cadena@javeriana.edu.co</t>
  </si>
  <si>
    <t>300/639-1181</t>
  </si>
  <si>
    <t>MARTINA RESTREPO GUTIERREZ</t>
  </si>
  <si>
    <t>restrepo.martina@javeriana.edu.co</t>
  </si>
  <si>
    <t>310/363-6224</t>
  </si>
  <si>
    <t>MIGUEL ANGEL AVILA JIMENEZ</t>
  </si>
  <si>
    <t>miguela.avilaj@javeriana.edu.co</t>
  </si>
  <si>
    <t>321/394-9641</t>
  </si>
  <si>
    <t>SILVANA YUNDA ALTARE</t>
  </si>
  <si>
    <t>yunda-s@javeriana.edu.co</t>
  </si>
  <si>
    <t>315/346-2993</t>
  </si>
  <si>
    <t>VALENTINA GARZON PEÑA</t>
  </si>
  <si>
    <t>va.garzon@javeriana.edu.co</t>
  </si>
  <si>
    <t>321/961-3075</t>
  </si>
  <si>
    <t>ANA SOFIA LEON AREVALO</t>
  </si>
  <si>
    <t>anasleon@javeriana.edu.co</t>
  </si>
  <si>
    <t>311/477-5186</t>
  </si>
  <si>
    <t>2610IINDSBLA-1</t>
  </si>
  <si>
    <t>ANAMARIA PEÑALOZA RAMIREZ</t>
  </si>
  <si>
    <t>penaloza-anamaria@javeriana.edu.co</t>
  </si>
  <si>
    <t>305/346-3509</t>
  </si>
  <si>
    <t>2610IINDSBLA-2</t>
  </si>
  <si>
    <t>ANDRES DAVID OCHOA PINEDA</t>
  </si>
  <si>
    <t>andresdochoap@javeriana.edu.co</t>
  </si>
  <si>
    <t>315/333-5509</t>
  </si>
  <si>
    <t>DANIEL FORERO CADAVID</t>
  </si>
  <si>
    <t>forero_daniel@javeriana.edu.co</t>
  </si>
  <si>
    <t>305/257-3926</t>
  </si>
  <si>
    <t>2610IINDSBLA-3</t>
  </si>
  <si>
    <t>DERLY LIYANNI REYES AGUILERA</t>
  </si>
  <si>
    <t>derlyl_reyesa@javeriana.edu.co</t>
  </si>
  <si>
    <t>320/859-3019</t>
  </si>
  <si>
    <t>2610IINDSBLA-6</t>
  </si>
  <si>
    <t>GABRIELA TORRES ERASO</t>
  </si>
  <si>
    <t>gabrielatorrese@javeriana.edu.co</t>
  </si>
  <si>
    <t>317/558-4422</t>
  </si>
  <si>
    <t>JOSEPH EDUARDO LEON AYALA</t>
  </si>
  <si>
    <t>jeleon@javeriana.edu.co</t>
  </si>
  <si>
    <t>313/885-9601</t>
  </si>
  <si>
    <t>2610IINDSBLA-5</t>
  </si>
  <si>
    <t>JUAN ESTEBAN AVILA GUERRERO</t>
  </si>
  <si>
    <t>jeavilag@javeriana.edu.co</t>
  </si>
  <si>
    <t>305/334-4797</t>
  </si>
  <si>
    <t>JUAN ESTEBAN REYES BAUTISTA</t>
  </si>
  <si>
    <t>je.reyesb@javeriana.edu.co</t>
  </si>
  <si>
    <t>310/613-4922</t>
  </si>
  <si>
    <t>JUAN MANUEL LOPEZ PAEZ</t>
  </si>
  <si>
    <t>juanm.lopez@javeriana.edu.co</t>
  </si>
  <si>
    <t>300/719-2578</t>
  </si>
  <si>
    <t>JUAN PABLO TORRES AGUDELO</t>
  </si>
  <si>
    <t>jp.torres@javeriana.edu.co</t>
  </si>
  <si>
    <t>302/259-5776</t>
  </si>
  <si>
    <t>JULIANA DELGADILLO SARAY</t>
  </si>
  <si>
    <t>ju_delgadillo@javeriana.edu.co</t>
  </si>
  <si>
    <t>319/780-6683</t>
  </si>
  <si>
    <t>2610IINDSBLA-4</t>
  </si>
  <si>
    <t>LAURA SOFIA VALDERRAMA FORERO</t>
  </si>
  <si>
    <t>valderramalaura@javeriana.edu.co</t>
  </si>
  <si>
    <t>314/812-9645</t>
  </si>
  <si>
    <t>MARIA CATALINA LIZARAZO GUTIERREZ</t>
  </si>
  <si>
    <t>lizarazo.mc@javeriana.edu.co</t>
  </si>
  <si>
    <t>305/233-2191</t>
  </si>
  <si>
    <t>MARIA FERNANDA GARCIA CELY</t>
  </si>
  <si>
    <t>maria_garciac@javeriana.edu.co</t>
  </si>
  <si>
    <t>312/529-7035</t>
  </si>
  <si>
    <t>MARIA JULIANA PUENTES DUQUE</t>
  </si>
  <si>
    <t>mj_puentes@javeriana.edu.co</t>
  </si>
  <si>
    <t>315/265-2499</t>
  </si>
  <si>
    <t>MARIA PAULA GAITAN DEAQUIZ</t>
  </si>
  <si>
    <t>gaitanmaria@javeriana.edu.co</t>
  </si>
  <si>
    <t>320/782-5724</t>
  </si>
  <si>
    <t>MARIA PAULA RUIZ CARDENAS</t>
  </si>
  <si>
    <t>mariapruizc@javeriana.edu.co</t>
  </si>
  <si>
    <t>315/202-0049</t>
  </si>
  <si>
    <t>MARIA PAULA SANCHEZ FIAGA</t>
  </si>
  <si>
    <t>sanchezmpaula@javeriana.edu.co</t>
  </si>
  <si>
    <t>313/598-8924</t>
  </si>
  <si>
    <t>2610IINDSBLA-7</t>
  </si>
  <si>
    <t>MIGUEL SANTIAGO CASAS LOPEZ</t>
  </si>
  <si>
    <t>casasms@javeriana.edu.co</t>
  </si>
  <si>
    <t>311/459-9028</t>
  </si>
  <si>
    <t>NICOLAS ALAVA CORDOBA</t>
  </si>
  <si>
    <t>n_alava@javeriana.edu.co</t>
  </si>
  <si>
    <t>301/305-5960</t>
  </si>
  <si>
    <t>RAFAEL ALEJANDRO VILLERO RODRIGUEZ</t>
  </si>
  <si>
    <t>ralejandrovillero@javeriana.edu.co</t>
  </si>
  <si>
    <t>310/498-2740</t>
  </si>
  <si>
    <t>SAMUEL RODRIGUEZ NAVARRETE</t>
  </si>
  <si>
    <t>samuelrodriguez@javeriana.edu.co</t>
  </si>
  <si>
    <t>324/477-7424</t>
  </si>
  <si>
    <t>SANTIAGO ALEXANDER RICO CUBIDES</t>
  </si>
  <si>
    <t>ricoc-santiago@javeriana.edu.co</t>
  </si>
  <si>
    <t>315/441-7047</t>
  </si>
  <si>
    <t>SANTIAGO PABON VALDERRAMA</t>
  </si>
  <si>
    <t>santiagopabon@javeriana.edu.co</t>
  </si>
  <si>
    <t>305/425-8436</t>
  </si>
  <si>
    <t>SARA MARIA GARCIA CETINA</t>
  </si>
  <si>
    <t>garciacsm@javeriana.edu.co</t>
  </si>
  <si>
    <t>321/276-8148</t>
  </si>
  <si>
    <t>TOMAS ALEJANDRO AMAYA SAENZ</t>
  </si>
  <si>
    <t>am_tomas@javeriana.edu.co</t>
  </si>
  <si>
    <t>321/458-9030</t>
  </si>
  <si>
    <t>TOMAS CHONA MARTINEZ</t>
  </si>
  <si>
    <t>tomas_chona@javeriana.edu.co</t>
  </si>
  <si>
    <t>316/397-6022</t>
  </si>
  <si>
    <t>ALEJANDRO FORERO ARIAS</t>
  </si>
  <si>
    <t>alejandro-canon@javeriana.edu.co</t>
  </si>
  <si>
    <t>317/890-0274</t>
  </si>
  <si>
    <t>2610IINDSCLA-10</t>
  </si>
  <si>
    <t>DANIEL FERNANDO NOVOA PACHECO</t>
  </si>
  <si>
    <t>novoap-daniel@javeriana.edu.co</t>
  </si>
  <si>
    <t>313/261-1215</t>
  </si>
  <si>
    <t>2610IINDSCLA-4</t>
  </si>
  <si>
    <t>DAVID OCAMPO DUQUE</t>
  </si>
  <si>
    <t>david.ocampod@javeriana.edu.co</t>
  </si>
  <si>
    <t>305/307-2076</t>
  </si>
  <si>
    <t>DIEGO RODRIGUEZ ESTRADA</t>
  </si>
  <si>
    <t>diego_rodrigueze@javeriana.edu.co</t>
  </si>
  <si>
    <t>302/206-9694</t>
  </si>
  <si>
    <t>2610IINDSCLA-5</t>
  </si>
  <si>
    <t>JUAN CAMILO CASTRO PARRA</t>
  </si>
  <si>
    <t>jcamilo.castrop@javeriana.edu.co</t>
  </si>
  <si>
    <t>322/246-0634</t>
  </si>
  <si>
    <t>2610IINDSCLA-7</t>
  </si>
  <si>
    <t>JUAN SEBASTIAN LOPEZ QUIJANO</t>
  </si>
  <si>
    <t>lopezjuans@javeriana.edu.co</t>
  </si>
  <si>
    <t>300/308-9476</t>
  </si>
  <si>
    <t>2610IINDSCLA-8</t>
  </si>
  <si>
    <t>LAURA SOFIA RODRIGUEZ CAMARGO</t>
  </si>
  <si>
    <t>lauras_rodriguezc@javeriana.edu.co</t>
  </si>
  <si>
    <t>316/481-9119</t>
  </si>
  <si>
    <t>LUCAS JOEL VELA PEREZ</t>
  </si>
  <si>
    <t>lj_velap@javeriana.edu.co</t>
  </si>
  <si>
    <t>315/804-6607</t>
  </si>
  <si>
    <t>2610IINDSCLA-9</t>
  </si>
  <si>
    <t>MARIANA PEREZ GUTIERREZ</t>
  </si>
  <si>
    <t>mariana-perezg@javeriana.edu.co</t>
  </si>
  <si>
    <t>315/594-5316</t>
  </si>
  <si>
    <t>MIGUEL ANGEL GALINDO ROJAS</t>
  </si>
  <si>
    <t>galindo.miguel@javeriana.edu.co</t>
  </si>
  <si>
    <t>319/491-7367</t>
  </si>
  <si>
    <t>NELSON FELIPE CRUZ NIÑO</t>
  </si>
  <si>
    <t>cruz_nfelipe@javeriana.edu.co</t>
  </si>
  <si>
    <t>321/987-3756</t>
  </si>
  <si>
    <t>NICOLAS RAUL RAMOS BAUTISTA</t>
  </si>
  <si>
    <t>ramosnicolas@javeriana.edu.co</t>
  </si>
  <si>
    <t>315/444-3045</t>
  </si>
  <si>
    <t>SAMUEL PRIETO GRANOBLES</t>
  </si>
  <si>
    <t>prietos.a@javeriana.edu.co</t>
  </si>
  <si>
    <t>322/353-4871</t>
  </si>
  <si>
    <t>SANTIAGO MONTERO PELUFFO</t>
  </si>
  <si>
    <t>santiagomontero01@javeriana.edu.co</t>
  </si>
  <si>
    <t>314/461-0602</t>
  </si>
  <si>
    <t>SANTIAGO RODRIGUEZ FAJARDO</t>
  </si>
  <si>
    <t>rodriguezf.santiago@javeriana.edu.co</t>
  </si>
  <si>
    <t>317/258-3299</t>
  </si>
  <si>
    <t>TOMAS ALEJANDRO MARTINEZ ESCOBAR</t>
  </si>
  <si>
    <t>martinez_ta@javeriana.edu.co</t>
  </si>
  <si>
    <t>301/219-9659</t>
  </si>
  <si>
    <t>VALENTINA PEREZ LOZADA</t>
  </si>
  <si>
    <t>valentinaperezl@javeriana.edu.co</t>
  </si>
  <si>
    <t>320/362-3449</t>
  </si>
  <si>
    <t>VALENTINA TORRES TROCHES</t>
  </si>
  <si>
    <t>torrest_v@javeriana.edu.co</t>
  </si>
  <si>
    <t>300/745-1031</t>
  </si>
  <si>
    <t>semestre</t>
  </si>
  <si>
    <t>tipo_proyecto</t>
  </si>
  <si>
    <t>objetivos</t>
  </si>
  <si>
    <t>tematica</t>
  </si>
  <si>
    <t>tipo_actividades</t>
  </si>
  <si>
    <t>encargado_docente</t>
  </si>
  <si>
    <t>fecha_inicio</t>
  </si>
  <si>
    <t>fecha_fin</t>
  </si>
  <si>
    <t>duracion_meses</t>
  </si>
  <si>
    <t>departamento</t>
  </si>
  <si>
    <t>municipio</t>
  </si>
  <si>
    <t>latitud</t>
  </si>
  <si>
    <t>longitud</t>
  </si>
  <si>
    <t>estado</t>
  </si>
  <si>
    <t>Proyecto 1</t>
  </si>
  <si>
    <t>Prácticas</t>
  </si>
  <si>
    <t>Desarrollo y mantenimiento de la página web de la entidad. 
Implementación y gestión de estrategias de marketing digital.
Configuración y optimización de aplicaciones en Google App. 
Soporte y administración de la plataforma Salesforce.</t>
  </si>
  <si>
    <t>Desarrollo Web</t>
  </si>
  <si>
    <t>Asesoría Técnica</t>
  </si>
  <si>
    <t>Alicia Mercedes Arenas Valderrama</t>
  </si>
  <si>
    <t>BOGOTA</t>
  </si>
  <si>
    <t>BOGOTÁ, D.C.</t>
  </si>
  <si>
    <t>Diseño  de procesos y procedimientos</t>
  </si>
  <si>
    <t>Elaborar, documentar y proponer los  procesos y procedimientos  del colegio Agudelo Restrepo</t>
  </si>
  <si>
    <t>Gestión de Procesos</t>
  </si>
  <si>
    <t>Asesoría Técnica y Capacitación</t>
  </si>
  <si>
    <t>Marcela Camargo Pabón</t>
  </si>
  <si>
    <t>Nuevo</t>
  </si>
  <si>
    <t>Evaluación de residuos en la playa de Santa Marta</t>
  </si>
  <si>
    <t>Investigación de microplásticos  y manejo de residuos en la playa de Santa Marta Colombia</t>
  </si>
  <si>
    <t>Gestión de Residuos</t>
  </si>
  <si>
    <t>Revisión y ajuste de procesos proyecto estudiar para construir</t>
  </si>
  <si>
    <t>Revisión y ajuste de procesos del proyecto "Estudiar para Construir".
Visitas a sedes a obras de construcción en Fontibón y Madrid para realizar un análisis detallado de los procesos en campo.</t>
  </si>
  <si>
    <t>Capacitación en Construcción</t>
  </si>
  <si>
    <t>Continuidad</t>
  </si>
  <si>
    <t>PROPUESTA DE GESTION Y ANALISIS ESTRATEGICO</t>
  </si>
  <si>
    <t>Asesoría técnica por medio de reuniones de exploración, entendimiento, evaluación y ejecución de propuestas de proyectos de ingeniería que le ayuden a la entidad a mejorar la gestión de procesos.</t>
  </si>
  <si>
    <t>Giovanna Rosa Fiorillo Obando</t>
  </si>
  <si>
    <t>Sistema Antiescape en dispositivos de cuidado residencial</t>
  </si>
  <si>
    <t>Diseño e implentación de un sistema anti-escape para mejorar la seguridad de la entidad.
Realización de actividades de integración con los residentes de la asociación, quienes tienen Trastorno Mental Severo.</t>
  </si>
  <si>
    <t>Tecnologías de Asistencia</t>
  </si>
  <si>
    <t>Diego Fernando Parra Díaz</t>
  </si>
  <si>
    <t>Asesoría en proyecto productivo en las veredas altas del Municipio de Venecia, Cundinamarca</t>
  </si>
  <si>
    <t>Definición de un posible abordaje de proyecto productivo agrícola en las veredas altas del Municipio de Venencia, Cundinamarca</t>
  </si>
  <si>
    <t>Blanca Elvira Oviedo Torres</t>
  </si>
  <si>
    <t>CUNDINAMARCA</t>
  </si>
  <si>
    <t>VENECIA</t>
  </si>
  <si>
    <t>Desarrollo del plan de gestión integral del recurso hídrico para la ZRC de Venecia (Cundinamarca)</t>
  </si>
  <si>
    <t>Diagnóstico de la relación de la comunidad de la ZRC con el agua a nivel de unidad de vivienda.</t>
  </si>
  <si>
    <t>Gestión del Agua</t>
  </si>
  <si>
    <t>Apoyo Técnico</t>
  </si>
  <si>
    <t>Jorge Escobar Vargas</t>
  </si>
  <si>
    <t>Identificar y documentar las falencias de la organización.  
Realizar un análisis DOFA detallado.  
Sistematizar la información recopilada.  
Proponer estrategias de mejora basadas en el análisis realizado.  
Brindar asesoría técnica sobre las mejoras organizacionales.</t>
  </si>
  <si>
    <t xml:space="preserve">Juan Felipe Salcedo </t>
  </si>
  <si>
    <t>2430ICIVLLUI-1</t>
  </si>
  <si>
    <t>PROYECTO
“CAPACITACIÓN EN CONSTRUCCIÓN-CAMACOL”</t>
  </si>
  <si>
    <t>Capacitación en construcción a trabajadores de la industria de la construcción afiliada a CAMACOL. Módulo 1, Módulo 2, Módulo 3 o Módulo 4.</t>
  </si>
  <si>
    <t>Capacitación</t>
  </si>
  <si>
    <t>Luis Alberto Jaramillo Gómez</t>
  </si>
  <si>
    <t>CURSO BÁSICO EN CONSTRICCIÓN</t>
  </si>
  <si>
    <t>Desarrollar cursos de capacitación a maestros de la construcción, con énfasis en el desarrollo de bases teóricas y habilidades prácticas a partir de cuatro módulos,</t>
  </si>
  <si>
    <t>Diagnodtico de necesidades de asesoría técnica para las labores de cuidado</t>
  </si>
  <si>
    <t xml:space="preserve">Levantamiento de reporte de necesidades de asesoría técnica para las labores de cuidado de la institución </t>
  </si>
  <si>
    <t>Manual de Funciones para el Colegio</t>
  </si>
  <si>
    <t>Completar la elaboración del manual de funciones del Colegio Gabriel García Márquez y divulgarlo para asegurar su implementación y comprensión.</t>
  </si>
  <si>
    <t>Proyecto 3</t>
  </si>
  <si>
    <t>Desarrollo de software utilizando técnicas de programación modernas.
Aplicación del modelo RUP (Rational Unified Process) en el ciclo de vida del proyecto de software.
Implementación y seguimiento de metodologías SCRUM para la gestión ágil de proyectos.</t>
  </si>
  <si>
    <t>Desarrollo de Software</t>
  </si>
  <si>
    <t xml:space="preserve">Desarrollar sesiones de capacitación en programación básica y avanzada y en ofimática. </t>
  </si>
  <si>
    <t>Capacitación en Programación</t>
  </si>
  <si>
    <t>Proyecto 4</t>
  </si>
  <si>
    <t>Desarrollo de sesiones de capacitación en electrónica básica, electricidad y alfabetización digital.</t>
  </si>
  <si>
    <t>Capacitación en Electricidad y Electrónica</t>
  </si>
  <si>
    <t xml:space="preserve">José Ignacio Acevedo </t>
  </si>
  <si>
    <t>PROSOFI</t>
  </si>
  <si>
    <t>José Ignacio Acevedo Gordo</t>
  </si>
  <si>
    <t>Estrategias para lograr equilibrio económico</t>
  </si>
  <si>
    <t>Análisis de aspectos organizacionales del colegio para identificar áreas de mejora.
Propuesta de acciones estratégicas para lograr el equilibrio económico del colegio.</t>
  </si>
  <si>
    <t>Reparación de Equipos de Computo CSGH</t>
  </si>
  <si>
    <t>Revisión y reparación de equipos de computo y de sistemas de sonido y audiovisuales.
Capacitación en sistemas</t>
  </si>
  <si>
    <t>Reparación de Electrodomésticos</t>
  </si>
  <si>
    <t>PROYECTO "ALTOS DE LA FLORIDA – SOACHA"</t>
  </si>
  <si>
    <t>Elaboración de la topografía del sector 3 de Altos de la Florida en Soacha como base para la proyección de las redes de acueducto y alcantarillado. 
Realización de estudios de estabilidad estructural en casas del barrio Altos de la Florida en la Comuna 6 del municipio de Soacha, Cundinamarca.
Definición preliminar de las redes de acueducto y alcantarillado sanitario para el sector 3 de Altos de la Florida en Soacha.</t>
  </si>
  <si>
    <t>Acueductos Comunitarios</t>
  </si>
  <si>
    <t>SOACHA</t>
  </si>
  <si>
    <t>Gestión del Riesgo</t>
  </si>
  <si>
    <t>Desarrollo y ejecución de sesiones de capacitación en alfabetización digital.
Capacitación con énfasis en herramientas de ofimática.</t>
  </si>
  <si>
    <t>Capacitación en Ofimática</t>
  </si>
  <si>
    <t>Clara Mabel Solano Vanegas</t>
  </si>
  <si>
    <t>Mejoramiento procesos alistamiento prendas.</t>
  </si>
  <si>
    <t>Proyecto de bioseguridad, información,  protocolos y procedimientos</t>
  </si>
  <si>
    <t>Elaborar, documentar y propopner protocolos de bioseguridad y construcción de procesos y procedimientos</t>
  </si>
  <si>
    <t xml:space="preserve">Desarrollo y mantenimiento de página web.
Capacitación en desarrollo web.
</t>
  </si>
  <si>
    <t>Proyecto 18</t>
  </si>
  <si>
    <t xml:space="preserve">Desarrollo y mantenimiento de página web.
Capacitación en Ofimática 
</t>
  </si>
  <si>
    <t>Reparación equipos y refuerzo escolar</t>
  </si>
  <si>
    <t xml:space="preserve">Revisión y reparación de equipos de computo y de sistemas de sonido y audiovisuales.
Refuerzo escular a personas vinculadas a la fundación. </t>
  </si>
  <si>
    <t>Proyecto 7</t>
  </si>
  <si>
    <t>Desarrollo y mantenimiento de la página web de VeaS, con asesoría de una experta en comunicaciones.
Creación y activación de correos institucionales para la organización.
Coordinación y ejecución de talleres con la población de hogares y adultos mayores.</t>
  </si>
  <si>
    <t>Gestión de Comunicación Digital</t>
  </si>
  <si>
    <t>Aseoria Técnica y capacitación a niños y enfermeras en temas de alfabetización digital</t>
  </si>
  <si>
    <t>Alfabetización Digital</t>
  </si>
  <si>
    <t>Diseño y construcción de maetodologías de almacenamiento y empaque  de alimentos, distribución y manejo de residuos</t>
  </si>
  <si>
    <t>Elanorar metodologías aplicabes a la fundación para el almacenamiento y empaque de alimentos a distribuir, con sus respectivas capacitaciones y protocoloes de bioseguridad y manejo de rresiduos</t>
  </si>
  <si>
    <t>PROYECTO
"DESARROLLO DE UN SISTEMA DE GESTIÓN DE PUENTES MUNICIPIO DE FACATATIVÁ"</t>
  </si>
  <si>
    <t>Asesoría técnica para gestión del riesgo  y analisis de la calidad del agua una desembocadura de la quebrada de La Mancialla, que presenta escombros por caida de puente. 
Estudios de calidad de agua de la Vereda La Mancilla
Elaboración de manual de uso y glosario del sistema informativo de gestión de puentes (SGP).</t>
  </si>
  <si>
    <t>FACATATIVÁ</t>
  </si>
  <si>
    <t>Proyecto 5</t>
  </si>
  <si>
    <t>Desarrollar sesiones de capacitación y enseñanza en el uso de nuevas tecnologías.</t>
  </si>
  <si>
    <t>Capacitación en Tecnología</t>
  </si>
  <si>
    <t>Proyecto 2</t>
  </si>
  <si>
    <t>Mejoramiento procesos alistamiento alimentos.</t>
  </si>
  <si>
    <t>Reparación de Electrodomésticos BA</t>
  </si>
  <si>
    <t>Revisión, reparación y selección de electrodomésticos y dispositivos electrónicos.</t>
  </si>
  <si>
    <t>Clasificación y actualización  de equipos y construcción de hojas técnicas</t>
  </si>
  <si>
    <t>Construcción, clasificación y actualización de equipos, automoviles de la funcación como la construcción de hojas técnicas de los mismos.</t>
  </si>
  <si>
    <t xml:space="preserve">Elaboración y análisis de compostaje </t>
  </si>
  <si>
    <t>Elaboración de pruebas de compostaje para residuos y análisis para la aplicación e implementación de diferentes  comuniddades donde el banco de alimentos tiene presencia .</t>
  </si>
  <si>
    <t xml:space="preserve"> Diseño   de equipos y elaboración de proptotipos con sus hojas técnicas </t>
  </si>
  <si>
    <t>Diesño de equipos y elaboración de prototipos con sus respectivas cotizaciones y planos para su uso y optimización de recursos</t>
  </si>
  <si>
    <t>Diseño Mecánico</t>
  </si>
  <si>
    <t>Elaboración  instructivos (manuales) para el uso y mantenimiento de estibadores hidráulicos.
Planeación y ejecución de mantenimientos preventivos de estibadores hidráulicos.
Capacitación al personal sobre el manejo y mantenimiento de estibadores hidráulicos.</t>
  </si>
  <si>
    <t>Procesos y Producción</t>
  </si>
  <si>
    <t>Cristian Camilo León Bohorquez</t>
  </si>
  <si>
    <t>Proyecto 6</t>
  </si>
  <si>
    <t>Desarllo web y gestión de redes sociales</t>
  </si>
  <si>
    <t>Desarrollo Web + Gestión de Comunicación Digital</t>
  </si>
  <si>
    <t>Diseño y construcción  de sistemas  digitale,  visuales y manuales  para audiometría</t>
  </si>
  <si>
    <t>Diseño y construcción de sistemas digitales, visuales y manuales para la realización y evaluación de pruebas audiométricas.</t>
  </si>
  <si>
    <t xml:space="preserve">Revisión y reparación de equipos de computo.
Refuerzo escular a personas vinculadas a la fundación. </t>
  </si>
  <si>
    <t>Reparación de Electrodomésticos + Desarrollo Educativo</t>
  </si>
  <si>
    <t>Puesta a prueba y alimentación del sistema de gestión de puentes para municipios; prueba piloto en el municipio de Facatativá.</t>
  </si>
  <si>
    <t>Sistemas de Información</t>
  </si>
  <si>
    <t>Facatativá</t>
  </si>
  <si>
    <t>Proyecto 20</t>
  </si>
  <si>
    <t>Desarrollo y ejecución de sesiones de capacitación en emprendimiento con enfoque en la gestión de la información.</t>
  </si>
  <si>
    <t>Capacitación en Procesos y Emprendimiento + Gestión de Información</t>
  </si>
  <si>
    <t>Proyecto 13</t>
  </si>
  <si>
    <t>Desarrollo y mantenimiento de aplicaciones web.
Gestión y optimización de redes sociales.
Implementación de estrategias de mercadeo digital.</t>
  </si>
  <si>
    <t>Dispositivo para el control de  refigerios y eventos</t>
  </si>
  <si>
    <t xml:space="preserve">
Asesoría técnica para la mejora de procesos que atiendan a otros requerimientos de la fundación, como en eventos, horas de alimentación capacitaciones entre otros</t>
  </si>
  <si>
    <t>Dispositivo para el control de  inventarios y entrega de alimentos</t>
  </si>
  <si>
    <t>Dispositivo para el control de  inventarios y registro de alimentos</t>
  </si>
  <si>
    <t>ingeniokids</t>
  </si>
  <si>
    <t>Desarrollo de proyectos de ingeniería con sus respectivas cartillas instructivas y aplicación práctica en grupos de estudiantes.
Asesoría técnica para la mejora de procesos que atiendan a otros requerimientos de la fundación.</t>
  </si>
  <si>
    <t>Desarrollo de Material Educativo + Gestión de Procesos</t>
  </si>
  <si>
    <t>Mejoramiento procesos administrativos.</t>
  </si>
  <si>
    <t xml:space="preserve">Mejoramiento de caminador  versión 2 y diseño de nuevo caminador para niños </t>
  </si>
  <si>
    <t>Diseño,  construcción  y ajuste de un caminador para niños, considerando aspectos ergonómicos y funcionales.
Continuación del proyecto anterior con la revisión y selección de un arnés más adecuado para niños, como de las cuerdas, materiales del arnés para evitar lesiones y fácil lavado
Evalaución de un segundo caminador</t>
  </si>
  <si>
    <t xml:space="preserve">Mejoramiento de caminador  versión 3  y diseño de nuevo caminador  y soporte para niños </t>
  </si>
  <si>
    <t>Diseño y construcción  de Caminador y Camas Hospitalarias para niños</t>
  </si>
  <si>
    <t>Diseño y construcción de un caminador para niños, considerando aspectos ergonómicos y funcionales.
Continuación del proyecto anterior con la revisión y selección de un arnés más adecuado para niños.
Mantenimiento y diseño de camas hospitalarias para niños, asegurando su confort y funcionalidad.</t>
  </si>
  <si>
    <t>Electrónica para la Vida</t>
  </si>
  <si>
    <t>Diseño del sistema de riego para huertas en colaboración con las mujeres del parque Entrenubes.
Capacitación en temas de computación para proporcionar herramientas adicionales para la posterior implementación del sistema de riego.</t>
  </si>
  <si>
    <t>Huertas + Capacitación en Tecnología</t>
  </si>
  <si>
    <t>Desarrollo y gestión de programación web.
Gestión de redes sociales.
Implementación de estrategias de mercadeo digital.</t>
  </si>
  <si>
    <t>Reparación de Electrodomésticos FSI</t>
  </si>
  <si>
    <t>CAJICÁ</t>
  </si>
  <si>
    <t>2530IINDSCLA-8</t>
  </si>
  <si>
    <t>Proyecto 8</t>
  </si>
  <si>
    <t>Desarrollo de interfaces de usuario (UX/UI) para aplicaciones web.
Desarrollo y mantenimiento de sitios web.
Implementación de estrategias de marketing digital.
Gestión y optimización de redes sociales.</t>
  </si>
  <si>
    <t>Diseño  final de prótesis mecánica transhumeral y próteiss transradial</t>
  </si>
  <si>
    <t>Realización de diseños actualizados de la prótesis mecánica transhumoral y transradial, basados en la versión 1 previamente desarrollada.
Creación de prototipos físicos de las prótesis para pruebas y validación.</t>
  </si>
  <si>
    <t>Diseño Mecánico + Tecnologías de Asistencia</t>
  </si>
  <si>
    <t>Diseño 2 de prótesis mecánica transhumeral y versión 2 de próteiss transradial</t>
  </si>
  <si>
    <t>Proyecto 9</t>
  </si>
  <si>
    <t>Diseño y administración de bases de datos.
Desarrollo y mantenimiento de páginas web.
Integración de servicios externos con la página web.
Creación y gestión de formularios en línea.</t>
  </si>
  <si>
    <t>Sistemas de Información + Desarrollo Web</t>
  </si>
  <si>
    <t>Proyecto 19</t>
  </si>
  <si>
    <t>Desarrollo y gestión de programación web.
Gestión de redes sociales.</t>
  </si>
  <si>
    <t>Configuración y administración del CRM de Salesforce</t>
  </si>
  <si>
    <t>2430ISISTALI-14</t>
  </si>
  <si>
    <t>Proyecto 10</t>
  </si>
  <si>
    <t>2430ISISTALI-15</t>
  </si>
  <si>
    <t>Proyecto 23</t>
  </si>
  <si>
    <t>Desarrollo, implementación y configuración de una plataforma de e-learning.</t>
  </si>
  <si>
    <t>2430ISISTALI-16</t>
  </si>
  <si>
    <t>Proyecto 24</t>
  </si>
  <si>
    <t>Desarrollo, implementación y configuración de una plataforma de atención al usuario.</t>
  </si>
  <si>
    <t>2430ISISTALI-17</t>
  </si>
  <si>
    <t>Proyecto 25</t>
  </si>
  <si>
    <t>Desarrollo de sesiones de capacitación en robótica.</t>
  </si>
  <si>
    <t>Capacitación en STEM</t>
  </si>
  <si>
    <t>Proyecto 28</t>
  </si>
  <si>
    <t>Desarrollo de sesiones de capacitación en Emprendimiento y Ciencia</t>
  </si>
  <si>
    <t>Capacitación en Procesos y Emprendimiento + Capacitación en STEM</t>
  </si>
  <si>
    <t>Construcción de herramienta para bitácoras  de enfermeras</t>
  </si>
  <si>
    <t>Realizar la construcción dicgital de las bitácoras de enfermeras con el objetivo de cumpolir los estándares que le solicita el estado y tener de manera organizada y adecuada la información de los residentes con todas las anotaciones durante los diferentes periodos de tiempo</t>
  </si>
  <si>
    <t>Apoyo organizacional a la JAC del Barrio Doña Liliana</t>
  </si>
  <si>
    <t>Apoyo en la formulación de estrategias para la organización de la JAC y formualción de un proyecto barrial</t>
  </si>
  <si>
    <t>Gestión de Proyectos</t>
  </si>
  <si>
    <t>KIWI</t>
  </si>
  <si>
    <t>Aplicar herramientas de Ingeniería de Sistemas para el diseño, ejecución y evaluación de una estrategia de difusión digital basada en un personaje animado, mediante análisis de datos, automatización de procesos y medición del impacto en la comunidad de la Facultad de Ingeniería.</t>
  </si>
  <si>
    <t>Gestión de Comunicación Digital + Gestión de Procesos</t>
  </si>
  <si>
    <t>PROGRAMA SOCIAL VIDAS MÓVILES (JAVERIANA)</t>
  </si>
  <si>
    <t>Capacitación en Tecnología + Capacitación en Ofimática</t>
  </si>
  <si>
    <t>Red Juvenil Ignaciana</t>
  </si>
  <si>
    <t>Desarrollo y diseño de paneles de visualización de datos en Power BI.
Creación y mantenimiento de páginas web para la organización.</t>
  </si>
  <si>
    <t>Gestión de Información + Desarrollo Web</t>
  </si>
  <si>
    <t>OFICINA DE RESPONSABILIDAD SOCIAL</t>
  </si>
  <si>
    <t xml:space="preserve">Análisis y optimización de procesos de la entidad. </t>
  </si>
  <si>
    <t>Proyección Social Ingeniería</t>
  </si>
  <si>
    <t>Apoyo en la gestión y optimización de los sistemas de información de Prosofi / Proyección Social.
Generación de una base de datos sólida que permita la visualización de estadísticas en Power BI sobre las prácticas sociales de la Facultad de Ingeniería.
Creación de un modelo replicable para la Universidad basado en el análisis y visualización de datos.</t>
  </si>
  <si>
    <t>Sistemas de Información + Gestión de Información</t>
  </si>
  <si>
    <t>2430ISISTALI-21</t>
  </si>
  <si>
    <t>Implementación de soluciones de inteligencia artificial para el proyecto Historias de Barrio.
Desarrollo de una aplicación web para la publicación y consulta dinámica de información no tabular.</t>
  </si>
  <si>
    <t>Desarrollo de Software + Desarrollo Web</t>
  </si>
  <si>
    <t>Asesoría técnica en la gestión de información. 
Mantenimiento de equipos de sistemas.</t>
  </si>
  <si>
    <t>Gestión de Información + Reparación de Electrodomésticos</t>
  </si>
  <si>
    <t>PROSOFI - CONSULTORIO CONTABLE</t>
  </si>
  <si>
    <t>Diagnóstico e implementación de un protocolo de pruebas para el software de gestión de cuentas "SOFI".</t>
  </si>
  <si>
    <t>PROSOFI - SAN CAYETANO</t>
  </si>
  <si>
    <t>Desarrollo,  mantenimiento y actualización del aplicativo móvil CAYEAPP y la página web de la Institución Educativa.
Capacitaciones a nuevos usuarios en el uso de las plataformas y administración de las herramientas creadas.</t>
  </si>
  <si>
    <t>Camino de Paz en los Barrios Altos de Usme</t>
  </si>
  <si>
    <t>Apoyar el proyecto Caminos de Paz: museo Tiwake</t>
  </si>
  <si>
    <t>Las huertas como camino a la Ecología Integral</t>
  </si>
  <si>
    <t>Identidad de la Red de Huerteros de La Flora</t>
  </si>
  <si>
    <t>Huertas</t>
  </si>
  <si>
    <t>15 años de PROSOFI en comunidades</t>
  </si>
  <si>
    <t>Planear y ejecutar espacios para celebración de los 15 años de PROSOFI</t>
  </si>
  <si>
    <t>Asesoría en el  registro de asistencia de estudiantes y generación de reportes</t>
  </si>
  <si>
    <t>Comprender la importancia, método actual y objetivo de la toma de asistencia de los niños y jóvenes al  Colegio Gabriel García Márquez y proponer mejoras en el proceso.</t>
  </si>
  <si>
    <t xml:space="preserve">Mesa de Reconciliación y Justicia. </t>
  </si>
  <si>
    <t>Documentar qué es, cómo funciona y cómo se proyecta la Mesa de Reconcialiación y Justicia de la Región Bogotá / Soacha, en la que PROSOFI participa</t>
  </si>
  <si>
    <t>Hacia el Emprendimiento Social</t>
  </si>
  <si>
    <t>Aportar elementos prácticos a los emprendimientos de familias vinculadas a la Fundación Laudes Infantis</t>
  </si>
  <si>
    <t>Asesoría a Emprendimientos</t>
  </si>
  <si>
    <t>Alianzas para logar aportes a los ODS</t>
  </si>
  <si>
    <t>Análisis de aspectos organizacionales del colegio para identificar posibilidades de alianzas que permitan financiar aportes al cumplimiento de los Objetivos de Desarrollo Sostenible (ODS)</t>
  </si>
  <si>
    <t>Posicionamiento de la Biósfera en los procesos académicos del Colegio San Cayetano</t>
  </si>
  <si>
    <t>Completar la elaboración del Manual de Procesos de la Biósfera del Colegio San Cayetano.
Acompañar  la implementación y operación del Manual de Procesos en la Biósfera.</t>
  </si>
  <si>
    <t>Formulación de Emprendimiento Social en J.J. Rondón</t>
  </si>
  <si>
    <t>Apoyo en la formulación de estrategias para el desarrollo y crecimiento de un emprendimiento social.
Análisis y recomendación de acciones estratégicas para mejorar la viabilidad y sostenibilidad del emprendimiento.</t>
  </si>
  <si>
    <t>Direccionamiento estratégico del Semillero Olympia</t>
  </si>
  <si>
    <t>Completar el direccionamiento estratégico del Semillero Olympia y del Medio Comuntario Olympia</t>
  </si>
  <si>
    <t>Campus Accesible - Inclusión y Diversidad</t>
  </si>
  <si>
    <t>Elaboración de reporte de necesidades de apoyo tecnológico para estudiantes con discapacidad y diversidad funciona en la Bilbioteca Alfonso Borrero Cabal S.j</t>
  </si>
  <si>
    <t xml:space="preserve">Implementación de módulo de capacitación para el personal de biblioteca frente a la educación inclusiva. </t>
  </si>
  <si>
    <t>Capacitación en Educación Inclusiva</t>
  </si>
  <si>
    <t>Libro pedagógico de programación en Scratch</t>
  </si>
  <si>
    <t>Desarrollo de un libro inspirador dirigido a estudiantes de colegio sobre lo que significa ser mujer en la ingeniería.
Creación de una guía práctica de programación en Scratch como parte del contenido del libro</t>
  </si>
  <si>
    <t>Desarrollo de Material Educativo</t>
  </si>
  <si>
    <t>VIDAS MÓVILES</t>
  </si>
  <si>
    <t>DIAGNOSTICO Y PROPUESTA DESARROLLO SOSTENIBLE</t>
  </si>
  <si>
    <t>CAPACITACION EMPRENDIMIENTO</t>
  </si>
  <si>
    <t>PROPUESTA DE ANALISIS COMERCIAL Y FINANCIERO</t>
  </si>
  <si>
    <t>SAN CAYETANO ROBOTÍCA</t>
  </si>
  <si>
    <t>Asesoría técnica y capacitación en robotica y energias renovables para niños y adultos en la localidad de Usme</t>
  </si>
  <si>
    <t>Capacitación en STEM + Capacitación en Tecnología</t>
  </si>
  <si>
    <t>Desarrollo de sesiones de capacitación y asistencia técnica en robótica para estudiantes del colegio.</t>
  </si>
  <si>
    <t>COLEGIO SAN GREGORIO HERNÁNDEZ</t>
  </si>
  <si>
    <t xml:space="preserve">Refuerzo escular a estudiantes del colegio. </t>
  </si>
  <si>
    <t>Desarrollo Educativo</t>
  </si>
  <si>
    <t>Laudes Infantis</t>
  </si>
  <si>
    <t>Revisión y reparación de equipos de computo.</t>
  </si>
  <si>
    <t>Asistencia Técnica</t>
  </si>
  <si>
    <t>2430IELECJOS-4</t>
  </si>
  <si>
    <t>Desarrollo de sesiones de capacitación en robótica para estudiantes del colegio.</t>
  </si>
  <si>
    <t>Desarrollo de Software + Desarrollo Web + Capacitación en Tecnología</t>
  </si>
  <si>
    <t>PROSOFI - UNBOUND</t>
  </si>
  <si>
    <t>Alfabetízación digital adultos mayores.</t>
  </si>
  <si>
    <t>Proyección Social Ingeniería - VISUALIZACIÓN DE DATOS</t>
  </si>
  <si>
    <t>Desarrollo de espacios de capacitación en habilidades tecnologicas en la Biosfera del colegio.</t>
  </si>
  <si>
    <t>PROSOFI - GABRIEL GARCIA MÁRQUEZ</t>
  </si>
  <si>
    <t>Desarrollo de espacios de capacitación en habilidades tecnologicas en la Biosfera del colegio.
Desarrollo de espacios de capacitación en Robotica</t>
  </si>
  <si>
    <t>Capacitación en Tecnología + Capacitación en STEM</t>
  </si>
  <si>
    <t>PROSOFI - TYWA KHE</t>
  </si>
  <si>
    <t>PROYECTO
“ESTUDIO DE ESTABILIDAD ESTRUCTURAL DEL TEMPLO Y CASA CURAL EN CARACOLÍ – CIUDAD BOLÍVAR”</t>
  </si>
  <si>
    <t>Realización del presupuesto para la reparacion del templo y casa cural ubicado en Caracolí, Ciudad Bolívar.</t>
  </si>
  <si>
    <t>Infraestructura</t>
  </si>
  <si>
    <t>PROYECTO
“APOYO A LAS ACTIVIDADES DEL PROYECTO SOCIAL DE LA FACULTAD DE INGENIERIA – PROSOFI”</t>
  </si>
  <si>
    <t>Asesorar al programa PROSOFI de la Facultad de Ingeniería en diversos proyectos comunitarios en el territorio de Usme, que incluyen ajuste presupuesta de los APUs del diseño de la vía y planificación y ejecución de obra.
Participación en proyectos de huertas urbanas, gestión de residuos y abastecimiento de agua.</t>
  </si>
  <si>
    <t>Gestión de Proyectos + Huertas + Gestión de Residuos + Infraestructura</t>
  </si>
  <si>
    <t>PROYECTO
“ESTUDIO Y DISEÑO DE UN MURO DE CONTENCION EN ARBORIZADORA ALTA – CIUDAD BOLÍVAR”</t>
  </si>
  <si>
    <t>Realización del estudio y analisis del diseño de un muro de contención en Arborizadora Alta, Ciudad Bolívar.</t>
  </si>
  <si>
    <t>PROYECTO "ESTUDIO DE PATOLOGIA ESTRUCTURAL"</t>
  </si>
  <si>
    <t>Realizar estudios de patología estructural en edificaciones existentes, con el fin de identificar, analizar y diagnosticar las manifestaciones patológicas presentes, determinar sus causas y proponer recomendaciones técnicas para su intervención, mantenimiento o rehabilitación, garantizando la seguridad estructural y prolongando la vida útil de las construcciones.</t>
  </si>
  <si>
    <t>Asesorar al programa PROSOFI de la Facultad de Ingeniería en diversos proyectos comunitarios en el territorio de Usme.
Participación en proyectos de huertas urbanas, gestión de residuos y abastecimiento de agua.</t>
  </si>
  <si>
    <t>PROYECTO "CREACION, DESARRLLO Y DISEÑO DE MATERIAL PEDAGOGICO"</t>
  </si>
  <si>
    <t>Diseñar y desarrollar material pedagógico didáctico e interactivo orientado a fortalecer el proceso de enseñanza-aprendizaje en áreas clave de la Ingeniería Civil, promoviendo la comprensión conceptual, la aplicación práctica y el pensamiento crítico en los estudiantes.</t>
  </si>
  <si>
    <t>Realización de estudios de estabilidad estructural en el templo y casa cural ubicado en Caracolí, Ciudad Bolívar.</t>
  </si>
  <si>
    <t>Diseño de campañas para proyectos</t>
  </si>
  <si>
    <t>Realización de actividades para buscar recursos mediante donaciones para apoyar los proyectos.
Elaboración y documentación del proceso de búsqueda de recursos y ejecución del mismo para los grupos de clase.</t>
  </si>
  <si>
    <t>Implementación de necesidades de apoyo tecnológico para estudiantes con discapacidad y diversidad funciona en la Bilbioteca Alfonso Borrero Cabal SJ</t>
  </si>
  <si>
    <t>Proyecto 14</t>
  </si>
  <si>
    <t>Desarrollo y mantenimiento de aplicaciones web con enfoque en backend.
Gestión y optimización de redes sociales para mejorar la presencia digital.
Configuración y administración de servicios en Hostinger, incluyendo el uso de WordPress y herramientas de inteligencia artificial.
Creación y gestión de contenido para un podcast en la página web.</t>
  </si>
  <si>
    <t>Desarrollo Web + Gestión de Comunicación Digital + Sistemas de Información</t>
  </si>
  <si>
    <t>Elaboración de campañas de  manejo de residuos en la playa de Santa Marta Colombia e investigación de contaminación de aguas</t>
  </si>
  <si>
    <t>Diseño e implementación de un sistema Antiescape para mejorar la seguridad de la entidad.
Realización de actividades de integración con los residentes de la asociación, quienes tienen Trastorno Mental Severo.</t>
  </si>
  <si>
    <t>SIN COINCIDENCIA</t>
  </si>
  <si>
    <t>Santiago Alonso Moreno Rodriguez</t>
  </si>
  <si>
    <t>PROYECTO VENECIA</t>
  </si>
  <si>
    <t>Estudios del ciclo del agua en veredas del municipio de Venecia y diagnóstico de la relación de la comunidad de la ZRC con el agua a nivel de unidad de vivienda.</t>
  </si>
  <si>
    <t>Venecia</t>
  </si>
  <si>
    <t>Desarrollar sesiones de capacitación en construcción a trabajadores de la industria de la construcción afiliada a CAMACOL. Módulo 1, Módulo 2, Módulo 3 o Módulo 4.</t>
  </si>
  <si>
    <t>Diagnóstico de necesidades de asesoría técnica para las labores de cuidado</t>
  </si>
  <si>
    <t>Diseño y construcción de metodologías de almacenamiento y empaque  ALIMENTOS PERECEDEROS, distribución y manejo de residuos</t>
  </si>
  <si>
    <t>Elaborar metodologías aplicabes a la fundación para el almacenamiento y empaque de ALIMENTOS PERECEDEROS a distribuir, con sus respectivas capacitaciones y protocoloes de bioseguridad y manejo de residuos</t>
  </si>
  <si>
    <t>Logística</t>
  </si>
  <si>
    <t xml:space="preserve">Revisión y reparación de equipos de computo y de sistemas de sonido y audiovisuales.
Refuerzo escolar a personas vinculadas a la fundación. </t>
  </si>
  <si>
    <t>Sede CDC Semillas de Esperanza</t>
  </si>
  <si>
    <t>Capacitaciones a los niños en alfabetización digital</t>
  </si>
  <si>
    <t>Diseño de solucion para el Banco de Alimentos de Bogotá (BAB) con el fin de mejorar la conservación, disposición y desecho de los alimentos.</t>
  </si>
  <si>
    <t>Jorge Andrés Macías Quintero</t>
  </si>
  <si>
    <t>Aplicativo Web de Gestión de Reservas</t>
  </si>
  <si>
    <t>Aplicativo -Casa Hogar Beny para la gestión del hospedaje, alimentación y transporte a los pacientes que deben desplazarse para recibir atención médica.</t>
  </si>
  <si>
    <t>API WhatsApp o Instagram</t>
  </si>
  <si>
    <t>Diseñar e implementar un piloto de una API de WhatsApp y/o Telegrama para la entrega de microcursos formativos a 50 personas, orientado a ampliar el acceso al aprendizaje en poblaciones con limitaciones de conectividad y tiempo, permitiendo automatizar contenidos, hacer seguimiento a la participación y generar información para la mejora de los procesos formativos.</t>
  </si>
  <si>
    <t>Fortalecimiento Digital</t>
  </si>
  <si>
    <t>Gestión y Capacitación en el uso de redes sociales y comunicación digital.</t>
  </si>
  <si>
    <t>Fundación M&amp;M Formando Líderes</t>
  </si>
  <si>
    <t xml:space="preserve">Capacitaciones Virtuales de Python a niños del Llano </t>
  </si>
  <si>
    <t>Herramienta Digital-familias</t>
  </si>
  <si>
    <t>Crear e implementar una herramienta digital interna que centralice la caracterización de las familias y fortalezca la gestión del conocimiento, el seguimiento y la evaluación del acompañamiento, incluyendo diagnóstico, diseño, pilotaje, capacitación y manual de uso.</t>
  </si>
  <si>
    <t>Ventas y Mercadeo</t>
  </si>
  <si>
    <t>Diseñar  de herramientas y elementos  de ejercicios terapéutico  adultos mayores de la Fundación Pocalana y tambièn diseño de distribuciòn de la  cocina de acuerdo con los flujos de proceso</t>
  </si>
  <si>
    <t>Diseñar un herrmaientas y elementos de ejercicio terapéutico que favorezca la movilidad de miembros superiores e inferiores en los adultos mayores de la Fundación Pocalana, con el fin de promover su bienestar físico y emocional. Adicionalmente diseño de distribuciòn y organizaciòn del àrea de la cocina de acuerdo con los flujos de proceso</t>
  </si>
  <si>
    <t>Mejoramiento de procesos Pocalana</t>
  </si>
  <si>
    <t>Analizar procesos de la Fundación Pocalana y realizar acciones de mejora</t>
  </si>
  <si>
    <t>Adecuación de implementos de movilidad para pacientes.</t>
  </si>
  <si>
    <t>Cajicá</t>
  </si>
  <si>
    <t>Señalizaciòn y delimitaciòn de àreas de acuerdo con las normas de  seguridad en colombia</t>
  </si>
  <si>
    <t>Realización  e implementaciòn de señalizaciòn y delimitaciòn  de àreas de la fundaciòn sinapsis de acuerdo con las normas, paràmetros y protocolos del personal de la fundaciòn, teniendo en cuenta la normatividad Colombiana</t>
  </si>
  <si>
    <t>Diseño de prototipò de silla de montar</t>
  </si>
  <si>
    <t>Diseñar todos los movimientos de la silla de montar y elaboraciòn del primer prototipo</t>
  </si>
  <si>
    <t>"Capacitaciones en autoconstrucción de viviendas de 1 y 2 pisos, capacitaciones en propuestas domesticas de construcción sostenible"</t>
  </si>
  <si>
    <t>Desarrollar sesiones de capacitación en autoconstrucción de viviendas de 1 y 2 pisos, así como en propuestas domesticas de construcción sostenible</t>
  </si>
  <si>
    <t>Robótica y Automatización</t>
  </si>
  <si>
    <t>PROYECTO "TOMA DE NIVELES TOPOGRAFICOS"</t>
  </si>
  <si>
    <t>Realizar carteras de cálculo de la toma de niveles topográficos, con el fin de identificar, analizar y diagnosticar las manifestaciones patológicas presentes, determinar sus causas y proponer recomendaciones técnicas para su intervención, mantenimiento o rehabilitación, garantizando la seguridad estructural y prolongando la vida útil de las construcciones.</t>
  </si>
  <si>
    <t>Análisis Estructural</t>
  </si>
  <si>
    <t>PROSOFI: Junta de Acción Comunal barrio J.J Rondón</t>
  </si>
  <si>
    <t>Estudios para la adecuación de las zonas verdes en el barrio Juan José Rondón (Usme), acceso digno para personas con movilidad reducida, embellecimiento y cuidado del medio ambiente.</t>
  </si>
  <si>
    <t xml:space="preserve">PROSOFI: Fundación Laudes Infantis </t>
  </si>
  <si>
    <t>Continuar con el análisis estructural en temas de presupuesto de la Fundación Laudes Infantis en Los Arrayanes, Usme. Segundo, implementar la construcción de Ekomuro H20+ con niños y personas adultas de la Fundación</t>
  </si>
  <si>
    <t>PROYECTO
“ESTUDIO DE SUELOS EN CARACOLI – CIUDAD BOLÍVAR”</t>
  </si>
  <si>
    <t>Realización del estudio y análisis del suelo en Caracolí, Ciudad Bolívar.</t>
  </si>
  <si>
    <t xml:space="preserve">Refuerzo escolar a estudiantes del colegio. </t>
  </si>
  <si>
    <t>Desarrollo Material Educativo</t>
  </si>
  <si>
    <t>GABRIEL GARCÍA MARQUEZ
ROBÓTICA</t>
  </si>
  <si>
    <t xml:space="preserve">Instalación de plaquetas, impresión 3D, ensamblaje de módulos, y puesta en funcionamientos de "robots" y formación a estudiantes sobre su uso. </t>
  </si>
  <si>
    <t>Desarrollo Empresarial y Educativo</t>
  </si>
  <si>
    <t>Manual de Procesos PROSOFI</t>
  </si>
  <si>
    <t>Revisar procedimientos de PROSOFI según el manual de Procesos y Procedimientos del 2015 y actualizarlo</t>
  </si>
  <si>
    <t>Indicadores PROSOFI</t>
  </si>
  <si>
    <t>Apoyar en la recolección de información y analisis, para diseñar una batería de indicadores que aporten a medir el impacto social de la Facultad de Ingeniería</t>
  </si>
  <si>
    <t>Análisis de procesos misionales del Consultorio Jurídico Javeriano</t>
  </si>
  <si>
    <t>Revisar procedimientos del Consultorio Jurídico Javeriano y proponer acciones de gestión administrativa.</t>
  </si>
  <si>
    <t>Terraza Verde PROSOFI</t>
  </si>
  <si>
    <t>Analizar los diversos procesos del modelo Terraza Verde y proponer soluciones de mejora</t>
  </si>
  <si>
    <t>GABRIEL GARCÍA MARQUEZ
VOLVER A LA HUERTA</t>
  </si>
  <si>
    <t>Reuniones de exploración, entendimiento, evaluación y ejecución de propuestas de proyectos de ingeniería para la optimización de procesos e instalación de soluciones en activiades de capacitación y aseosría técnica en el proyecto de huerta escolar</t>
  </si>
  <si>
    <t xml:space="preserve">Desarrollar una herramienta de fácil acceso para la visualización de solicitudes de proyectos con enfoque social. </t>
  </si>
  <si>
    <t>Desarrollo de una herramienta para la gestión eficiente de la información.</t>
  </si>
  <si>
    <t>Gestión de Información</t>
  </si>
  <si>
    <t>Desarrollar una solución tecnológica para la toma de asistencia en la institución educativa</t>
  </si>
  <si>
    <t xml:space="preserve">
Realizar jornadas de capacitación a grupos de madres y adultos mayores para realizar tareas básicas en campos informáticos, aportando al cumplimiento de los requerimientos de la fundación.</t>
  </si>
  <si>
    <t>Grupo comunitario Consentir Canitas</t>
  </si>
  <si>
    <t>Encontrar problemáticas del grupo que puedan ser solucionadas por medio de herramientas tecnológicas de acuerdo a los recursos de la organización y de sus participantes.  Por ejemplo, automatización de asistencia a las actividades del colectivo, ficha de caracterización de cada integrante o formas de comunicacion entre ellos.</t>
  </si>
  <si>
    <t>Seres</t>
  </si>
  <si>
    <t xml:space="preserve">Actualización de la aplicación "Seres" con nuevas funcionalidades. </t>
  </si>
  <si>
    <t>App Tywa khe</t>
  </si>
  <si>
    <t>Recolectar información, clasificarla y montarla a la App Movid Arche, como herramineta de realidad mixta complementaria a la página web del proyecto Caminos para la Paz y la Momoria Tywa Khe.</t>
  </si>
  <si>
    <t>Apoyo en la gestión y optimización de los sistemas de información de PROSOFI / Proyección Social.
Generación de una base de datos sólida que permita la visualización de estadísticas en Power BI sobre los proyectos sociales de la Facultad de Ingeniería.</t>
  </si>
  <si>
    <t>Desarrollo de una página web para la publicación y consulta dinámica de información no tabular. Además de socializar el trabajo y formar a la comunidad vinculada al proyecto para su uso.</t>
  </si>
  <si>
    <t>Mesa de Medio Ambiente: cuidadores de semillas</t>
  </si>
  <si>
    <t>Documentar qué es, cómo funciona y cómo se proyecta un banco de semillas para su custodia y trueque en  la Mesa de Medio Ambiente de la Región Bogotá / Soacha, en la que PROSOFI participa</t>
  </si>
  <si>
    <t xml:space="preserve">Apoyo a emprendimientos sociales </t>
  </si>
  <si>
    <t>Tomar un ecosistema de emprendedores sociales y aportar al fortalecimiento de quienes lo componen</t>
  </si>
  <si>
    <t>Desarrollo Empresarial</t>
  </si>
  <si>
    <t>NULOS</t>
  </si>
  <si>
    <t>NO IDENTIFICADO</t>
  </si>
  <si>
    <t>NIT</t>
  </si>
  <si>
    <t>codigo_entidad</t>
  </si>
  <si>
    <t>razon_social</t>
  </si>
  <si>
    <t>sector_economico</t>
  </si>
  <si>
    <t>CIUU</t>
  </si>
  <si>
    <t>CIUU_descripcion</t>
  </si>
  <si>
    <t>correo_entidad</t>
  </si>
  <si>
    <t>telef_principal</t>
  </si>
  <si>
    <t>localidad</t>
  </si>
  <si>
    <t>estado_convenio_javelex</t>
  </si>
  <si>
    <t>num_convenio_javelex</t>
  </si>
  <si>
    <t>fecha_vencimiento_convenio</t>
  </si>
  <si>
    <t>00000111-1</t>
  </si>
  <si>
    <t>Oficina de Responsabilidad Social Universitaria - Javeriana</t>
  </si>
  <si>
    <t>CUATERNARIO</t>
  </si>
  <si>
    <t>barbosa_alexandra@javeriana.edu.co</t>
  </si>
  <si>
    <t>Calle 40 No. 5-50</t>
  </si>
  <si>
    <t>Teusaquillo</t>
  </si>
  <si>
    <t>Bogotá D.C.</t>
  </si>
  <si>
    <t>EN EJECUCIÓN</t>
  </si>
  <si>
    <t>00000111-2</t>
  </si>
  <si>
    <t>Departamento de Ingeniería Electrónica PUJ</t>
  </si>
  <si>
    <t>jhurtado@javeriana.edu.co</t>
  </si>
  <si>
    <t>00000111-3</t>
  </si>
  <si>
    <t>Prosofi - Programa Social Facultad de Ingeniería - Javeriana</t>
  </si>
  <si>
    <t>b.oviedo@javeriana.edu.co</t>
  </si>
  <si>
    <t>Usme</t>
  </si>
  <si>
    <t>800023096-6</t>
  </si>
  <si>
    <t>Fundación Santa Isabel</t>
  </si>
  <si>
    <t>contacto@fundacionsantaisabel.org</t>
  </si>
  <si>
    <t>Km 27 via Cajica</t>
  </si>
  <si>
    <t>PUJ-04965-19</t>
  </si>
  <si>
    <t>800048102-2</t>
  </si>
  <si>
    <t>Fundación Hogar Integral</t>
  </si>
  <si>
    <t>gerencia@fundacionhogarintegral.org</t>
  </si>
  <si>
    <t>Kra 68 c Bis 37a 54 sur</t>
  </si>
  <si>
    <t>Tunjuelito</t>
  </si>
  <si>
    <t>Bogotá D.C. D.C.</t>
  </si>
  <si>
    <t>PUJ-04539-21</t>
  </si>
  <si>
    <t>800065394-8</t>
  </si>
  <si>
    <t>Corporación Mundial de la Mujer</t>
  </si>
  <si>
    <t xml:space="preserve">info@cmmcolombia.org
</t>
  </si>
  <si>
    <t>3553040- 3229439165</t>
  </si>
  <si>
    <t>Calle 31 # 13A -51. Of. 303</t>
  </si>
  <si>
    <t>Santa Fé</t>
  </si>
  <si>
    <t>PUJ-05885-19</t>
  </si>
  <si>
    <t>800151826-6</t>
  </si>
  <si>
    <t>Parroquia San Mario</t>
  </si>
  <si>
    <t>jesusarroyave2@gmail.com</t>
  </si>
  <si>
    <t>Cra. 13 Este #14, Bogotá</t>
  </si>
  <si>
    <t>PUJ-00209-23</t>
  </si>
  <si>
    <t>19/01/2028</t>
  </si>
  <si>
    <t>800189093-9</t>
  </si>
  <si>
    <t>Corporación por el Desarrollo del Norte de la Sabana - Prodensa</t>
  </si>
  <si>
    <t>coordinacionrs@prodensa.org</t>
  </si>
  <si>
    <t>Calle 3 no 3 81</t>
  </si>
  <si>
    <t>Sopó</t>
  </si>
  <si>
    <t>PUJ-04934-21</t>
  </si>
  <si>
    <t>800197098-9</t>
  </si>
  <si>
    <t>Fundación PT: Participación - Pedagogía - Productividad</t>
  </si>
  <si>
    <t>Carrera 86G #40-60 sur</t>
  </si>
  <si>
    <t>Kennedy</t>
  </si>
  <si>
    <t xml:space="preserve">800223876-4 </t>
  </si>
  <si>
    <t>Fundación Centro de Investigación e Información en Deficiencias Auditivas - CINDA</t>
  </si>
  <si>
    <t>Cl. 35 #17-24, Bogotá</t>
  </si>
  <si>
    <t>800232778-9</t>
  </si>
  <si>
    <t>Fundación Sainville</t>
  </si>
  <si>
    <t>funsainville@gmail.com</t>
  </si>
  <si>
    <t>Carrera 2B # 90 - 16 sur</t>
  </si>
  <si>
    <t>PUJ-04960-19</t>
  </si>
  <si>
    <t>808004139-4</t>
  </si>
  <si>
    <t>Junta de Acción Comunal Vereda Las Mercedes Sector Los Robles</t>
  </si>
  <si>
    <t>comitezrcpartealta@gmail.com</t>
  </si>
  <si>
    <t>Parte Alta Municipio de Venecia</t>
  </si>
  <si>
    <t>PUJ-00277-23</t>
  </si>
  <si>
    <t>811004956-6</t>
  </si>
  <si>
    <t>Fundación La Luz - Centro Nacional para el Tratamiento de la Drogadicción</t>
  </si>
  <si>
    <t>AV CL 80 116 B 35</t>
  </si>
  <si>
    <t>Engativá</t>
  </si>
  <si>
    <t>PUJ-07401-22</t>
  </si>
  <si>
    <t>830003252-4</t>
  </si>
  <si>
    <t>Fundación del Quemado</t>
  </si>
  <si>
    <t>subdireccionpril@fundaciondelquemado.org /contacto@fundaciondelquemado.org</t>
  </si>
  <si>
    <t>2531223 - 6433318</t>
  </si>
  <si>
    <t>Calle 128 B No. 59B-20</t>
  </si>
  <si>
    <t>Suba</t>
  </si>
  <si>
    <t>PUJ-04709-20</t>
  </si>
  <si>
    <t>830033350-6</t>
  </si>
  <si>
    <t>Corporación Educativa para el Aprendizaje Ltda. / CEPA</t>
  </si>
  <si>
    <t>TERCIARIO</t>
  </si>
  <si>
    <t>claudiancepa@yahoo.com/ fundacepa@gmail.com</t>
  </si>
  <si>
    <t>Carrera 65A numero 94-76</t>
  </si>
  <si>
    <t>Barrios Unidos</t>
  </si>
  <si>
    <t>PUJ-06688-19</t>
  </si>
  <si>
    <t>830041897-6</t>
  </si>
  <si>
    <t>Colegio Nueva Esperanza I. E. D.</t>
  </si>
  <si>
    <t>cednvaesperanza5@educacionbogota.edu.co</t>
  </si>
  <si>
    <t>Sede A: (601)3654900 - Sede B: (601) 3653777 - 3653888</t>
  </si>
  <si>
    <t>Carrera 14 B Este Nº 76 - 59 sur</t>
  </si>
  <si>
    <t xml:space="preserve">	PUJ-01422-23</t>
  </si>
  <si>
    <t>830062520-5</t>
  </si>
  <si>
    <t>Junta de Acción Comunal Barrio Doña Liliana</t>
  </si>
  <si>
    <t>barrio.d.liliana5@gmail.com</t>
  </si>
  <si>
    <t xml:space="preserve">KR 11 D ESTE 79 B 46 SUR </t>
  </si>
  <si>
    <t>PUJ-00990-23</t>
  </si>
  <si>
    <t>20/02/2028</t>
  </si>
  <si>
    <t>830078970-6</t>
  </si>
  <si>
    <t>Asociación Colombiana de Personas con Esquizofrenia y sus Familias - ACPEF</t>
  </si>
  <si>
    <t>secretaria.acpef@gmail.com</t>
  </si>
  <si>
    <t>Calle 52A No. 27A-54</t>
  </si>
  <si>
    <t>PUJ-04941-19</t>
  </si>
  <si>
    <t>830079131-8</t>
  </si>
  <si>
    <t>Colegio Instituto Técnico Distrital Julio Flórez</t>
  </si>
  <si>
    <t>cedjulioflorez11@educacionbogota.edu.co</t>
  </si>
  <si>
    <t>Carrera 68B # 94-12</t>
  </si>
  <si>
    <t>SIN CONVENIO</t>
  </si>
  <si>
    <t>830086601-7</t>
  </si>
  <si>
    <t>Fundación Banco Arquidiocesano de Alimentos</t>
  </si>
  <si>
    <t>amigo@bancodealiemntos.org.co</t>
  </si>
  <si>
    <t>Calle 19a # 32-50</t>
  </si>
  <si>
    <t>Puente Aranda</t>
  </si>
  <si>
    <t>PUJ-05642-19</t>
  </si>
  <si>
    <t>830098811-9</t>
  </si>
  <si>
    <t>Fundación Libérate</t>
  </si>
  <si>
    <t>info@fundacionliberate.org.co</t>
  </si>
  <si>
    <t>Trv 77 N 166-40</t>
  </si>
  <si>
    <t xml:space="preserve">Suba </t>
  </si>
  <si>
    <t>PUJ-05639-19</t>
  </si>
  <si>
    <t>830099276-2</t>
  </si>
  <si>
    <t>Corporación Vida en Acción Social</t>
  </si>
  <si>
    <t>fundmisionvida@gmail.com / misionvida@pastoralsocialenaccion.org / direccion@pastoralsocialenaccion.org / misionvida@pastoralsocialenaccion.org</t>
  </si>
  <si>
    <t>Cll 1F No. 31-11</t>
  </si>
  <si>
    <t xml:space="preserve">Puente Aranda </t>
  </si>
  <si>
    <t>PUJ-04954-19</t>
  </si>
  <si>
    <t>830100437-5</t>
  </si>
  <si>
    <t>Institución Educativa Distrital Costa Rica</t>
  </si>
  <si>
    <t>colderepdecostaric@aducacionbogota.edu.co</t>
  </si>
  <si>
    <t>Cra 101 #23-42</t>
  </si>
  <si>
    <t>Fontibón</t>
  </si>
  <si>
    <t>PUJ-05643-19</t>
  </si>
  <si>
    <t>Otro convenio: 	PUJ-00976-19</t>
  </si>
  <si>
    <t>830110396-4</t>
  </si>
  <si>
    <t>Colegio Ciudad de Bogotá I. E. D.</t>
  </si>
  <si>
    <t>coldiciudaddebog6@educacionbogota.edu.co</t>
  </si>
  <si>
    <t>Cra 25 #53B-32 sur</t>
  </si>
  <si>
    <t>PUJ-01103-18</t>
  </si>
  <si>
    <t>830128181-7</t>
  </si>
  <si>
    <t>Fundación Buena Semilla</t>
  </si>
  <si>
    <t>Calle 10 #4a-22 este</t>
  </si>
  <si>
    <t>83013076-4</t>
  </si>
  <si>
    <t>Prana Incubadora</t>
  </si>
  <si>
    <t xml:space="preserve">pranainc@gmail.com </t>
  </si>
  <si>
    <t>Calle 69 # 4-97</t>
  </si>
  <si>
    <t>Chapinero</t>
  </si>
  <si>
    <t>PUJ-04964-19</t>
  </si>
  <si>
    <t>830137451-9</t>
  </si>
  <si>
    <t>Fundación Proyecto Unión</t>
  </si>
  <si>
    <t xml:space="preserve">gestionhumana@proyectounion.org  </t>
  </si>
  <si>
    <t>Carrera 5 No. 67-74</t>
  </si>
  <si>
    <t>PUJ-04959-19</t>
  </si>
  <si>
    <t>830145234-0</t>
  </si>
  <si>
    <t>Asociación de Productores Rurales de Sumapaz</t>
  </si>
  <si>
    <t>PRIMARIO</t>
  </si>
  <si>
    <t>procamsu@hotmail.com</t>
  </si>
  <si>
    <t>VEREDA LAS AURAS CORREGIMIENTO DE NAZARETH</t>
  </si>
  <si>
    <t>Sumapaz</t>
  </si>
  <si>
    <t>PUJ-01132-25</t>
  </si>
  <si>
    <t>860005813-4</t>
  </si>
  <si>
    <t>Pontificia Universidad Javeriana - Programa Vidas Móviles</t>
  </si>
  <si>
    <t>vidas.moviles@javeriana.edu.co</t>
  </si>
  <si>
    <t>7151213 / 3152244400</t>
  </si>
  <si>
    <t>Calle 78 a sur #38-31</t>
  </si>
  <si>
    <t>Ciudad Bolivar</t>
  </si>
  <si>
    <t>860006705-1</t>
  </si>
  <si>
    <t>Fundación Jorge Otero de Francisco y María Liévano de Otero</t>
  </si>
  <si>
    <t>Carrera 90 147C-32, Suba</t>
  </si>
  <si>
    <t>860007627-1</t>
  </si>
  <si>
    <t>Compañía de Jesús</t>
  </si>
  <si>
    <t>casapastoralaltosdelaflorida@gmail.com</t>
  </si>
  <si>
    <t>Cra 31 este n. 5-8 Altos de la Floria Suacha (Soacha)</t>
  </si>
  <si>
    <t>Altos De La Florida</t>
  </si>
  <si>
    <t>Casa Pastoral Altos de la Florida</t>
  </si>
  <si>
    <t>860010371-0</t>
  </si>
  <si>
    <t>Corporación El Minuto de Dios</t>
  </si>
  <si>
    <t xml:space="preserve">contacto@minutodedios.org.   </t>
  </si>
  <si>
    <t>Calle 81A Nº 73A-22</t>
  </si>
  <si>
    <t>Engativa</t>
  </si>
  <si>
    <t>PUJ-06682-21</t>
  </si>
  <si>
    <t>860013475-1</t>
  </si>
  <si>
    <t>Hermanas de San Juan Evangelista</t>
  </si>
  <si>
    <t>juanistashogarsanjose@gmail.com</t>
  </si>
  <si>
    <t>Tv. 22 Bis #61B- 29</t>
  </si>
  <si>
    <t>PUJ-01455-21</t>
  </si>
  <si>
    <t>860015536-1</t>
  </si>
  <si>
    <t>Hospital San Ignacio</t>
  </si>
  <si>
    <t>Kra 7 No. 40-62</t>
  </si>
  <si>
    <t>PUJ-06062-19</t>
  </si>
  <si>
    <t>860016941-6</t>
  </si>
  <si>
    <t>Fundación Toma un Niño de la Mano</t>
  </si>
  <si>
    <t>tomalodelamano@gmail.com</t>
  </si>
  <si>
    <t>CARRERA 98 # 156C- 10</t>
  </si>
  <si>
    <t>PUJ-04711-20</t>
  </si>
  <si>
    <t>860024452-1</t>
  </si>
  <si>
    <t>Cámara Regional de la Construcción de Bogotá D. C. y Cundinamarca</t>
  </si>
  <si>
    <t>jnieto@camacolbyc.co</t>
  </si>
  <si>
    <t>Carrera 19 No. 90-10 Edificio Camacol Piso 2</t>
  </si>
  <si>
    <t>PUJ-00391-25</t>
  </si>
  <si>
    <t>Convenio anterior PUJ-07382-19</t>
  </si>
  <si>
    <t>860031909-2</t>
  </si>
  <si>
    <t>Fe y Alegría de Colombia</t>
  </si>
  <si>
    <t>dirnal@feyalegria.org.co</t>
  </si>
  <si>
    <t>Calle 49d#4 99</t>
  </si>
  <si>
    <t>Rafael Uribe Uribe</t>
  </si>
  <si>
    <t>860033857-7</t>
  </si>
  <si>
    <t>Fundación Centro de Investigación y Educación Popular - CINEP</t>
  </si>
  <si>
    <t xml:space="preserve"> </t>
  </si>
  <si>
    <t>Cra 5 No. 33B-02</t>
  </si>
  <si>
    <t>860504924-4</t>
  </si>
  <si>
    <t>Fundación Voluntariado Juan Pablo II</t>
  </si>
  <si>
    <t xml:space="preserve">administracion@fundacionjuanpabloii.com </t>
  </si>
  <si>
    <t>2404603
7033420</t>
  </si>
  <si>
    <t>Carrera 28A No. 75-24</t>
  </si>
  <si>
    <t>PUJ-05890-19</t>
  </si>
  <si>
    <t>860514058-3</t>
  </si>
  <si>
    <t>Corporación Talleres de Capacitación y Desarrollo Esperanza</t>
  </si>
  <si>
    <t>dirección@talleresesperanza.com</t>
  </si>
  <si>
    <t>6164077 / 2189756</t>
  </si>
  <si>
    <t>Cra 48# 98-09</t>
  </si>
  <si>
    <t>PUJ-04948-19</t>
  </si>
  <si>
    <t xml:space="preserve">860521331-9 </t>
  </si>
  <si>
    <t>Federación Asofamilias Jesuitas en Colombia</t>
  </si>
  <si>
    <t>presidencia@fedeasofamilias.org</t>
  </si>
  <si>
    <t>Cr 5 No. 33 B 80</t>
  </si>
  <si>
    <t>Santafé</t>
  </si>
  <si>
    <t>PUJ-01480-21</t>
  </si>
  <si>
    <t>860532248-2</t>
  </si>
  <si>
    <t>Colegio Rodrigo Lara Bonilla</t>
  </si>
  <si>
    <t>rectoria@colegiorodrigolarabonilla.edu.co</t>
  </si>
  <si>
    <t>Cra 43A N66-51 Sur</t>
  </si>
  <si>
    <t>Ciudad Bolívar</t>
  </si>
  <si>
    <t>PUJ-05638-19</t>
  </si>
  <si>
    <t>900030381-4</t>
  </si>
  <si>
    <t>Colegio San Gregorio Hernández</t>
  </si>
  <si>
    <t>colsgh@gmail.com</t>
  </si>
  <si>
    <t>K 12#76-27 SUR</t>
  </si>
  <si>
    <t>PUJ-04707-20</t>
  </si>
  <si>
    <t>900103025-1</t>
  </si>
  <si>
    <t>Asociación Coometas Campesinas y Saludarte</t>
  </si>
  <si>
    <t>administración@saludarte.co;info@saludarte.co</t>
  </si>
  <si>
    <t>Carrera 20a # 154-31</t>
  </si>
  <si>
    <t>PUJ-05637-19</t>
  </si>
  <si>
    <t>900117515-1</t>
  </si>
  <si>
    <t>Fundación Un Techo para mi País Colombia</t>
  </si>
  <si>
    <t>Carrera 28 #45A - 22 </t>
  </si>
  <si>
    <t>900140947-4</t>
  </si>
  <si>
    <t>Fundación Cristiana Salvemos a Cristian</t>
  </si>
  <si>
    <t>salvemosacristian@yahoo.es</t>
  </si>
  <si>
    <t>Cra 29 C No. 11A-31 sur  - Calle 1 sur No. 2C-74</t>
  </si>
  <si>
    <t xml:space="preserve">San Cristobal </t>
  </si>
  <si>
    <t>PUJ-04955-19</t>
  </si>
  <si>
    <t>900143276-4</t>
  </si>
  <si>
    <t>Colegio Gabriel Betancourt Mejía</t>
  </si>
  <si>
    <t>mayalar@educacionbogota.edu.co</t>
  </si>
  <si>
    <t>calle 8 A Bis 94 72</t>
  </si>
  <si>
    <t>PUJ-05619-20</t>
  </si>
  <si>
    <t>Otro convenio: 	PUJ-04957-20</t>
  </si>
  <si>
    <t>900161823-1</t>
  </si>
  <si>
    <t>Fundación Nueva Generación Siglo 21 - Nugesi21</t>
  </si>
  <si>
    <t>nugesi21@gmail.com</t>
  </si>
  <si>
    <t>carrera 27 bis N° 73-88 sur</t>
  </si>
  <si>
    <t>900171369-1</t>
  </si>
  <si>
    <t>Corporación Red Somos</t>
  </si>
  <si>
    <t>gestion_proyectos@redsomos.org</t>
  </si>
  <si>
    <t>5166436-6953478-3004105915  -.3223579925</t>
  </si>
  <si>
    <t xml:space="preserve"> Cra 16A # 30-90</t>
  </si>
  <si>
    <t>PUJ-05704-19</t>
  </si>
  <si>
    <t>900216965-5</t>
  </si>
  <si>
    <t>Fundación Social La Tía Loren</t>
  </si>
  <si>
    <t>fundacionsociallatialoren@gmail.com</t>
  </si>
  <si>
    <t>Carrera 114B No. 151D - 58</t>
  </si>
  <si>
    <t>900232067-3</t>
  </si>
  <si>
    <t>Fundación Servicio de los Jesuitas para los Refugiados</t>
  </si>
  <si>
    <t>Cl. 37 #16-25</t>
  </si>
  <si>
    <t>EN TRAMITE</t>
  </si>
  <si>
    <t>900234115-8</t>
  </si>
  <si>
    <t>Centro Gerontológico Mafe S. A. S.</t>
  </si>
  <si>
    <t>info@mafe.com.co</t>
  </si>
  <si>
    <t>Cl. 127b Bis #46-64</t>
  </si>
  <si>
    <t>SUBA</t>
  </si>
  <si>
    <t>PUJ-05353-25</t>
  </si>
  <si>
    <t>900256899-8</t>
  </si>
  <si>
    <t>AR Fundación</t>
  </si>
  <si>
    <t>contactenos@arfundacion.org</t>
  </si>
  <si>
    <t>6462333-218 / llamar al personal prioritariamente</t>
  </si>
  <si>
    <t>Calle 113 No. 7 - 80 piso 18</t>
  </si>
  <si>
    <t>Usaquén</t>
  </si>
  <si>
    <t>PUJ-04940-19</t>
  </si>
  <si>
    <t>900267290-0</t>
  </si>
  <si>
    <t>Fundación Jóvenes por una América Solidaria Colombia</t>
  </si>
  <si>
    <t>colombia@americasolidaria.org</t>
  </si>
  <si>
    <t xml:space="preserve">Cra. 7 #40 62, </t>
  </si>
  <si>
    <t>PUJ-02091-21</t>
  </si>
  <si>
    <t>900328770-7</t>
  </si>
  <si>
    <t>Fundación Pocalana</t>
  </si>
  <si>
    <t>info@pocalana.org</t>
  </si>
  <si>
    <t>3183795500 / 3106662570</t>
  </si>
  <si>
    <t>calle 91C sur# 18F-49</t>
  </si>
  <si>
    <t>900383974-6</t>
  </si>
  <si>
    <t>Fundación Misioneros de Juan Pablo II - Hogar Nuestra Señora de Chiquinquirá</t>
  </si>
  <si>
    <t>900384094-4</t>
  </si>
  <si>
    <t>Fundación Búsqueda y Rescate</t>
  </si>
  <si>
    <t xml:space="preserve">fundacion.busquedayrescate@gmail.com </t>
  </si>
  <si>
    <t xml:space="preserve">Cll 147 No 94c 75 </t>
  </si>
  <si>
    <t>PUJ-00604-22</t>
  </si>
  <si>
    <t>900512803-1</t>
  </si>
  <si>
    <t>Fundación Visión 20-20 Colombia</t>
  </si>
  <si>
    <t>vision2020colombia@gmail.com</t>
  </si>
  <si>
    <t>Calle 3 No. 4-11 Oficina 204</t>
  </si>
  <si>
    <t>Cachipay</t>
  </si>
  <si>
    <t>PUJ-04968-19</t>
  </si>
  <si>
    <t>900785941-9</t>
  </si>
  <si>
    <t>Fundación Trabajando por Amor</t>
  </si>
  <si>
    <t>dpinilla@trabajandoporamor.org</t>
  </si>
  <si>
    <t>Carrera 13b No. 161 - 70</t>
  </si>
  <si>
    <t xml:space="preserve">Usaquen </t>
  </si>
  <si>
    <t>PUJ-04967-19</t>
  </si>
  <si>
    <t>900871109-5</t>
  </si>
  <si>
    <t>Fundación 33 Sueños</t>
  </si>
  <si>
    <t>fundacion33suenos@gmail.com</t>
  </si>
  <si>
    <t>calle 54 a 15 17</t>
  </si>
  <si>
    <t>PUJ-04952-19</t>
  </si>
  <si>
    <t>900905461-1</t>
  </si>
  <si>
    <t>Fundación Puerta de Luz</t>
  </si>
  <si>
    <t xml:space="preserve">yucabo@gmail.com; alexronov@hotmail.com </t>
  </si>
  <si>
    <t>Calle 71 A # 87 b 34 sur</t>
  </si>
  <si>
    <t>Bosa</t>
  </si>
  <si>
    <t>900907402-6</t>
  </si>
  <si>
    <t>Fundación Pacífico Emprende</t>
  </si>
  <si>
    <t>901026162-6</t>
  </si>
  <si>
    <t>Fundación de Desarrollo y Emprendimiento Integral - FUNDEI</t>
  </si>
  <si>
    <t>gestionhumana@fundeicolombia.com</t>
  </si>
  <si>
    <t>Cll 144 No. 143A 20 int. 24</t>
  </si>
  <si>
    <t>901062793-6</t>
  </si>
  <si>
    <t>Fundación Sinapsis Colombia</t>
  </si>
  <si>
    <t>contacto@funsinapsis.com</t>
  </si>
  <si>
    <t xml:space="preserve">calle 101 # 71 - 64 </t>
  </si>
  <si>
    <t>PUJ-04963-20</t>
  </si>
  <si>
    <t>901088155-1</t>
  </si>
  <si>
    <t>Fundación Jóvenes para la Transformación Social</t>
  </si>
  <si>
    <t>fundacionjovenes@outlook.com</t>
  </si>
  <si>
    <t>Carrera 121 # 63D-12</t>
  </si>
  <si>
    <t>PUJ-04683-21</t>
  </si>
  <si>
    <t>901121073-5</t>
  </si>
  <si>
    <t>Fundación Latir, Equidad en el Mundo</t>
  </si>
  <si>
    <t>direccionejecutiva@fundacionlatir.org</t>
  </si>
  <si>
    <t>Calle 127B BIS # 49 - 66</t>
  </si>
  <si>
    <t>PUJ-00215-20</t>
  </si>
  <si>
    <t>901154339-0</t>
  </si>
  <si>
    <t>Fundación San Miguel Fuerza de Amor</t>
  </si>
  <si>
    <t>901218223-1</t>
  </si>
  <si>
    <t>Minka</t>
  </si>
  <si>
    <t>minka.mas@gmail.com</t>
  </si>
  <si>
    <t>Calle 116 no 11a 05</t>
  </si>
  <si>
    <t>901285287-8</t>
  </si>
  <si>
    <t>Fundación Activistas Constructivos</t>
  </si>
  <si>
    <t>administrativo@activistasconstructivos.org / contactanos@activistasconstructivos.org</t>
  </si>
  <si>
    <t>Carrera 45a #104b-16</t>
  </si>
  <si>
    <t>Usaquen</t>
  </si>
  <si>
    <t>PUJ-04514-21</t>
  </si>
  <si>
    <t>901358132-1</t>
  </si>
  <si>
    <t>frlnc.m.m@gmail.com</t>
  </si>
  <si>
    <t>Carrera 1C # 03-125</t>
  </si>
  <si>
    <t>Villanueva-Casanare</t>
  </si>
  <si>
    <t>901500241-2</t>
  </si>
  <si>
    <t>Asociación Awaq ONGD</t>
  </si>
  <si>
    <t>info@somosawaq.org</t>
  </si>
  <si>
    <t>PUJ-01570-23</t>
  </si>
  <si>
    <t xml:space="preserve">Antes ASOCIACIÓN HOTELES SOLIDARIOS – HHSS </t>
  </si>
  <si>
    <t>901628675-6</t>
  </si>
  <si>
    <t>Fundación Ambiental Eco-S Colombia</t>
  </si>
  <si>
    <t>Vereda la Mancilla</t>
  </si>
  <si>
    <t>Vereda la macilla</t>
  </si>
  <si>
    <t>901705598-7</t>
  </si>
  <si>
    <t>Asociación de Gestión, Unidad y Acción Campesina</t>
  </si>
  <si>
    <t>ASOAGUACAMPESINA@GMAIL.COM</t>
  </si>
  <si>
    <t>PUJ-00871-25</t>
  </si>
  <si>
    <t>Colegio Costa Rica</t>
  </si>
  <si>
    <t>Colegio Gabriel García Márquez</t>
  </si>
  <si>
    <t>Colegio San Cayetano</t>
  </si>
  <si>
    <t>Comabaquinta</t>
  </si>
  <si>
    <t>CARRERA 23 ESTE 89 D 23 SUR</t>
  </si>
  <si>
    <t>Comunicaciones Facultad de Ingeniería</t>
  </si>
  <si>
    <t>Conjunto Versalles - Normandía</t>
  </si>
  <si>
    <t>Cll 54# 70-25</t>
  </si>
  <si>
    <t>Consultorio Contable</t>
  </si>
  <si>
    <t>Consultorio Contable Javeriana</t>
  </si>
  <si>
    <t>Consultorio Jurídico Javeriano</t>
  </si>
  <si>
    <t>Calle 34 No. 15-61</t>
  </si>
  <si>
    <t>Departamento de Arquitectura - Javeriana - Comunidad Arabia</t>
  </si>
  <si>
    <t>Barrio Arabia - Ciudad Bolívar</t>
  </si>
  <si>
    <t>Departamento de Arquitectura - Javeriana - Nuevos Territorios</t>
  </si>
  <si>
    <t>Pendiente</t>
  </si>
  <si>
    <t>Departamento de Ingeniería Civil</t>
  </si>
  <si>
    <t>Departamento de Ingeniería Electrónica</t>
  </si>
  <si>
    <t>Departamento de Ingeniería Industrial</t>
  </si>
  <si>
    <t>Electric S. A. S.</t>
  </si>
  <si>
    <t>Entidad no encontrada</t>
  </si>
  <si>
    <t>Entidad no identificada</t>
  </si>
  <si>
    <t>Fundación Eco-S Colombia</t>
  </si>
  <si>
    <t>Fundación Juan Pablo II - Hogar Geriátrico</t>
  </si>
  <si>
    <t>Cra. 28 A #75-24</t>
  </si>
  <si>
    <t>Fundación Laudes Infantis</t>
  </si>
  <si>
    <t>Calle 92 Sur # 14 F - 04 E</t>
  </si>
  <si>
    <t>Fundación Monseñor Emilio de Brigard</t>
  </si>
  <si>
    <t>Fundación Mutua / Fundación PT</t>
  </si>
  <si>
    <t>Fundación PANN</t>
  </si>
  <si>
    <t>Fundación Victoria en Jesús</t>
  </si>
  <si>
    <t>G. Bolívar Café Aroma de Buenos Aires</t>
  </si>
  <si>
    <t>G. Bolívar La Cajita lo Dice Todo</t>
  </si>
  <si>
    <t>G. Bolívar Impermeables</t>
  </si>
  <si>
    <t>Junta de Acción Comunal Barrio JJ Rondón</t>
  </si>
  <si>
    <t>Oficina para el Fomento de la Responsabilidad Social Universitaria</t>
  </si>
  <si>
    <t>Oficina Prosofi</t>
  </si>
  <si>
    <t>Parroquia San Marcelino Champagnat</t>
  </si>
  <si>
    <t>Cl. 91 Sur #5 17este, Bogotá</t>
  </si>
  <si>
    <t>Parroquia Santa María de Caná</t>
  </si>
  <si>
    <t xml:space="preserve">Carrera 74A No. 77 - 44 </t>
  </si>
  <si>
    <t>Parroquia Santa Teresa de los Andes</t>
  </si>
  <si>
    <t>Calle 74 B Sur No. 36 - 83</t>
  </si>
  <si>
    <t>Periódico Olympia</t>
  </si>
  <si>
    <t>Pontificia Universidad Javeriana</t>
  </si>
  <si>
    <t>Programa Inclusión Javeriana</t>
  </si>
  <si>
    <t>Programa Social Vidas Móviles</t>
  </si>
  <si>
    <t>Prosofi - PUJ</t>
  </si>
  <si>
    <t>Proyección Social Facultad de Ingeniería</t>
  </si>
  <si>
    <t>Cra 17a # 37-41</t>
  </si>
  <si>
    <t>Regionalización SJ</t>
  </si>
  <si>
    <t>Cra. 5 #33B-80</t>
  </si>
  <si>
    <t>Semillero Emprendedores Minería - Javeriana</t>
  </si>
  <si>
    <t>Semillero EOT - Centro Crecer</t>
  </si>
  <si>
    <t>Semillero EOT - Centro Día</t>
  </si>
  <si>
    <t>Semillero EOT - Consejo Sabios Chapinero</t>
  </si>
  <si>
    <t>Semillero EOT - Consejo Sabios Usaquén</t>
  </si>
  <si>
    <t>Semillero EOT - Cooperativa Nido Usme</t>
  </si>
  <si>
    <t>Semillero EOT - Vereda Verjón</t>
  </si>
  <si>
    <t>Semillero de Investigación Ecosistemas Organizacionales - Javeriana</t>
  </si>
  <si>
    <t>Vereda la Macilla</t>
  </si>
  <si>
    <t>Terraza Verde</t>
  </si>
  <si>
    <t>Unbound</t>
  </si>
  <si>
    <t>Cra. 20a Este # 90 - 99</t>
  </si>
  <si>
    <t>Vereda La Mancilla</t>
  </si>
  <si>
    <t xml:space="preserve">  </t>
  </si>
  <si>
    <t>tipo_relacion</t>
  </si>
  <si>
    <t>Socio Comunitario</t>
  </si>
  <si>
    <t>ASOCIACIÓN COLOMBIANA DE PERSONAS CON ESQUIZOFRENIA Y SUS FAMILIAS ACPEF</t>
  </si>
  <si>
    <t>ASOCIACIÓN COOMETAS CAMPESINAS Y SALUDARTE</t>
  </si>
  <si>
    <t>ASOCIACIÓN DE GESTIÓN, UNIDAD Y ACCIÓN CAMPESINA</t>
  </si>
  <si>
    <t>ASOCIACION DE PRODUCTORES RURALES DE SUMAPAZ</t>
  </si>
  <si>
    <t>Camara colombiana de la construcción - Bogota D.C. y Cundinamarca</t>
  </si>
  <si>
    <t>CAMARA REGIONAL DE LA CONSTRUCCION DE BOGOTA D C Y CUNDINAMARCA</t>
  </si>
  <si>
    <t>CENTRO GERONTOLOGICO MAFE SAS</t>
  </si>
  <si>
    <t>COLEGIO INSTITUTO TÉCNICO DISTRITAL JULIO FLOREZ</t>
  </si>
  <si>
    <t>COLEGIO RODRIGO LARA BONILLA</t>
  </si>
  <si>
    <t>COMPAÑÍA DE JESÚS</t>
  </si>
  <si>
    <t>CORPORACIÓN EL MINUTO DE DIOS</t>
  </si>
  <si>
    <t>CORPORACIÓN RED SOMOS</t>
  </si>
  <si>
    <t>CORPORACION TALLERES DE CAPACITACION Y DESARROLLO ESPERANZA</t>
  </si>
  <si>
    <t>CORPORACIÓN VIDA EN ACCIÓN SOCIAL</t>
  </si>
  <si>
    <t xml:space="preserve">CORPORACIÓN VIDA EN ACCIÓN SOCIAL </t>
  </si>
  <si>
    <t>FUNDACIÓN ACTIVISTAS CONSTRUCTIVOS</t>
  </si>
  <si>
    <t>FUNDACION AMBIENTAL ECO-S COLOMBIA</t>
  </si>
  <si>
    <t>FUNDACIÓN BANCO ARQUIDIOCESANO DE ALIMENTOS</t>
  </si>
  <si>
    <t>FUNDACIÓN BÚSQUEDA Y RESCATE</t>
  </si>
  <si>
    <t xml:space="preserve">FUNDACION CENTRO INVESTIGACION E INFORMACION EN DEFICIENCIAS AUDITIVAS – CINDA </t>
  </si>
  <si>
    <t>FUNDACION CRISTIANA MISION VIDA</t>
  </si>
  <si>
    <t>FUNDACIÓN CRISTIANA SALVEMOS A CRISTIAN</t>
  </si>
  <si>
    <t>Fundación ECO-S Colombia</t>
  </si>
  <si>
    <t>FUNDACIÓN JÓVENES POR UNA AMÉRICA SOLIDARIA COLOMBIA</t>
  </si>
  <si>
    <t>FUNDACION MISIONEROS DE JUAN PABLO II HOGAR NUESTRA SEÑORA DE CHIQUINQUIRA</t>
  </si>
  <si>
    <t>FUNDACIÓN PACIFICO EMPRENDE</t>
  </si>
  <si>
    <t>FUNDACIÓN PACÍFICO EMPRENDE</t>
  </si>
  <si>
    <t>FUNDACIÓN POCALANA</t>
  </si>
  <si>
    <t>FUNDACIÓN PROYECTO UNIÓN</t>
  </si>
  <si>
    <t>FUNDACIÓN SAINVILLE</t>
  </si>
  <si>
    <t>FUNDACIÓN SAN MIGUEL FUERZA DE AMOR</t>
  </si>
  <si>
    <t>FUNDACIÓN SANTA ISABEL</t>
  </si>
  <si>
    <t>FUNDACION SERVICIO DE LOS JESUITAS PARA LOS REFUGIADOS</t>
  </si>
  <si>
    <t>FUNDACIÓN SINAPSIS COLOMBIA</t>
  </si>
  <si>
    <t>FUNDACIÓN SOCIAL LA TIA LOREN</t>
  </si>
  <si>
    <t>FUNDACIÓN TOMA UN NIÑO DE LA MANO</t>
  </si>
  <si>
    <t>FUNDACIÓN TRABAJANDO POR AMOR</t>
  </si>
  <si>
    <t>FUNDACIÓN VISIÓN 20-20 COLOMBIA</t>
  </si>
  <si>
    <t>HERMANAS DE SAN JUAN EVANGELISTA</t>
  </si>
  <si>
    <t>PONTIFICIA UNIVERSIDAD JAVERIANA</t>
  </si>
  <si>
    <t>PONTIFICIA UNIVERSIDAD JAVERIANA -Oficina</t>
  </si>
  <si>
    <t>PONTIFICIA UNIVERSIDAD JAVERIANA Red Juvenil</t>
  </si>
  <si>
    <t>PONTIFICIA UNIVERSIDAD JAVERIANA Vidas Mov</t>
  </si>
  <si>
    <t>PRANA INCUBADORA</t>
  </si>
  <si>
    <t>ACTIVISTAS CONSTRUCTIVOS</t>
  </si>
  <si>
    <t>Ar Fundación</t>
  </si>
  <si>
    <t>CENTRO GERONTOLÓGICO MAFE</t>
  </si>
  <si>
    <t>FUNDACION JORGE OTERO DE FRANCISCO Y MARIA LIEVANO DE OTERO</t>
  </si>
  <si>
    <t>Fundación Juan Pablo II- Hogar Geriátrico.</t>
  </si>
  <si>
    <t>FUNDACIÓN M&amp;M FORMANDO LÍDERES</t>
  </si>
  <si>
    <t>FUNDACIÓN UN TECHO PARA MI PAÍS COLOMBIA</t>
  </si>
  <si>
    <t>Entidad de Práctica</t>
  </si>
  <si>
    <t>PONTIFICIA UNIVERSIDAD JAVERIANA - REGONALIZACIÓN</t>
  </si>
  <si>
    <t>PONTIFICIA UNIVERSIDAD JAVERIANA - RJI</t>
  </si>
  <si>
    <t>PONTIFICIA UNIVERSIDAD JAVERIANA -OFICINA</t>
  </si>
  <si>
    <t>PONTIFICIA UNIVERSIDAD JAVERIANA- RED IGNACIANA</t>
  </si>
  <si>
    <t>PONTIFICIA UNIVERSIDAD JAVERIANA VIDAS MÓVILES</t>
  </si>
  <si>
    <t>PONTIFICIA UNIVERSIDAD JAVERIANA-VIDAS MÓVILES CAPACITACIÓN</t>
  </si>
  <si>
    <t>familia_indicador</t>
  </si>
  <si>
    <t>sub_familia_indicador</t>
  </si>
  <si>
    <t>descripcion del indicador</t>
  </si>
  <si>
    <t xml:space="preserve">tipo_indicador </t>
  </si>
  <si>
    <t>periodicidad</t>
  </si>
  <si>
    <t>meta_indicador</t>
  </si>
  <si>
    <t>ODSALI-1</t>
  </si>
  <si>
    <t>Único</t>
  </si>
  <si>
    <t>Una base de datos consolidada de facultad</t>
  </si>
  <si>
    <t>ACAACA-2</t>
  </si>
  <si>
    <t>Mensual</t>
  </si>
  <si>
    <t>Atender la mayor cantidad de personas</t>
  </si>
  <si>
    <t>descripcion_indicador</t>
  </si>
  <si>
    <t>ODS</t>
  </si>
  <si>
    <t>Alianzas para lograr los objetivos</t>
  </si>
  <si>
    <t xml:space="preserve">Existe una base de datos que permite el seguimiento de los indicadores del proyecto. </t>
  </si>
  <si>
    <t>Cuantitativo</t>
  </si>
  <si>
    <t>Academicos</t>
  </si>
  <si>
    <t xml:space="preserve">Acance </t>
  </si>
  <si>
    <t>Atender X beneficiarios</t>
  </si>
  <si>
    <t>Codigo_proyecto</t>
  </si>
  <si>
    <t>descripcion_avance</t>
  </si>
  <si>
    <t>periodo_avance</t>
  </si>
  <si>
    <t>fecha_registro</t>
  </si>
  <si>
    <t>valor_avance</t>
  </si>
  <si>
    <t>meta_Indicador</t>
  </si>
  <si>
    <t>porcentaje de cumplimineto</t>
  </si>
  <si>
    <t>Entrega uno del proyecto</t>
  </si>
  <si>
    <t>Semestre 1</t>
  </si>
  <si>
    <t>PRIMER MES</t>
  </si>
  <si>
    <t>SEGUNDO MES</t>
  </si>
  <si>
    <t xml:space="preserve">SEMTRES </t>
  </si>
  <si>
    <t>TIPO DE ACTOR</t>
  </si>
  <si>
    <t>TIPO DE PROYECTO</t>
  </si>
  <si>
    <t>TIPO DE ACTIVIDAD</t>
  </si>
  <si>
    <t>TEMÁTICAS</t>
  </si>
  <si>
    <t>ASIGNATURA</t>
  </si>
  <si>
    <t>Programa</t>
  </si>
  <si>
    <t>FACULTAD</t>
  </si>
  <si>
    <t>ESTADO CONVENIO</t>
  </si>
  <si>
    <t>TIPO ID</t>
  </si>
  <si>
    <t>SECTOR ECONÓMICO</t>
  </si>
  <si>
    <t>SEXO</t>
  </si>
  <si>
    <t>TIPO RELACIÓN</t>
  </si>
  <si>
    <t>ESTADO DEL PROYECTO</t>
  </si>
  <si>
    <t>DESCRIPCIÓN CIUU</t>
  </si>
  <si>
    <t>FAMILIA INDICADORES</t>
  </si>
  <si>
    <t>PERIODICIDAD</t>
  </si>
  <si>
    <t>TIPO INDICADOR</t>
  </si>
  <si>
    <t>NOM_DEPART</t>
  </si>
  <si>
    <t>MUNICIPIO</t>
  </si>
  <si>
    <t>LATITUD MUNICIPIO</t>
  </si>
  <si>
    <t>LONGITUD MUNICIPO</t>
  </si>
  <si>
    <t>DEPARTAMENTO</t>
  </si>
  <si>
    <t>LATITUD DEPARTAMENTO</t>
  </si>
  <si>
    <t>LONGITUD DEPARTAMENTO</t>
  </si>
  <si>
    <t>Egresados</t>
  </si>
  <si>
    <t>Trabajo de Grado</t>
  </si>
  <si>
    <t>Arquitectura y Diseño</t>
  </si>
  <si>
    <t>CEDIDO</t>
  </si>
  <si>
    <t>SECUNDARIO</t>
  </si>
  <si>
    <t>Aliado Institucional</t>
  </si>
  <si>
    <t>En ejecución</t>
  </si>
  <si>
    <t>Cultivo de cereales (excepto arroz), legumbres y semillas oleaginosas.</t>
  </si>
  <si>
    <t>ANTIOQUIA</t>
  </si>
  <si>
    <t>MEDELLÍN</t>
  </si>
  <si>
    <t>Docente</t>
  </si>
  <si>
    <t>Social</t>
  </si>
  <si>
    <t>Asesoría a emprendimientos</t>
  </si>
  <si>
    <t>CADUCADO</t>
  </si>
  <si>
    <t>Finalizado</t>
  </si>
  <si>
    <t>Cultivo de arroz.</t>
  </si>
  <si>
    <t>Semanal</t>
  </si>
  <si>
    <t xml:space="preserve">Cualitativo </t>
  </si>
  <si>
    <t>ABEJORRAL</t>
  </si>
  <si>
    <t>ATLÁNTICO</t>
  </si>
  <si>
    <t>Estudiante</t>
  </si>
  <si>
    <t>Artes</t>
  </si>
  <si>
    <t>EJECUCIÓN ANTICIPADA</t>
  </si>
  <si>
    <t>Otro</t>
  </si>
  <si>
    <t>Cultivo de hortalizas, raíces y tubérculos.</t>
  </si>
  <si>
    <t>Capacidades</t>
  </si>
  <si>
    <t>ABRIAQUÍ</t>
  </si>
  <si>
    <t>Beneficiario</t>
  </si>
  <si>
    <t>Investigación</t>
  </si>
  <si>
    <t>Soporte Técnico</t>
  </si>
  <si>
    <t>Ciencias</t>
  </si>
  <si>
    <t>Pasaporte</t>
  </si>
  <si>
    <t>Sin información</t>
  </si>
  <si>
    <t>No ejecutado</t>
  </si>
  <si>
    <t>Cultivo de tabaco.</t>
  </si>
  <si>
    <t>Trimestral</t>
  </si>
  <si>
    <t>ALEJANDRÍA</t>
  </si>
  <si>
    <t>BOLÍVAR</t>
  </si>
  <si>
    <t>Interlocutor</t>
  </si>
  <si>
    <t>Consultoría</t>
  </si>
  <si>
    <t>Capacitación en Procesos y Emprendimiento</t>
  </si>
  <si>
    <t>Ciencias Económicas y Administrativas</t>
  </si>
  <si>
    <t>Cultivo de plantas textiles.</t>
  </si>
  <si>
    <t>Semestral</t>
  </si>
  <si>
    <t>AMAGÁ</t>
  </si>
  <si>
    <t>BOYACÁ</t>
  </si>
  <si>
    <t>Voluntario</t>
  </si>
  <si>
    <t>Ciencias Jurídicas</t>
  </si>
  <si>
    <t>FORMALIZADO</t>
  </si>
  <si>
    <t>Otros cultivos transitorios n.c.p.</t>
  </si>
  <si>
    <t>Anual</t>
  </si>
  <si>
    <t>AMALFI</t>
  </si>
  <si>
    <t>CALDAS</t>
  </si>
  <si>
    <t>Personal no docente</t>
  </si>
  <si>
    <t>Ciencias Políticas y Relaciones Internacionales</t>
  </si>
  <si>
    <t>LIQUIDADO</t>
  </si>
  <si>
    <t>Cultivo de frutas tropicales y subtropicales.</t>
  </si>
  <si>
    <t>ANDES</t>
  </si>
  <si>
    <t>CAQUETÁ</t>
  </si>
  <si>
    <t>Director del proyecto</t>
  </si>
  <si>
    <t>Ciencias Sociales</t>
  </si>
  <si>
    <t>RESCILIADO</t>
  </si>
  <si>
    <t>Cultivo de plátano y banano.</t>
  </si>
  <si>
    <t>ANGELÓPOLIS</t>
  </si>
  <si>
    <t>CAUCA</t>
  </si>
  <si>
    <t>e</t>
  </si>
  <si>
    <t>Capacitaciones empresarial específica</t>
  </si>
  <si>
    <t>Comunicación y Lenguaje</t>
  </si>
  <si>
    <t>Cultivo de café.</t>
  </si>
  <si>
    <t>ANGOSTURA</t>
  </si>
  <si>
    <t>CESAR</t>
  </si>
  <si>
    <t>Otros actores</t>
  </si>
  <si>
    <t>Educación</t>
  </si>
  <si>
    <t>SUSPENDIDO</t>
  </si>
  <si>
    <t>Cultivo de caña de azúcar.</t>
  </si>
  <si>
    <t>ANORÍ</t>
  </si>
  <si>
    <t>CÓRDOBA</t>
  </si>
  <si>
    <t>Enfermería</t>
  </si>
  <si>
    <t>TERMINADO</t>
  </si>
  <si>
    <t>Cultivo de flor de corte.</t>
  </si>
  <si>
    <t>SANTA FÉ DE ANTIOQUIA</t>
  </si>
  <si>
    <t>Estudios Ambientales y Rurales</t>
  </si>
  <si>
    <t>Cultivo de palma para aceite (palma africana) y otros frutos oleaginosos.</t>
  </si>
  <si>
    <t>ANZÁ</t>
  </si>
  <si>
    <t>CHOCÓ</t>
  </si>
  <si>
    <t>Filosofía</t>
  </si>
  <si>
    <t>Cultivo de plantas con las que se preparan bebidas.</t>
  </si>
  <si>
    <t>APARTADÓ</t>
  </si>
  <si>
    <t>HUILA</t>
  </si>
  <si>
    <t>Medicina</t>
  </si>
  <si>
    <t>Cultivo de especias y de plantas aromáticas y medicinales.</t>
  </si>
  <si>
    <t>ARBOLETES</t>
  </si>
  <si>
    <t>LA_GUAJIRA</t>
  </si>
  <si>
    <t>Diseño Electrónico</t>
  </si>
  <si>
    <t>Odontología</t>
  </si>
  <si>
    <t>Otros cultivos permanentes n.c.p.</t>
  </si>
  <si>
    <t>ARGELIA</t>
  </si>
  <si>
    <t>MAGDALENA</t>
  </si>
  <si>
    <t>Psicología</t>
  </si>
  <si>
    <t>Propagación de plantas (actividades de los viveros, excepto viveros forestales).</t>
  </si>
  <si>
    <t>ARMENIA</t>
  </si>
  <si>
    <t>META</t>
  </si>
  <si>
    <t>Teología</t>
  </si>
  <si>
    <t>Cría de ganado bovino y bufalino.</t>
  </si>
  <si>
    <t>BARBOSA</t>
  </si>
  <si>
    <t>NARIÑO</t>
  </si>
  <si>
    <t>Cría de caballos y otros equinos.</t>
  </si>
  <si>
    <t>BELMIRA</t>
  </si>
  <si>
    <t>NORTE_DE_SANTANDER</t>
  </si>
  <si>
    <t>Cría de ovejas y cabras.</t>
  </si>
  <si>
    <t>BELLO</t>
  </si>
  <si>
    <t>QUINDÍO</t>
  </si>
  <si>
    <t>Cría de ganado porcino.</t>
  </si>
  <si>
    <t>BETANIA</t>
  </si>
  <si>
    <t>RISARALDA</t>
  </si>
  <si>
    <t>Cría de aves de corral.</t>
  </si>
  <si>
    <t>BETULIA</t>
  </si>
  <si>
    <t>SANTANDER</t>
  </si>
  <si>
    <t>Cría de otros animales n.c.p.</t>
  </si>
  <si>
    <t>CIUDAD BOLÍVAR</t>
  </si>
  <si>
    <t>SUCRE</t>
  </si>
  <si>
    <t>Explotación mixta (agrícola y pecuaria).</t>
  </si>
  <si>
    <t>BRICEÑO</t>
  </si>
  <si>
    <t>TOLIMA</t>
  </si>
  <si>
    <t>Actividades de apoyo a la agricultura.</t>
  </si>
  <si>
    <t>BURITICÁ</t>
  </si>
  <si>
    <t>VALLE DEL CAUCA</t>
  </si>
  <si>
    <t>Actividades de apoyo a la ganadería.</t>
  </si>
  <si>
    <t>CÁCERES</t>
  </si>
  <si>
    <t>ARAUCA</t>
  </si>
  <si>
    <t>Actividades posteriores a la cosecha.</t>
  </si>
  <si>
    <t>CAICEDO</t>
  </si>
  <si>
    <t>CASANARE</t>
  </si>
  <si>
    <t>Tratamiento de semillas para propagación.</t>
  </si>
  <si>
    <t>PUTUMAYO</t>
  </si>
  <si>
    <t>Caza ordinaria y mediante trampas y actividades de servicios conexas.</t>
  </si>
  <si>
    <t>CAMPAMENTO</t>
  </si>
  <si>
    <t>ARCHIPIÉLAGO DE SAN ANDRÉS, PROVIDENCIA Y SANTA CATALINA</t>
  </si>
  <si>
    <t>Silvicultura y otras actividades forestales.</t>
  </si>
  <si>
    <t>CAÑASGORDAS</t>
  </si>
  <si>
    <t>AMAZONAS</t>
  </si>
  <si>
    <t>Extracción de madera.</t>
  </si>
  <si>
    <t>CARACOLÍ</t>
  </si>
  <si>
    <t>GUAINÍA</t>
  </si>
  <si>
    <t>Recolección de productos forestales diferentes a la madera.</t>
  </si>
  <si>
    <t>CARAMANTA</t>
  </si>
  <si>
    <t>GUAVIARE</t>
  </si>
  <si>
    <t>Servicios de apoyo a la silvicultura.</t>
  </si>
  <si>
    <t>CAREPA</t>
  </si>
  <si>
    <t>VAUPÉS</t>
  </si>
  <si>
    <t>Pesca marítima.</t>
  </si>
  <si>
    <t>EL CARMEN DE VIBORAL</t>
  </si>
  <si>
    <t>VICHADA</t>
  </si>
  <si>
    <t>Pesca de agua dulce.</t>
  </si>
  <si>
    <t>CAROLINA</t>
  </si>
  <si>
    <t>Acuicultura marítima.</t>
  </si>
  <si>
    <t>CAUCASIA</t>
  </si>
  <si>
    <t>Acuicultura de agua dulce.</t>
  </si>
  <si>
    <t>CHIGORODÓ</t>
  </si>
  <si>
    <t>Extracción de hulla (carbón de piedra).</t>
  </si>
  <si>
    <t>CISNEROS</t>
  </si>
  <si>
    <t>Extracción de carbón lignito.</t>
  </si>
  <si>
    <t>COCORNÁ</t>
  </si>
  <si>
    <t>Extracción de petróleo crudo.</t>
  </si>
  <si>
    <t>CONCEPCIÓN</t>
  </si>
  <si>
    <t>Extracción de gas natural.</t>
  </si>
  <si>
    <t>CONCORDIA</t>
  </si>
  <si>
    <t>Extracción de minerales de hierro.</t>
  </si>
  <si>
    <t>COPACABANA</t>
  </si>
  <si>
    <t>Extracción de minerales de uranio y de torio.</t>
  </si>
  <si>
    <t>DABEIBA</t>
  </si>
  <si>
    <t>Extracción de oro y otros metales preciosos.</t>
  </si>
  <si>
    <t>DONMATÍAS</t>
  </si>
  <si>
    <t>Extracción de minerales de níquel.</t>
  </si>
  <si>
    <t>EBÉJICO</t>
  </si>
  <si>
    <t>Extracción de otros minerales metalíferos no ferrosos n.c.p.</t>
  </si>
  <si>
    <t>EL BAGRE</t>
  </si>
  <si>
    <t>Extracción de piedra, arena, arcillas comunes, yeso y anhidrita.</t>
  </si>
  <si>
    <t>ENTRERRÍOS</t>
  </si>
  <si>
    <t>Extracción de arcillas de uso industrial, caliza, caolín y bentonitas.</t>
  </si>
  <si>
    <t>ENVIGADO</t>
  </si>
  <si>
    <t>Extracción de esmeraldas, piedras preciosas y semipreciosas.</t>
  </si>
  <si>
    <t>FREDONIA</t>
  </si>
  <si>
    <t>Extracción de minerales para la fabricación de abonos y productos químicos.</t>
  </si>
  <si>
    <t>FRONTINO</t>
  </si>
  <si>
    <t>Extracción de halita (sal).</t>
  </si>
  <si>
    <t>GIRALDO</t>
  </si>
  <si>
    <t>Extracción de otros minerales no metálicos n.c.p.</t>
  </si>
  <si>
    <t>GIRARDOTA</t>
  </si>
  <si>
    <t>Actividades de apoyo para la extracción de petróleo y de gas natural.</t>
  </si>
  <si>
    <t>GÓMEZ PLATA</t>
  </si>
  <si>
    <t>Actividades de apoyo para otras actividades de explotación de minas y canteras.</t>
  </si>
  <si>
    <t>GRANADA</t>
  </si>
  <si>
    <t>Procesamiento y conservación de carne y productos cárnicos.</t>
  </si>
  <si>
    <t>GUADALUPE</t>
  </si>
  <si>
    <t>Procesamiento y conservación de pescados, crustáceos y moluscos.</t>
  </si>
  <si>
    <t>GUARNE</t>
  </si>
  <si>
    <t>Procesamiento y conservación de frutas, legumbres, hortalizas y tubérculos.</t>
  </si>
  <si>
    <t>GUATAPÉ</t>
  </si>
  <si>
    <t>Elaboración de aceites y grasas de origen vegetal y animal.</t>
  </si>
  <si>
    <t>HELICONIA</t>
  </si>
  <si>
    <t>Elaboración de productos lácteos.</t>
  </si>
  <si>
    <t>HISPANIA</t>
  </si>
  <si>
    <t>Elaboración de productos de molinería.</t>
  </si>
  <si>
    <t>ITAGÜÍ</t>
  </si>
  <si>
    <t>Elaboración de almidones y productos derivados del almidón.</t>
  </si>
  <si>
    <t>ITUANGO</t>
  </si>
  <si>
    <t>Trilla de café.</t>
  </si>
  <si>
    <t>JARDÍN</t>
  </si>
  <si>
    <t>Descafeinado, tostión y molienda del café.</t>
  </si>
  <si>
    <t>JERICÓ</t>
  </si>
  <si>
    <t>Otros derivados del café.</t>
  </si>
  <si>
    <t>LA CEJA</t>
  </si>
  <si>
    <t>Elaboración y refinación de azúcar.</t>
  </si>
  <si>
    <t>LA ESTRELLA</t>
  </si>
  <si>
    <t>Elaboración de panela.</t>
  </si>
  <si>
    <t>LA PINTADA</t>
  </si>
  <si>
    <t>Elaboración de productos de panadería.</t>
  </si>
  <si>
    <t>LA UNIÓN</t>
  </si>
  <si>
    <t>Elaboración de cacao, chocolate y productos de confitería.</t>
  </si>
  <si>
    <t>LIBORINA</t>
  </si>
  <si>
    <t>Elaboración de macarrones, fideos, alcuzcuz y productos farináceos similares.</t>
  </si>
  <si>
    <t>MACEO</t>
  </si>
  <si>
    <t>Elaboración de comidas y platos preparados.</t>
  </si>
  <si>
    <t>MARINILLA</t>
  </si>
  <si>
    <t>Elaboración de otros productos alimenticios n.c.p.</t>
  </si>
  <si>
    <t>MONTEBELLO</t>
  </si>
  <si>
    <t>Elaboración de alimentos preparados para animales.</t>
  </si>
  <si>
    <t>MURINDÓ</t>
  </si>
  <si>
    <t>Destilación, rectificación y mezcla de bebidas alcohólicas.</t>
  </si>
  <si>
    <t>MUTATÁ</t>
  </si>
  <si>
    <t>Elaboración de bebidas fermentadas no destiladas.</t>
  </si>
  <si>
    <t>Producción de malta, elaboración de cervezas y otras bebidas malteadas.</t>
  </si>
  <si>
    <t>NECOCLÍ</t>
  </si>
  <si>
    <t>Elaboración de bebidas no alcohólicas, producción de aguas minerales y de otras aguas embotelladas.</t>
  </si>
  <si>
    <t>NECHÍ</t>
  </si>
  <si>
    <t>Elaboración de productos de tabaco.</t>
  </si>
  <si>
    <t>OLAYA</t>
  </si>
  <si>
    <t>Preparación e hilatura de fibras textiles.</t>
  </si>
  <si>
    <t>PEÑOL</t>
  </si>
  <si>
    <t>Tejeduría de productos textiles.</t>
  </si>
  <si>
    <t>PEQUE</t>
  </si>
  <si>
    <t>Acabado de productos textiles.</t>
  </si>
  <si>
    <t>PUEBLORRICO</t>
  </si>
  <si>
    <t>Fabricación de tejidos de punto y ganchillo.</t>
  </si>
  <si>
    <t>PUERTO BERRÍO</t>
  </si>
  <si>
    <t>Confección de artículos con materiales textiles, excepto prendas de vestir.</t>
  </si>
  <si>
    <t>PUERTO NARE</t>
  </si>
  <si>
    <t>Fabricación de tapetes y alfombras para pisos.</t>
  </si>
  <si>
    <t>PUERTO TRIUNFO</t>
  </si>
  <si>
    <t>Fabricación de cuerdas, cordeles, cables, bramantes y redes.</t>
  </si>
  <si>
    <t>REMEDIOS</t>
  </si>
  <si>
    <t>Fabricación de otros artículos textiles n.c.p.</t>
  </si>
  <si>
    <t>RETIRO</t>
  </si>
  <si>
    <t>Confección de prendas de vestir, excepto prendas de piel.</t>
  </si>
  <si>
    <t>RIONEGRO</t>
  </si>
  <si>
    <t>Fabricación de artículos de piel.</t>
  </si>
  <si>
    <t>SABANALARGA</t>
  </si>
  <si>
    <t>Fabricación de artículos de punto y ganchillo.</t>
  </si>
  <si>
    <t>SABANETA</t>
  </si>
  <si>
    <t>Curtido y recurtido de cueros; recurtido y teñido de pieles.</t>
  </si>
  <si>
    <t>SALGAR</t>
  </si>
  <si>
    <t>Fabricación de artículos de viaje, bolsos de mano y artículos similares elaborados en cuero, y fabricación de artículos de talabartería y guarnicionería.</t>
  </si>
  <si>
    <t>SAN ANDRÉS DE CUERQUÍA</t>
  </si>
  <si>
    <t>Fabricación de artículos de viaje, bolsos de mano y artículos similares; artículos de talabartería y guarnicionería elaborados en otros materiales.</t>
  </si>
  <si>
    <t>SAN CARLOS</t>
  </si>
  <si>
    <t>Fabricación de calzado de cuero y piel, con cualquier tipo de suela.</t>
  </si>
  <si>
    <t>SAN FRANCISCO</t>
  </si>
  <si>
    <t>Fabricación de otros tipos de calzado, excepto calzado de cuero y piel.</t>
  </si>
  <si>
    <t>SAN JERÓNIMO</t>
  </si>
  <si>
    <t>Fabricación de partes del calzado.</t>
  </si>
  <si>
    <t>SAN JOSÉ DE LA MONTAÑA</t>
  </si>
  <si>
    <t>Aserrado, acepillado e impregnación de la madera.</t>
  </si>
  <si>
    <t>SAN JUAN DE URABÁ</t>
  </si>
  <si>
    <t>Fabricación de hojas de madera para enchapado; fabricación de tableros contrachapados, tableros laminados, tableros de partículas y otros tableros y paneles.</t>
  </si>
  <si>
    <t>SAN LUIS</t>
  </si>
  <si>
    <t>Fabricación de partes y piezas de madera, de carpintería y ebanistería para la construcción.</t>
  </si>
  <si>
    <t>SAN PEDRO DE LOS MILAGROS</t>
  </si>
  <si>
    <t>Fabricación de recipientes de madera.</t>
  </si>
  <si>
    <t>SAN PEDRO DE URABÁ</t>
  </si>
  <si>
    <t>Fabricación de otros productos de madera; fabricación de artículos de corcho, cestería y espartería.</t>
  </si>
  <si>
    <t>SAN RAFAEL</t>
  </si>
  <si>
    <t>  Fabricación de pulpas (pastas) celulósicas; papel y cartón.</t>
  </si>
  <si>
    <t>SAN ROQUE</t>
  </si>
  <si>
    <t>Fabricación de papel y cartón ondulado (corrugado); fabricación de envases, empaques y de embalajes de papel y cartón.</t>
  </si>
  <si>
    <t>SAN VICENTE FERRER</t>
  </si>
  <si>
    <t>Fabricación de otros artículos de papel y cartón.</t>
  </si>
  <si>
    <t>SANTA BÁRBARA</t>
  </si>
  <si>
    <t>  Actividades de impresión.</t>
  </si>
  <si>
    <t>SANTA ROSA DE OSOS</t>
  </si>
  <si>
    <t>Actividades de servicios relacionados con la impresión.</t>
  </si>
  <si>
    <t>SANTO DOMINGO</t>
  </si>
  <si>
    <t>Producción de copias a partir de grabaciones originales.</t>
  </si>
  <si>
    <t>EL SANTUARIO</t>
  </si>
  <si>
    <t>Fabricación de productos de hornos de coque.</t>
  </si>
  <si>
    <t>SEGOVIA</t>
  </si>
  <si>
    <t>Fabricación de productos de la refinación del petróleo.</t>
  </si>
  <si>
    <t>SONSÓN</t>
  </si>
  <si>
    <t>Actividad de mezcla de combustibles.</t>
  </si>
  <si>
    <t>SOPETRÁN</t>
  </si>
  <si>
    <t>Fabricación de sustancias y productos químicos básicos.</t>
  </si>
  <si>
    <t>TÁMESIS</t>
  </si>
  <si>
    <t>Fabricación de abonos y compuestos inorgánicos nitrogenados.</t>
  </si>
  <si>
    <t>TARAZÁ</t>
  </si>
  <si>
    <t>Fabricación de plásticos en formas primarias.</t>
  </si>
  <si>
    <t>TARSO</t>
  </si>
  <si>
    <t>Fabricación de caucho sintético en formas primarias.</t>
  </si>
  <si>
    <t>TITIRIBÍ</t>
  </si>
  <si>
    <t>Fabricación de plaguicidas y otros productos químicos de uso agropecuario.</t>
  </si>
  <si>
    <t>TOLEDO</t>
  </si>
  <si>
    <t>Fabricación de pinturas, barnices y revestimientos similares, tintas para impresión y masillas.</t>
  </si>
  <si>
    <t>TURBO</t>
  </si>
  <si>
    <t>Fabricación de jabones y detergentes, preparados para limpiar y pulir; perfumes y preparados de tocador.</t>
  </si>
  <si>
    <t>URAMITA</t>
  </si>
  <si>
    <t>Fabricación de otros productos químicos n.c.p.</t>
  </si>
  <si>
    <t>URRAO</t>
  </si>
  <si>
    <t>Fabricación de fibras sintéticas y artificiales.</t>
  </si>
  <si>
    <t>VALDIVIA</t>
  </si>
  <si>
    <t>Fabricación de productos farmacéuticos, sustancias químicas medicinales y productos botánicos de uso farmacéutico.</t>
  </si>
  <si>
    <t>VALPARAÍSO</t>
  </si>
  <si>
    <t>Fabricación de llantas y neumáticos de caucho.</t>
  </si>
  <si>
    <t>VEGACHÍ</t>
  </si>
  <si>
    <t>Reencauche de llantas usadas.</t>
  </si>
  <si>
    <t>Fabricación de formas básicas de caucho y otros productos de caucho n.c.p.</t>
  </si>
  <si>
    <t>VIGÍA DEL FUERTE</t>
  </si>
  <si>
    <t>Fabricación de formas básicas de plástico.</t>
  </si>
  <si>
    <t>YALÍ</t>
  </si>
  <si>
    <t>Fabricación de artículos de plástico n.c.p.</t>
  </si>
  <si>
    <t>YARUMAL</t>
  </si>
  <si>
    <t>Fabricación de vidrio y productos de vidrio.</t>
  </si>
  <si>
    <t>YOLOMBÓ</t>
  </si>
  <si>
    <t>Fabricación de productos refractarios.</t>
  </si>
  <si>
    <t>YONDÓ</t>
  </si>
  <si>
    <t>Fabricación de materiales de arcilla para la construcción.</t>
  </si>
  <si>
    <t>ZARAGOZA</t>
  </si>
  <si>
    <t>Fabricación de otros productos de cerámica y porcelana.</t>
  </si>
  <si>
    <t>BARRANQUILLA</t>
  </si>
  <si>
    <t>Fabricación de cemento, cal y yeso.</t>
  </si>
  <si>
    <t>BARANOA</t>
  </si>
  <si>
    <t>Fabricación de artículos de hormigón, cemento y yeso.</t>
  </si>
  <si>
    <t>CAMPO DE LA CRUZ</t>
  </si>
  <si>
    <t>Corte, tallado y acabado de la piedra.</t>
  </si>
  <si>
    <t>CANDELARIA</t>
  </si>
  <si>
    <t>Fabricación de otros productos minerales no metálicos n.c.p.</t>
  </si>
  <si>
    <t>GALAPA</t>
  </si>
  <si>
    <t>Industrias básicas de hierro y de acero.</t>
  </si>
  <si>
    <t>JUAN DE ACOSTA</t>
  </si>
  <si>
    <t>Industrias básicas de metales preciosos.</t>
  </si>
  <si>
    <t>LURUACO</t>
  </si>
  <si>
    <t>Industrias básicas de otros metales no ferrosos.</t>
  </si>
  <si>
    <t>MALAMBO</t>
  </si>
  <si>
    <t>Fundición de hierro y de acero.</t>
  </si>
  <si>
    <t>MANATÍ</t>
  </si>
  <si>
    <t>Fundición de metales no ferrosos.</t>
  </si>
  <si>
    <t>PALMAR DE VARELA</t>
  </si>
  <si>
    <t>Fabricación de productos metálicos para uso estructural.</t>
  </si>
  <si>
    <t>PIOJÓ</t>
  </si>
  <si>
    <t>Fabricación de tanques, depósitos y recipientes de metal, excepto los utilizados para el envase o transporte de mercancías.</t>
  </si>
  <si>
    <t>POLONUEVO</t>
  </si>
  <si>
    <t>Fabricación de generadores de vapor, excepto calderas de agua caliente para calefacción central.</t>
  </si>
  <si>
    <t>PONEDERA</t>
  </si>
  <si>
    <t>Fabricación de armas y municiones.</t>
  </si>
  <si>
    <t>PUERTO COLOMBIA</t>
  </si>
  <si>
    <t>Forja, prensado, estampado y laminado de metal; pulvimetalurgia.</t>
  </si>
  <si>
    <t>REPELÓN</t>
  </si>
  <si>
    <t>Tratamiento y revestimiento de metales; mecanizado.</t>
  </si>
  <si>
    <t>SABANAGRANDE</t>
  </si>
  <si>
    <t>Fabricación de artículos de cuchillería, herramientas de mano y artículos de ferretería.</t>
  </si>
  <si>
    <t>Fabricación de otros productos elaborados de metal n.c.p.</t>
  </si>
  <si>
    <t>SANTA LUCÍA</t>
  </si>
  <si>
    <t>Fabricación de componentes y tableros electrónicos.</t>
  </si>
  <si>
    <t>SANTO TOMÁS</t>
  </si>
  <si>
    <t>Fabricación de computadoras y de equipo periférico.</t>
  </si>
  <si>
    <t>SOLEDAD</t>
  </si>
  <si>
    <t>Fabricación de equipos de comunicación.</t>
  </si>
  <si>
    <t>SUAN</t>
  </si>
  <si>
    <t>Fabricación de aparatos electrónicos de consumo.</t>
  </si>
  <si>
    <t>TUBARÁ</t>
  </si>
  <si>
    <t>Fabricación de equipo de medición, prueba, navegación y control</t>
  </si>
  <si>
    <t>USIACURÍ</t>
  </si>
  <si>
    <t>Fabricación de relojes</t>
  </si>
  <si>
    <t>Fabricación de equipo de irradiación y equipo electrónico de uso médico y terapéutico</t>
  </si>
  <si>
    <t>CARTAGENA DE INDIAS</t>
  </si>
  <si>
    <t>Fabricación de instrumentos ópticos y equipo fotográfico</t>
  </si>
  <si>
    <t>ACHÍ</t>
  </si>
  <si>
    <t>Fabricación de medios magnéticos y ópticos para almacenamiento de datos</t>
  </si>
  <si>
    <t>ALTOS DEL ROSARIO</t>
  </si>
  <si>
    <t>Fabricación de motores, generadores y transformadores eléctricos</t>
  </si>
  <si>
    <t>ARENAL</t>
  </si>
  <si>
    <t>Fabricación de aparatos de distribución y control de la energía eléctrica</t>
  </si>
  <si>
    <t>ARJONA</t>
  </si>
  <si>
    <t>Fabricación de pilas, baterías y acumuladores eléctricos</t>
  </si>
  <si>
    <t>ARROYOHONDO</t>
  </si>
  <si>
    <t>Fabricación de hilos y cables eléctricos y de fibra óptica</t>
  </si>
  <si>
    <t>BARRANCO DE LOBA</t>
  </si>
  <si>
    <t>Fabricación de dispositivos de cableado</t>
  </si>
  <si>
    <t>CALAMAR</t>
  </si>
  <si>
    <t>Fabricación de equipos eléctricos de iluminación</t>
  </si>
  <si>
    <t>CANTAGALLO</t>
  </si>
  <si>
    <t>Fabricación de aparatos de uso doméstico</t>
  </si>
  <si>
    <t>CICUCO</t>
  </si>
  <si>
    <t>Fabricación de otros tipos de equipo eléctrico n.c.p.</t>
  </si>
  <si>
    <t>Fabricación de motores, turbinas, y partes para motores de combustión interna.</t>
  </si>
  <si>
    <t>CLEMENCIA</t>
  </si>
  <si>
    <t>Fabricación de equipos de potencia hidráulica y neumática.</t>
  </si>
  <si>
    <t>EL CARMEN DE BOLÍVAR</t>
  </si>
  <si>
    <t>Fabricación de otras bombas, compresores, grifos y válvulas.</t>
  </si>
  <si>
    <t>EL GUAMO</t>
  </si>
  <si>
    <t>Fabricación de cojinetes, engranajes, trenes de engranajes y piezas de transmisión.</t>
  </si>
  <si>
    <t>EL PEÑÓN</t>
  </si>
  <si>
    <t>Fabricación de hornos, hogares y quemadores industriales.</t>
  </si>
  <si>
    <t>HATILLO DE LOBA</t>
  </si>
  <si>
    <t>Fabricación de equipo de elevación y manipulación.</t>
  </si>
  <si>
    <t>MAGANGUÉ</t>
  </si>
  <si>
    <t>Fabricación de maquinaria y equipo de oficina (excepto computadoras y equipo periférico).</t>
  </si>
  <si>
    <t>MAHATES</t>
  </si>
  <si>
    <t>Fabricación de herramientas manuales con motor.</t>
  </si>
  <si>
    <t>MARGARITA</t>
  </si>
  <si>
    <t>Fabricación de otros tipos de maquinaria y equipo de uso general n.c.p.</t>
  </si>
  <si>
    <t>MARÍA LA BAJA</t>
  </si>
  <si>
    <t>Fabricación de maquinaria agropecuaria y forestal.</t>
  </si>
  <si>
    <t>MONTECRISTO</t>
  </si>
  <si>
    <t>Fabricación de máquinas formadoras de metal y de máquinas herramienta.</t>
  </si>
  <si>
    <t>SANTA CRUZ DE MOMPOX</t>
  </si>
  <si>
    <t>Fabricación de maquinaria para la metalurgia.</t>
  </si>
  <si>
    <t>MORALES</t>
  </si>
  <si>
    <t>Fabricación de maquinaria para explotación de minas y canteras y para obras de construcción.</t>
  </si>
  <si>
    <t>NOROSÍ</t>
  </si>
  <si>
    <t>Fabricación de maquinaria para la elaboración de alimentos, bebidas y tabaco.</t>
  </si>
  <si>
    <t>PINILLOS</t>
  </si>
  <si>
    <t>Fabricación de maquinaria para la elaboración de productos textiles, prendas de vestir y cueros.</t>
  </si>
  <si>
    <t>REGIDOR</t>
  </si>
  <si>
    <t>Fabricación de otros tipos de maquinaria y equipo de uso especial n.c.p.</t>
  </si>
  <si>
    <t>RÍO VIEJO</t>
  </si>
  <si>
    <t>Fabricación de vehículos automotores y sus motores.</t>
  </si>
  <si>
    <t>SAN CRISTÓBAL</t>
  </si>
  <si>
    <t>Fabricación de carrocerías para vehículos automotores; fabricación de remolques y semirremolques.</t>
  </si>
  <si>
    <t>SAN ESTANISLAO</t>
  </si>
  <si>
    <t>Fabricación de partes, piezas (autopartes) y accesorios (lujos) para vehículos automotores.</t>
  </si>
  <si>
    <t>SAN FERNANDO</t>
  </si>
  <si>
    <t>Construcción de barcos y de estructuras flotantes.</t>
  </si>
  <si>
    <t>SAN JACINTO</t>
  </si>
  <si>
    <t>Construcción de embarcaciones de recreo y deporte.</t>
  </si>
  <si>
    <t>SAN JACINTO DEL CAUCA</t>
  </si>
  <si>
    <t>Fabricación de locomotoras y de material rodante para ferrocarriles.</t>
  </si>
  <si>
    <t>SAN JUAN NEPOMUCENO</t>
  </si>
  <si>
    <t>Fabricación de aeronaves, naves espaciales y de maquinaria conexa.</t>
  </si>
  <si>
    <t>SAN MARTÍN DE LOBA</t>
  </si>
  <si>
    <t>Fabricación de vehículos militares de combate.</t>
  </si>
  <si>
    <t>SAN PABLO</t>
  </si>
  <si>
    <t>Fabricación de motocicletas.</t>
  </si>
  <si>
    <t>SANTA CATALINA</t>
  </si>
  <si>
    <t>Fabricación de bicicletas y de sillas de ruedas para personas con discapacidad.</t>
  </si>
  <si>
    <t>SANTA ROSA</t>
  </si>
  <si>
    <t>Fabricación de otros tipos de equipo de transporte n.c.p.</t>
  </si>
  <si>
    <t>SANTA ROSA DEL SUR</t>
  </si>
  <si>
    <t>Fabricación de muebles.</t>
  </si>
  <si>
    <t>SIMITÍ</t>
  </si>
  <si>
    <t>Fabricación de colchones y somieres.</t>
  </si>
  <si>
    <t>SOPLAVIENTO</t>
  </si>
  <si>
    <t>Fabricación de joyas y artículos conexos</t>
  </si>
  <si>
    <t>TALAIGUA NUEVO</t>
  </si>
  <si>
    <t>Fabricación de bisutería y artículos conexos</t>
  </si>
  <si>
    <t>TIQUISIO</t>
  </si>
  <si>
    <t>Fabricación de instrumentos musicales.</t>
  </si>
  <si>
    <t>TURBACO</t>
  </si>
  <si>
    <t>Fabricación de artículos y equipo para la práctica del deporte.</t>
  </si>
  <si>
    <t>TURBANÁ</t>
  </si>
  <si>
    <t>Fabricación de juegos, juguetes y rompecabezas.</t>
  </si>
  <si>
    <t>VILLANUEVA</t>
  </si>
  <si>
    <t>Fabricación de instrumentos, aparatos y materiales médicos y odontológicos (incluido mobiliario).</t>
  </si>
  <si>
    <t>ZAMBRANO</t>
  </si>
  <si>
    <t>Otras industrias manufactureras n.c.p.</t>
  </si>
  <si>
    <t>TUNJA</t>
  </si>
  <si>
    <t>Mantenimiento y reparación especializado de productos elaborados en metal.</t>
  </si>
  <si>
    <t>ALMEIDA</t>
  </si>
  <si>
    <t>Mantenimiento y reparación especializado de maquinaria y equipo.</t>
  </si>
  <si>
    <t>AQUITANIA</t>
  </si>
  <si>
    <t>Mantenimiento y reparación especializado de equipo electrónico y óptico.</t>
  </si>
  <si>
    <t>ARCABUCO</t>
  </si>
  <si>
    <t>Mantenimiento y reparación especializado de equipo eléctrico.</t>
  </si>
  <si>
    <t>BELÉN</t>
  </si>
  <si>
    <t>Mantenimiento y reparación especializado de equipo de transporte, excepto los vehículos automotores, motocicletas y bicicletas.</t>
  </si>
  <si>
    <t>BERBEO</t>
  </si>
  <si>
    <t>Mantenimiento y reparación de otros tipos de equipos y sus componentes n.c.p.</t>
  </si>
  <si>
    <t>BETÉITIVA</t>
  </si>
  <si>
    <t>Instalación especializada de maquinaria y equipo industrial.</t>
  </si>
  <si>
    <t>BOAVITA</t>
  </si>
  <si>
    <t>Generación de energía eléctrica.</t>
  </si>
  <si>
    <t>Transmisión de energía eléctrica.</t>
  </si>
  <si>
    <t>Distribución de energía eléctrica.</t>
  </si>
  <si>
    <t>BUENAVISTA</t>
  </si>
  <si>
    <t>Comercialización de energía eléctrica</t>
  </si>
  <si>
    <t>BUSBANZÁ</t>
  </si>
  <si>
    <t>Producción de gas; distribución de combu.stibles gaseosos por tuberías.</t>
  </si>
  <si>
    <t>Suministro de vapor y aire acondicionado.</t>
  </si>
  <si>
    <t>CAMPOHERMOSO</t>
  </si>
  <si>
    <t>Captación, tratamiento y distribución de agua.</t>
  </si>
  <si>
    <t>CERINZA</t>
  </si>
  <si>
    <t>Evacuación y tratamiento de aguas residuales.</t>
  </si>
  <si>
    <t>CHINAVITA</t>
  </si>
  <si>
    <t>Recolección de desechos no peligrosos.</t>
  </si>
  <si>
    <t>CHIQUINQUIRÁ</t>
  </si>
  <si>
    <t>Recolección de desechos peligrosos.</t>
  </si>
  <si>
    <t>CHISCAS</t>
  </si>
  <si>
    <t>Tratamiento y disposición de desechos no peligrosos.</t>
  </si>
  <si>
    <t>CHITA</t>
  </si>
  <si>
    <t>Tratamiento y disposición de desechos peligrosos.</t>
  </si>
  <si>
    <t>CHITARAQUE</t>
  </si>
  <si>
    <t>Recuperación de materiales.</t>
  </si>
  <si>
    <t>CHIVATÁ</t>
  </si>
  <si>
    <t>Actividades de saneamiento ambiental y otros servicios de gestión de desechos.</t>
  </si>
  <si>
    <t>CIÉNEGA</t>
  </si>
  <si>
    <t>Construcción de edificios residenciales.</t>
  </si>
  <si>
    <t>CÓMBITA</t>
  </si>
  <si>
    <t>Construcción de edificios no residenciales.</t>
  </si>
  <si>
    <t>COPER</t>
  </si>
  <si>
    <t>Construcción de carreteras y vías de ferrocarril.</t>
  </si>
  <si>
    <t>CORRALES</t>
  </si>
  <si>
    <t>Construcción de proyectos de servicio público.</t>
  </si>
  <si>
    <t>COVARACHÍA</t>
  </si>
  <si>
    <t>Construcción de otras obras de ingeniería civil.</t>
  </si>
  <si>
    <t>CUBARÁ</t>
  </si>
  <si>
    <t>Demolición.</t>
  </si>
  <si>
    <t>CUCAITA</t>
  </si>
  <si>
    <t>Preparación del terreno.</t>
  </si>
  <si>
    <t>CUÍTIVA</t>
  </si>
  <si>
    <t>Instalaciones eléctricas.</t>
  </si>
  <si>
    <t>CHÍQUIZA</t>
  </si>
  <si>
    <t>Instalaciones de fontanería, calefacción y aire acondicionado.</t>
  </si>
  <si>
    <t>CHIVOR</t>
  </si>
  <si>
    <t>Otras instalaciones especializadas.</t>
  </si>
  <si>
    <t>DUITAMA</t>
  </si>
  <si>
    <t>Terminación y acabado de edificios y obras de ingeniería civil.</t>
  </si>
  <si>
    <t>EL COCUY</t>
  </si>
  <si>
    <t>Otras actividades especializadas para la construcción de edificios y obras de ingeniería civil.</t>
  </si>
  <si>
    <t>EL ESPINO</t>
  </si>
  <si>
    <t>Comercio de vehículos automotores nuevos.</t>
  </si>
  <si>
    <t>FIRAVITOBA</t>
  </si>
  <si>
    <t>Comercio de vehículos automotores usados.</t>
  </si>
  <si>
    <t>FLORESTA</t>
  </si>
  <si>
    <t>Mantenimiento y reparación de vehículos automotores.</t>
  </si>
  <si>
    <t>GACHANTIVÁ</t>
  </si>
  <si>
    <t>Comercio de partes, piezas (autopartes) y accesorios (lujos) para vehículos automotores.</t>
  </si>
  <si>
    <t>GÁMEZA</t>
  </si>
  <si>
    <t>Comercio de motocicletas y de sus partes, piezas y accesorios.</t>
  </si>
  <si>
    <t>GARAGOA</t>
  </si>
  <si>
    <t>Mantenimiento y reparación de motocicletas y de sus partes y piezas.</t>
  </si>
  <si>
    <t>GUACAMAYAS</t>
  </si>
  <si>
    <t>Comercio al por mayor a cambio de una retribución o por contrata.</t>
  </si>
  <si>
    <t>GUATEQUE</t>
  </si>
  <si>
    <t>Comercio al por mayor de materias primas agropecuarias; animales vivos.</t>
  </si>
  <si>
    <t>GUAYATÁ</t>
  </si>
  <si>
    <t>Comercio al por mayor de productos alimenticios.</t>
  </si>
  <si>
    <t>GÜICÁN DE LA SIERRA</t>
  </si>
  <si>
    <t>Comercio al por mayor de bebidas y tabaco.</t>
  </si>
  <si>
    <t>IZA</t>
  </si>
  <si>
    <t>Comercio al por mayor de productos textiles, productos confeccionados para uso doméstico.</t>
  </si>
  <si>
    <t>JENESANO</t>
  </si>
  <si>
    <t>Comercio al por mayor de prendas de vestir.</t>
  </si>
  <si>
    <t>Comercio al por mayor de calzado.</t>
  </si>
  <si>
    <t>LABRANZAGRANDE</t>
  </si>
  <si>
    <t>Comercio al por mayor de aparatos y equipo de uso doméstico.</t>
  </si>
  <si>
    <t>LA CAPILLA</t>
  </si>
  <si>
    <t>Comercio al por mayor de productos farmacéuticos, medicinales, cosméticos y de tocador.</t>
  </si>
  <si>
    <t>LA VICTORIA</t>
  </si>
  <si>
    <t>Comercio al por mayor de otros utensilios domésticos n.c.p.</t>
  </si>
  <si>
    <t>LA UVITA</t>
  </si>
  <si>
    <t>Comercio al por mayor de computadores, equipo periférico y programas de informática.</t>
  </si>
  <si>
    <t>VILLA DE LEYVA</t>
  </si>
  <si>
    <t>Comercio al por mayor de equipo, partes y piezas electrónicos y de telecomunicaciones.</t>
  </si>
  <si>
    <t>MACANAL</t>
  </si>
  <si>
    <t>Comercio al por mayor de maquinaria y equipo agropecuarios.</t>
  </si>
  <si>
    <t>MARIPÍ</t>
  </si>
  <si>
    <t>Comercio al por mayor de otros tipos de maquinaria y equipo n.c.p.</t>
  </si>
  <si>
    <t>MIRAFLORES</t>
  </si>
  <si>
    <t>Comercio al por mayor de combustibles sólidos, líquidos, gaseosos y productos conexos.</t>
  </si>
  <si>
    <t>MONGUA</t>
  </si>
  <si>
    <t>Comercio al por mayor de metales y productos metalíferos.</t>
  </si>
  <si>
    <t>MONGUÍ</t>
  </si>
  <si>
    <t>Comercio al por mayor de materiales de construcción, artículos de ferretería, pinturas, productos de vidrio, equipo y materiales de fontanería y calefacción.</t>
  </si>
  <si>
    <t>MONIQUIRÁ</t>
  </si>
  <si>
    <t>Comercio al por mayor de productos químicos básicos, cauchos y plásticos en formas primarias y productos químicos de uso agropecuario.</t>
  </si>
  <si>
    <t>MOTAVITA</t>
  </si>
  <si>
    <t>Comercio al por mayor de desperdicios, desechos y chatarra.</t>
  </si>
  <si>
    <t>MUZO</t>
  </si>
  <si>
    <t>Comercio al por mayor de otros productos n.c.p.</t>
  </si>
  <si>
    <t>NOBSA</t>
  </si>
  <si>
    <t>Comercio al por mayor no especializado.</t>
  </si>
  <si>
    <t>NUEVO COLÓN</t>
  </si>
  <si>
    <t>Comercio al por menor en establecimientos no especializados con surtido compuesto principalmente por alimentos, bebidas o tabaco.</t>
  </si>
  <si>
    <t>OICATÁ</t>
  </si>
  <si>
    <t>Comercio al por menor en establecimientos no especializados, con surtido compuesto principalmente por productos diferentes de alimentos (víveres en general), bebidas y tabaco.</t>
  </si>
  <si>
    <t>OTANCHE</t>
  </si>
  <si>
    <t>Comercio al por menor de productos agrícolas para el consumo en establecimientos especializados.</t>
  </si>
  <si>
    <t>PACHAVITA</t>
  </si>
  <si>
    <t>Comercio al por menor de leche, productos lácteos y huevos, en establecimientos especializados.</t>
  </si>
  <si>
    <t>PÁEZ</t>
  </si>
  <si>
    <t>Comercio al por menor de carnes (incluye aves de corral), productos cárnicos, pescados y productos de mar, en establecimientos especializados.</t>
  </si>
  <si>
    <t>PAIPA</t>
  </si>
  <si>
    <t>Comercio al por menor de bebidas y productos del tabaco, en establecimientos especializados.</t>
  </si>
  <si>
    <t>PAJARITO</t>
  </si>
  <si>
    <t>Comercio al por menor de otros productos alimenticios n.c.p., en establecimientos especializados.</t>
  </si>
  <si>
    <t>PANQUEBA</t>
  </si>
  <si>
    <t>Comercio al por menor de combustible para automotores.</t>
  </si>
  <si>
    <t>PAUNA</t>
  </si>
  <si>
    <t>Comercio al por menor de lubricantes (aceites, grasas), aditivos y productos de limpieza para vehículos automotores.</t>
  </si>
  <si>
    <t>PAYA</t>
  </si>
  <si>
    <t>Comercio al por menor de computadores, equipos periféricos, programas de informática y equipos de telecomunicaciones en establecimientos especializados.</t>
  </si>
  <si>
    <t>PAZ DE RÍO</t>
  </si>
  <si>
    <t>Comercio al por menor de equipos y aparatos de sonido y de video, en establecimientos especializados.</t>
  </si>
  <si>
    <t>PESCA</t>
  </si>
  <si>
    <t>Comercio al por menor de productos textiles en establecimientos especializados.</t>
  </si>
  <si>
    <t>PISBA</t>
  </si>
  <si>
    <t>Comercio al por menor de artículos de ferretería, pinturas y productos de vidrio en establecimientos especializados.</t>
  </si>
  <si>
    <t>PUERTO BOYACÁ</t>
  </si>
  <si>
    <t>Comercio al por menor de tapices, alfombras y cubrimientos para paredes y pisos en establecimientos especializados.</t>
  </si>
  <si>
    <t>QUÍPAMA</t>
  </si>
  <si>
    <t>Comercio al por menor de electrodomésticos y gasodomésticos de uso doméstico, muebles y equipos de iluminación.</t>
  </si>
  <si>
    <t>RAMIRIQUÍ</t>
  </si>
  <si>
    <t>Comercio al por menor de artículos y utensilios de uso doméstico.</t>
  </si>
  <si>
    <t>RÁQUIRA</t>
  </si>
  <si>
    <t>Comercio al por menor de otros artículos domésticos en establecimientos especializados.</t>
  </si>
  <si>
    <t>RONDÓN</t>
  </si>
  <si>
    <t>Comercio al por menor de libros, periódicos, materiales y artículos de papelería y escritorio, en establecimientos especializados.</t>
  </si>
  <si>
    <t>SABOYÁ</t>
  </si>
  <si>
    <t>Comercio al por menor de artículos deportivos, en establecimientos especializados.</t>
  </si>
  <si>
    <t>SÁCHICA</t>
  </si>
  <si>
    <t>Comercio al por menor de otros artículos culturales y de entretenimiento n.c.p. en establecimientos especializados.</t>
  </si>
  <si>
    <t>SAMACÁ</t>
  </si>
  <si>
    <t>Comercio al por menor de prendas de vestir y sus accesorios (incluye artículos de piel) en establecimientos especializados.</t>
  </si>
  <si>
    <t>SAN EDUARDO</t>
  </si>
  <si>
    <t>Comercio al por menor de todo tipo de calzado y artículos de cuero y sucedáneos del cuero en establecimientos especializados.</t>
  </si>
  <si>
    <t>SAN JOSÉ DE PARE</t>
  </si>
  <si>
    <t>Comercio al por menor de productos farmacéuticos y medicinales, cosméticos y artículos de tocador en establecimientos especializados.</t>
  </si>
  <si>
    <t>SAN LUIS DE GACENO</t>
  </si>
  <si>
    <t>Comercio al por menor de otros productos nuevos en establecimientos especializados.</t>
  </si>
  <si>
    <t>SAN MATEO</t>
  </si>
  <si>
    <t>Comercio al por menor de artículos de segunda mano.</t>
  </si>
  <si>
    <t>SAN MIGUEL DE SEMA</t>
  </si>
  <si>
    <t>Comercio al por menor de alimentos, bebidas y tabaco, en puestos de venta móviles.</t>
  </si>
  <si>
    <t>SAN PABLO DE BORBUR</t>
  </si>
  <si>
    <t>Comercio al por menor de productos textiles, prendas de vestir y calzado, en puestos de venta móviles.</t>
  </si>
  <si>
    <t>SANTANA</t>
  </si>
  <si>
    <t>Comercio al por menor de otros productos en puestos de venta móviles.</t>
  </si>
  <si>
    <t>SANTA MARÍA</t>
  </si>
  <si>
    <t>Comercio al por menor realizado a través de Internet.</t>
  </si>
  <si>
    <t>SANTA ROSA DE VITERBO</t>
  </si>
  <si>
    <t>Comercio al por menor realizado a través de casas de venta o por correo.</t>
  </si>
  <si>
    <t>SANTA SOFÍA</t>
  </si>
  <si>
    <t>Otros tipos de comercio al por menor no realizado en establecimientos, puestos de venta o mercados.</t>
  </si>
  <si>
    <t>SATIVANORTE</t>
  </si>
  <si>
    <t>Transporte férreo de pasajeros.</t>
  </si>
  <si>
    <t>SATIVASUR</t>
  </si>
  <si>
    <t>Transporte férreo de carga.</t>
  </si>
  <si>
    <t>SIACHOQUE</t>
  </si>
  <si>
    <t>Transporte de pasajeros.</t>
  </si>
  <si>
    <t>SOATÁ</t>
  </si>
  <si>
    <t>Transporte mixto.</t>
  </si>
  <si>
    <t>SOCOTÁ</t>
  </si>
  <si>
    <t>Transporte de carga por carretera.</t>
  </si>
  <si>
    <t>SOCHA</t>
  </si>
  <si>
    <t>Transporte por tuberías.</t>
  </si>
  <si>
    <t>SOGAMOSO</t>
  </si>
  <si>
    <t>Transporte de pasajeros marítimo y de cabotaje.</t>
  </si>
  <si>
    <t>SOMONDOCO</t>
  </si>
  <si>
    <t>Transporte de carga marítimo y de cabotaje.</t>
  </si>
  <si>
    <t>SORA</t>
  </si>
  <si>
    <t>Transporte fluvial de pasajeros.</t>
  </si>
  <si>
    <t>SOTAQUIRÁ</t>
  </si>
  <si>
    <t>Transporte fluvial de carga.</t>
  </si>
  <si>
    <t>SORACÁ</t>
  </si>
  <si>
    <t>Transporte aéreo nacional de pasajeros.</t>
  </si>
  <si>
    <t>SUSACÓN</t>
  </si>
  <si>
    <t>Transporte aéreo internacional de pasajeros.</t>
  </si>
  <si>
    <t>SUTAMARCHÁN</t>
  </si>
  <si>
    <t>Transporte aéreo nacional de carga.</t>
  </si>
  <si>
    <t>SUTATENZA</t>
  </si>
  <si>
    <t>Transporte aéreo internacional de carga.</t>
  </si>
  <si>
    <t>TASCO</t>
  </si>
  <si>
    <t>Almacenamiento y depósito</t>
  </si>
  <si>
    <t>TENZA</t>
  </si>
  <si>
    <t>Actividades de estaciones, vías y servicios complementarios para el transporte terrestre.</t>
  </si>
  <si>
    <t>TIBANÁ</t>
  </si>
  <si>
    <t>Actividades de puertos y servicios complementarios para el transporte acuático.</t>
  </si>
  <si>
    <t>TIBASOSA</t>
  </si>
  <si>
    <t>Actividades de aeropuertos, servicios de navegación aérea y demás actividades conexas al transporte aéreo</t>
  </si>
  <si>
    <t>TINJACÁ</t>
  </si>
  <si>
    <t>Manipulación de carga</t>
  </si>
  <si>
    <t>TIPACOQUE</t>
  </si>
  <si>
    <t>Otras actividades complementarias al transporte.</t>
  </si>
  <si>
    <t>TOCA</t>
  </si>
  <si>
    <t>Actividades postales nacionales.</t>
  </si>
  <si>
    <t>TOGÜÍ</t>
  </si>
  <si>
    <t>Actividades de mensajería.</t>
  </si>
  <si>
    <t>TÓPAGA</t>
  </si>
  <si>
    <t>Alojamiento en hoteles.</t>
  </si>
  <si>
    <t>TOTA</t>
  </si>
  <si>
    <t>Alojamiento en apartahoteles.</t>
  </si>
  <si>
    <t>TUNUNGUÁ</t>
  </si>
  <si>
    <t>Alojamiento en centros vacacionales</t>
  </si>
  <si>
    <t>TURMEQUÉ</t>
  </si>
  <si>
    <t>Alojamiento rural.</t>
  </si>
  <si>
    <t>TUTA</t>
  </si>
  <si>
    <t>Otros tipos de alojamientos para visitantes.</t>
  </si>
  <si>
    <t>TUTAZÁ</t>
  </si>
  <si>
    <t>Actividades de zonas de camping y parques para vehículos recreacionales.</t>
  </si>
  <si>
    <t>ÚMBITA</t>
  </si>
  <si>
    <t>Servicio por horas.</t>
  </si>
  <si>
    <t>VENTAQUEMADA</t>
  </si>
  <si>
    <t>Otros tipos de alojamiento n.c.p.</t>
  </si>
  <si>
    <t>VIRACACHÁ</t>
  </si>
  <si>
    <t>Expendio a la mesa de comidas preparadas.</t>
  </si>
  <si>
    <t>ZETAQUIRA</t>
  </si>
  <si>
    <t>Expendio por autoservicio de comidas preparadas.</t>
  </si>
  <si>
    <t>MANIZALES</t>
  </si>
  <si>
    <t>Expendio de comidas preparadas en cafeterías.</t>
  </si>
  <si>
    <t>AGUADAS</t>
  </si>
  <si>
    <t>Otros tipos de expendio de comidas preparadas n.c.p.</t>
  </si>
  <si>
    <t>ANSERMA</t>
  </si>
  <si>
    <t>Catering para eventos.</t>
  </si>
  <si>
    <t>ARANZAZU</t>
  </si>
  <si>
    <t>Actividades de otros servicios de comidas.</t>
  </si>
  <si>
    <t>BELALCÁZAR</t>
  </si>
  <si>
    <t>Expendio de bebidas alcohólicas para el consumo dentro del establecimiento.</t>
  </si>
  <si>
    <t>CHINCHINÁ</t>
  </si>
  <si>
    <t>Edición de libros.</t>
  </si>
  <si>
    <t>FILADELFIA</t>
  </si>
  <si>
    <t>Edición de directorios y listas de correo.</t>
  </si>
  <si>
    <t>LA DORADA</t>
  </si>
  <si>
    <t>Edición de periódicos, revistas y otras publicaciones periódicas.</t>
  </si>
  <si>
    <t>LA MERCED</t>
  </si>
  <si>
    <t>Otros trabajos de edición.</t>
  </si>
  <si>
    <t>MANZANARES</t>
  </si>
  <si>
    <t>Edición de programas de informática (software).</t>
  </si>
  <si>
    <t>MARMATO</t>
  </si>
  <si>
    <t>Actividades de producción de películas cinematográficas, videos, programas, anuncios y comerciales de televisión.</t>
  </si>
  <si>
    <t>MARQUETALIA</t>
  </si>
  <si>
    <t>Actividades de posproducción de películas cinematográficas, videos, programas, anuncios y comerciales de televisión.</t>
  </si>
  <si>
    <t>MARULANDA</t>
  </si>
  <si>
    <t>Actividades de distribución de películas cinematográficas, videos, programas, anuncios y comerciales de televisión.</t>
  </si>
  <si>
    <t>NEIRA</t>
  </si>
  <si>
    <t>Actividades de exhibición de películas cinematográficas y videos.</t>
  </si>
  <si>
    <t>NORCASIA</t>
  </si>
  <si>
    <t>Actividades de grabación de sonido y edición de música.</t>
  </si>
  <si>
    <t>PÁCORA</t>
  </si>
  <si>
    <t>Actividades de programación y transmisión en el servicio de radiodifusión sonora.</t>
  </si>
  <si>
    <t>PALESTINA</t>
  </si>
  <si>
    <t>Actividades de programación y transmisión de televisión.</t>
  </si>
  <si>
    <t>PENSILVANIA</t>
  </si>
  <si>
    <t>Actividades de telecomunicaciones alámbricas.</t>
  </si>
  <si>
    <t>RIOSUCIO</t>
  </si>
  <si>
    <t>Actividades de telecomunicaciones inalámbricas.</t>
  </si>
  <si>
    <t>Actividades de telecomunicación satelital.</t>
  </si>
  <si>
    <t>SALAMINA</t>
  </si>
  <si>
    <t>Otras actividades de telecomunicaciones.</t>
  </si>
  <si>
    <t>SAMANÁ</t>
  </si>
  <si>
    <t>Actividades de desarrollo de sistemas informáticos (planificación, análisis, diseño, programación, pruebas).</t>
  </si>
  <si>
    <t>SAN JOSÉ</t>
  </si>
  <si>
    <t>Actividades de consultoría informática y actividades de administración de instalaciones informáticas.</t>
  </si>
  <si>
    <t>SUPÍA</t>
  </si>
  <si>
    <t>Otras actividades de tecnologías de información y actividades de servicios informáticos.</t>
  </si>
  <si>
    <t>VICTORIA</t>
  </si>
  <si>
    <t>Procesamiento de datos, alojamiento (hosting) y actividades relacionadas.</t>
  </si>
  <si>
    <t>VILLAMARÍA</t>
  </si>
  <si>
    <t>Portales web.</t>
  </si>
  <si>
    <t>VITERBO</t>
  </si>
  <si>
    <t>Actividades de agencias de noticias.</t>
  </si>
  <si>
    <t>FLORENCIA</t>
  </si>
  <si>
    <t>Otras actividades de servicio de información n.c.p.</t>
  </si>
  <si>
    <t>ALBANIA</t>
  </si>
  <si>
    <t>Banco Central.</t>
  </si>
  <si>
    <t>BELÉN DE LOS ANDAQUÍES</t>
  </si>
  <si>
    <t>Bancos comerciales.</t>
  </si>
  <si>
    <t>CARTAGENA DEL CHAIRÁ</t>
  </si>
  <si>
    <t>Actividades de las corporaciones financieras.</t>
  </si>
  <si>
    <t>CURILLO</t>
  </si>
  <si>
    <t>Actividades de las compañías de financiamiento.</t>
  </si>
  <si>
    <t>EL DONCELLO</t>
  </si>
  <si>
    <t>Banca de segundo piso.</t>
  </si>
  <si>
    <t>EL PAUJÍL</t>
  </si>
  <si>
    <t>Actividades de las cooperativas financieras.</t>
  </si>
  <si>
    <t>LA MONTAÑITA</t>
  </si>
  <si>
    <t>Fideicomisos, fondos y entidades financieras similares.</t>
  </si>
  <si>
    <t>MILÁN</t>
  </si>
  <si>
    <t>Fondos de cesantías.</t>
  </si>
  <si>
    <t>MORELIA</t>
  </si>
  <si>
    <t>Leasing financiero (arrendamiento financiero).</t>
  </si>
  <si>
    <t>PUERTO RICO</t>
  </si>
  <si>
    <t>Actividades financieras de fondos de empleados y otras formas asociativas del sector solidario.</t>
  </si>
  <si>
    <t>SAN JOSÉ DEL FRAGUA</t>
  </si>
  <si>
    <t>Actividades de compra de cartera o factoring.</t>
  </si>
  <si>
    <t>SAN VICENTE DEL CAGUÁN</t>
  </si>
  <si>
    <t>Otras actividades de distribución de fondos.</t>
  </si>
  <si>
    <t>SOLANO</t>
  </si>
  <si>
    <t>Instituciones especiales oficiales.</t>
  </si>
  <si>
    <t>SOLITA</t>
  </si>
  <si>
    <t>Capitalización.</t>
  </si>
  <si>
    <t>Otras actividades de servicio financiero, excepto las de seguros y pensiones n.c.p.</t>
  </si>
  <si>
    <t>POPAYÁN</t>
  </si>
  <si>
    <t>Seguros generales.</t>
  </si>
  <si>
    <t>ALMAGUER</t>
  </si>
  <si>
    <t>Seguros de vida.</t>
  </si>
  <si>
    <t>Reaseguros.</t>
  </si>
  <si>
    <t>BALBOA</t>
  </si>
  <si>
    <t>Seguros de salud.</t>
  </si>
  <si>
    <t>Servicios de seguros sociales de salud.</t>
  </si>
  <si>
    <t>BUENOS AIRES</t>
  </si>
  <si>
    <t>Servicios de seguros sociales de riesgos profesionales.</t>
  </si>
  <si>
    <t>CAJIBÍO</t>
  </si>
  <si>
    <t>Servicios de seguros sociales en riesgos familia.</t>
  </si>
  <si>
    <t>CALDONO</t>
  </si>
  <si>
    <t>Régimen de prima media con prestación definida (RPM).</t>
  </si>
  <si>
    <t>CALOTO</t>
  </si>
  <si>
    <t>Régimen de ahorro individual (RAI).</t>
  </si>
  <si>
    <t>CORINTO</t>
  </si>
  <si>
    <t>Administración de mercados financieros.</t>
  </si>
  <si>
    <t>EL TAMBO</t>
  </si>
  <si>
    <t>Corretaje de valores y de contratos de productos básicos.</t>
  </si>
  <si>
    <t>Otras actividades relacionadas con el mercado de valores.</t>
  </si>
  <si>
    <t>GUACHENÉ</t>
  </si>
  <si>
    <t>Actividades de las casas de cambio.</t>
  </si>
  <si>
    <t>GUAPI</t>
  </si>
  <si>
    <t>Actividades de los profesionales de compra y venta de divisas.</t>
  </si>
  <si>
    <t>INZÁ</t>
  </si>
  <si>
    <t>Otras actividades auxiliares de las actividades de servicios financieros n.c.p.</t>
  </si>
  <si>
    <t>JAMBALÓ</t>
  </si>
  <si>
    <t>Actividades de agentes y corredores de seguros.</t>
  </si>
  <si>
    <t>LA SIERRA</t>
  </si>
  <si>
    <t>Evaluación de riesgos y daños, y otras actividades de servicios auxiliares.</t>
  </si>
  <si>
    <t>LA VEGA</t>
  </si>
  <si>
    <t>Actividades de administración de fondos.</t>
  </si>
  <si>
    <t>LÓPEZ DE MICAY</t>
  </si>
  <si>
    <t>Actividades inmobiliarias realizadas con bienes propios o arrendados.</t>
  </si>
  <si>
    <t>MERCADERES</t>
  </si>
  <si>
    <t>Actividades inmobiliarias realizadas a cambio de una retribución o por contrata.</t>
  </si>
  <si>
    <t>MIRANDA</t>
  </si>
  <si>
    <t>Actividades jurídicas.</t>
  </si>
  <si>
    <t>Actividades de contabilidad, teneduría de libros, auditoría financiera y asesoría tributaria.</t>
  </si>
  <si>
    <t>PADILLA</t>
  </si>
  <si>
    <t>Actividades de administración empresarial.</t>
  </si>
  <si>
    <t>Actividades de consultaría de gestión.</t>
  </si>
  <si>
    <t>PATÍA</t>
  </si>
  <si>
    <t>Actividades de arquitectura.</t>
  </si>
  <si>
    <t>PIAMONTE</t>
  </si>
  <si>
    <t>Actividades de ingeniería y otras actividades conexas de consultoría técnica.</t>
  </si>
  <si>
    <t>PIENDAMÓ - TUNÍA</t>
  </si>
  <si>
    <t>Ensayos y análisis técnicos.</t>
  </si>
  <si>
    <t>PUERTO TEJADA</t>
  </si>
  <si>
    <t>Investigaciones y desarrollo experimental en el campo de las ciencias naturales y la ingeniería.</t>
  </si>
  <si>
    <t>PURACÉ</t>
  </si>
  <si>
    <t>Investigaciones y desarrollo experimental en el campo de las ciencias sociales y las humanidades.</t>
  </si>
  <si>
    <t>ROSAS</t>
  </si>
  <si>
    <t>Publicidad.</t>
  </si>
  <si>
    <t>SAN SEBASTIÁN</t>
  </si>
  <si>
    <t>Estudios de mercado y realización de encuestas de opinión pública.</t>
  </si>
  <si>
    <t>SANTANDER DE QUILICHAO</t>
  </si>
  <si>
    <t>Actividades especializadas de diseño.</t>
  </si>
  <si>
    <t>Actividades de fotografía.</t>
  </si>
  <si>
    <t>SILVIA</t>
  </si>
  <si>
    <t>Otras actividades profesionales, científicas y técnicas n.c.p.</t>
  </si>
  <si>
    <t>SOTARÁ PAISPAMBA</t>
  </si>
  <si>
    <t>Actividades veterinarias.</t>
  </si>
  <si>
    <t>SUÁREZ</t>
  </si>
  <si>
    <t>Alquiler y arrendamiento de vehículos automotores.</t>
  </si>
  <si>
    <t>Alquiler y arrendamiento de equipo recreativo y deportivo.</t>
  </si>
  <si>
    <t>TIMBÍO</t>
  </si>
  <si>
    <t>Alquiler de videos y discos.</t>
  </si>
  <si>
    <t>TIMBIQUÍ</t>
  </si>
  <si>
    <t>Alquiler y arrendamiento de otros efectos personales y enseres domésticos n.c.p.</t>
  </si>
  <si>
    <t>TORIBÍO</t>
  </si>
  <si>
    <t>Alquiler y arrendamiento de otros tipos de maquinaria, equipo y bienes tangibles n.c.p.</t>
  </si>
  <si>
    <t>TOTORÓ</t>
  </si>
  <si>
    <t>Arrendamiento de propiedad intelectual y productos similares, excepto obras protegidas por derechos de autor.</t>
  </si>
  <si>
    <t>VILLA RICA</t>
  </si>
  <si>
    <t>Actividades de agencias de empleo.</t>
  </si>
  <si>
    <t>VALLEDUPAR</t>
  </si>
  <si>
    <t>Actividades de agencias de empleo temporal.</t>
  </si>
  <si>
    <t>AGUACHICA</t>
  </si>
  <si>
    <t>Otras actividades de suministro de recurso humano.</t>
  </si>
  <si>
    <t>AGUSTÍN CODAZZI</t>
  </si>
  <si>
    <t>Actividades de las agencias de viaje.</t>
  </si>
  <si>
    <t>ASTREA</t>
  </si>
  <si>
    <t>Actividades de operadores turísticos.</t>
  </si>
  <si>
    <t>BECERRIL</t>
  </si>
  <si>
    <t>Otros servicios de reserva y actividades relacionadas.</t>
  </si>
  <si>
    <t>BOSCONIA</t>
  </si>
  <si>
    <t>Actividades de seguridad privada.</t>
  </si>
  <si>
    <t>CHIMICHAGUA</t>
  </si>
  <si>
    <t>Actividades de servicios de sistemas de seguridad.</t>
  </si>
  <si>
    <t>CHIRIGUANÁ</t>
  </si>
  <si>
    <t>Actividades de detectives e investigadores privados.</t>
  </si>
  <si>
    <t>CURUMANÍ</t>
  </si>
  <si>
    <t>Actividades combinadas de apoyo a instalaciones.</t>
  </si>
  <si>
    <t>EL COPEY</t>
  </si>
  <si>
    <t>Limpieza general interior de edificios.</t>
  </si>
  <si>
    <t>EL PASO</t>
  </si>
  <si>
    <t>Otras actividades de limpieza de edificios e instalaciones industriales.</t>
  </si>
  <si>
    <t>GAMARRA</t>
  </si>
  <si>
    <t>Actividades de paisajismo y servicios de mantenimiento conexos.</t>
  </si>
  <si>
    <t>GONZÁLEZ</t>
  </si>
  <si>
    <t>Actividades combinadas de servicios administrativos de oficina.</t>
  </si>
  <si>
    <t>LA GLORIA</t>
  </si>
  <si>
    <t>Fotocopiado, preparación de documentos y otras actividades especializadas de apoyo a oficina.</t>
  </si>
  <si>
    <t>LA JAGUA DE IBIRICO</t>
  </si>
  <si>
    <t>Actividades de centros de llamadas (Call center).</t>
  </si>
  <si>
    <t>MANAURE BALCÓN DEL CESAR</t>
  </si>
  <si>
    <t>Organización de convenciones y eventos comerciales.</t>
  </si>
  <si>
    <t>PAILITAS</t>
  </si>
  <si>
    <t>Actividades de agencias de cobranza y oficinas de calificación crediticia.</t>
  </si>
  <si>
    <t>PELAYA</t>
  </si>
  <si>
    <t>Actividades de envase y empaque.</t>
  </si>
  <si>
    <t>PUEBLO BELLO</t>
  </si>
  <si>
    <t>Otras actividades de servicio de apoyo a las empresas n.c.p.</t>
  </si>
  <si>
    <t>RÍO DE ORO</t>
  </si>
  <si>
    <t>Actividades legislativas de la administración pública.</t>
  </si>
  <si>
    <t>LA PAZ</t>
  </si>
  <si>
    <t>Actividades ejecutivas de la administración pública.</t>
  </si>
  <si>
    <t>SAN ALBERTO</t>
  </si>
  <si>
    <t>Regulación de las actividades de organismos que prestan servicios de salud, educativos, culturales y otros servicios sociales, excepto servicios de seguridad social.</t>
  </si>
  <si>
    <t>SAN DIEGO</t>
  </si>
  <si>
    <t>Actividades reguladoras y facilitadoras de la actividad económica.</t>
  </si>
  <si>
    <t>SAN MARTÍN</t>
  </si>
  <si>
    <t>Actividades de los otros órganos de control.</t>
  </si>
  <si>
    <t>TAMALAMEQUE</t>
  </si>
  <si>
    <t>Relaciones exteriores.</t>
  </si>
  <si>
    <t>MONTERÍA</t>
  </si>
  <si>
    <t>Actividades de defensa.</t>
  </si>
  <si>
    <t>AYAPEL</t>
  </si>
  <si>
    <t>Orden público y actividades de seguridad.</t>
  </si>
  <si>
    <t>Administración de justicia.</t>
  </si>
  <si>
    <t>CANALETE</t>
  </si>
  <si>
    <t>Actividades de planes de seguridad social de afiliación obligatoria.</t>
  </si>
  <si>
    <t>CERETÉ</t>
  </si>
  <si>
    <t>Educación de la primera infancia.</t>
  </si>
  <si>
    <t>CHIMÁ</t>
  </si>
  <si>
    <t>Educación preescolar.</t>
  </si>
  <si>
    <t>CHINÚ</t>
  </si>
  <si>
    <t>Educación básica primaria.</t>
  </si>
  <si>
    <t>CIÉNAGA DE ORO</t>
  </si>
  <si>
    <t>Educación básica secundaria.</t>
  </si>
  <si>
    <t>COTORRA</t>
  </si>
  <si>
    <t>Educación media académica.</t>
  </si>
  <si>
    <t>LA APARTADA</t>
  </si>
  <si>
    <t>Educación media técnica y de formación laboral.</t>
  </si>
  <si>
    <t>LORICA</t>
  </si>
  <si>
    <t>Establecimientos que combinan diferentes niveles de educación.</t>
  </si>
  <si>
    <t>LOS CÓRDOBAS</t>
  </si>
  <si>
    <t>Educación técnica profesional.</t>
  </si>
  <si>
    <t>MOMIL</t>
  </si>
  <si>
    <t>Educación tecnológica.</t>
  </si>
  <si>
    <t>MONTELÍBANO</t>
  </si>
  <si>
    <t>Educación de instituciones universitarias o de escuelas tecnológicas.</t>
  </si>
  <si>
    <t>MOÑITOS</t>
  </si>
  <si>
    <t>Educación de universidades.</t>
  </si>
  <si>
    <t>PLANETA RICA</t>
  </si>
  <si>
    <t>Formación académica no formal.</t>
  </si>
  <si>
    <t>PUEBLO NUEVO</t>
  </si>
  <si>
    <t>Enseñanza deportiva y recreativa.</t>
  </si>
  <si>
    <t>PUERTO ESCONDIDO</t>
  </si>
  <si>
    <t>Enseñanza cultural.</t>
  </si>
  <si>
    <t>PUERTO LIBERTADOR</t>
  </si>
  <si>
    <t>Otros tipos de educación n.c.p.</t>
  </si>
  <si>
    <t>PURÍSIMA DE LA CONCEPCIÓN</t>
  </si>
  <si>
    <t>Actividades de apoyo a la educación.</t>
  </si>
  <si>
    <t>SAHAGÚN</t>
  </si>
  <si>
    <t>Actividades de hospitales y clínicas, con internación.</t>
  </si>
  <si>
    <t>SAN ANDRÉS DE SOTAVENTO</t>
  </si>
  <si>
    <t>Actividades de la práctica médica, sin internación.</t>
  </si>
  <si>
    <t>SAN ANTERO</t>
  </si>
  <si>
    <t>Actividades de la práctica odontológica.</t>
  </si>
  <si>
    <t>SAN BERNARDO DEL VIENTO</t>
  </si>
  <si>
    <t>Actividades de apoyo diagnóstico.</t>
  </si>
  <si>
    <t>Actividades de apoyo terapéutico.</t>
  </si>
  <si>
    <t>SAN JOSÉ DE URÉ</t>
  </si>
  <si>
    <t>Otras actividades de atención de la salud humana.</t>
  </si>
  <si>
    <t>SAN PELAYO</t>
  </si>
  <si>
    <t>Actividades de atención residencial medicalizada de tipo general.</t>
  </si>
  <si>
    <t>TIERRALTA</t>
  </si>
  <si>
    <t>Actividades de atención residencial, para el cuidado de pacientes con retardo mental, enfermedad mental y consumo de sustancias psicoactivas.</t>
  </si>
  <si>
    <t>TUCHÍN</t>
  </si>
  <si>
    <t>Actividades de atención en instituciones para el cuidado de personas mayores y/o discapacitadas.</t>
  </si>
  <si>
    <t>VALENCIA</t>
  </si>
  <si>
    <t>Otras actividades de atención en instituciones con alojamiento.</t>
  </si>
  <si>
    <t>AGUA DE DIOS</t>
  </si>
  <si>
    <t>Actividades de asistencia social sin alojamiento para personas mayores y discapacitadas.</t>
  </si>
  <si>
    <t>ALBÁN</t>
  </si>
  <si>
    <t>Actividades de guarderías para niños y niñas.</t>
  </si>
  <si>
    <t>ANAPOIMA</t>
  </si>
  <si>
    <t>Otras actividades de asistencia social sin alojamiento n.c.p.</t>
  </si>
  <si>
    <t>ANOLAIMA</t>
  </si>
  <si>
    <t>Creación literaria.</t>
  </si>
  <si>
    <t>ARBELÁEZ</t>
  </si>
  <si>
    <t>Creación musical.</t>
  </si>
  <si>
    <t>BELTRÁN</t>
  </si>
  <si>
    <t>Creación teatral.</t>
  </si>
  <si>
    <t>BITUIMA</t>
  </si>
  <si>
    <t>Creación audiovisual.</t>
  </si>
  <si>
    <t>BOJACÁ</t>
  </si>
  <si>
    <t>Artes plásticas y visuales.</t>
  </si>
  <si>
    <t>CABRERA</t>
  </si>
  <si>
    <t>Actividades teatrales.</t>
  </si>
  <si>
    <t>CACHIPAY</t>
  </si>
  <si>
    <t>Actividades de espectáculos musicales en vivo.</t>
  </si>
  <si>
    <t>Otras actividades de espectáculos en vivo.</t>
  </si>
  <si>
    <t>CAPARRAPÍ</t>
  </si>
  <si>
    <t>Actividades de bibliotecas y archivos.</t>
  </si>
  <si>
    <t>CÁQUEZA</t>
  </si>
  <si>
    <t>Actividades y funcionamiento de museos, conservación de edificios y sitios históricos.</t>
  </si>
  <si>
    <t>CARMEN DE CARUPA</t>
  </si>
  <si>
    <t>Actividades de jardines botánicos, zoológicos y reservas naturales.</t>
  </si>
  <si>
    <t>CHAGUANÍ</t>
  </si>
  <si>
    <t>Actividades de juegos de azar y apuestas.</t>
  </si>
  <si>
    <t>CHÍA</t>
  </si>
  <si>
    <t>Gestión de instalaciones deportivas.</t>
  </si>
  <si>
    <t>CHIPAQUE</t>
  </si>
  <si>
    <t>Actividades de clubes deportivos</t>
  </si>
  <si>
    <t>CHOACHÍ</t>
  </si>
  <si>
    <t>Otras actividades deportivas.</t>
  </si>
  <si>
    <t>CHOCONTÁ</t>
  </si>
  <si>
    <t>Actividades de parques de atracciones y parques temáticos.</t>
  </si>
  <si>
    <t>COGUA</t>
  </si>
  <si>
    <t>Otras actividades recreativas y de esparcimiento n.c.p.</t>
  </si>
  <si>
    <t>COTA</t>
  </si>
  <si>
    <t>Actividades de asociaciones empresariales y de empleadores.</t>
  </si>
  <si>
    <t>CUCUNUBÁ</t>
  </si>
  <si>
    <t>Actividades de asociaciones profesionales.</t>
  </si>
  <si>
    <t>EL COLEGIO</t>
  </si>
  <si>
    <t>Actividades de sindicatos de empleados.</t>
  </si>
  <si>
    <t>Actividades de asociaciones religiosas.</t>
  </si>
  <si>
    <t>EL ROSAL</t>
  </si>
  <si>
    <t>Actividades de asociaciones políticas.</t>
  </si>
  <si>
    <t>Actividades de otras asociaciones n.c.p.</t>
  </si>
  <si>
    <t>FÓMEQUE</t>
  </si>
  <si>
    <t>Mantenimiento y reparación de computadores y de equipo periférico.</t>
  </si>
  <si>
    <t>FOSCA</t>
  </si>
  <si>
    <t>Mantenimiento y reparación de equipos de comunicación.</t>
  </si>
  <si>
    <t>FUNZA</t>
  </si>
  <si>
    <t>Mantenimiento y reparación de aparatos electrónicos de consumo.</t>
  </si>
  <si>
    <t>FÚQUENE</t>
  </si>
  <si>
    <t>Mantenimiento y reparación de aparatos y equipos domésticos y de jardinería.</t>
  </si>
  <si>
    <t>FUSAGASUGÁ</t>
  </si>
  <si>
    <t>Reparación de calzado y artículos de cuero.</t>
  </si>
  <si>
    <t>GACHALÁ</t>
  </si>
  <si>
    <t>Reparación de muebles y accesorios para el hogar.</t>
  </si>
  <si>
    <t>GACHANCIPÁ</t>
  </si>
  <si>
    <t>Mantenimiento y reparación de otros efectos personales y enseres domésticos.</t>
  </si>
  <si>
    <t>GACHETÁ</t>
  </si>
  <si>
    <t>Lavado y limpieza, incluso la limpieza en seco, de productos textiles y de piel.</t>
  </si>
  <si>
    <t>GAMA</t>
  </si>
  <si>
    <t>Peluquería y otros tratamientos de belleza.</t>
  </si>
  <si>
    <t>GIRARDOT</t>
  </si>
  <si>
    <t>Pompas fúnebres y actividades relacionadas.</t>
  </si>
  <si>
    <t>Otras actividades de servicios personales n.c.p.</t>
  </si>
  <si>
    <t>GUACHETÁ</t>
  </si>
  <si>
    <t>Actividades de los hogares individuales como empleadores de personal doméstico.</t>
  </si>
  <si>
    <t>GUADUAS</t>
  </si>
  <si>
    <t>Actividades no diferenciadas de los hogares individuales como productores de bienes para uso propio.</t>
  </si>
  <si>
    <t>GUASCA</t>
  </si>
  <si>
    <t>Actividades no diferenciadas de los hogares individuales como productores de servicios para uso propio.</t>
  </si>
  <si>
    <t>GUATAQUÍ</t>
  </si>
  <si>
    <t>Actividades de organizaciones y entidades extraterritoriales.</t>
  </si>
  <si>
    <t>GUATAVITA</t>
  </si>
  <si>
    <t>Otra</t>
  </si>
  <si>
    <t>s clasificaciones.</t>
  </si>
  <si>
    <t>GUAYABAL DE SÍQUIMA</t>
  </si>
  <si>
    <t>Asalariados.</t>
  </si>
  <si>
    <t>GUAYABETAL</t>
  </si>
  <si>
    <t>  Pensionados.</t>
  </si>
  <si>
    <t>GUTIÉRREZ</t>
  </si>
  <si>
    <t>Personas Naturales sin Actividad Económica.</t>
  </si>
  <si>
    <t>JERUSALÉN</t>
  </si>
  <si>
    <t>Personas Naturales Subsidiadas por Terceros.</t>
  </si>
  <si>
    <t>JUNÍN</t>
  </si>
  <si>
    <t>Rentistas de Capital, solo para personas naturales.</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</si>
  <si>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</si>
  <si>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</si>
  <si>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</si>
  <si>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</si>
  <si>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</si>
  <si>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</si>
  <si>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</si>
  <si>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</si>
  <si>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</si>
  <si>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</si>
  <si>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</si>
  <si>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</si>
  <si>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</si>
  <si>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</si>
  <si>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</si>
  <si>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</si>
  <si>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</si>
  <si>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</si>
  <si>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</si>
  <si>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</si>
  <si>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</si>
  <si>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</si>
  <si>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</si>
  <si>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</si>
  <si>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</si>
  <si>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</si>
  <si>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</si>
  <si>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</si>
  <si>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</si>
  <si>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</si>
  <si>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</si>
  <si>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</si>
  <si>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</si>
  <si>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</si>
  <si>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</si>
  <si>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</si>
  <si>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</si>
  <si>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</si>
  <si>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</si>
  <si>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</si>
  <si>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</si>
  <si>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</si>
  <si>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</si>
  <si>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</si>
  <si>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</si>
  <si>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</si>
  <si>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</si>
  <si>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</si>
  <si>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</si>
  <si>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</si>
  <si>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</si>
  <si>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</si>
  <si>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</si>
  <si>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</si>
  <si>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</si>
  <si>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</si>
  <si>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</si>
  <si>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</si>
  <si>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</si>
  <si>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</si>
  <si>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</si>
  <si>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</si>
  <si>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</si>
  <si>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</si>
  <si>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</si>
  <si>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</si>
  <si>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</si>
  <si>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</si>
  <si>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</si>
  <si>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</si>
  <si>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</si>
  <si>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</si>
  <si>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</si>
  <si>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</si>
  <si>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</si>
  <si>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</si>
  <si>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</si>
  <si>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</si>
  <si>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</si>
  <si>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</si>
  <si>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</si>
  <si>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</si>
  <si>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</si>
  <si>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</si>
  <si>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</si>
  <si>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</si>
  <si>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</si>
  <si>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</si>
  <si>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</si>
  <si>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</si>
  <si>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</si>
  <si>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</si>
  <si>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</si>
  <si>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</si>
  <si>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</si>
  <si>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</si>
  <si>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</si>
  <si>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</si>
  <si>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</si>
  <si>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</si>
  <si>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</si>
  <si>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</si>
  <si>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</si>
  <si>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</si>
  <si>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</si>
  <si>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</si>
  <si>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</si>
  <si>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</si>
  <si>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</si>
  <si>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</si>
  <si>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</si>
  <si>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</si>
  <si>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</si>
  <si>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</si>
  <si>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</si>
  <si>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</si>
  <si>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</si>
  <si>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</si>
  <si>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</si>
  <si>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</si>
  <si>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</si>
  <si>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</si>
  <si>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</si>
  <si>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</si>
  <si>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</si>
  <si>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</si>
  <si>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</si>
  <si>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</si>
  <si>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</si>
  <si>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</si>
  <si>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</si>
  <si>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</si>
  <si>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</si>
  <si>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</si>
  <si>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</si>
  <si>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</si>
  <si>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MANAURE</t>
  </si>
  <si>
    <t>SAN JUAN DEL CESAR</t>
  </si>
  <si>
    <t>URIBIA</t>
  </si>
  <si>
    <t>URUMITA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</si>
  <si>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</si>
  <si>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</si>
  <si>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</si>
  <si>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</si>
  <si>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</si>
  <si>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</si>
  <si>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</si>
  <si>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</si>
  <si>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</si>
  <si>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</si>
  <si>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</si>
  <si>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</si>
  <si>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</si>
  <si>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</si>
  <si>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</si>
  <si>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</si>
  <si>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</si>
  <si>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</si>
  <si>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</si>
  <si>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</si>
  <si>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</si>
  <si>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</si>
  <si>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</si>
  <si>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</si>
  <si>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</si>
  <si>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</si>
  <si>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</si>
  <si>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</si>
  <si>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</si>
  <si>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</si>
  <si>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</si>
  <si>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</si>
  <si>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</si>
  <si>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</si>
  <si>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</si>
  <si>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</si>
  <si>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</si>
  <si>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</si>
  <si>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</si>
  <si>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</si>
  <si>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</si>
  <si>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</si>
  <si>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</si>
  <si>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</si>
  <si>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</si>
  <si>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</si>
  <si>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</si>
  <si>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</si>
  <si>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</si>
  <si>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</si>
  <si>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</si>
  <si>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</si>
  <si>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</si>
  <si>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</si>
  <si>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</si>
  <si>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ANCUYA</t>
  </si>
  <si>
    <t>ARBOLEDA</t>
  </si>
  <si>
    <t>BARBACOAS</t>
  </si>
  <si>
    <t>BUESACO</t>
  </si>
  <si>
    <t>COLÓN</t>
  </si>
  <si>
    <t>CONSACÁ</t>
  </si>
  <si>
    <t>CONTADERO</t>
  </si>
  <si>
    <t>CUASPUD CARLOSAMA</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</si>
  <si>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</si>
  <si>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</si>
  <si>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</si>
  <si>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</si>
  <si>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</si>
  <si>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</si>
  <si>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</si>
  <si>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</si>
  <si>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</si>
  <si>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</si>
  <si>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</si>
  <si>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</si>
  <si>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</si>
  <si>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</si>
  <si>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</si>
  <si>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</si>
  <si>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</si>
  <si>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</si>
  <si>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</si>
  <si>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</si>
  <si>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</si>
  <si>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</si>
  <si>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</si>
  <si>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</si>
  <si>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</si>
  <si>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</si>
  <si>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</si>
  <si>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</si>
  <si>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</si>
  <si>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</si>
  <si>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</si>
  <si>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</si>
  <si>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</si>
  <si>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</si>
  <si>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</si>
  <si>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</si>
  <si>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</si>
  <si>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</si>
  <si>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</si>
  <si>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</si>
  <si>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</si>
  <si>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</si>
  <si>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</si>
  <si>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</si>
  <si>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</si>
  <si>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</si>
  <si>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</si>
  <si>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</si>
  <si>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</si>
  <si>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</si>
  <si>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</si>
  <si>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</si>
  <si>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</si>
  <si>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</si>
  <si>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</si>
  <si>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</si>
  <si>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</si>
  <si>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</si>
  <si>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</si>
  <si>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</si>
  <si>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</si>
  <si>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</si>
  <si>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</si>
  <si>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</si>
  <si>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</si>
  <si>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</si>
  <si>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</si>
  <si>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</si>
  <si>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</si>
  <si>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</si>
  <si>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</si>
  <si>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</si>
  <si>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</si>
  <si>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</si>
  <si>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</si>
  <si>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</si>
  <si>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</si>
  <si>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</si>
  <si>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</si>
  <si>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</si>
  <si>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</si>
  <si>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</si>
  <si>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</si>
  <si>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</si>
  <si>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</si>
  <si>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</si>
  <si>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</si>
  <si>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</si>
  <si>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</si>
  <si>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</si>
  <si>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</si>
  <si>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</si>
  <si>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</si>
  <si>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</si>
  <si>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</si>
  <si>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</si>
  <si>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</si>
  <si>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</si>
  <si>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</si>
  <si>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</si>
  <si>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</si>
  <si>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</si>
  <si>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</si>
  <si>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</si>
  <si>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</si>
  <si>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</si>
  <si>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</si>
  <si>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</si>
  <si>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</si>
  <si>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</si>
  <si>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</si>
  <si>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</si>
  <si>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</si>
  <si>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</si>
  <si>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</si>
  <si>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</si>
  <si>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</si>
  <si>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</si>
  <si>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</si>
  <si>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</si>
  <si>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</si>
  <si>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</si>
  <si>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</si>
  <si>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</si>
  <si>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</si>
  <si>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</si>
  <si>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</si>
  <si>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</si>
  <si>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</si>
  <si>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</si>
  <si>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</si>
  <si>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</si>
  <si>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</si>
  <si>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</si>
  <si>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</si>
  <si>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</si>
  <si>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</si>
  <si>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</si>
  <si>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</si>
  <si>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</si>
  <si>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</si>
  <si>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</si>
  <si>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</si>
  <si>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</si>
  <si>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</si>
  <si>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</si>
  <si>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</si>
  <si>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</si>
  <si>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</si>
  <si>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</si>
  <si>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</si>
  <si>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</si>
  <si>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</si>
  <si>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</si>
  <si>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</si>
  <si>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</si>
  <si>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</si>
  <si>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</si>
  <si>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</si>
  <si>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</si>
  <si>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</si>
  <si>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</si>
  <si>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</si>
  <si>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</si>
  <si>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</si>
  <si>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</si>
  <si>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</si>
  <si>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</si>
  <si>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</si>
  <si>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</si>
  <si>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</si>
  <si>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</si>
  <si>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</si>
  <si>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</si>
  <si>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</si>
  <si>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</si>
  <si>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</si>
  <si>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</si>
  <si>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</si>
  <si>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</si>
  <si>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</si>
  <si>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</si>
  <si>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</si>
  <si>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</si>
  <si>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</si>
  <si>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</si>
  <si>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</si>
  <si>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</si>
  <si>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</si>
  <si>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</si>
  <si>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</si>
  <si>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</si>
  <si>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</si>
  <si>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</si>
  <si>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</si>
  <si>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</si>
  <si>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</si>
  <si>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</si>
  <si>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</si>
  <si>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SAN JOSÉ DE TOLUVIEJO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</si>
  <si>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</si>
  <si>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</si>
  <si>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</si>
  <si>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</si>
  <si>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</si>
  <si>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</si>
  <si>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</si>
  <si>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</si>
  <si>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</si>
  <si>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</si>
  <si>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</si>
  <si>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</si>
  <si>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</si>
  <si>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</si>
  <si>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</si>
  <si>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</si>
  <si>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</si>
  <si>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</si>
  <si>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</si>
  <si>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</si>
  <si>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</si>
  <si>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</si>
  <si>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</si>
  <si>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</si>
  <si>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</si>
  <si>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</si>
  <si>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</si>
  <si>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</si>
  <si>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</si>
  <si>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</si>
  <si>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</si>
  <si>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</si>
  <si>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</si>
  <si>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</si>
  <si>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</si>
  <si>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</si>
  <si>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</si>
  <si>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</si>
  <si>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</si>
  <si>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</si>
  <si>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</si>
  <si>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</si>
  <si>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</si>
  <si>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</si>
  <si>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</si>
  <si>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</si>
  <si>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</si>
  <si>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</si>
  <si>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</si>
  <si>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</si>
  <si>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</si>
  <si>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</si>
  <si>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</si>
  <si>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</si>
  <si>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</si>
  <si>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</si>
  <si>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</si>
  <si>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</si>
  <si>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</si>
  <si>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</si>
  <si>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</si>
  <si>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</si>
  <si>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</si>
  <si>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</si>
  <si>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</si>
  <si>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</si>
  <si>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</si>
  <si>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</si>
  <si>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</si>
  <si>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</si>
  <si>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</si>
  <si>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</si>
  <si>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</si>
  <si>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</si>
  <si>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</si>
  <si>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</si>
  <si>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</si>
  <si>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</si>
  <si>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</si>
  <si>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</si>
  <si>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ARAUQUITA</t>
  </si>
  <si>
    <t>CRAVO NORTE</t>
  </si>
  <si>
    <t>FORTUL</t>
  </si>
  <si>
    <t>PUERTO RONDÓN</t>
  </si>
  <si>
    <t>SARAVENA</t>
  </si>
  <si>
    <t>TAME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</si>
  <si>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</si>
  <si>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</si>
  <si>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</si>
  <si>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</si>
  <si>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</si>
  <si>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</si>
  <si>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</si>
  <si>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</si>
  <si>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</si>
  <si>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</si>
  <si>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</si>
  <si>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</si>
  <si>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</si>
  <si>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</si>
  <si>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</si>
  <si>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</si>
  <si>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</si>
  <si>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</si>
  <si>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</si>
  <si>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</si>
  <si>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</si>
  <si>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</si>
  <si>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PUERTO LEGUÍZAMO</t>
  </si>
  <si>
    <t>SIBUNDOY</t>
  </si>
  <si>
    <t>VALLE DEL GUAMUEZ</t>
  </si>
  <si>
    <t>VILLAGARZÓN</t>
  </si>
  <si>
    <t>ARCHIPIELAGO_DE_SAN_ANDRES</t>
  </si>
  <si>
    <t>LETICIA</t>
  </si>
  <si>
    <t>EL ENCANTO</t>
  </si>
  <si>
    <t>LA CHORRERA</t>
  </si>
  <si>
    <t>LA PEDRERA</t>
  </si>
  <si>
    <t>MIRITÍ - PARANÁ</t>
  </si>
  <si>
    <t>PUERTO ALEGRÍA</t>
  </si>
  <si>
    <t>PUERTO ARICA</t>
  </si>
  <si>
    <t>PUERTO NARIÑO</t>
  </si>
  <si>
    <t>TARAPACÁ</t>
  </si>
  <si>
    <t>INÍRIDA</t>
  </si>
  <si>
    <t>BARRANCOMINAS</t>
  </si>
  <si>
    <t>SAN FELIPE</t>
  </si>
  <si>
    <t>LA GUADALUPE</t>
  </si>
  <si>
    <t>CACAHUAL</t>
  </si>
  <si>
    <t>PANA PANA</t>
  </si>
  <si>
    <t>MORICHAL</t>
  </si>
  <si>
    <t>SAN JOSÉ DEL GUAVIARE</t>
  </si>
  <si>
    <t>EL RETORNO</t>
  </si>
  <si>
    <t>MITÚ</t>
  </si>
  <si>
    <t>CARURÚ</t>
  </si>
  <si>
    <t>PACOA</t>
  </si>
  <si>
    <t>TARAIRA</t>
  </si>
  <si>
    <t>PAPUNAHUA</t>
  </si>
  <si>
    <t>YAVARATÉ</t>
  </si>
  <si>
    <t>PUERTO CARREÑO</t>
  </si>
  <si>
    <t>LA PRIMAVERA</t>
  </si>
  <si>
    <t>SANTA ROSALÍA</t>
  </si>
  <si>
    <t>CUMARIBO</t>
  </si>
  <si>
    <t>NOMBRE ODS</t>
  </si>
  <si>
    <t>1. Fin de la pobreza</t>
  </si>
  <si>
    <t>NOMBRE CORTO</t>
  </si>
  <si>
    <t>4. Educación de calidad</t>
  </si>
  <si>
    <t>7. Energía asequible y no contamiento</t>
  </si>
  <si>
    <t xml:space="preserve">10. Reducción de las desigualdades </t>
  </si>
  <si>
    <t>13. Acción por el clima</t>
  </si>
  <si>
    <t>16. Paz, justicia e instituciones sólidas</t>
  </si>
  <si>
    <t>ODS 1</t>
  </si>
  <si>
    <t>1.1</t>
  </si>
  <si>
    <t>Pobreza extrema</t>
  </si>
  <si>
    <t>4.1</t>
  </si>
  <si>
    <t>Educación primaria y secundaria</t>
  </si>
  <si>
    <t>7.1</t>
  </si>
  <si>
    <t>Acceso energía moderna</t>
  </si>
  <si>
    <t>10.1</t>
  </si>
  <si>
    <t>Reducción desigualdad ingresos</t>
  </si>
  <si>
    <t>13.1</t>
  </si>
  <si>
    <t>Resiliencia climática</t>
  </si>
  <si>
    <t>16.1</t>
  </si>
  <si>
    <t>Violencia y homicidios</t>
  </si>
  <si>
    <t>ODS 2</t>
  </si>
  <si>
    <t>2. Hambre cero</t>
  </si>
  <si>
    <t>1.2</t>
  </si>
  <si>
    <t>Reducción pobreza</t>
  </si>
  <si>
    <t>4.2</t>
  </si>
  <si>
    <t>Primera infancia y preescolar</t>
  </si>
  <si>
    <t>7.2</t>
  </si>
  <si>
    <t>Energías renovables</t>
  </si>
  <si>
    <t>10.2</t>
  </si>
  <si>
    <t>Inclusión social, económica y política</t>
  </si>
  <si>
    <t>13.2</t>
  </si>
  <si>
    <t>Políticas cambio climático</t>
  </si>
  <si>
    <t>16.2</t>
  </si>
  <si>
    <t>Violencia infantil</t>
  </si>
  <si>
    <t>ODS 3</t>
  </si>
  <si>
    <t>3. Salud y bienestar</t>
  </si>
  <si>
    <t>1.3</t>
  </si>
  <si>
    <t>Protección social</t>
  </si>
  <si>
    <t>4.3</t>
  </si>
  <si>
    <t>Educación superior</t>
  </si>
  <si>
    <t>7.3</t>
  </si>
  <si>
    <t>Eficiencia energética</t>
  </si>
  <si>
    <t>10.3</t>
  </si>
  <si>
    <t>Igualdad de oportunidades</t>
  </si>
  <si>
    <t>13.3</t>
  </si>
  <si>
    <t>Educación y conciencia</t>
  </si>
  <si>
    <t>16.3</t>
  </si>
  <si>
    <t>Estado de derecho</t>
  </si>
  <si>
    <t>ODS 4</t>
  </si>
  <si>
    <t>1.4</t>
  </si>
  <si>
    <t>Igualdad recursos</t>
  </si>
  <si>
    <t>4.4</t>
  </si>
  <si>
    <t>Competencias laborales</t>
  </si>
  <si>
    <t>7.a</t>
  </si>
  <si>
    <t>Cooperación energía limpia</t>
  </si>
  <si>
    <t>10.4</t>
  </si>
  <si>
    <t>Políticas fiscales y salariales</t>
  </si>
  <si>
    <t>13.a</t>
  </si>
  <si>
    <t>Financiamiento climático</t>
  </si>
  <si>
    <t>16.4</t>
  </si>
  <si>
    <t>Crimen organizado</t>
  </si>
  <si>
    <t>ODS 5</t>
  </si>
  <si>
    <t>5. Igualdad de genero</t>
  </si>
  <si>
    <t>1.5</t>
  </si>
  <si>
    <t>Resiliencia vulnerables</t>
  </si>
  <si>
    <t>4.5</t>
  </si>
  <si>
    <t>Igualdad educativa</t>
  </si>
  <si>
    <t>7.b</t>
  </si>
  <si>
    <t>Infraestructura sostenible</t>
  </si>
  <si>
    <t>10.5</t>
  </si>
  <si>
    <t>Regulación financiera mundial</t>
  </si>
  <si>
    <t>13.b</t>
  </si>
  <si>
    <t>Apoyo países vulnerables</t>
  </si>
  <si>
    <t>16.5</t>
  </si>
  <si>
    <t>Corrupción y soborno</t>
  </si>
  <si>
    <t>ODS 6</t>
  </si>
  <si>
    <t>6. Agua limpia y saneamiento</t>
  </si>
  <si>
    <t>1.a</t>
  </si>
  <si>
    <t>Cooperación desarrollo</t>
  </si>
  <si>
    <t>4.6</t>
  </si>
  <si>
    <t>Alfabetización básica</t>
  </si>
  <si>
    <t>10.6</t>
  </si>
  <si>
    <t>Representación países en desarrollo</t>
  </si>
  <si>
    <t>16.6</t>
  </si>
  <si>
    <t>Instituciones transparentes</t>
  </si>
  <si>
    <t>ODS 7</t>
  </si>
  <si>
    <t>7. Energía asequible y no contaminante</t>
  </si>
  <si>
    <t>1.b</t>
  </si>
  <si>
    <t>Políticas inclusivas</t>
  </si>
  <si>
    <t>4.7</t>
  </si>
  <si>
    <t>Educación sostenible</t>
  </si>
  <si>
    <t>8. Trabajo decente y crecimiento económico</t>
  </si>
  <si>
    <t>10.7</t>
  </si>
  <si>
    <t>Migración ordenada y segura</t>
  </si>
  <si>
    <t>14. Vida submarina</t>
  </si>
  <si>
    <t>16.7</t>
  </si>
  <si>
    <t>Decisiones inclusivas</t>
  </si>
  <si>
    <t>ODS 8</t>
  </si>
  <si>
    <t>4.a</t>
  </si>
  <si>
    <t>Infraestructura educativa</t>
  </si>
  <si>
    <t>8.1</t>
  </si>
  <si>
    <t>Crecimiento económico</t>
  </si>
  <si>
    <t>10.a</t>
  </si>
  <si>
    <t>Trato especial países en desarrollo</t>
  </si>
  <si>
    <t>14.1</t>
  </si>
  <si>
    <t>Contaminación marina</t>
  </si>
  <si>
    <t>16.8</t>
  </si>
  <si>
    <t>Participación países en desarrollo</t>
  </si>
  <si>
    <t>ODS 9</t>
  </si>
  <si>
    <t>9. Industria innovación infraestructura</t>
  </si>
  <si>
    <t>4.b</t>
  </si>
  <si>
    <t>Becas internacionales</t>
  </si>
  <si>
    <t>8.2</t>
  </si>
  <si>
    <t>Productividad e innovación</t>
  </si>
  <si>
    <t>10.b</t>
  </si>
  <si>
    <t>Asistencia y flujos financieros</t>
  </si>
  <si>
    <t>14.2</t>
  </si>
  <si>
    <t>Ecosistemas marinos</t>
  </si>
  <si>
    <t>16.9</t>
  </si>
  <si>
    <t>Identidad legal</t>
  </si>
  <si>
    <t>ODS 10</t>
  </si>
  <si>
    <t>10 .Reducción de las desigualdades</t>
  </si>
  <si>
    <t>2.1</t>
  </si>
  <si>
    <t>Acceso alimentación</t>
  </si>
  <si>
    <t>4.c</t>
  </si>
  <si>
    <t>Docentes calificados</t>
  </si>
  <si>
    <t>8.3</t>
  </si>
  <si>
    <t>Políticas desarrollo productivo</t>
  </si>
  <si>
    <t>10.c</t>
  </si>
  <si>
    <t>Costos remesas reducidos</t>
  </si>
  <si>
    <t>14.3</t>
  </si>
  <si>
    <t>Acidificación océanos</t>
  </si>
  <si>
    <t>16.10</t>
  </si>
  <si>
    <t>Acceso a la información</t>
  </si>
  <si>
    <t>ODS 11</t>
  </si>
  <si>
    <t>11. Ciudades y comunidades sostenibles</t>
  </si>
  <si>
    <t>2.2</t>
  </si>
  <si>
    <t>Fin malnutrición</t>
  </si>
  <si>
    <t>8.4</t>
  </si>
  <si>
    <t>Producción y consumo sostenibles</t>
  </si>
  <si>
    <t>14.4</t>
  </si>
  <si>
    <t>Pesca sostenible</t>
  </si>
  <si>
    <t>16.a</t>
  </si>
  <si>
    <t>Instituciones nacionales</t>
  </si>
  <si>
    <t>ODS 12</t>
  </si>
  <si>
    <t>12. Producción y consumo responsable</t>
  </si>
  <si>
    <t>2.3</t>
  </si>
  <si>
    <t>Productividad agrícola</t>
  </si>
  <si>
    <t>5. Igualdad de género</t>
  </si>
  <si>
    <t>8.5</t>
  </si>
  <si>
    <t>Empleo pleno y decente</t>
  </si>
  <si>
    <t>14.5</t>
  </si>
  <si>
    <t>Áreas marinas protegidas</t>
  </si>
  <si>
    <t>16.b</t>
  </si>
  <si>
    <t>Leyes no discriminatorias</t>
  </si>
  <si>
    <t>ODS 13</t>
  </si>
  <si>
    <t>2.4</t>
  </si>
  <si>
    <t>Agricultura sostenible</t>
  </si>
  <si>
    <t>5.1</t>
  </si>
  <si>
    <t>Fin discriminación</t>
  </si>
  <si>
    <t>8.6</t>
  </si>
  <si>
    <t>Jóvenes sin empleo ni estudio</t>
  </si>
  <si>
    <t>11.1</t>
  </si>
  <si>
    <t>Vivienda adecuada</t>
  </si>
  <si>
    <t>14.6</t>
  </si>
  <si>
    <t>Subvenciones pesqueras</t>
  </si>
  <si>
    <t>ODS 14</t>
  </si>
  <si>
    <t>2.5</t>
  </si>
  <si>
    <t>Diversidad genética</t>
  </si>
  <si>
    <t>5.2</t>
  </si>
  <si>
    <t>Fin violencia</t>
  </si>
  <si>
    <t>8.7</t>
  </si>
  <si>
    <t>Fin trabajo infantil y forzoso</t>
  </si>
  <si>
    <t>11.2</t>
  </si>
  <si>
    <t>Transporte sostenible</t>
  </si>
  <si>
    <t>14.7</t>
  </si>
  <si>
    <t>Beneficios económicos marinos</t>
  </si>
  <si>
    <t>17. Alianza para lograr los objetivos</t>
  </si>
  <si>
    <t>ODS 15</t>
  </si>
  <si>
    <t>15. Vida de ecosistemas terrestres</t>
  </si>
  <si>
    <t>2.a</t>
  </si>
  <si>
    <t>Inversión agrícola</t>
  </si>
  <si>
    <t>5.3</t>
  </si>
  <si>
    <t>Prácticas nocivas</t>
  </si>
  <si>
    <t>8.8</t>
  </si>
  <si>
    <t>Derechos laborales</t>
  </si>
  <si>
    <t>11.3</t>
  </si>
  <si>
    <t>Urbanización inclusiva</t>
  </si>
  <si>
    <t>14.a</t>
  </si>
  <si>
    <t>Investigación marina</t>
  </si>
  <si>
    <t>17.1</t>
  </si>
  <si>
    <t>Recursos nacionales</t>
  </si>
  <si>
    <t>ODS 16</t>
  </si>
  <si>
    <t>16. Paz justicia e instituciones solidas</t>
  </si>
  <si>
    <t>2.b</t>
  </si>
  <si>
    <t>Comercio justo</t>
  </si>
  <si>
    <t>5.4</t>
  </si>
  <si>
    <t>Trabajo doméstico no remunerado</t>
  </si>
  <si>
    <t>8.9</t>
  </si>
  <si>
    <t>Turismo sostenible</t>
  </si>
  <si>
    <t>11.4</t>
  </si>
  <si>
    <t>Patrimonio cultural y natural</t>
  </si>
  <si>
    <t>14.b</t>
  </si>
  <si>
    <t>Acceso pesca artesanal</t>
  </si>
  <si>
    <t>17.2</t>
  </si>
  <si>
    <t>Asistencia oficial desarrollo</t>
  </si>
  <si>
    <t>ODS 17</t>
  </si>
  <si>
    <t>2.c</t>
  </si>
  <si>
    <t>Mercados alimentarios</t>
  </si>
  <si>
    <t>5.5</t>
  </si>
  <si>
    <t>Liderazgo femenino</t>
  </si>
  <si>
    <t>8.10</t>
  </si>
  <si>
    <t>Inclusión financiera</t>
  </si>
  <si>
    <t>11.5</t>
  </si>
  <si>
    <t>Reducción desastres</t>
  </si>
  <si>
    <t>14.c</t>
  </si>
  <si>
    <t>Derecho marítimo</t>
  </si>
  <si>
    <t>17.3</t>
  </si>
  <si>
    <t>Inversión extranjera</t>
  </si>
  <si>
    <t>5.6</t>
  </si>
  <si>
    <t>Salud y derechos reproductivos</t>
  </si>
  <si>
    <t>8.a</t>
  </si>
  <si>
    <t>Apoyo comercio</t>
  </si>
  <si>
    <t>11.6</t>
  </si>
  <si>
    <t>Impacto ambiental urbano</t>
  </si>
  <si>
    <t>17.4</t>
  </si>
  <si>
    <t>Deuda sostenible</t>
  </si>
  <si>
    <t>5.a</t>
  </si>
  <si>
    <t>Derechos económicos mujeres</t>
  </si>
  <si>
    <t>8.b</t>
  </si>
  <si>
    <t>Estrategia empleo juvenil</t>
  </si>
  <si>
    <t>11.7</t>
  </si>
  <si>
    <t>Espacios públicos seguros</t>
  </si>
  <si>
    <t>17.5</t>
  </si>
  <si>
    <t>Inversión países menos adelantados</t>
  </si>
  <si>
    <t>3.1</t>
  </si>
  <si>
    <t>5.b</t>
  </si>
  <si>
    <t>Tecnología y empoderamiento</t>
  </si>
  <si>
    <t>11.a</t>
  </si>
  <si>
    <t>Planificación regional</t>
  </si>
  <si>
    <t>15.1</t>
  </si>
  <si>
    <t>Ecosistemas terrestres</t>
  </si>
  <si>
    <t>17.6</t>
  </si>
  <si>
    <t>Cooperación regional</t>
  </si>
  <si>
    <t>3.2</t>
  </si>
  <si>
    <t>Mortalidad infantil</t>
  </si>
  <si>
    <t>5.c</t>
  </si>
  <si>
    <t>Políticas igualdad</t>
  </si>
  <si>
    <t>9. Industria, innovación e infraestructura</t>
  </si>
  <si>
    <t>11.b</t>
  </si>
  <si>
    <t>Políticas resiliencia</t>
  </si>
  <si>
    <t>15.2</t>
  </si>
  <si>
    <t>Gestión forestal sostenible</t>
  </si>
  <si>
    <t>17.7</t>
  </si>
  <si>
    <t>Tecnologías sostenibles</t>
  </si>
  <si>
    <t>3.3</t>
  </si>
  <si>
    <t>Fin epidemias</t>
  </si>
  <si>
    <t>9.1</t>
  </si>
  <si>
    <t>11.c</t>
  </si>
  <si>
    <t>Apoyo países en desarrollo</t>
  </si>
  <si>
    <t>15.3</t>
  </si>
  <si>
    <t>Lucha contra desertificación</t>
  </si>
  <si>
    <t>17.8</t>
  </si>
  <si>
    <t>TIC y capacidades</t>
  </si>
  <si>
    <t>3.4</t>
  </si>
  <si>
    <t>Enfermedades no transmisibles</t>
  </si>
  <si>
    <t>6. Agua limpia y sanamiento</t>
  </si>
  <si>
    <t>9.2</t>
  </si>
  <si>
    <t>Industrialización inclusiva</t>
  </si>
  <si>
    <t>15.4</t>
  </si>
  <si>
    <t>Ecosistemas montañosos</t>
  </si>
  <si>
    <t>17.9</t>
  </si>
  <si>
    <t>Capacitación países en desarrollo</t>
  </si>
  <si>
    <t>3.5</t>
  </si>
  <si>
    <t>Abuso sustancias</t>
  </si>
  <si>
    <t>6.1</t>
  </si>
  <si>
    <t>Acceso agua potable</t>
  </si>
  <si>
    <t>9.3</t>
  </si>
  <si>
    <t>Acceso financiero industrias</t>
  </si>
  <si>
    <t>12. Producción y consumo responsables</t>
  </si>
  <si>
    <t>15.5</t>
  </si>
  <si>
    <t>Pérdida biodiversidad</t>
  </si>
  <si>
    <t>17.10</t>
  </si>
  <si>
    <t>Sistema multilateral comercio</t>
  </si>
  <si>
    <t>3.6</t>
  </si>
  <si>
    <t>Accidentes tráfico</t>
  </si>
  <si>
    <t>6.2</t>
  </si>
  <si>
    <t>Saneamiento e higiene</t>
  </si>
  <si>
    <t>9.4</t>
  </si>
  <si>
    <t>Modernización sostenible</t>
  </si>
  <si>
    <t>12.1</t>
  </si>
  <si>
    <t>Planes sostenibles</t>
  </si>
  <si>
    <t>15.6</t>
  </si>
  <si>
    <t>Recursos genéticos</t>
  </si>
  <si>
    <t>17.11</t>
  </si>
  <si>
    <t>Exportaciones países en desarrollo</t>
  </si>
  <si>
    <t>3.7</t>
  </si>
  <si>
    <t>Salud reproductiva</t>
  </si>
  <si>
    <t>6.3</t>
  </si>
  <si>
    <t>Calidad del agua</t>
  </si>
  <si>
    <t>9.5</t>
  </si>
  <si>
    <t>Investigación e innovación</t>
  </si>
  <si>
    <t>12.2</t>
  </si>
  <si>
    <t>Gestión sostenible recursos</t>
  </si>
  <si>
    <t>15.7</t>
  </si>
  <si>
    <t>Tráfico especies</t>
  </si>
  <si>
    <t>17.12</t>
  </si>
  <si>
    <t>Acceso mercados</t>
  </si>
  <si>
    <t>3.8</t>
  </si>
  <si>
    <t>Cobertura sanitaria universal</t>
  </si>
  <si>
    <t>6.4</t>
  </si>
  <si>
    <t>Uso eficiente agua</t>
  </si>
  <si>
    <t>9.a</t>
  </si>
  <si>
    <t>Apoyo infraestructuras países en desarrollo</t>
  </si>
  <si>
    <t>12.3</t>
  </si>
  <si>
    <t>Desperdicio de alimentos</t>
  </si>
  <si>
    <t>15.8</t>
  </si>
  <si>
    <t>Especies invasoras</t>
  </si>
  <si>
    <t>17.13</t>
  </si>
  <si>
    <t>Macroeconomía estable</t>
  </si>
  <si>
    <t>3.9</t>
  </si>
  <si>
    <t>Contaminación y salud</t>
  </si>
  <si>
    <t>6.5</t>
  </si>
  <si>
    <t>Gestión integrada hídrica</t>
  </si>
  <si>
    <t>9.b</t>
  </si>
  <si>
    <t>Tecnologías e innovación nacionales</t>
  </si>
  <si>
    <t>12.4</t>
  </si>
  <si>
    <t>Sustancias químicas y desechos</t>
  </si>
  <si>
    <t>15.9</t>
  </si>
  <si>
    <t>Biodiversidad en políticas</t>
  </si>
  <si>
    <t>17.14</t>
  </si>
  <si>
    <t>Coherencia políticas</t>
  </si>
  <si>
    <t>3.a</t>
  </si>
  <si>
    <t>Control tabaco</t>
  </si>
  <si>
    <t>6.6</t>
  </si>
  <si>
    <t>Ecosistemas acuáticos</t>
  </si>
  <si>
    <t>9.c</t>
  </si>
  <si>
    <t>Acceso a Internet</t>
  </si>
  <si>
    <t>12.5</t>
  </si>
  <si>
    <t>Reducción residuos</t>
  </si>
  <si>
    <t>15.a</t>
  </si>
  <si>
    <t>Financiamiento biodiversidad</t>
  </si>
  <si>
    <t>17.15</t>
  </si>
  <si>
    <t>Espacios nacionales</t>
  </si>
  <si>
    <t>3.b</t>
  </si>
  <si>
    <t>Investigación médica</t>
  </si>
  <si>
    <t>6.a</t>
  </si>
  <si>
    <t>Cooperación internacional agua</t>
  </si>
  <si>
    <t>12.6</t>
  </si>
  <si>
    <t>Prácticas sostenibles empresas</t>
  </si>
  <si>
    <t>15.b</t>
  </si>
  <si>
    <t>Recursos forestales</t>
  </si>
  <si>
    <t>17.16</t>
  </si>
  <si>
    <t>Alianzas múltiples actores</t>
  </si>
  <si>
    <t>3.c</t>
  </si>
  <si>
    <t>Personal sanitario</t>
  </si>
  <si>
    <t>6.b</t>
  </si>
  <si>
    <t>Participación comunitaria agua</t>
  </si>
  <si>
    <t>12.7</t>
  </si>
  <si>
    <t>Contratación pública sostenible</t>
  </si>
  <si>
    <t>15.c</t>
  </si>
  <si>
    <t>Caza furtiva</t>
  </si>
  <si>
    <t>17.17</t>
  </si>
  <si>
    <t>Alianzas público-privadas</t>
  </si>
  <si>
    <t>3.d</t>
  </si>
  <si>
    <t>Gestión riesgos sanitarios</t>
  </si>
  <si>
    <t>12.8</t>
  </si>
  <si>
    <t>17.18</t>
  </si>
  <si>
    <t>Datos estadísticos</t>
  </si>
  <si>
    <t>12.a</t>
  </si>
  <si>
    <t>Ciencia y tecnología sostenible</t>
  </si>
  <si>
    <t>17.19</t>
  </si>
  <si>
    <t>Indicadores desarrollo sostenible</t>
  </si>
  <si>
    <t>12.b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</si>
</sst>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charset val="1"/>
    </font>
    <font>
      <b/>
      <sz val="10"/>
      <color rgb="FFFFFFFF"/>
      <name val="Arial"/>
      <family val="2"/>
    </font>
    <font>
      <sz val="9"/>
      <name val="Arial"/>
      <family val="2"/>
    </font>
    <font>
      <u/>
      <sz val="11"/>
      <color theme="1"/>
      <name val="Calibri"/>
      <family val="2"/>
      <charset val="1"/>
    </font>
    <font>
      <b/>
      <sz val="10"/>
      <color rgb="FFFFFFFF"/>
      <name val="Arial"/>
      <family val="2"/>
      <charset val="1"/>
    </font>
    <font>
      <b/>
      <sz val="10"/>
      <color rgb="FFFFFFFF"/>
      <name val="Arial"/>
      <charset val="1"/>
    </font>
    <font>
      <sz val="11"/>
      <color rgb="FF000000"/>
      <name val="Calibri"/>
      <family val="2"/>
      <charset val="1"/>
    </font>
    <font>
      <b/>
      <sz val="11"/>
      <color rgb="FFFFFFFF"/>
      <name val="Calibri"/>
      <family val="2"/>
      <charset val="1"/>
    </font>
    <font>
      <u/>
      <sz val="11"/>
      <color rgb="FF000000"/>
      <name val="Calibri"/>
      <family val="2"/>
      <charset val="1"/>
    </font>
    <font>
      <b/>
      <sz val="11"/>
      <color rgb="FFFFFFFF"/>
      <name val="Calibri"/>
      <family val="2"/>
    </font>
    <font>
      <sz val="11"/>
      <name val="Calibri"/>
      <family val="2"/>
    </font>
    <font>
      <sz val="11"/>
      <color rgb="FF000000"/>
      <name val="Calibri"/>
      <family val="2"/>
    </font>
    <font>
      <sz val="8"/>
      <name val="Calibri"/>
      <family val="2"/>
      <charset val="1"/>
    </font>
    <font>
      <b/>
      <sz val="10"/>
      <color rgb="FF2C5697"/>
      <name val="Arial"/>
      <family val="2"/>
    </font>
    <font>
      <sz val="11"/>
      <color rgb="FF2C5697"/>
      <name val="Calibri"/>
      <family val="2"/>
      <charset val="1"/>
    </font>
    <font>
      <b/>
      <sz val="18"/>
      <color rgb="FFFFFFFF"/>
      <name val="Calibri"/>
    </font>
    <font>
      <sz val="11"/>
      <color rgb="FFFFFFFF"/>
      <name val="Calibri"/>
    </font>
    <font>
      <sz val="11"/>
      <color rgb="FF000000"/>
      <name val="Calibri"/>
    </font>
    <font>
      <b/>
      <sz val="11"/>
      <color rgb="FF003A70"/>
      <name val="Calibri"/>
    </font>
    <font>
      <sz val="11"/>
      <color rgb="FF1F2937"/>
      <name val="Calibri"/>
    </font>
    <font>
      <b/>
      <sz val="12"/>
      <color rgb="FFFFFFFF"/>
      <name val="Calibri"/>
    </font>
    <font>
      <b/>
      <sz val="10"/>
      <color rgb="FF003A70"/>
      <name val="Calibri"/>
    </font>
    <font>
      <sz val="10"/>
      <color rgb="FF1F2937"/>
      <name val="Calibri"/>
    </font>
    <font>
      <sz val="9"/>
      <color rgb="FF4B5563"/>
      <name val="Calibri"/>
    </font>
    <font>
      <sz val="9"/>
      <color rgb="FF000000"/>
      <name val="Arial"/>
      <family val="2"/>
    </font>
    <font>
      <b/>
      <sz val="10"/>
      <color rgb="FF2C5697"/>
      <name val="Arial"/>
      <family val="2"/>
      <charset val="1"/>
    </font>
    <font>
      <sz val="11"/>
      <color rgb="FF242424"/>
      <name val="Aptos Narrow"/>
      <charset val="1"/>
    </font>
  </fonts>
  <fills count="26">
    <fill>
      <patternFill patternType="none"/>
    </fill>
    <fill>
      <patternFill patternType="gray125"/>
    </fill>
    <fill>
      <patternFill patternType="solid">
        <fgColor rgb="FF1F4E79"/>
        <bgColor rgb="FF1F6B75"/>
      </patternFill>
    </fill>
    <fill>
      <patternFill patternType="solid">
        <fgColor rgb="FFFFFFFF"/>
        <bgColor rgb="FFF2F7FF"/>
      </patternFill>
    </fill>
    <fill>
      <patternFill patternType="solid">
        <fgColor rgb="FFE2EFDA"/>
        <bgColor rgb="FFEEF4FF"/>
      </patternFill>
    </fill>
    <fill>
      <patternFill patternType="solid">
        <fgColor rgb="FFFFFFFF"/>
      </patternFill>
    </fill>
    <fill>
      <patternFill patternType="solid">
        <fgColor theme="4" tint="0.79998168889431442"/>
        <bgColor theme="4" tint="0.79998168889431442"/>
      </patternFill>
    </fill>
    <fill>
      <patternFill patternType="solid">
        <fgColor rgb="FFEBF1DE"/>
        <bgColor rgb="FFEBF1DE"/>
      </patternFill>
    </fill>
    <fill>
      <patternFill patternType="solid">
        <fgColor rgb="FFDCE6F1"/>
        <bgColor rgb="FFDCE6F1"/>
      </patternFill>
    </fill>
    <fill>
      <patternFill patternType="solid">
        <fgColor rgb="FFC5D9F1"/>
        <bgColor rgb="FF1F6B75"/>
      </patternFill>
    </fill>
    <fill>
      <patternFill patternType="solid">
        <fgColor rgb="FF4F81BD"/>
        <bgColor rgb="FF4F81BD"/>
      </patternFill>
    </fill>
    <fill>
      <patternFill patternType="solid">
        <fgColor rgb="FF4472C4"/>
        <bgColor rgb="FF4472C4"/>
      </patternFill>
    </fill>
    <fill>
      <patternFill patternType="solid">
        <fgColor rgb="FFD9E1F2"/>
        <bgColor rgb="FFD9E1F2"/>
      </patternFill>
    </fill>
    <fill>
      <patternFill patternType="solid">
        <fgColor theme="3" tint="0.59999389629810485"/>
        <bgColor indexed="64"/>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rgb="FF2C5697"/>
        <bgColor indexed="64"/>
      </patternFill>
    </fill>
    <fill>
      <patternFill patternType="solid">
        <fgColor rgb="FF003A70"/>
        <bgColor rgb="FF000000"/>
      </patternFill>
    </fill>
    <fill>
      <patternFill patternType="solid">
        <fgColor rgb="FFFFFFFF"/>
        <bgColor rgb="FF000000"/>
      </patternFill>
    </fill>
    <fill>
      <patternFill patternType="solid">
        <fgColor rgb="FFF5F7FA"/>
        <bgColor rgb="FF000000"/>
      </patternFill>
    </fill>
    <fill>
      <patternFill patternType="solid">
        <fgColor rgb="FF0B4F86"/>
        <bgColor rgb="FF000000"/>
      </patternFill>
    </fill>
    <fill>
      <patternFill patternType="solid">
        <fgColor rgb="FFEAF3FA"/>
        <bgColor rgb="FF000000"/>
      </patternFill>
    </fill>
    <fill>
      <patternFill patternType="solid">
        <fgColor rgb="FFF2F8FC"/>
        <bgColor rgb="FF000000"/>
      </patternFill>
    </fill>
    <fill>
      <patternFill patternType="solid">
        <fgColor rgb="FFD9D9D9"/>
        <bgColor rgb="FFD9D9D9"/>
      </patternFill>
    </fill>
    <fill>
      <patternFill patternType="solid">
        <fgColor rgb="FFF8CD00"/>
        <bgColor indexed="64"/>
      </patternFill>
    </fill>
  </fills>
  <borders count="3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theme="4" tint="0.39997558519241921"/>
      </top>
      <bottom style="thin">
        <color theme="4" tint="0.39997558519241921"/>
      </bottom>
      <diagonal/>
    </border>
    <border>
      <left/>
      <right/>
      <top style="thin">
        <color rgb="FF95B3D7"/>
      </top>
      <bottom style="thin">
        <color rgb="FF95B3D7"/>
      </bottom>
      <diagonal/>
    </border>
    <border>
      <left style="thin">
        <color rgb="FF95B3D7"/>
      </left>
      <right/>
      <top style="thin">
        <color rgb="FF95B3D7"/>
      </top>
      <bottom style="thin">
        <color rgb="FF95B3D7"/>
      </bottom>
      <diagonal/>
    </border>
    <border>
      <left/>
      <right style="thin">
        <color rgb="FFBFBFBF"/>
      </right>
      <top style="thin">
        <color rgb="FFBFBFBF"/>
      </top>
      <bottom style="thin">
        <color rgb="FFBFBFBF"/>
      </bottom>
      <diagonal/>
    </border>
    <border>
      <left/>
      <right style="thin">
        <color rgb="FFBFBFBF"/>
      </right>
      <top style="thin">
        <color rgb="FF95B3D7"/>
      </top>
      <bottom style="thin">
        <color rgb="FF95B3D7"/>
      </bottom>
      <diagonal/>
    </border>
    <border>
      <left/>
      <right style="thin">
        <color rgb="FF95B3D7"/>
      </right>
      <top style="thin">
        <color rgb="FF95B3D7"/>
      </top>
      <bottom style="thin">
        <color rgb="FF95B3D7"/>
      </bottom>
      <diagonal/>
    </border>
    <border>
      <left style="thin">
        <color rgb="FF8EA9DB"/>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style="thin">
        <color rgb="FF95B3D7"/>
      </top>
      <bottom style="thin">
        <color rgb="FF95B3D7"/>
      </bottom>
      <diagonal/>
    </border>
    <border>
      <left/>
      <right style="thin">
        <color rgb="FF8EA9DB"/>
      </right>
      <top style="thin">
        <color rgb="FF95B3D7"/>
      </top>
      <bottom style="thin">
        <color rgb="FF95B3D7"/>
      </bottom>
      <diagonal/>
    </border>
    <border>
      <left/>
      <right style="thin">
        <color rgb="FF8EA9DB"/>
      </right>
      <top style="thin">
        <color rgb="FF95B3D7"/>
      </top>
      <bottom style="thin">
        <color rgb="FF8EA9DB"/>
      </bottom>
      <diagonal/>
    </border>
    <border>
      <left style="thin">
        <color rgb="FF95B3D7"/>
      </left>
      <right/>
      <top/>
      <bottom/>
      <diagonal/>
    </border>
    <border>
      <left/>
      <right/>
      <top style="thin">
        <color rgb="FFC4D79B"/>
      </top>
      <bottom style="thin">
        <color rgb="FFC4D79B"/>
      </bottom>
      <diagonal/>
    </border>
    <border>
      <left/>
      <right/>
      <top/>
      <bottom style="thin">
        <color rgb="FFC4D79B"/>
      </bottom>
      <diagonal/>
    </border>
    <border>
      <left/>
      <right/>
      <top style="thin">
        <color rgb="FFC4D79B"/>
      </top>
      <bottom/>
      <diagonal/>
    </border>
    <border>
      <left style="thin">
        <color rgb="FFBFBFBF"/>
      </left>
      <right/>
      <top style="thin">
        <color rgb="FFBFBFBF"/>
      </top>
      <bottom style="thin">
        <color rgb="FFBFBFBF"/>
      </bottom>
      <diagonal/>
    </border>
    <border>
      <left/>
      <right/>
      <top/>
      <bottom style="thin">
        <color rgb="FFBFBFBF"/>
      </bottom>
      <diagonal/>
    </border>
    <border>
      <left/>
      <right/>
      <top/>
      <bottom style="thin">
        <color rgb="FF95B3D7"/>
      </bottom>
      <diagonal/>
    </border>
    <border>
      <left/>
      <right/>
      <top style="thin">
        <color rgb="FF95B3D7"/>
      </top>
      <bottom/>
      <diagonal/>
    </border>
    <border>
      <left style="thin">
        <color rgb="FFC8D2DC"/>
      </left>
      <right/>
      <top style="thin">
        <color rgb="FFC8D2DC"/>
      </top>
      <bottom/>
      <diagonal/>
    </border>
    <border>
      <left/>
      <right/>
      <top style="thin">
        <color rgb="FFC8D2DC"/>
      </top>
      <bottom/>
      <diagonal/>
    </border>
    <border>
      <left style="thin">
        <color rgb="FFC8D2DC"/>
      </left>
      <right/>
      <top/>
      <bottom style="thin">
        <color rgb="FFC8D2DC"/>
      </bottom>
      <diagonal/>
    </border>
    <border>
      <left/>
      <right/>
      <top/>
      <bottom style="thin">
        <color rgb="FFC8D2DC"/>
      </bottom>
      <diagonal/>
    </border>
    <border>
      <left/>
      <right/>
      <top style="thin">
        <color rgb="FFC8D2DC"/>
      </top>
      <bottom style="thin">
        <color rgb="FFC8D2DC"/>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theme="4" tint="0.39997558519241921"/>
      </right>
      <top/>
      <bottom style="thin">
        <color rgb="FFBFBFBF"/>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rgb="FFBFBFBF"/>
      </left>
      <right/>
      <top/>
      <bottom/>
      <diagonal/>
    </border>
    <border>
      <left style="thin">
        <color rgb="FFBFBFBF"/>
      </left>
      <right style="thin">
        <color rgb="FFBFBFBF"/>
      </right>
      <top style="thin">
        <color theme="4" tint="0.39997558519241921"/>
      </top>
      <bottom style="thin">
        <color theme="4" tint="0.39997558519241921"/>
      </bottom>
      <diagonal/>
    </border>
  </borders>
  <cellStyleXfs count="1">
    <xf numFmtId="0" fontId="0" fillId="0" borderId="0"/>
  </cellStyleXfs>
  <cellXfs count="124">
    <xf numFmtId="0" fontId="0" fillId="0" borderId="0" xfId="0"/>
    <xf numFmtId="0" fontId="3" fillId="0" borderId="0" xfId="0" applyFont="1"/>
    <xf numFmtId="14" fontId="0" fillId="0" borderId="0" xfId="0" applyNumberFormat="1"/>
    <xf numFmtId="0" fontId="1" fillId="2" borderId="3" xfId="0" applyFont="1" applyFill="1" applyBorder="1" applyAlignment="1">
      <alignment horizontal="center" vertical="center" wrapText="1"/>
    </xf>
    <xf numFmtId="0" fontId="0" fillId="0" borderId="0" xfId="0" applyAlignment="1">
      <alignment shrinkToFit="1"/>
    </xf>
    <xf numFmtId="0" fontId="2" fillId="5" borderId="1" xfId="0" applyFont="1" applyFill="1" applyBorder="1" applyAlignment="1">
      <alignment vertical="center"/>
    </xf>
    <xf numFmtId="0" fontId="2" fillId="3" borderId="1" xfId="0" applyFont="1" applyFill="1" applyBorder="1"/>
    <xf numFmtId="0" fontId="2" fillId="4" borderId="1" xfId="0" applyFont="1" applyFill="1" applyBorder="1"/>
    <xf numFmtId="0" fontId="2" fillId="3" borderId="2" xfId="0" applyFont="1" applyFill="1" applyBorder="1"/>
    <xf numFmtId="0" fontId="0" fillId="6" borderId="4" xfId="0" applyFill="1" applyBorder="1"/>
    <xf numFmtId="0" fontId="0" fillId="0" borderId="4" xfId="0" applyBorder="1"/>
    <xf numFmtId="0" fontId="2" fillId="4" borderId="0" xfId="0" applyFont="1" applyFill="1"/>
    <xf numFmtId="0" fontId="2" fillId="3" borderId="0" xfId="0" applyFont="1" applyFill="1"/>
    <xf numFmtId="0" fontId="6" fillId="8" borderId="6" xfId="0" applyFont="1" applyFill="1" applyBorder="1"/>
    <xf numFmtId="0" fontId="6" fillId="0" borderId="0" xfId="0" applyFont="1"/>
    <xf numFmtId="0" fontId="0" fillId="0" borderId="0" xfId="0" applyAlignment="1">
      <alignment horizontal="center" vertical="center"/>
    </xf>
    <xf numFmtId="0" fontId="2" fillId="5" borderId="1" xfId="0" applyFont="1" applyFill="1" applyBorder="1" applyAlignment="1">
      <alignment horizontal="center" vertical="center"/>
    </xf>
    <xf numFmtId="0" fontId="7" fillId="10" borderId="6" xfId="0" applyFont="1" applyFill="1" applyBorder="1"/>
    <xf numFmtId="0" fontId="7" fillId="10" borderId="9" xfId="0" applyFont="1" applyFill="1" applyBorder="1"/>
    <xf numFmtId="0" fontId="9" fillId="11" borderId="10" xfId="0" applyFont="1" applyFill="1" applyBorder="1"/>
    <xf numFmtId="0" fontId="9" fillId="11" borderId="11" xfId="0" applyFont="1" applyFill="1" applyBorder="1"/>
    <xf numFmtId="0" fontId="6" fillId="8" borderId="9" xfId="0" applyFont="1" applyFill="1" applyBorder="1"/>
    <xf numFmtId="0" fontId="11" fillId="12" borderId="10" xfId="0" applyFont="1" applyFill="1" applyBorder="1"/>
    <xf numFmtId="0" fontId="6" fillId="0" borderId="9" xfId="0" applyFont="1" applyBorder="1"/>
    <xf numFmtId="0" fontId="6" fillId="0" borderId="6" xfId="0" applyFont="1" applyBorder="1"/>
    <xf numFmtId="0" fontId="11" fillId="0" borderId="10" xfId="0" applyFont="1" applyBorder="1"/>
    <xf numFmtId="0" fontId="11" fillId="0" borderId="0" xfId="0" applyFont="1"/>
    <xf numFmtId="0" fontId="11" fillId="12" borderId="12" xfId="0" applyFont="1" applyFill="1" applyBorder="1"/>
    <xf numFmtId="0" fontId="11" fillId="0" borderId="12" xfId="0" applyFont="1" applyBorder="1"/>
    <xf numFmtId="0" fontId="6" fillId="8" borderId="13" xfId="0" applyFont="1" applyFill="1" applyBorder="1"/>
    <xf numFmtId="0" fontId="6" fillId="0" borderId="13" xfId="0" applyFont="1" applyBorder="1"/>
    <xf numFmtId="0" fontId="8" fillId="0" borderId="13" xfId="0" applyFont="1" applyBorder="1"/>
    <xf numFmtId="0" fontId="6" fillId="8" borderId="14" xfId="0" applyFont="1" applyFill="1" applyBorder="1"/>
    <xf numFmtId="0" fontId="7" fillId="10" borderId="9" xfId="0" applyFont="1" applyFill="1" applyBorder="1" applyAlignment="1">
      <alignment wrapText="1"/>
    </xf>
    <xf numFmtId="0" fontId="6" fillId="8" borderId="9" xfId="0" applyFont="1" applyFill="1" applyBorder="1" applyAlignment="1">
      <alignment wrapText="1"/>
    </xf>
    <xf numFmtId="0" fontId="6" fillId="0" borderId="9" xfId="0" applyFont="1" applyBorder="1" applyAlignment="1">
      <alignment wrapText="1"/>
    </xf>
    <xf numFmtId="0" fontId="6" fillId="0" borderId="0" xfId="0" applyFont="1" applyAlignment="1">
      <alignment wrapText="1"/>
    </xf>
    <xf numFmtId="0" fontId="8" fillId="0" borderId="0" xfId="0" applyFont="1" applyAlignment="1">
      <alignment wrapText="1"/>
    </xf>
    <xf numFmtId="0" fontId="7" fillId="10" borderId="6" xfId="0" applyFont="1" applyFill="1" applyBorder="1" applyAlignment="1">
      <alignment wrapText="1"/>
    </xf>
    <xf numFmtId="0" fontId="6" fillId="8" borderId="6" xfId="0" applyFont="1" applyFill="1" applyBorder="1" applyAlignment="1">
      <alignment wrapText="1"/>
    </xf>
    <xf numFmtId="0" fontId="6" fillId="0" borderId="6" xfId="0" applyFont="1" applyBorder="1" applyAlignment="1">
      <alignment wrapText="1"/>
    </xf>
    <xf numFmtId="0" fontId="6" fillId="7" borderId="16" xfId="0" applyFont="1" applyFill="1" applyBorder="1"/>
    <xf numFmtId="0" fontId="6" fillId="0" borderId="16" xfId="0" applyFont="1" applyBorder="1"/>
    <xf numFmtId="0" fontId="6" fillId="0" borderId="18" xfId="0" applyFont="1" applyBorder="1"/>
    <xf numFmtId="0" fontId="0" fillId="0" borderId="0" xfId="0" applyAlignment="1">
      <alignment wrapText="1"/>
    </xf>
    <xf numFmtId="0" fontId="2" fillId="3" borderId="19" xfId="0" applyFont="1" applyFill="1" applyBorder="1"/>
    <xf numFmtId="0" fontId="2" fillId="4" borderId="19" xfId="0" applyFont="1" applyFill="1" applyBorder="1"/>
    <xf numFmtId="0" fontId="2" fillId="4" borderId="7" xfId="0" applyFont="1" applyFill="1" applyBorder="1"/>
    <xf numFmtId="0" fontId="2" fillId="3" borderId="7" xfId="0" applyFont="1" applyFill="1" applyBorder="1"/>
    <xf numFmtId="0" fontId="10" fillId="8" borderId="5" xfId="0" applyFont="1" applyFill="1" applyBorder="1" applyAlignment="1">
      <alignment wrapText="1"/>
    </xf>
    <xf numFmtId="0" fontId="10" fillId="0" borderId="5" xfId="0" applyFont="1" applyBorder="1" applyAlignment="1">
      <alignment wrapText="1"/>
    </xf>
    <xf numFmtId="0" fontId="6" fillId="8" borderId="5" xfId="0" applyFont="1" applyFill="1" applyBorder="1" applyAlignment="1">
      <alignment wrapText="1"/>
    </xf>
    <xf numFmtId="0" fontId="6" fillId="0" borderId="5" xfId="0" applyFont="1" applyBorder="1" applyAlignment="1">
      <alignment wrapText="1"/>
    </xf>
    <xf numFmtId="0" fontId="7" fillId="10" borderId="21" xfId="0" applyFont="1" applyFill="1" applyBorder="1"/>
    <xf numFmtId="0" fontId="7" fillId="10" borderId="21" xfId="0" applyFont="1" applyFill="1" applyBorder="1" applyAlignment="1">
      <alignment wrapText="1"/>
    </xf>
    <xf numFmtId="0" fontId="10" fillId="8" borderId="22" xfId="0" applyFont="1" applyFill="1" applyBorder="1" applyAlignment="1">
      <alignment wrapText="1"/>
    </xf>
    <xf numFmtId="0" fontId="6" fillId="8" borderId="22" xfId="0" applyFont="1" applyFill="1" applyBorder="1" applyAlignment="1">
      <alignment wrapText="1"/>
    </xf>
    <xf numFmtId="0" fontId="0" fillId="0" borderId="0" xfId="0" applyAlignment="1">
      <alignment wrapText="1" shrinkToFit="1"/>
    </xf>
    <xf numFmtId="0" fontId="0" fillId="14" borderId="0" xfId="0" applyFill="1"/>
    <xf numFmtId="0" fontId="0" fillId="15" borderId="0" xfId="0" applyFill="1"/>
    <xf numFmtId="1" fontId="0" fillId="0" borderId="0" xfId="0" applyNumberFormat="1" applyAlignment="1">
      <alignment horizontal="center" vertical="center"/>
    </xf>
    <xf numFmtId="14" fontId="0" fillId="0" borderId="0" xfId="0" applyNumberFormat="1" applyAlignment="1">
      <alignment horizontal="center"/>
    </xf>
    <xf numFmtId="0" fontId="0" fillId="0" borderId="0" xfId="0" applyAlignment="1">
      <alignment horizontal="center"/>
    </xf>
    <xf numFmtId="0" fontId="0" fillId="6" borderId="4" xfId="0" applyFill="1" applyBorder="1" applyAlignment="1">
      <alignment horizontal="center"/>
    </xf>
    <xf numFmtId="0" fontId="0" fillId="0" borderId="4" xfId="0" applyBorder="1" applyAlignment="1">
      <alignment horizontal="center"/>
    </xf>
    <xf numFmtId="0" fontId="0" fillId="0" borderId="0" xfId="0" applyAlignment="1">
      <alignment horizontal="center" wrapText="1"/>
    </xf>
    <xf numFmtId="0" fontId="5" fillId="17" borderId="3"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14" fontId="4" fillId="17" borderId="3" xfId="0" applyNumberFormat="1" applyFont="1" applyFill="1" applyBorder="1" applyAlignment="1">
      <alignment horizontal="center" vertical="center" wrapText="1"/>
    </xf>
    <xf numFmtId="1" fontId="1" fillId="17" borderId="3" xfId="0" applyNumberFormat="1" applyFont="1" applyFill="1" applyBorder="1" applyAlignment="1">
      <alignment horizontal="center" vertical="center" wrapText="1"/>
    </xf>
    <xf numFmtId="0" fontId="0" fillId="17" borderId="0" xfId="0" applyFill="1" applyAlignment="1">
      <alignment horizontal="center" vertical="center"/>
    </xf>
    <xf numFmtId="0" fontId="14" fillId="13" borderId="0" xfId="0" applyFont="1" applyFill="1" applyAlignment="1">
      <alignment horizontal="center" vertical="center"/>
    </xf>
    <xf numFmtId="0" fontId="1" fillId="17" borderId="1" xfId="0" applyFont="1" applyFill="1" applyBorder="1" applyAlignment="1">
      <alignment horizontal="center" vertical="center" wrapText="1"/>
    </xf>
    <xf numFmtId="0" fontId="1" fillId="17" borderId="8"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 fillId="17" borderId="0" xfId="0" applyFont="1" applyFill="1" applyAlignment="1">
      <alignment horizontal="center" vertical="center"/>
    </xf>
    <xf numFmtId="0" fontId="1" fillId="17" borderId="0" xfId="0" applyFont="1" applyFill="1" applyAlignment="1">
      <alignment horizontal="center" vertical="center" wrapText="1"/>
    </xf>
    <xf numFmtId="0" fontId="7" fillId="17" borderId="17" xfId="0" applyFont="1" applyFill="1" applyBorder="1" applyAlignment="1">
      <alignment horizontal="center" vertical="center"/>
    </xf>
    <xf numFmtId="0" fontId="1" fillId="17" borderId="20" xfId="0" applyFont="1" applyFill="1" applyBorder="1" applyAlignment="1">
      <alignment horizontal="center" vertical="center" wrapText="1"/>
    </xf>
    <xf numFmtId="0" fontId="6" fillId="0" borderId="15" xfId="0" applyFont="1" applyBorder="1"/>
    <xf numFmtId="0" fontId="17" fillId="20" borderId="0" xfId="0" applyFont="1" applyFill="1"/>
    <xf numFmtId="0" fontId="21" fillId="22" borderId="26" xfId="0" applyFont="1" applyFill="1" applyBorder="1" applyAlignment="1">
      <alignment horizontal="center" vertical="center"/>
    </xf>
    <xf numFmtId="0" fontId="21" fillId="19" borderId="26" xfId="0" applyFont="1" applyFill="1" applyBorder="1" applyAlignment="1">
      <alignment horizontal="left" vertical="center" wrapText="1"/>
    </xf>
    <xf numFmtId="0" fontId="21" fillId="23" borderId="26" xfId="0" applyFont="1" applyFill="1" applyBorder="1" applyAlignment="1">
      <alignment horizontal="left" vertical="center" wrapText="1"/>
    </xf>
    <xf numFmtId="0" fontId="24" fillId="24" borderId="28" xfId="0" applyFont="1" applyFill="1" applyBorder="1"/>
    <xf numFmtId="0" fontId="24" fillId="24" borderId="29" xfId="0" applyFont="1" applyFill="1" applyBorder="1"/>
    <xf numFmtId="0" fontId="24" fillId="0" borderId="28" xfId="0" applyFont="1" applyBorder="1"/>
    <xf numFmtId="0" fontId="24" fillId="0" borderId="30" xfId="0" applyFont="1" applyBorder="1"/>
    <xf numFmtId="0" fontId="24" fillId="24" borderId="30" xfId="0" applyFont="1" applyFill="1" applyBorder="1"/>
    <xf numFmtId="0" fontId="24" fillId="24" borderId="28" xfId="0" applyFont="1" applyFill="1" applyBorder="1" applyAlignment="1">
      <alignment wrapText="1"/>
    </xf>
    <xf numFmtId="0" fontId="24" fillId="0" borderId="28" xfId="0" applyFont="1" applyBorder="1" applyAlignment="1">
      <alignment wrapText="1"/>
    </xf>
    <xf numFmtId="0" fontId="1" fillId="17" borderId="31" xfId="0" applyFont="1" applyFill="1" applyBorder="1" applyAlignment="1">
      <alignment horizontal="center" vertical="center" wrapText="1"/>
    </xf>
    <xf numFmtId="0" fontId="24" fillId="24" borderId="32" xfId="0" applyFont="1" applyFill="1" applyBorder="1" applyAlignment="1">
      <alignment wrapText="1"/>
    </xf>
    <xf numFmtId="0" fontId="24" fillId="24" borderId="33" xfId="0" applyFont="1" applyFill="1" applyBorder="1"/>
    <xf numFmtId="0" fontId="24" fillId="24" borderId="32" xfId="0" applyFont="1" applyFill="1" applyBorder="1"/>
    <xf numFmtId="0" fontId="1" fillId="17" borderId="3" xfId="0" applyFont="1" applyFill="1" applyBorder="1" applyAlignment="1">
      <alignment horizontal="center" vertical="center"/>
    </xf>
    <xf numFmtId="0" fontId="1" fillId="17" borderId="2" xfId="0" applyFont="1" applyFill="1" applyBorder="1" applyAlignment="1">
      <alignment horizontal="center" vertical="center"/>
    </xf>
    <xf numFmtId="0" fontId="1" fillId="17" borderId="34" xfId="0" applyFont="1" applyFill="1" applyBorder="1" applyAlignment="1">
      <alignment horizontal="center" vertical="center"/>
    </xf>
    <xf numFmtId="1" fontId="0" fillId="0" borderId="0" xfId="0" applyNumberFormat="1" applyAlignment="1">
      <alignment horizontal="center" vertical="center" wrapText="1"/>
    </xf>
    <xf numFmtId="0" fontId="25" fillId="16" borderId="3" xfId="0" applyFont="1" applyFill="1" applyBorder="1" applyAlignment="1">
      <alignment horizontal="center" vertical="center" wrapText="1"/>
    </xf>
    <xf numFmtId="0" fontId="11" fillId="0" borderId="0" xfId="0" applyFont="1" applyAlignment="1">
      <alignment wrapText="1"/>
    </xf>
    <xf numFmtId="0" fontId="17" fillId="25" borderId="0" xfId="0" applyFont="1" applyFill="1"/>
    <xf numFmtId="2" fontId="0" fillId="0" borderId="0" xfId="0" applyNumberFormat="1" applyAlignment="1">
      <alignment horizontal="center"/>
    </xf>
    <xf numFmtId="0" fontId="26" fillId="0" borderId="0" xfId="0" applyFont="1"/>
    <xf numFmtId="1" fontId="13" fillId="16" borderId="3" xfId="0" applyNumberFormat="1" applyFont="1" applyFill="1" applyBorder="1" applyAlignment="1">
      <alignment horizontal="center" vertical="center" wrapText="1"/>
    </xf>
    <xf numFmtId="0" fontId="0" fillId="0" borderId="35" xfId="0" applyBorder="1"/>
    <xf numFmtId="0" fontId="22" fillId="19" borderId="26" xfId="0" applyFont="1" applyFill="1" applyBorder="1" applyAlignment="1">
      <alignment horizontal="left" vertical="center" wrapText="1"/>
    </xf>
    <xf numFmtId="0" fontId="23" fillId="19" borderId="26" xfId="0" applyFont="1" applyFill="1" applyBorder="1" applyAlignment="1">
      <alignment horizontal="left" vertical="center" wrapText="1"/>
    </xf>
    <xf numFmtId="0" fontId="22" fillId="23" borderId="26" xfId="0" applyFont="1" applyFill="1" applyBorder="1" applyAlignment="1">
      <alignment horizontal="left" vertical="center" wrapText="1"/>
    </xf>
    <xf numFmtId="0" fontId="23" fillId="23" borderId="26" xfId="0" applyFont="1" applyFill="1" applyBorder="1" applyAlignment="1">
      <alignment horizontal="left" vertical="center" wrapText="1"/>
    </xf>
    <xf numFmtId="0" fontId="22" fillId="19" borderId="0" xfId="0" applyFont="1" applyFill="1" applyAlignment="1">
      <alignment horizontal="left" vertical="center" wrapText="1"/>
    </xf>
    <xf numFmtId="0" fontId="23" fillId="19" borderId="0" xfId="0" applyFont="1" applyFill="1" applyAlignment="1">
      <alignment horizontal="left" vertical="center" wrapText="1"/>
    </xf>
    <xf numFmtId="0" fontId="21" fillId="23" borderId="27" xfId="0" applyFont="1" applyFill="1" applyBorder="1" applyAlignment="1">
      <alignment vertical="center" wrapText="1"/>
    </xf>
    <xf numFmtId="0" fontId="21" fillId="19" borderId="0" xfId="0" applyFont="1" applyFill="1" applyAlignment="1">
      <alignment vertical="center" wrapText="1"/>
    </xf>
    <xf numFmtId="0" fontId="15" fillId="18" borderId="0" xfId="0" applyFont="1" applyFill="1" applyAlignment="1">
      <alignment horizontal="center" vertical="center"/>
    </xf>
    <xf numFmtId="0" fontId="16" fillId="18" borderId="0" xfId="0" applyFont="1" applyFill="1" applyAlignment="1">
      <alignment horizontal="center"/>
    </xf>
    <xf numFmtId="0" fontId="18" fillId="19" borderId="23" xfId="0" applyFont="1" applyFill="1" applyBorder="1" applyAlignment="1">
      <alignment vertical="center"/>
    </xf>
    <xf numFmtId="0" fontId="18" fillId="19" borderId="24" xfId="0" applyFont="1" applyFill="1" applyBorder="1" applyAlignment="1">
      <alignment vertical="center"/>
    </xf>
    <xf numFmtId="0" fontId="19" fillId="19" borderId="25" xfId="0" applyFont="1" applyFill="1" applyBorder="1" applyAlignment="1">
      <alignment vertical="center" wrapText="1"/>
    </xf>
    <xf numFmtId="0" fontId="19" fillId="19" borderId="26" xfId="0" applyFont="1" applyFill="1" applyBorder="1" applyAlignment="1">
      <alignment vertical="center" wrapText="1"/>
    </xf>
    <xf numFmtId="0" fontId="20" fillId="21" borderId="0" xfId="0" applyFont="1" applyFill="1" applyAlignment="1">
      <alignment horizontal="center" vertical="center"/>
    </xf>
  </cellXfs>
  <cellStyles count="1">
    <cellStyle name="Normal" xfId="0" builtinId="0"/>
  </cellStyles>
  <dxfs count="121">
    <dxf>
      <font>
        <b val="0"/>
        <i val="0"/>
        <strike val="0"/>
        <condense val="0"/>
        <extend val="0"/>
        <outline val="0"/>
        <shadow val="0"/>
        <u val="none"/>
        <vertAlign val="baseline"/>
        <sz val="11"/>
        <color rgb="FF000000"/>
        <name val="Calibri"/>
        <family val="2"/>
        <charset val="1"/>
        <scheme val="none"/>
      </font>
      <fill>
        <patternFill patternType="solid">
          <fgColor rgb="FFDCE6F1"/>
          <bgColor rgb="FFDCE6F1"/>
        </patternFill>
      </fill>
      <alignment horizontal="general" vertical="bottom" textRotation="0" wrapText="1" indent="0" justifyLastLine="0" shrinkToFit="0" readingOrder="0"/>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auto="1"/>
        <name val="Calibri"/>
        <family val="2"/>
        <scheme val="none"/>
      </font>
      <fill>
        <patternFill patternType="solid">
          <fgColor rgb="FFDCE6F1"/>
          <bgColor rgb="FFDCE6F1"/>
        </patternFill>
      </fill>
      <alignment horizontal="general" vertical="bottom" textRotation="0" wrapText="1" indent="0" justifyLastLine="0" shrinkToFit="0" readingOrder="0"/>
      <border diagonalUp="0" diagonalDown="0">
        <left/>
        <right/>
        <top style="thin">
          <color rgb="FF95B3D7"/>
        </top>
        <bottom style="thin">
          <color rgb="FF95B3D7"/>
        </bottom>
        <vertical/>
        <horizontal/>
      </border>
    </dxf>
    <dxf>
      <border outline="0">
        <top style="thin">
          <color rgb="FF95B3D7"/>
        </top>
      </border>
    </dxf>
    <dxf>
      <border outline="0">
        <bottom style="thin">
          <color rgb="FF95B3D7"/>
        </bottom>
      </border>
    </dxf>
    <dxf>
      <border outline="0">
        <left style="thin">
          <color rgb="FF95B3D7"/>
        </left>
        <right style="thin">
          <color rgb="FF95B3D7"/>
        </right>
        <top style="thin">
          <color rgb="FF95B3D7"/>
        </top>
        <bottom style="thin">
          <color rgb="FF95B3D7"/>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alignment wrapText="1"/>
    </dxf>
    <dxf>
      <alignment wrapText="1"/>
    </dxf>
    <dxf>
      <border outline="0">
        <bottom style="thin">
          <color rgb="FFBFBFBF"/>
        </bottom>
      </border>
    </dxf>
    <dxf>
      <border outline="0">
        <top style="thin">
          <color rgb="FFBFBFBF"/>
        </top>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rgb="FFD9D9D9"/>
          <bgColor rgb="FFD9D9D9"/>
        </patternFill>
      </fill>
      <alignment horizontal="general" vertical="bottom" textRotation="0" wrapText="0" indent="0" justifyLastLine="0" shrinkToFit="0" readingOrder="0"/>
      <border diagonalUp="0" diagonalDown="0">
        <left style="thin">
          <color rgb="FF000000"/>
        </left>
        <right style="thin">
          <color indexed="64"/>
        </right>
        <top style="thin">
          <color rgb="FF000000"/>
        </top>
        <bottom style="thin">
          <color rgb="FF000000"/>
        </bottom>
        <vertical/>
        <horizontal/>
      </border>
    </dxf>
    <dxf>
      <font>
        <b val="0"/>
        <i val="0"/>
        <strike val="0"/>
        <condense val="0"/>
        <extend val="0"/>
        <outline val="0"/>
        <shadow val="0"/>
        <u val="none"/>
        <vertAlign val="baseline"/>
        <sz val="9"/>
        <color rgb="FF000000"/>
        <name val="Arial"/>
        <family val="2"/>
        <scheme val="none"/>
      </font>
      <fill>
        <patternFill patternType="solid">
          <fgColor rgb="FFD9D9D9"/>
          <bgColor rgb="FFD9D9D9"/>
        </patternFill>
      </fill>
      <alignment horizontal="general" vertical="bottom" textRotation="0" wrapText="0" indent="0" justifyLastLine="0" shrinkToFit="0" readingOrder="0"/>
      <border diagonalUp="0" diagonalDown="0">
        <left style="thin">
          <color indexed="64"/>
        </left>
        <right style="thin">
          <color indexed="64"/>
        </right>
        <top style="thin">
          <color rgb="FF000000"/>
        </top>
        <bottom style="thin">
          <color rgb="FF000000"/>
        </bottom>
        <vertical/>
        <horizontal/>
      </border>
    </dxf>
    <dxf>
      <font>
        <b val="0"/>
        <i val="0"/>
        <strike val="0"/>
        <condense val="0"/>
        <extend val="0"/>
        <outline val="0"/>
        <shadow val="0"/>
        <u val="none"/>
        <vertAlign val="baseline"/>
        <sz val="9"/>
        <color rgb="FF000000"/>
        <name val="Arial"/>
        <family val="2"/>
        <scheme val="none"/>
      </font>
      <fill>
        <patternFill patternType="solid">
          <fgColor rgb="FFD9D9D9"/>
          <bgColor rgb="FFD9D9D9"/>
        </patternFill>
      </fill>
      <alignment horizontal="general" vertical="bottom" textRotation="0" wrapText="1" indent="0" justifyLastLine="0" shrinkToFit="0" readingOrder="0"/>
      <border diagonalUp="0" diagonalDown="0">
        <left style="thin">
          <color rgb="FF000000"/>
        </left>
        <right style="thin">
          <color indexed="64"/>
        </right>
        <top style="thin">
          <color rgb="FF000000"/>
        </top>
        <bottom style="thin">
          <color rgb="FF000000"/>
        </bottom>
        <vertical/>
        <horizontal/>
      </border>
    </dxf>
    <dxf>
      <border outline="0">
        <bottom style="thin">
          <color rgb="FFBFBFBF"/>
        </bottom>
      </border>
    </dxf>
    <dxf>
      <border outline="0">
        <top style="thin">
          <color theme="4" tint="0.39997558519241921"/>
        </top>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rgb="FF000000"/>
        <name val="Calibri"/>
        <family val="2"/>
        <charset val="1"/>
        <scheme val="none"/>
      </font>
      <fill>
        <patternFill patternType="none">
          <fgColor rgb="FFDCE6F1"/>
          <bgColor rgb="FFDCE6F1"/>
        </patternFill>
      </fill>
      <border diagonalUp="0" diagonalDown="0">
        <left style="thin">
          <color rgb="FF95B3D7"/>
        </left>
        <right/>
        <top/>
        <bottom/>
        <vertical/>
        <horizontal/>
      </border>
    </dxf>
    <dxf>
      <font>
        <b val="0"/>
        <i val="0"/>
        <strike val="0"/>
        <condense val="0"/>
        <extend val="0"/>
        <outline val="0"/>
        <shadow val="0"/>
        <u val="none"/>
        <vertAlign val="baseline"/>
        <sz val="11"/>
        <color rgb="FF000000"/>
        <name val="Calibri"/>
        <family val="2"/>
        <charset val="1"/>
        <scheme val="none"/>
      </font>
      <fill>
        <patternFill patternType="none">
          <fgColor rgb="FFDCE6F1"/>
          <bgColor rgb="FFDCE6F1"/>
        </patternFill>
      </fill>
      <alignment horizontal="general" vertical="bottom" textRotation="0" wrapText="0" indent="0" justifyLastLine="0" shrinkToFit="0" readingOrder="0"/>
      <border diagonalUp="0" diagonalDown="0">
        <left style="thin">
          <color rgb="FF95B3D7"/>
        </left>
        <right/>
        <top/>
        <bottom/>
        <vertical/>
        <horizontal/>
      </border>
    </dxf>
    <dxf>
      <font>
        <b val="0"/>
        <i val="0"/>
        <strike val="0"/>
        <condense val="0"/>
        <extend val="0"/>
        <outline val="0"/>
        <shadow val="0"/>
        <u val="none"/>
        <vertAlign val="baseline"/>
        <sz val="11"/>
        <color rgb="FF000000"/>
        <name val="Calibri"/>
        <family val="2"/>
        <charset val="1"/>
        <scheme val="none"/>
      </font>
      <fill>
        <patternFill patternType="none">
          <fgColor rgb="FFDCE6F1"/>
          <bgColor rgb="FFDCE6F1"/>
        </patternFill>
      </fill>
      <alignment horizontal="general" vertical="bottom" textRotation="0" wrapText="0" indent="0" justifyLastLine="0" shrinkToFit="0" readingOrder="0"/>
      <border diagonalUp="0" diagonalDown="0">
        <left style="thin">
          <color rgb="FF95B3D7"/>
        </left>
        <right/>
        <top/>
        <bottom/>
        <vertical/>
        <horizontal/>
      </border>
    </dxf>
    <dxf>
      <border outline="0">
        <bottom style="thin">
          <color rgb="FFBFBFBF"/>
        </bottom>
      </border>
    </dxf>
    <dxf>
      <font>
        <b val="0"/>
        <i val="0"/>
        <strike val="0"/>
        <condense val="0"/>
        <extend val="0"/>
        <outline val="0"/>
        <shadow val="0"/>
        <u val="none"/>
        <vertAlign val="baseline"/>
        <sz val="11"/>
        <color rgb="FF000000"/>
        <name val="Calibri"/>
        <family val="2"/>
        <charset val="1"/>
        <scheme val="none"/>
      </font>
      <fill>
        <patternFill patternType="none">
          <fgColor rgb="FFDCE6F1"/>
          <bgColor rgb="FFDCE6F1"/>
        </patternFill>
      </fill>
      <alignment horizontal="general" vertical="bottom"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1" indent="0" justifyLastLine="0" shrinkToFit="0" readingOrder="0"/>
    </dxf>
    <dxf>
      <border outline="0">
        <bottom style="thin">
          <color rgb="FFBFBFBF"/>
        </bottom>
      </border>
    </dxf>
    <dxf>
      <border outline="0">
        <right style="thin">
          <color rgb="FFBFBFBF"/>
        </right>
        <top style="thin">
          <color rgb="FFBFBFBF"/>
        </top>
      </border>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1" indent="0" justifyLastLine="0" shrinkToFit="0" readingOrder="0"/>
    </dxf>
    <dxf>
      <border outline="0">
        <left style="thin">
          <color rgb="FFBFBFBF"/>
        </left>
      </border>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charset val="1"/>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C4D79B"/>
        </top>
        <bottom style="thin">
          <color rgb="FFC4D79B"/>
        </bottom>
        <vertical/>
        <horizontal/>
      </border>
    </dxf>
    <dxf>
      <border outline="0">
        <top style="thin">
          <color rgb="FFC4D79B"/>
        </top>
      </border>
    </dxf>
    <dxf>
      <border outline="0">
        <bottom style="thin">
          <color rgb="FFC4D79B"/>
        </bottom>
      </border>
    </dxf>
    <dxf>
      <border outline="0">
        <right style="thin">
          <color rgb="FFC4D79B"/>
        </right>
        <top style="thin">
          <color rgb="FFC4D79B"/>
        </top>
        <bottom style="thin">
          <color rgb="FFC4D79B"/>
        </bottom>
      </border>
    </dxf>
    <dxf>
      <font>
        <b val="0"/>
        <i val="0"/>
        <strike val="0"/>
        <condense val="0"/>
        <extend val="0"/>
        <outline val="0"/>
        <shadow val="0"/>
        <u val="none"/>
        <vertAlign val="baseline"/>
        <sz val="11"/>
        <color rgb="FF000000"/>
        <name val="Calibri"/>
        <family val="2"/>
        <charset val="1"/>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FFFFFF"/>
        <name val="Calibri"/>
        <family val="2"/>
        <charset val="1"/>
        <scheme val="none"/>
      </font>
      <fill>
        <patternFill patternType="solid">
          <fgColor indexed="64"/>
          <bgColor rgb="FF2C5697"/>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charset val="1"/>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C4D79B"/>
        </top>
        <bottom style="thin">
          <color rgb="FFC4D79B"/>
        </bottom>
        <vertical/>
        <horizontal/>
      </border>
    </dxf>
    <dxf>
      <border outline="0">
        <top style="thin">
          <color rgb="FFC4D79B"/>
        </top>
      </border>
    </dxf>
    <dxf>
      <border outline="0">
        <bottom style="thin">
          <color rgb="FFC4D79B"/>
        </bottom>
      </border>
    </dxf>
    <dxf>
      <border outline="0">
        <left style="thin">
          <color rgb="FFC4D79B"/>
        </left>
        <top style="thin">
          <color rgb="FFC4D79B"/>
        </top>
        <bottom style="thin">
          <color rgb="FFC4D79B"/>
        </bottom>
      </border>
    </dxf>
    <dxf>
      <font>
        <b val="0"/>
        <i val="0"/>
        <strike val="0"/>
        <condense val="0"/>
        <extend val="0"/>
        <outline val="0"/>
        <shadow val="0"/>
        <u val="none"/>
        <vertAlign val="baseline"/>
        <sz val="11"/>
        <color rgb="FF000000"/>
        <name val="Calibri"/>
        <family val="2"/>
        <charset val="1"/>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FFFFFF"/>
        <name val="Calibri"/>
        <family val="2"/>
        <charset val="1"/>
        <scheme val="none"/>
      </font>
      <fill>
        <patternFill patternType="solid">
          <fgColor indexed="64"/>
          <bgColor rgb="FF2C5697"/>
        </patternFill>
      </fill>
      <alignment horizontal="center" vertical="center" textRotation="0" wrapText="0" indent="0" justifyLastLine="0" shrinkToFit="0" readingOrder="0"/>
    </dxf>
    <dxf>
      <border outline="0">
        <left style="thin">
          <color rgb="FFBFBFBF"/>
        </left>
        <right style="thin">
          <color rgb="FFBFBFBF"/>
        </right>
      </border>
    </dxf>
    <dxf>
      <font>
        <b/>
        <i val="0"/>
        <strike val="0"/>
        <condense val="0"/>
        <extend val="0"/>
        <outline val="0"/>
        <shadow val="0"/>
        <u val="none"/>
        <vertAlign val="baseline"/>
        <sz val="10"/>
        <color rgb="FFFFFFFF"/>
        <name val="Arial"/>
        <family val="2"/>
        <scheme val="none"/>
      </font>
      <fill>
        <patternFill patternType="solid">
          <fgColor indexed="64"/>
          <bgColor rgb="FF2C5697"/>
        </patternFill>
      </fill>
      <alignment horizontal="center" vertical="center" textRotation="0" wrapText="0" indent="0" justifyLastLine="0" shrinkToFit="0" readingOrder="0"/>
    </dxf>
    <dxf>
      <font>
        <color rgb="FF9C0006"/>
      </font>
      <fill>
        <patternFill>
          <bgColor rgb="FFFFC7CE"/>
        </patternFill>
      </fill>
    </dxf>
    <dxf>
      <numFmt numFmtId="2" formatCode="0.00"/>
      <alignment horizontal="center"/>
    </dxf>
    <dxf>
      <numFmt numFmtId="0" formatCode="General"/>
      <alignment horizontal="center"/>
    </dxf>
    <dxf>
      <numFmt numFmtId="19" formatCode="d/mm/yyyy"/>
      <fill>
        <patternFill patternType="none">
          <fgColor indexed="64"/>
          <bgColor rgb="FFFFFF00"/>
        </patternFill>
      </fill>
      <alignment horizontal="center"/>
    </dxf>
    <dxf>
      <fill>
        <patternFill patternType="none">
          <fgColor indexed="64"/>
          <bgColor rgb="FFFFFF00"/>
        </patternFill>
      </fill>
      <alignment horizontal="center"/>
    </dxf>
    <dxf>
      <alignment horizontal="center"/>
    </dxf>
    <dxf>
      <numFmt numFmtId="0" formatCode="General"/>
    </dxf>
    <dxf>
      <numFmt numFmtId="0" formatCode="General"/>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family val="2"/>
        <scheme val="none"/>
      </font>
      <fill>
        <patternFill patternType="solid">
          <fgColor rgb="FF1F6B75"/>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alignment horizontal="center" vertical="center"/>
    </dxf>
    <dxf>
      <alignment horizontal="center" vertical="center"/>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0"/>
        <color rgb="FFFFFFFF"/>
        <name val="Arial"/>
        <family val="2"/>
        <scheme val="none"/>
      </font>
      <fill>
        <patternFill patternType="solid">
          <fgColor rgb="FF1F6B75"/>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color rgb="FF9C0006"/>
      </font>
      <fill>
        <patternFill>
          <bgColor rgb="FFFFC7CE"/>
        </patternFill>
      </fill>
    </dxf>
    <dxf>
      <alignment horizontal="center"/>
    </dxf>
    <dxf>
      <numFmt numFmtId="0" formatCode="General"/>
    </dxf>
    <dxf>
      <numFmt numFmtId="0" formatCode="General"/>
    </dxf>
    <dxf>
      <fill>
        <patternFill patternType="solid">
          <fgColor indexed="64"/>
          <bgColor theme="3"/>
        </patternFill>
      </fill>
      <alignment horizontal="center" vertical="center"/>
    </dxf>
    <dxf>
      <numFmt numFmtId="19" formatCode="d/mm/yyyy"/>
    </dxf>
    <dxf>
      <numFmt numFmtId="0" formatCode="General"/>
      <fill>
        <patternFill patternType="none">
          <fgColor indexed="64"/>
          <bgColor rgb="FFFFFF00"/>
        </patternFill>
      </fill>
    </dxf>
    <dxf>
      <fill>
        <patternFill patternType="none">
          <fgColor indexed="64"/>
          <bgColor auto="1"/>
        </patternFill>
      </fill>
      <alignment horizontal="center" vertical="center"/>
    </dxf>
    <dxf>
      <alignment wrapText="1"/>
    </dxf>
    <dxf>
      <numFmt numFmtId="0" formatCode="General"/>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ill>
        <patternFill patternType="none">
          <fgColor indexed="64"/>
          <bgColor rgb="FFFFFF00"/>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fill>
        <patternFill patternType="none">
          <fgColor indexed="64"/>
          <bgColor rgb="FFFFFF00"/>
        </patternFill>
      </fill>
      <alignment horizontal="center" vertical="bottom" textRotation="0" wrapText="0" indent="0" justifyLastLine="0" shrinkToFit="0" readingOrder="0"/>
    </dxf>
    <dxf>
      <numFmt numFmtId="1" formatCode="0"/>
      <alignment horizontal="center" vertical="center" textRotation="0" wrapText="0" indent="0" justifyLastLine="0" shrinkToFit="0" readingOrder="0"/>
    </dxf>
    <dxf>
      <numFmt numFmtId="1" formatCode="0"/>
      <fill>
        <patternFill patternType="none">
          <fgColor indexed="64"/>
          <bgColor rgb="FFFFFF00"/>
        </patternFill>
      </fill>
      <alignment horizontal="center" vertical="center"/>
    </dxf>
    <dxf>
      <numFmt numFmtId="19" formatCode="d/mm/yyyy"/>
    </dxf>
    <dxf>
      <numFmt numFmtId="19" formatCode="d/mm/yyyy"/>
    </dxf>
    <dxf>
      <alignment horizontal="center"/>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center" vertical="center"/>
    </dxf>
    <dxf>
      <alignment horizontal="general" vertical="bottom" textRotation="0" wrapText="0" indent="0" justifyLastLine="0" shrinkToFit="1" readingOrder="0"/>
    </dxf>
    <dxf>
      <numFmt numFmtId="0" formatCode="General"/>
      <alignment horizontal="center"/>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charset val="1"/>
        <scheme val="none"/>
      </font>
      <fill>
        <patternFill patternType="solid">
          <fgColor indexed="64"/>
          <bgColor rgb="FF2C5697"/>
        </patternFill>
      </fill>
      <alignment horizontal="center" vertical="center" textRotation="0" wrapText="1" indent="0" justifyLastLine="0" shrinkToFit="0" readingOrder="0"/>
      <border diagonalUp="0" diagonalDown="0">
        <left style="thin">
          <color rgb="FFBFBFBF"/>
        </left>
        <right style="thin">
          <color rgb="FFBFBFBF"/>
        </right>
        <top/>
        <bottom/>
      </border>
    </dxf>
    <dxf>
      <font>
        <color rgb="FF9C0006"/>
      </font>
      <fill>
        <patternFill>
          <bgColor rgb="FFFFC7CE"/>
        </patternFill>
      </fill>
    </dxf>
    <dxf>
      <numFmt numFmtId="0" formatCode="General"/>
    </dxf>
    <dxf>
      <fill>
        <patternFill patternType="none"/>
      </fill>
      <alignment horizontal="center"/>
    </dxf>
    <dxf>
      <fill>
        <patternFill patternType="none">
          <fgColor indexed="64"/>
          <bgColor indexed="65"/>
        </patternFill>
      </fill>
    </dxf>
    <dxf>
      <alignment wrapText="1"/>
    </dxf>
    <dxf>
      <alignment horizontal="center"/>
    </dxf>
    <dxf>
      <alignment horizontal="center" vertical="center"/>
    </dxf>
    <dxf>
      <numFmt numFmtId="19" formatCode="d/mm/yyyy"/>
      <alignment horizontal="center"/>
    </dxf>
    <dxf>
      <alignment horizontal="center"/>
    </dxf>
    <dxf>
      <font>
        <b val="0"/>
        <i val="0"/>
        <strike val="0"/>
        <condense val="0"/>
        <extend val="0"/>
        <outline val="0"/>
        <shadow val="0"/>
        <u val="none"/>
        <vertAlign val="baseline"/>
        <sz val="11"/>
        <color theme="1"/>
        <name val="Calibri"/>
        <family val="2"/>
        <charset val="1"/>
        <scheme val="none"/>
      </font>
      <fill>
        <patternFill patternType="solid">
          <fgColor theme="4" tint="0.79998168889431442"/>
          <bgColor theme="4" tint="0.79998168889431442"/>
        </patternFill>
      </fill>
      <alignment horizontal="center"/>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1"/>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charset val="1"/>
        <scheme val="none"/>
      </font>
      <fill>
        <patternFill patternType="solid">
          <fgColor rgb="FF1F6B75"/>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ill>
        <patternFill>
          <bgColor rgb="FFD9D9D9"/>
        </patternFill>
      </fill>
    </dxf>
    <dxf>
      <font>
        <b val="0"/>
        <i val="0"/>
        <strike val="0"/>
        <condense val="0"/>
        <extend val="0"/>
        <outline val="0"/>
        <shadow val="0"/>
        <u val="none"/>
        <vertAlign val="baseline"/>
        <sz val="9"/>
        <color rgb="FF4B5563"/>
        <name val="Calibri"/>
        <scheme val="none"/>
      </font>
      <fill>
        <patternFill patternType="solid">
          <fgColor rgb="FF000000"/>
          <bgColor rgb="FFFFFFFF"/>
        </patternFill>
      </fill>
      <alignment horizontal="left" vertical="center" textRotation="0" wrapText="1" indent="0" justifyLastLine="0" shrinkToFit="0" readingOrder="0"/>
      <border diagonalUp="0" diagonalDown="0" outline="0">
        <left/>
        <right/>
        <top/>
        <bottom style="thin">
          <color rgb="FFC8D2DC"/>
        </bottom>
      </border>
    </dxf>
    <dxf>
      <font>
        <b val="0"/>
        <i val="0"/>
        <strike val="0"/>
        <condense val="0"/>
        <extend val="0"/>
        <outline val="0"/>
        <shadow val="0"/>
        <u val="none"/>
        <vertAlign val="baseline"/>
        <sz val="10"/>
        <color rgb="FF1F2937"/>
        <name val="Calibri"/>
        <scheme val="none"/>
      </font>
      <fill>
        <patternFill patternType="solid">
          <fgColor rgb="FF000000"/>
          <bgColor rgb="FFFFFFFF"/>
        </patternFill>
      </fill>
      <alignment horizontal="left" vertical="center" textRotation="0" wrapText="1" indent="0" justifyLastLine="0" shrinkToFit="0" readingOrder="0"/>
      <border diagonalUp="0" diagonalDown="0" outline="0">
        <left/>
        <right/>
        <top/>
        <bottom style="thin">
          <color rgb="FFC8D2DC"/>
        </bottom>
      </border>
    </dxf>
    <dxf>
      <font>
        <b val="0"/>
        <i val="0"/>
        <strike val="0"/>
        <condense val="0"/>
        <extend val="0"/>
        <outline val="0"/>
        <shadow val="0"/>
        <u val="none"/>
        <vertAlign val="baseline"/>
        <sz val="10"/>
        <color rgb="FF1F2937"/>
        <name val="Calibri"/>
        <scheme val="none"/>
      </font>
      <fill>
        <patternFill patternType="solid">
          <fgColor rgb="FF000000"/>
          <bgColor rgb="FFFFFFFF"/>
        </patternFill>
      </fill>
      <alignment horizontal="left" vertical="center" textRotation="0" wrapText="1" indent="0" justifyLastLine="0" shrinkToFit="0" readingOrder="0"/>
      <border diagonalUp="0" diagonalDown="0" outline="0">
        <left/>
        <right/>
        <top/>
        <bottom style="thin">
          <color rgb="FFC8D2DC"/>
        </bottom>
      </border>
    </dxf>
    <dxf>
      <font>
        <b/>
        <i val="0"/>
        <strike val="0"/>
        <condense val="0"/>
        <extend val="0"/>
        <outline val="0"/>
        <shadow val="0"/>
        <u val="none"/>
        <vertAlign val="baseline"/>
        <sz val="10"/>
        <color rgb="FF003A70"/>
        <name val="Calibri"/>
        <scheme val="none"/>
      </font>
      <fill>
        <patternFill patternType="solid">
          <fgColor rgb="FF000000"/>
          <bgColor rgb="FFFFFFFF"/>
        </patternFill>
      </fill>
      <alignment horizontal="general" vertical="center" textRotation="0" wrapText="1" indent="0" justifyLastLine="0" shrinkToFit="0" readingOrder="0"/>
      <border diagonalUp="0" diagonalDown="0" outline="0">
        <left/>
        <right/>
        <top/>
        <bottom style="thin">
          <color rgb="FFC8D2DC"/>
        </bottom>
      </border>
    </dxf>
    <dxf>
      <border outline="0">
        <bottom style="thin">
          <color rgb="FFC8D2DC"/>
        </bottom>
      </border>
    </dxf>
    <dxf>
      <border outline="0">
        <left style="thin">
          <color rgb="FFC8D2DC"/>
        </left>
        <top style="thin">
          <color rgb="FFC8D2DC"/>
        </top>
        <bottom style="thin">
          <color rgb="FFC8D2DC"/>
        </bottom>
      </border>
    </dxf>
    <dxf>
      <alignment vertical="center" textRotation="0" wrapText="1" indent="0" justifyLastLine="0" shrinkToFit="0" readingOrder="0"/>
    </dxf>
    <dxf>
      <font>
        <b/>
        <i val="0"/>
        <strike val="0"/>
        <condense val="0"/>
        <extend val="0"/>
        <outline val="0"/>
        <shadow val="0"/>
        <u val="none"/>
        <vertAlign val="baseline"/>
        <sz val="10"/>
        <color rgb="FF003A70"/>
        <name val="Calibri"/>
        <scheme val="none"/>
      </font>
      <fill>
        <patternFill patternType="solid">
          <fgColor rgb="FF000000"/>
          <bgColor rgb="FFEAF3FA"/>
        </patternFill>
      </fill>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9999FF"/>
      <rgbColor rgb="FF7030A0"/>
      <rgbColor rgb="FFF2F7FF"/>
      <rgbColor rgb="FFEEF4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mruColors>
      <color rgb="FF2C5697"/>
      <color rgb="FFF8CD00"/>
      <color rgb="FF3A7D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EA33E3-A278-4494-9032-5867CEBB8724}" name="Tabla6" displayName="Tabla6" ref="B9:E18" totalsRowShown="0" headerRowDxfId="120" dataDxfId="119" headerRowBorderDxfId="117" tableBorderDxfId="118">
  <autoFilter ref="B9:E18" xr:uid="{F1EA33E3-A278-4494-9032-5867CEBB8724}"/>
  <tableColumns count="4">
    <tableColumn id="1" xr3:uid="{242A1C44-6388-43ED-94A0-5662981C09E9}" name="Hoja / módulo" dataDxfId="116"/>
    <tableColumn id="2" xr3:uid="{2E2C99D9-6080-44B1-9B63-0F9135166039}" name="Descripción" dataDxfId="115"/>
    <tableColumn id="3" xr3:uid="{53908F70-F6F9-4E54-9F2D-1C0B1FC223EA}" name="Cuándo usarla" dataDxfId="114"/>
    <tableColumn id="4" xr3:uid="{3408AA3E-A10A-4000-808B-D70B5F6A079E}" name="Campo clave" dataDxfId="1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61C56B-D0B8-4FC6-A755-EAEF75C6EC24}" name="Tbla_actores" displayName="Tbla_actores" ref="A1:Q3806" totalsRowShown="0" headerRowDxfId="111" headerRowBorderDxfId="109" tableBorderDxfId="110">
  <autoFilter ref="A1:Q3806" xr:uid="{9A61C56B-D0B8-4FC6-A755-EAEF75C6EC24}"/>
  <tableColumns count="17">
    <tableColumn id="5" xr3:uid="{CF21DA8E-0A75-4009-B4C5-08560EBDB021}" name="numero_documento" dataDxfId="108"/>
    <tableColumn id="17" xr3:uid="{195DEC3B-38BF-40B8-893C-C4ED0EB631EA}" name="tipo_documento" dataDxfId="107"/>
    <tableColumn id="1" xr3:uid="{C18AAFC5-14CB-4F19-834F-BD615C2DE7FC}" name="semestre_periodo" dataDxfId="106"/>
    <tableColumn id="2" xr3:uid="{0B86DC97-D539-45A5-ADE5-705A3CE4761A}" name="tipo_actor"/>
    <tableColumn id="3" xr3:uid="{C6C67DAC-9CB4-4975-A021-48572C30E0BB}" name="nombres_apellidos"/>
    <tableColumn id="6" xr3:uid="{23E0B3C3-9001-4D83-930C-5CE2239D5536}" name="fecha_nacimiento" dataDxfId="105"/>
    <tableColumn id="7" xr3:uid="{66A4FDFE-E27E-4DBB-BC75-24C8AF0238E5}" name="sexo" dataDxfId="104"/>
    <tableColumn id="8" xr3:uid="{B5A62D84-4E4E-4D7D-B569-66C6724F5E20}" name="correo_electronico"/>
    <tableColumn id="9" xr3:uid="{8DBE52D1-DC7A-4AC4-8950-C0A65FEB8222}" name="telefono" dataDxfId="103"/>
    <tableColumn id="10" xr3:uid="{612EA2FD-65F9-4260-9A92-DB8D47C11F22}" name="direccion"/>
    <tableColumn id="11" xr3:uid="{2C778F7C-E2A1-4E91-A43D-38462CF5D7A5}" name="carrera_programa" dataDxfId="102"/>
    <tableColumn id="12" xr3:uid="{4C58C19A-C624-49A7-8F75-BA42F6AC3EB6}" name="facultad" dataDxfId="101"/>
    <tableColumn id="13" xr3:uid="{DAED1FAD-52DF-4AF0-91F2-4866F2C7B4BF}" name="asignatura" dataDxfId="100"/>
    <tableColumn id="14" xr3:uid="{280ABBDB-6EB4-4E7E-A1D1-38C0F74BE379}" name="codigo_proyecto"/>
    <tableColumn id="4" xr3:uid="{695F06E3-5975-4CE3-9D13-2C14B5882995}" name="titulo_proyecto" dataDxfId="99">
      <calculatedColumnFormula>IFERROR(IF(Tbla_actores[[#This Row],[codigo_proyecto]]="","",_xlfn.XLOOKUP(Tbla_actores[[#This Row],[codigo_proyecto]],Proyectos!$A:$A,Proyectos!$C:$C)),"")</calculatedColumnFormula>
    </tableColumn>
    <tableColumn id="15" xr3:uid="{FBC25F84-0C4F-484A-9DE0-347C69448631}" name="informe_final(link)"/>
    <tableColumn id="16" xr3:uid="{D560A264-5F62-467A-B310-481424251466}"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8BC0FB-DA16-4DDA-9B2D-51443C5D6321}" name="Tbla_proyectos" displayName="Tbla_proyectos" ref="A1:Q273" totalsRowShown="0" headerRowDxfId="97" headerRowBorderDxfId="95" tableBorderDxfId="96">
  <autoFilter ref="A1:Q273" xr:uid="{138BC0FB-DA16-4DDA-9B2D-51443C5D6321}"/>
  <tableColumns count="17">
    <tableColumn id="1" xr3:uid="{744DC589-4078-4C9B-AE59-27021E5EF58A}" name="codigo_proyecto"/>
    <tableColumn id="2" xr3:uid="{322CDF99-7E08-4739-9C9C-E756B7138F50}" name="semestre" dataDxfId="94">
      <calculatedColumnFormula>LEFT(Tbla_proyectos[[#This Row],[codigo_proyecto]],4)</calculatedColumnFormula>
    </tableColumn>
    <tableColumn id="3" xr3:uid="{9497103B-80B2-45F6-A002-A42CEF92E43D}" name="titulo_proyecto" dataDxfId="93"/>
    <tableColumn id="4" xr3:uid="{DCD122AE-9910-440D-9551-DADADFA6ECBC}" name="tipo_proyecto" dataDxfId="92"/>
    <tableColumn id="5" xr3:uid="{FF0D3F9D-A17A-4EC9-BE47-D0A36276A282}" name="objetivos" dataDxfId="91"/>
    <tableColumn id="16" xr3:uid="{A35D93E8-75DF-4F5D-982D-3F7B38B1E088}" name="tematica" dataDxfId="90"/>
    <tableColumn id="6" xr3:uid="{BB71716C-B2B8-4B0D-BB3C-DA84A54DF398}" name="tipo_actividades" dataDxfId="89"/>
    <tableColumn id="8" xr3:uid="{CE27FDBD-7FEC-49CA-A5F2-CCBBD8A788EE}" name="encargado_docente"/>
    <tableColumn id="7" xr3:uid="{C4E7A00E-DB26-4563-9242-213C775B2760}" name="fecha_inicio" dataDxfId="88"/>
    <tableColumn id="9" xr3:uid="{A54A764D-1031-46EC-A760-9A7188F229A7}" name="fecha_fin" dataDxfId="87"/>
    <tableColumn id="10" xr3:uid="{54F7C46E-B7C3-4476-8443-0BC499FEEF26}" name="duracion_meses" dataDxfId="86">
      <calculatedColumnFormula>IF(OR(Tbla_proyectos[[#This Row],[fecha_inicio]]="",Tbla_proyectos[[#This Row],[fecha_fin]]=""),"",DATEDIF(Tbla_proyectos[[#This Row],[fecha_inicio]],Tbla_proyectos[[#This Row],[fecha_fin]],"M"))</calculatedColumnFormula>
    </tableColumn>
    <tableColumn id="12" xr3:uid="{F9042A56-9FB0-4138-B06C-45544659164F}" name="departamento" dataDxfId="85"/>
    <tableColumn id="11" xr3:uid="{FECBC21C-C517-4399-AD62-99B968A38C64}" name="municipio" dataDxfId="84"/>
    <tableColumn id="14" xr3:uid="{4533B468-EB65-4CBD-9E46-99080C5CFD0E}" name="latitud" dataDxfId="83">
      <calculatedColumnFormula>IF(Tbla_proyectos[[#This Row],[municipio]]="","",VLOOKUP(Tbla_proyectos[[#This Row],[municipio]],INDIRECT(Tbla_proyectos[[#This Row],[departamento]]),2,0))</calculatedColumnFormula>
    </tableColumn>
    <tableColumn id="17" xr3:uid="{460C92D3-1613-414A-BB5F-54155D24CC89}" name="longitud" dataDxfId="82">
      <calculatedColumnFormula>IF(Tbla_proyectos[[#This Row],[municipio]]="","",VLOOKUP(Tbla_proyectos[[#This Row],[municipio]],INDIRECT(Tbla_proyectos[[#This Row],[departamento]]),2,0))</calculatedColumnFormula>
    </tableColumn>
    <tableColumn id="13" xr3:uid="{0ED54B0A-E5CA-4D2C-BDB1-ABF282122CEC}" name="estado" dataDxfId="81"/>
    <tableColumn id="15" xr3:uid="{A2E9950D-A9EE-4707-AACC-59223063930C}" name="observacion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6B7F93-5B57-4313-93A5-0537F7EC9FEF}" name="Tbla_entidades" displayName="Tbla_entidades" ref="A1:O127" totalsRowShown="0" headerRowDxfId="79" headerRowBorderDxfId="77" tableBorderDxfId="78">
  <autoFilter ref="A1:O127" xr:uid="{146B7F93-5B57-4313-93A5-0537F7EC9FEF}"/>
  <sortState xmlns:xlrd2="http://schemas.microsoft.com/office/spreadsheetml/2017/richdata2" ref="A2:O127">
    <sortCondition ref="B1:B127"/>
  </sortState>
  <tableColumns count="15">
    <tableColumn id="1" xr3:uid="{B0A58EF7-0024-488C-BB5B-B8E969E24E23}" name="NIT"/>
    <tableColumn id="2" xr3:uid="{BA7A08C5-DF70-4E65-8419-A2FCD844377C}" name="codigo_entidad" dataDxfId="76">
      <calculatedColumnFormula array="1">_xlfn.LET(_xlpm._nit,TRIM(A2&amp;""),_xlpm._rs,TRIM(UPPER(C2&amp;"")),_xlpm._txt,TRIM(SUBSTITUTE(SUBSTITUTE(SUBSTITUTE(SUBSTITUTE(SUBSTITUTE(SUBSTITUTE(SUBSTITUTE(_xlpm._rs,".",""),",","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calculatedColumnFormula>
    </tableColumn>
    <tableColumn id="3" xr3:uid="{171834E9-51BE-4A55-8C23-833E3505B295}" name="razon_social" dataDxfId="75"/>
    <tableColumn id="4" xr3:uid="{11CCA514-A027-44B8-97DD-6F2BC52FFB01}" name="sector_economico"/>
    <tableColumn id="15" xr3:uid="{82DAAD48-0E62-49AB-963B-FE7058DB77A0}" name="CIUU" dataDxfId="74"/>
    <tableColumn id="16" xr3:uid="{71FAA445-5045-428C-8BDB-DF113561CA5A}" name="CIUU_descripcion" dataDxfId="73">
      <calculatedColumnFormula>IF(Tbla_entidades[[#This Row],[CIUU]]="","",_xlfn.XLOOKUP(Tbla_entidades[[#This Row],[CIUU]],Listas!$N:$N,Listas!$O:$O,""))</calculatedColumnFormula>
    </tableColumn>
    <tableColumn id="6" xr3:uid="{B6B71900-7E67-4DA5-BAEF-4488CF092C83}" name="correo_entidad"/>
    <tableColumn id="7" xr3:uid="{A0EB8572-A29B-45CC-AC2E-7BB1FA3E6D20}" name="telef_principal"/>
    <tableColumn id="8" xr3:uid="{AEC97A62-F514-47AD-BA1F-FE8372592C55}" name="direccion"/>
    <tableColumn id="9" xr3:uid="{273C3302-158F-452D-B47E-58DDFF5B214D}" name="localidad"/>
    <tableColumn id="10" xr3:uid="{D8A28282-93D3-4D04-986A-C700A244F788}" name="municipio"/>
    <tableColumn id="11" xr3:uid="{4394F423-3895-4188-A373-38DD9DAB535F}" name="estado_convenio_javelex"/>
    <tableColumn id="12" xr3:uid="{2E8C54F8-ABD3-4E1F-A18D-5288BBC51CBE}" name="num_convenio_javelex"/>
    <tableColumn id="13" xr3:uid="{FF8E6B8C-5097-48C4-B701-722638AFD8A6}" name="fecha_vencimiento_convenio" dataDxfId="72"/>
    <tableColumn id="14" xr3:uid="{422C28A6-5A19-402E-A74F-04E38931C40D}" name="observacion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EF8194-BFAA-4129-97F6-419C0E20E9C6}" name="Tbla_proyectos_socios" displayName="Tbla_proyectos_socios" ref="A1:E272" totalsRowShown="0" headerRowDxfId="71">
  <autoFilter ref="A1:E272" xr:uid="{1DEF8194-BFAA-4129-97F6-419C0E20E9C6}"/>
  <tableColumns count="5">
    <tableColumn id="1" xr3:uid="{6DC6D887-438A-4EB6-A560-91D81C65A5AA}" name="codigo_proyecto"/>
    <tableColumn id="2" xr3:uid="{AEF976D7-7B71-40C4-A95F-05057D84A807}" name="razon_social"/>
    <tableColumn id="4" xr3:uid="{81655B17-6545-48CB-8C16-9EA6E62A3856}" name="codigo_entidad" dataDxfId="70">
      <calculatedColumnFormula>IF(B2="","",IFERROR(_xlfn.XLOOKUP(B2,Entidades!$C:$C,Entidades!$B:$B,""),""))</calculatedColumnFormula>
    </tableColumn>
    <tableColumn id="5" xr3:uid="{6AC103E0-062F-4B6C-B847-256E73A3ED47}" name="titulo_proyecto" dataDxfId="69">
      <calculatedColumnFormula>IF(A2="","",IFERROR(_xlfn.XLOOKUP(A2,Proyectos!A:A,Proyectos!C:C,""),""))</calculatedColumnFormula>
    </tableColumn>
    <tableColumn id="3" xr3:uid="{54342CF7-E49F-407A-8025-E72592665318}" name="tipo_relacion" dataDxfId="6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665EE1C-DD79-438D-B1F6-D632A2221D88}" name="Tbla_Metas_Indicador" displayName="Tbla_Metas_Indicador" ref="A1:J4" totalsRowShown="0" headerRowDxfId="65">
  <autoFilter ref="A1:J4" xr:uid="{1665EE1C-DD79-438D-B1F6-D632A2221D88}"/>
  <tableColumns count="10">
    <tableColumn id="1" xr3:uid="{03A30BCF-5D53-4214-A2D8-4E16602D5C78}" name="codigo_proyecto"/>
    <tableColumn id="2" xr3:uid="{2F71AA6C-CF47-49B8-BDEC-FC6018D80980}" name="codigo_indicador"/>
    <tableColumn id="3" xr3:uid="{9F8E0135-A9BC-4BA9-9209-8EE77D075FB0}" name="codigo_meta" dataDxfId="64">
      <calculatedColumnFormula>Tbla_Metas_Indicador[[#This Row],[codigo_proyecto]]&amp;Tbla_Metas_Indicador[[#This Row],[codigo_indicador]]</calculatedColumnFormula>
    </tableColumn>
    <tableColumn id="4" xr3:uid="{E436590A-9B2F-4A30-9A7E-C43419EC4661}" name="familia_indicador" dataDxfId="63">
      <calculatedColumnFormula>IFERROR(VLOOKUP(Tbla_Metas_Indicador[[#This Row],[codigo_indicador]],Tbla_Bateria_Indicadores[],2,0),"")</calculatedColumnFormula>
    </tableColumn>
    <tableColumn id="5" xr3:uid="{79CB4BE4-CC28-44DC-B620-60BF7CA5748F}" name="sub_familia_indicador" dataDxfId="62">
      <calculatedColumnFormula>IFERROR(VLOOKUP(Tbla_Metas_Indicador[[#This Row],[codigo_indicador]],Tbla_Bateria_Indicadores[],3,0),"")</calculatedColumnFormula>
    </tableColumn>
    <tableColumn id="6" xr3:uid="{8703FDD2-571D-4C5D-8F26-01140E02E879}" name="descripcion del indicador" dataDxfId="61">
      <calculatedColumnFormula>IFERROR(VLOOKUP(Tbla_Metas_Indicador[[#This Row],[codigo_indicador]],Tbla_Bateria_Indicadores[],4,0),"")</calculatedColumnFormula>
    </tableColumn>
    <tableColumn id="7" xr3:uid="{2FEED20E-8299-451D-B9B4-E92F745DC1A9}" name="tipo_indicador " dataDxfId="60">
      <calculatedColumnFormula>IFERROR(VLOOKUP(Tbla_Metas_Indicador[[#This Row],[codigo_indicador]],Tbla_Bateria_Indicadores[],5,0),"")</calculatedColumnFormula>
    </tableColumn>
    <tableColumn id="8" xr3:uid="{B3B87562-0A07-4A8D-BF4B-BBBD587DABEE}" name="periodicidad" dataDxfId="59"/>
    <tableColumn id="9" xr3:uid="{C3BD47F1-8432-4684-B5D5-1B324525A282}" name="meta_indicador" dataDxfId="58"/>
    <tableColumn id="10" xr3:uid="{558F77A6-28FB-41E5-BC3E-A30463C0111D}" name="observacio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0DC647-43D8-4C45-931C-8446FDBAF67C}" name="Tbla_Bateria_Indicadores" displayName="Tbla_Bateria_Indicadores" ref="A1:E4" totalsRowShown="0" headerRowDxfId="57" headerRowBorderDxfId="55" tableBorderDxfId="56">
  <autoFilter ref="A1:E4" xr:uid="{460DC647-43D8-4C45-931C-8446FDBAF67C}"/>
  <tableColumns count="5">
    <tableColumn id="1" xr3:uid="{C42890E7-4DA9-4FE1-8782-E1831CF36BCF}" name="codigo_indicador" dataDxfId="54">
      <calculatedColumnFormula>IFERROR(IF(Tbla_Bateria_Indicadores[[#This Row],[familia_indicador]]="","",UPPER(LEFT(Tbla_Bateria_Indicadores[[#This Row],[familia_indicador]],3)&amp;LEFT(Tbla_Bateria_Indicadores[[#This Row],[sub_familia_indicador]],3)&amp;"-"&amp;(ROW(Tbla_Bateria_Indicadores[[#This Row],[tipo_indicador ]])-1))),"")</calculatedColumnFormula>
    </tableColumn>
    <tableColumn id="2" xr3:uid="{7600B187-2645-465D-909F-13E833B0F25E}" name="familia_indicador"/>
    <tableColumn id="3" xr3:uid="{9BCCC538-C755-454D-A279-0D092CC0238E}" name="sub_familia_indicador"/>
    <tableColumn id="4" xr3:uid="{2D3A8FBC-717F-4BD0-8CA4-E66D811B3B8C}" name="descripcion_indicador"/>
    <tableColumn id="5" xr3:uid="{A921EB6F-FCAB-405B-81C6-38664DD12489}" name="tipo_indicador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88DF6FB-6B4A-49E6-9BA4-768DDC14A3DD}" name="Tbla_seguimiento_Indicador" displayName="Tbla_seguimiento_Indicador" ref="A1:K5" totalsRowShown="0" headerRowDxfId="53" headerRowBorderDxfId="51" tableBorderDxfId="52">
  <autoFilter ref="A1:K5" xr:uid="{988DF6FB-6B4A-49E6-9BA4-768DDC14A3DD}"/>
  <tableColumns count="11">
    <tableColumn id="8" xr3:uid="{166EF0FF-71D9-4F58-88BE-3CA0702757A9}" name="Codigo_proyecto"/>
    <tableColumn id="1" xr3:uid="{3B40230E-3877-4C04-863A-992B31CE69B0}" name="codigo_indicador"/>
    <tableColumn id="10" xr3:uid="{5B78328B-6198-497A-9204-04440DEFA22A}" name="codigo_meta" dataDxfId="50">
      <calculatedColumnFormula>Tbla_seguimiento_Indicador[[#This Row],[Codigo_proyecto]]&amp;Tbla_seguimiento_Indicador[[#This Row],[codigo_indicador]]</calculatedColumnFormula>
    </tableColumn>
    <tableColumn id="2" xr3:uid="{86C95BC5-408A-4106-9F1E-696972D9F4B9}" name="descripcion_indicador" dataDxfId="49">
      <calculatedColumnFormula>IFERROR(VLOOKUP(Tbla_seguimiento_Indicador[[#This Row],[codigo_indicador]],Tbla_Bateria_Indicadores[],4,0),"")</calculatedColumnFormula>
    </tableColumn>
    <tableColumn id="12" xr3:uid="{DD5E9DDE-F736-4692-AE63-3EBC5A144A59}" name="periodicidad" dataDxfId="48"/>
    <tableColumn id="3" xr3:uid="{9C3C9597-2324-468B-B764-11EBD492CACD}" name="descripcion_avance"/>
    <tableColumn id="4" xr3:uid="{42B5DBBE-EF98-4080-8CF6-79470EB919E4}" name="periodo_avance" dataDxfId="47"/>
    <tableColumn id="5" xr3:uid="{1FCD8EFF-A6AF-4EE3-9CA1-3436C45A58B3}" name="fecha_registro" dataDxfId="46"/>
    <tableColumn id="6" xr3:uid="{03FFDC9B-FCA3-4A22-8037-5DDD395AA8C3}" name="valor_avance"/>
    <tableColumn id="9" xr3:uid="{82E385D4-52A0-41F3-8E9E-4A0412C47DC1}" name="meta_Indicador" dataDxfId="45">
      <calculatedColumnFormula>IFERROR(_xlfn.XLOOKUP(Tbla_seguimiento_Indicador[[#This Row],[Codigo_proyecto]]&amp;Tbla_seguimiento_Indicador[[#This Row],[codigo_indicador]],Tbla_Metas_Indicador[codigo_meta],Tbla_Metas_Indicador[meta_indicador]),"")</calculatedColumnFormula>
    </tableColumn>
    <tableColumn id="7" xr3:uid="{D93F5515-600C-4559-88AF-AEDC039DD6A5}" name="porcentaje de cumplimineto" dataDxfId="44">
      <calculatedColumnFormula>IFERROR(+Tbla_seguimiento_Indicador[[#This Row],[valor_avance]]/Tbla_seguimiento_Indicador[[#This Row],[meta_Indicador]],0)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8048E7-9887-4AA0-8ACD-7D2D1E83597C}" name="TbalEstadoProyectp" displayName="TbalEstadoProyectp" ref="M1:M6" totalsRowShown="0" headerRowDxfId="42" tableBorderDxfId="41">
  <autoFilter ref="M1:M6" xr:uid="{098048E7-9887-4AA0-8ACD-7D2D1E83597C}"/>
  <tableColumns count="1">
    <tableColumn id="2" xr3:uid="{9DECA71D-414B-47C5-9316-5F3C0BD1A477}" name="ESTADO DEL PROYECT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7094D3-DA4D-4980-9B01-98775CA84FBC}" name="Tabla9" displayName="Tabla9" ref="N1:N507" totalsRowShown="0" headerRowDxfId="40" dataDxfId="39" headerRowBorderDxfId="37" tableBorderDxfId="38" totalsRowBorderDxfId="36">
  <autoFilter ref="N1:N507" xr:uid="{A97094D3-DA4D-4980-9B01-98775CA84FBC}"/>
  <tableColumns count="1">
    <tableColumn id="1" xr3:uid="{3031D3A3-3A34-43A0-B882-71F5B6D77494}" name="CIUU" dataDxfId="3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B04A03-9D50-4FB2-94B8-05D52B49D13C}" name="Tabla10" displayName="Tabla10" ref="O1:O507" totalsRowShown="0" headerRowDxfId="34" dataDxfId="33" headerRowBorderDxfId="31" tableBorderDxfId="32" totalsRowBorderDxfId="30">
  <autoFilter ref="O1:O507" xr:uid="{45B04A03-9D50-4FB2-94B8-05D52B49D13C}"/>
  <tableColumns count="1">
    <tableColumn id="1" xr3:uid="{4F5F19CF-8B05-432D-B502-D8292E09E14F}" name="DESCRIPCIÓN CIUU" dataDxfId="2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755EAA3-CBD4-4650-A948-B1D741204069}" name="Tabla14" displayName="Tabla14" ref="L1:L4" totalsRowShown="0" headerRowDxfId="28" tableBorderDxfId="27">
  <autoFilter ref="L1:L4" xr:uid="{B755EAA3-CBD4-4650-A948-B1D741204069}"/>
  <tableColumns count="1">
    <tableColumn id="1" xr3:uid="{75F7C8D0-3D72-4D3A-A971-0404CD1B334C}" name="TIPO RELACIÓ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41532D8-FF18-4DF9-A1D2-07AD188B76FC}" name="Tabla15" displayName="Tabla15" ref="F1:F9" totalsRowShown="0" headerRowDxfId="26" headerRowBorderDxfId="24" tableBorderDxfId="25">
  <autoFilter ref="F1:F9" xr:uid="{541532D8-FF18-4DF9-A1D2-07AD188B76FC}"/>
  <tableColumns count="1">
    <tableColumn id="1" xr3:uid="{CD55390D-2D82-42EE-8AAE-DE1F43F3ACA6}" name="Programa"/>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8CC3B08-7603-4CDB-8680-0BC1ABD31F11}" name="Tabla16" displayName="Tabla16" ref="P1:R8" totalsRowShown="0" headerRowDxfId="23" dataDxfId="22" headerRowBorderDxfId="21">
  <autoFilter ref="P1:R8" xr:uid="{F8CC3B08-7603-4CDB-8680-0BC1ABD31F11}"/>
  <tableColumns count="3">
    <tableColumn id="1" xr3:uid="{0D029678-F91D-4785-A33B-0943E86AA43E}" name="FAMILIA INDICADORES" dataDxfId="20"/>
    <tableColumn id="2" xr3:uid="{1BC2A7D3-2315-49D4-A0D4-18041B252ECE}" name="PERIODICIDAD" dataDxfId="19"/>
    <tableColumn id="4" xr3:uid="{8D0D3E10-E80B-4EA4-BE65-27215E3DF32F}" name="TIPO INDICADOR" dataDxfId="1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DE18674-4E81-4F93-94D5-841C2B0B47D3}" name="LST_DEPARTAMENTO" displayName="LST_DEPARTAMENTO" ref="W1:Y34" totalsRowShown="0" headerRowDxfId="17" headerRowBorderDxfId="15" tableBorderDxfId="16">
  <autoFilter ref="W1:Y34" xr:uid="{DDE18674-4E81-4F93-94D5-841C2B0B47D3}"/>
  <tableColumns count="3">
    <tableColumn id="1" xr3:uid="{655903E5-C86F-4FA3-A5A3-A4DCFDA8CEAC}" name="DEPARTAMENTO" dataDxfId="14"/>
    <tableColumn id="2" xr3:uid="{15AEB318-D39B-4193-82B9-8EBB9FE254D7}" name="LATITUD DEPARTAMENTO" dataDxfId="13"/>
    <tableColumn id="3" xr3:uid="{9445CF73-4FB5-4DD6-A8E9-1908D7072C29}" name="LONGITUD DEPARTAMENTO" dataDxfId="1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D778DF-8EB1-447E-BB41-D755D617DD4C}" name="Tabla8" displayName="Tabla8" ref="S1:V1122" totalsRowShown="0" headerRowDxfId="11" headerRowBorderDxfId="9" tableBorderDxfId="10">
  <autoFilter ref="S1:V1122" xr:uid="{43D778DF-8EB1-447E-BB41-D755D617DD4C}"/>
  <tableColumns count="4">
    <tableColumn id="1" xr3:uid="{5C16D8F2-0E95-4DC5-BEC1-E19788EC9974}" name="NOM_DEPART" dataDxfId="8"/>
    <tableColumn id="2" xr3:uid="{FA571CC3-0965-44C2-A8BA-F2BEE0B9405A}" name="MUNICIPIO" dataDxfId="7"/>
    <tableColumn id="3" xr3:uid="{AFA02E06-2E9F-45EA-814D-B49B65BCB95E}" name="LATITUD MUNICIPIO" dataDxfId="6"/>
    <tableColumn id="4" xr3:uid="{DAA1C023-CB0F-4B80-AB28-95091B0898BD}" name="LONGITUD MUNICIPO" dataDxfId="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8601DA0-BF0F-42E5-8107-B160D673FFDD}" name="Tabla17" displayName="Tabla17" ref="A1:B18" totalsRowShown="0" headerRowBorderDxfId="3" tableBorderDxfId="4" totalsRowBorderDxfId="2">
  <autoFilter ref="A1:B18" xr:uid="{78601DA0-BF0F-42E5-8107-B160D673FFDD}"/>
  <tableColumns count="2">
    <tableColumn id="1" xr3:uid="{6D2E3764-08FD-411B-B5BB-0578140FD91D}" name="ODS" dataDxfId="1"/>
    <tableColumn id="2" xr3:uid="{6EC71EF2-7C3B-4016-84B3-64DE8F3C7E55}" name="NOMBRE O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0A5D-A913-4352-9CD9-F1AC2FC1AE27}">
  <sheetPr>
    <tabColor rgb="FFF8CD00"/>
  </sheetPr>
  <dimension ref="A2:E18"/>
  <sheetViews>
    <sheetView showGridLines="0" workbookViewId="0">
      <selection activeCell="H10" sqref="H10"/>
    </sheetView>
  </sheetViews>
  <sheetFormatPr defaultColWidth="9.140625" defaultRowHeight="15" customHeight="1"/>
  <cols>
    <col min="1" max="1" width="5" customWidth="1"/>
    <col min="2" max="2" width="20.7109375" customWidth="1"/>
    <col min="3" max="3" width="46.85546875" customWidth="1"/>
    <col min="4" max="4" width="42.7109375" customWidth="1"/>
    <col min="5" max="5" width="23.28515625" customWidth="1"/>
    <col min="6" max="6" width="11.7109375" customWidth="1"/>
  </cols>
  <sheetData>
    <row r="2" spans="2:5" ht="23.25">
      <c r="B2" s="117" t="s">
        <v>0</v>
      </c>
      <c r="C2" s="117"/>
      <c r="D2" s="117"/>
      <c r="E2" s="117"/>
    </row>
    <row r="3" spans="2:5" ht="15" customHeight="1">
      <c r="B3" s="118" t="s">
        <v>1</v>
      </c>
      <c r="C3" s="118"/>
      <c r="D3" s="118"/>
      <c r="E3" s="118"/>
    </row>
    <row r="4" spans="2:5" ht="6.75" customHeight="1">
      <c r="B4" s="104" t="s">
        <v>2</v>
      </c>
      <c r="C4" s="104" t="s">
        <v>2</v>
      </c>
      <c r="D4" s="104" t="s">
        <v>2</v>
      </c>
      <c r="E4" s="104" t="s">
        <v>2</v>
      </c>
    </row>
    <row r="5" spans="2:5" ht="28.5" customHeight="1">
      <c r="B5" s="119" t="s">
        <v>3</v>
      </c>
      <c r="C5" s="120"/>
      <c r="D5" s="120"/>
      <c r="E5" s="120"/>
    </row>
    <row r="6" spans="2:5" ht="25.5" customHeight="1">
      <c r="B6" s="121" t="s">
        <v>4</v>
      </c>
      <c r="C6" s="122"/>
      <c r="D6" s="122"/>
      <c r="E6" s="122"/>
    </row>
    <row r="7" spans="2:5">
      <c r="B7" s="83" t="s">
        <v>2</v>
      </c>
      <c r="C7" s="83" t="s">
        <v>2</v>
      </c>
      <c r="D7" s="83" t="s">
        <v>2</v>
      </c>
      <c r="E7" s="83" t="s">
        <v>2</v>
      </c>
    </row>
    <row r="8" spans="2:5" ht="28.5" customHeight="1">
      <c r="B8" s="123" t="s">
        <v>5</v>
      </c>
      <c r="C8" s="123"/>
      <c r="D8" s="123"/>
      <c r="E8" s="123"/>
    </row>
    <row r="9" spans="2:5" ht="39.75" customHeight="1">
      <c r="B9" s="84" t="s">
        <v>6</v>
      </c>
      <c r="C9" s="84" t="s">
        <v>7</v>
      </c>
      <c r="D9" s="84" t="s">
        <v>8</v>
      </c>
      <c r="E9" s="84" t="s">
        <v>9</v>
      </c>
    </row>
    <row r="10" spans="2:5" ht="45" customHeight="1">
      <c r="B10" s="85" t="s">
        <v>10</v>
      </c>
      <c r="C10" s="109" t="s">
        <v>11</v>
      </c>
      <c r="D10" s="109" t="s">
        <v>12</v>
      </c>
      <c r="E10" s="110" t="s">
        <v>13</v>
      </c>
    </row>
    <row r="11" spans="2:5" ht="53.45" customHeight="1">
      <c r="B11" s="86" t="s">
        <v>14</v>
      </c>
      <c r="C11" s="111" t="s">
        <v>15</v>
      </c>
      <c r="D11" s="111" t="s">
        <v>16</v>
      </c>
      <c r="E11" s="112" t="s">
        <v>17</v>
      </c>
    </row>
    <row r="12" spans="2:5" ht="45" customHeight="1">
      <c r="B12" s="85" t="s">
        <v>18</v>
      </c>
      <c r="C12" s="109" t="s">
        <v>19</v>
      </c>
      <c r="D12" s="109" t="s">
        <v>20</v>
      </c>
      <c r="E12" s="110" t="s">
        <v>21</v>
      </c>
    </row>
    <row r="13" spans="2:5" ht="45" customHeight="1">
      <c r="B13" s="86" t="s">
        <v>22</v>
      </c>
      <c r="C13" s="111" t="s">
        <v>23</v>
      </c>
      <c r="D13" s="111" t="s">
        <v>24</v>
      </c>
      <c r="E13" s="112" t="s">
        <v>25</v>
      </c>
    </row>
    <row r="14" spans="2:5" ht="45" customHeight="1">
      <c r="B14" s="85" t="s">
        <v>26</v>
      </c>
      <c r="C14" s="109" t="s">
        <v>27</v>
      </c>
      <c r="D14" s="109" t="s">
        <v>28</v>
      </c>
      <c r="E14" s="110" t="s">
        <v>29</v>
      </c>
    </row>
    <row r="15" spans="2:5" ht="45" customHeight="1">
      <c r="B15" s="86" t="s">
        <v>30</v>
      </c>
      <c r="C15" s="111" t="s">
        <v>31</v>
      </c>
      <c r="D15" s="111" t="s">
        <v>32</v>
      </c>
      <c r="E15" s="112" t="s">
        <v>33</v>
      </c>
    </row>
    <row r="16" spans="2:5" ht="45" customHeight="1">
      <c r="B16" s="85" t="s">
        <v>34</v>
      </c>
      <c r="C16" s="109" t="s">
        <v>35</v>
      </c>
      <c r="D16" s="109" t="s">
        <v>36</v>
      </c>
      <c r="E16" s="110" t="s">
        <v>37</v>
      </c>
    </row>
    <row r="17" spans="1:5" ht="45" customHeight="1">
      <c r="A17" s="44"/>
      <c r="B17" s="115" t="s">
        <v>38</v>
      </c>
      <c r="C17" s="111" t="s">
        <v>39</v>
      </c>
      <c r="D17" s="111" t="s">
        <v>40</v>
      </c>
      <c r="E17" s="112" t="s">
        <v>41</v>
      </c>
    </row>
    <row r="18" spans="1:5" ht="45" customHeight="1">
      <c r="A18" s="44"/>
      <c r="B18" s="116" t="s">
        <v>42</v>
      </c>
      <c r="C18" s="113" t="s">
        <v>43</v>
      </c>
      <c r="D18" s="113" t="s">
        <v>44</v>
      </c>
      <c r="E18" s="114" t="s">
        <v>45</v>
      </c>
    </row>
  </sheetData>
  <mergeCells count="5">
    <mergeCell ref="B2:E2"/>
    <mergeCell ref="B3:E3"/>
    <mergeCell ref="B5:E5"/>
    <mergeCell ref="B6:E6"/>
    <mergeCell ref="B8:E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C5697"/>
  </sheetPr>
  <dimension ref="A1:T3806"/>
  <sheetViews>
    <sheetView zoomScaleNormal="100" workbookViewId="0">
      <pane ySplit="1" topLeftCell="A2293" activePane="bottomLeft" state="frozen"/>
      <selection pane="bottomLeft" activeCell="E2303" sqref="E2303"/>
      <selection activeCell="F3" sqref="F3"/>
    </sheetView>
  </sheetViews>
  <sheetFormatPr defaultColWidth="8.7109375" defaultRowHeight="15"/>
  <cols>
    <col min="1" max="1" width="21" customWidth="1"/>
    <col min="2" max="2" width="16.42578125" style="62" customWidth="1"/>
    <col min="3" max="3" width="22.5703125" style="62" customWidth="1"/>
    <col min="4" max="4" width="24" customWidth="1"/>
    <col min="5" max="5" width="56.7109375" bestFit="1" customWidth="1"/>
    <col min="6" max="6" width="24" style="62" customWidth="1"/>
    <col min="7" max="7" width="17" style="15" bestFit="1" customWidth="1"/>
    <col min="8" max="8" width="38.140625" bestFit="1" customWidth="1"/>
    <col min="9" max="9" width="24" style="62" customWidth="1"/>
    <col min="10" max="12" width="24" customWidth="1"/>
    <col min="13" max="13" width="17" style="62" customWidth="1"/>
    <col min="14" max="14" width="24" customWidth="1"/>
    <col min="15" max="15" width="37.85546875" customWidth="1"/>
    <col min="16" max="16" width="35" customWidth="1"/>
    <col min="17" max="17" width="30" customWidth="1"/>
  </cols>
  <sheetData>
    <row r="1" spans="1:20" ht="30.2" customHeight="1">
      <c r="A1" s="66" t="s">
        <v>13</v>
      </c>
      <c r="B1" s="66" t="s">
        <v>46</v>
      </c>
      <c r="C1" s="67" t="s">
        <v>47</v>
      </c>
      <c r="D1" s="67" t="s">
        <v>48</v>
      </c>
      <c r="E1" s="67" t="s">
        <v>49</v>
      </c>
      <c r="F1" s="67" t="s">
        <v>50</v>
      </c>
      <c r="G1" s="67" t="s">
        <v>51</v>
      </c>
      <c r="H1" s="67" t="s">
        <v>52</v>
      </c>
      <c r="I1" s="67" t="s">
        <v>53</v>
      </c>
      <c r="J1" s="67" t="s">
        <v>54</v>
      </c>
      <c r="K1" s="67" t="s">
        <v>55</v>
      </c>
      <c r="L1" s="67" t="s">
        <v>56</v>
      </c>
      <c r="M1" s="67" t="s">
        <v>57</v>
      </c>
      <c r="N1" s="67" t="s">
        <v>17</v>
      </c>
      <c r="O1" s="68" t="s">
        <v>58</v>
      </c>
      <c r="P1" s="3" t="s">
        <v>59</v>
      </c>
      <c r="Q1" s="3" t="s">
        <v>60</v>
      </c>
    </row>
    <row r="2" spans="1:20" ht="14.25" customHeight="1">
      <c r="A2" s="9">
        <v>1013676963</v>
      </c>
      <c r="B2" s="63" t="s">
        <v>61</v>
      </c>
      <c r="C2" s="62" t="s">
        <v>62</v>
      </c>
      <c r="D2" t="s">
        <v>63</v>
      </c>
      <c r="E2" t="s">
        <v>64</v>
      </c>
      <c r="F2" s="61">
        <v>35733</v>
      </c>
      <c r="G2" s="15" t="s">
        <v>65</v>
      </c>
      <c r="H2" t="s">
        <v>66</v>
      </c>
      <c r="I2" s="62" t="s">
        <v>67</v>
      </c>
      <c r="K2" s="36" t="s">
        <v>68</v>
      </c>
      <c r="L2" s="59" t="s">
        <v>69</v>
      </c>
      <c r="M2" s="62" t="s">
        <v>70</v>
      </c>
      <c r="N2" t="s">
        <v>71</v>
      </c>
      <c r="O2" t="str">
        <f>IFERROR(IF(Tbla_actores[[#This Row],[codigo_proyecto]]="","",_xlfn.XLOOKUP(Tbla_actores[[#This Row],[codigo_proyecto]],Proyectos!$A:$A,Proyectos!$C:$C)),"")</f>
        <v>NULOS</v>
      </c>
    </row>
    <row r="3" spans="1:20" ht="14.25" customHeight="1">
      <c r="A3" s="10">
        <v>1032494985</v>
      </c>
      <c r="B3" s="64" t="s">
        <v>61</v>
      </c>
      <c r="C3" s="62" t="s">
        <v>62</v>
      </c>
      <c r="D3" t="s">
        <v>63</v>
      </c>
      <c r="E3" t="s">
        <v>72</v>
      </c>
      <c r="F3" s="61">
        <v>35768</v>
      </c>
      <c r="G3" s="15" t="s">
        <v>73</v>
      </c>
      <c r="H3" t="s">
        <v>74</v>
      </c>
      <c r="I3" s="62" t="s">
        <v>75</v>
      </c>
      <c r="K3" s="36" t="s">
        <v>68</v>
      </c>
      <c r="L3" t="s">
        <v>69</v>
      </c>
      <c r="M3" s="62" t="s">
        <v>70</v>
      </c>
      <c r="N3" t="s">
        <v>71</v>
      </c>
      <c r="O3" t="str">
        <f>IFERROR(IF(Tbla_actores[[#This Row],[codigo_proyecto]]="","",_xlfn.XLOOKUP(Tbla_actores[[#This Row],[codigo_proyecto]],Proyectos!$A:$A,Proyectos!$C:$C)),"")</f>
        <v>NULOS</v>
      </c>
    </row>
    <row r="4" spans="1:20" ht="14.25" customHeight="1">
      <c r="A4" s="9">
        <v>1010228428</v>
      </c>
      <c r="B4" s="63" t="s">
        <v>61</v>
      </c>
      <c r="C4" s="62" t="s">
        <v>62</v>
      </c>
      <c r="D4" t="s">
        <v>63</v>
      </c>
      <c r="E4" t="s">
        <v>76</v>
      </c>
      <c r="F4" s="61">
        <v>35247</v>
      </c>
      <c r="G4" s="15" t="s">
        <v>65</v>
      </c>
      <c r="H4" t="s">
        <v>77</v>
      </c>
      <c r="I4" s="62" t="s">
        <v>78</v>
      </c>
      <c r="K4" s="36" t="s">
        <v>68</v>
      </c>
      <c r="L4" t="s">
        <v>69</v>
      </c>
      <c r="M4" s="62" t="s">
        <v>70</v>
      </c>
      <c r="N4" t="s">
        <v>71</v>
      </c>
      <c r="O4" t="str">
        <f>IFERROR(IF(Tbla_actores[[#This Row],[codigo_proyecto]]="","",_xlfn.XLOOKUP(Tbla_actores[[#This Row],[codigo_proyecto]],Proyectos!$A:$A,Proyectos!$C:$C)),"")</f>
        <v>NULOS</v>
      </c>
      <c r="T4" s="1"/>
    </row>
    <row r="5" spans="1:20" ht="14.25" customHeight="1">
      <c r="A5" s="10">
        <v>1032493211</v>
      </c>
      <c r="B5" s="64" t="s">
        <v>61</v>
      </c>
      <c r="C5" s="62" t="s">
        <v>62</v>
      </c>
      <c r="D5" t="s">
        <v>63</v>
      </c>
      <c r="E5" t="s">
        <v>79</v>
      </c>
      <c r="F5" s="61">
        <v>35682</v>
      </c>
      <c r="G5" s="15" t="s">
        <v>73</v>
      </c>
      <c r="H5" t="s">
        <v>80</v>
      </c>
      <c r="I5" s="62" t="s">
        <v>81</v>
      </c>
      <c r="K5" s="36" t="s">
        <v>68</v>
      </c>
      <c r="L5" t="s">
        <v>69</v>
      </c>
      <c r="M5" s="62" t="s">
        <v>70</v>
      </c>
      <c r="N5" t="s">
        <v>71</v>
      </c>
      <c r="O5" t="str">
        <f>IFERROR(IF(Tbla_actores[[#This Row],[codigo_proyecto]]="","",_xlfn.XLOOKUP(Tbla_actores[[#This Row],[codigo_proyecto]],Proyectos!$A:$A,Proyectos!$C:$C)),"")</f>
        <v>NULOS</v>
      </c>
    </row>
    <row r="6" spans="1:20" ht="14.25" customHeight="1">
      <c r="A6" s="9">
        <v>1018502251</v>
      </c>
      <c r="B6" s="63" t="s">
        <v>61</v>
      </c>
      <c r="C6" s="62" t="s">
        <v>62</v>
      </c>
      <c r="D6" t="s">
        <v>63</v>
      </c>
      <c r="E6" t="s">
        <v>82</v>
      </c>
      <c r="F6" s="61">
        <v>35799</v>
      </c>
      <c r="G6" s="15" t="s">
        <v>73</v>
      </c>
      <c r="H6" t="s">
        <v>83</v>
      </c>
      <c r="I6" s="62" t="s">
        <v>84</v>
      </c>
      <c r="K6" s="36" t="s">
        <v>68</v>
      </c>
      <c r="L6" t="s">
        <v>69</v>
      </c>
      <c r="M6" s="62" t="s">
        <v>70</v>
      </c>
      <c r="N6" t="s">
        <v>71</v>
      </c>
      <c r="O6" t="str">
        <f>IFERROR(IF(Tbla_actores[[#This Row],[codigo_proyecto]]="","",_xlfn.XLOOKUP(Tbla_actores[[#This Row],[codigo_proyecto]],Proyectos!$A:$A,Proyectos!$C:$C)),"")</f>
        <v>NULOS</v>
      </c>
    </row>
    <row r="7" spans="1:20" ht="14.25" customHeight="1">
      <c r="A7" s="10">
        <v>1032477898</v>
      </c>
      <c r="B7" s="64" t="s">
        <v>61</v>
      </c>
      <c r="C7" s="62" t="s">
        <v>62</v>
      </c>
      <c r="D7" t="s">
        <v>63</v>
      </c>
      <c r="E7" t="s">
        <v>85</v>
      </c>
      <c r="F7" s="61">
        <v>35019</v>
      </c>
      <c r="G7" s="15" t="s">
        <v>65</v>
      </c>
      <c r="H7" t="s">
        <v>86</v>
      </c>
      <c r="I7" s="62" t="s">
        <v>87</v>
      </c>
      <c r="K7" s="36" t="s">
        <v>68</v>
      </c>
      <c r="L7" s="58" t="s">
        <v>69</v>
      </c>
      <c r="M7" s="62" t="s">
        <v>70</v>
      </c>
      <c r="N7" t="s">
        <v>71</v>
      </c>
      <c r="O7" t="str">
        <f>IFERROR(IF(Tbla_actores[[#This Row],[codigo_proyecto]]="","",_xlfn.XLOOKUP(Tbla_actores[[#This Row],[codigo_proyecto]],Proyectos!$A:$A,Proyectos!$C:$C)),"")</f>
        <v>NULOS</v>
      </c>
    </row>
    <row r="8" spans="1:20" ht="14.25" customHeight="1">
      <c r="A8" s="9">
        <v>1016103807</v>
      </c>
      <c r="B8" s="63" t="s">
        <v>61</v>
      </c>
      <c r="C8" s="62" t="s">
        <v>62</v>
      </c>
      <c r="D8" t="s">
        <v>63</v>
      </c>
      <c r="E8" t="s">
        <v>88</v>
      </c>
      <c r="F8" s="61">
        <v>35924</v>
      </c>
      <c r="G8" s="15" t="s">
        <v>73</v>
      </c>
      <c r="H8" t="s">
        <v>89</v>
      </c>
      <c r="I8" s="62" t="s">
        <v>90</v>
      </c>
      <c r="K8" s="36" t="s">
        <v>68</v>
      </c>
      <c r="L8" t="s">
        <v>69</v>
      </c>
      <c r="M8" s="62" t="s">
        <v>70</v>
      </c>
      <c r="N8" t="s">
        <v>71</v>
      </c>
      <c r="O8" t="str">
        <f>IFERROR(IF(Tbla_actores[[#This Row],[codigo_proyecto]]="","",_xlfn.XLOOKUP(Tbla_actores[[#This Row],[codigo_proyecto]],Proyectos!$A:$A,Proyectos!$C:$C)),"")</f>
        <v>NULOS</v>
      </c>
    </row>
    <row r="9" spans="1:20" ht="14.25" customHeight="1">
      <c r="A9" s="10">
        <v>1014289963</v>
      </c>
      <c r="B9" s="64" t="s">
        <v>61</v>
      </c>
      <c r="C9" s="62" t="s">
        <v>62</v>
      </c>
      <c r="D9" t="s">
        <v>63</v>
      </c>
      <c r="E9" t="s">
        <v>91</v>
      </c>
      <c r="F9" s="61">
        <v>35621</v>
      </c>
      <c r="G9" s="15" t="s">
        <v>73</v>
      </c>
      <c r="H9" t="s">
        <v>92</v>
      </c>
      <c r="I9" s="62" t="s">
        <v>93</v>
      </c>
      <c r="K9" s="36" t="s">
        <v>68</v>
      </c>
      <c r="L9" t="s">
        <v>69</v>
      </c>
      <c r="M9" s="62" t="s">
        <v>70</v>
      </c>
      <c r="N9" t="s">
        <v>71</v>
      </c>
      <c r="O9" t="str">
        <f>IFERROR(IF(Tbla_actores[[#This Row],[codigo_proyecto]]="","",_xlfn.XLOOKUP(Tbla_actores[[#This Row],[codigo_proyecto]],Proyectos!$A:$A,Proyectos!$C:$C)),"")</f>
        <v>NULOS</v>
      </c>
    </row>
    <row r="10" spans="1:20" ht="14.25" customHeight="1">
      <c r="A10" s="9">
        <v>1013680915</v>
      </c>
      <c r="B10" s="63" t="s">
        <v>61</v>
      </c>
      <c r="C10" s="62" t="s">
        <v>62</v>
      </c>
      <c r="D10" t="s">
        <v>63</v>
      </c>
      <c r="E10" t="s">
        <v>94</v>
      </c>
      <c r="F10" s="61">
        <v>36042</v>
      </c>
      <c r="G10" s="15" t="s">
        <v>73</v>
      </c>
      <c r="H10" t="s">
        <v>95</v>
      </c>
      <c r="I10" s="62" t="s">
        <v>96</v>
      </c>
      <c r="K10" s="36" t="s">
        <v>68</v>
      </c>
      <c r="L10" t="s">
        <v>69</v>
      </c>
      <c r="M10" s="62" t="s">
        <v>70</v>
      </c>
      <c r="N10" t="s">
        <v>71</v>
      </c>
      <c r="O10" t="str">
        <f>IFERROR(IF(Tbla_actores[[#This Row],[codigo_proyecto]]="","",_xlfn.XLOOKUP(Tbla_actores[[#This Row],[codigo_proyecto]],Proyectos!$A:$A,Proyectos!$C:$C)),"")</f>
        <v>NULOS</v>
      </c>
    </row>
    <row r="11" spans="1:20" ht="14.25" customHeight="1">
      <c r="A11" s="10">
        <v>1014285017</v>
      </c>
      <c r="B11" s="64" t="s">
        <v>61</v>
      </c>
      <c r="C11" s="62" t="s">
        <v>62</v>
      </c>
      <c r="D11" t="s">
        <v>63</v>
      </c>
      <c r="E11" t="s">
        <v>97</v>
      </c>
      <c r="F11" s="61">
        <v>35448</v>
      </c>
      <c r="G11" s="15" t="s">
        <v>65</v>
      </c>
      <c r="H11" t="s">
        <v>98</v>
      </c>
      <c r="I11" s="62" t="s">
        <v>99</v>
      </c>
      <c r="K11" s="36" t="s">
        <v>68</v>
      </c>
      <c r="L11" t="s">
        <v>69</v>
      </c>
      <c r="M11" s="62" t="s">
        <v>70</v>
      </c>
      <c r="N11" t="s">
        <v>71</v>
      </c>
      <c r="O11" t="str">
        <f>IFERROR(IF(Tbla_actores[[#This Row],[codigo_proyecto]]="","",_xlfn.XLOOKUP(Tbla_actores[[#This Row],[codigo_proyecto]],Proyectos!$A:$A,Proyectos!$C:$C)),"")</f>
        <v>NULOS</v>
      </c>
    </row>
    <row r="12" spans="1:20" ht="14.25" customHeight="1">
      <c r="A12" s="9">
        <v>1018513462</v>
      </c>
      <c r="B12" s="63" t="s">
        <v>61</v>
      </c>
      <c r="C12" s="62" t="s">
        <v>62</v>
      </c>
      <c r="D12" t="s">
        <v>63</v>
      </c>
      <c r="E12" t="s">
        <v>100</v>
      </c>
      <c r="F12" s="61">
        <v>36431</v>
      </c>
      <c r="G12" s="15" t="s">
        <v>73</v>
      </c>
      <c r="H12" t="s">
        <v>101</v>
      </c>
      <c r="I12" s="62" t="s">
        <v>102</v>
      </c>
      <c r="K12" s="36" t="s">
        <v>68</v>
      </c>
      <c r="L12" t="s">
        <v>69</v>
      </c>
      <c r="M12" s="62" t="s">
        <v>70</v>
      </c>
      <c r="N12" t="s">
        <v>71</v>
      </c>
      <c r="O12" t="str">
        <f>IFERROR(IF(Tbla_actores[[#This Row],[codigo_proyecto]]="","",_xlfn.XLOOKUP(Tbla_actores[[#This Row],[codigo_proyecto]],Proyectos!$A:$A,Proyectos!$C:$C)),"")</f>
        <v>NULOS</v>
      </c>
    </row>
    <row r="13" spans="1:20" ht="14.25" customHeight="1">
      <c r="A13" s="10">
        <v>1018497844</v>
      </c>
      <c r="B13" s="64" t="s">
        <v>61</v>
      </c>
      <c r="C13" s="62" t="s">
        <v>62</v>
      </c>
      <c r="D13" t="s">
        <v>63</v>
      </c>
      <c r="E13" t="s">
        <v>103</v>
      </c>
      <c r="F13" s="61">
        <v>35705</v>
      </c>
      <c r="G13" s="15" t="s">
        <v>73</v>
      </c>
      <c r="H13" t="s">
        <v>104</v>
      </c>
      <c r="I13" s="62" t="s">
        <v>105</v>
      </c>
      <c r="K13" s="36" t="s">
        <v>68</v>
      </c>
      <c r="L13" t="s">
        <v>69</v>
      </c>
      <c r="M13" s="62" t="s">
        <v>70</v>
      </c>
      <c r="N13" t="s">
        <v>71</v>
      </c>
      <c r="O13" t="str">
        <f>IFERROR(IF(Tbla_actores[[#This Row],[codigo_proyecto]]="","",_xlfn.XLOOKUP(Tbla_actores[[#This Row],[codigo_proyecto]],Proyectos!$A:$A,Proyectos!$C:$C)),"")</f>
        <v>NULOS</v>
      </c>
    </row>
    <row r="14" spans="1:20" ht="14.25" customHeight="1">
      <c r="A14" s="9">
        <v>1010236308</v>
      </c>
      <c r="B14" s="63" t="s">
        <v>61</v>
      </c>
      <c r="C14" s="62" t="s">
        <v>62</v>
      </c>
      <c r="D14" t="s">
        <v>63</v>
      </c>
      <c r="E14" t="s">
        <v>106</v>
      </c>
      <c r="F14" s="61">
        <v>32042</v>
      </c>
      <c r="G14" s="15" t="s">
        <v>73</v>
      </c>
      <c r="H14" t="s">
        <v>107</v>
      </c>
      <c r="I14" s="62" t="s">
        <v>108</v>
      </c>
      <c r="K14" s="36" t="s">
        <v>68</v>
      </c>
      <c r="L14" t="s">
        <v>69</v>
      </c>
      <c r="M14" s="62" t="s">
        <v>70</v>
      </c>
      <c r="N14" t="s">
        <v>71</v>
      </c>
      <c r="O14" t="str">
        <f>IFERROR(IF(Tbla_actores[[#This Row],[codigo_proyecto]]="","",_xlfn.XLOOKUP(Tbla_actores[[#This Row],[codigo_proyecto]],Proyectos!$A:$A,Proyectos!$C:$C)),"")</f>
        <v>NULOS</v>
      </c>
    </row>
    <row r="15" spans="1:20" ht="14.25" customHeight="1">
      <c r="A15" s="10">
        <v>1070709152</v>
      </c>
      <c r="B15" s="64" t="s">
        <v>61</v>
      </c>
      <c r="C15" s="62" t="s">
        <v>62</v>
      </c>
      <c r="D15" t="s">
        <v>63</v>
      </c>
      <c r="E15" t="s">
        <v>109</v>
      </c>
      <c r="F15" s="61">
        <v>36250</v>
      </c>
      <c r="G15" s="15" t="s">
        <v>65</v>
      </c>
      <c r="H15" t="s">
        <v>110</v>
      </c>
      <c r="I15" s="62" t="s">
        <v>111</v>
      </c>
      <c r="K15" s="36" t="s">
        <v>68</v>
      </c>
      <c r="L15" t="s">
        <v>69</v>
      </c>
      <c r="M15" s="62" t="s">
        <v>70</v>
      </c>
      <c r="N15" t="s">
        <v>71</v>
      </c>
      <c r="O15" t="str">
        <f>IFERROR(IF(Tbla_actores[[#This Row],[codigo_proyecto]]="","",_xlfn.XLOOKUP(Tbla_actores[[#This Row],[codigo_proyecto]],Proyectos!$A:$A,Proyectos!$C:$C)),"")</f>
        <v>NULOS</v>
      </c>
    </row>
    <row r="16" spans="1:20" ht="14.25" customHeight="1">
      <c r="A16" s="9">
        <v>1032488535</v>
      </c>
      <c r="B16" s="63" t="s">
        <v>61</v>
      </c>
      <c r="C16" s="62" t="s">
        <v>62</v>
      </c>
      <c r="D16" t="s">
        <v>63</v>
      </c>
      <c r="E16" t="s">
        <v>112</v>
      </c>
      <c r="F16" s="61">
        <v>35445</v>
      </c>
      <c r="G16" s="15" t="s">
        <v>73</v>
      </c>
      <c r="H16" t="s">
        <v>113</v>
      </c>
      <c r="I16" s="62" t="s">
        <v>114</v>
      </c>
      <c r="K16" s="36" t="s">
        <v>68</v>
      </c>
      <c r="L16" t="s">
        <v>69</v>
      </c>
      <c r="M16" s="62" t="s">
        <v>70</v>
      </c>
      <c r="N16" t="s">
        <v>71</v>
      </c>
      <c r="O16" t="str">
        <f>IFERROR(IF(Tbla_actores[[#This Row],[codigo_proyecto]]="","",_xlfn.XLOOKUP(Tbla_actores[[#This Row],[codigo_proyecto]],Proyectos!$A:$A,Proyectos!$C:$C)),"")</f>
        <v>NULOS</v>
      </c>
    </row>
    <row r="17" spans="1:15" ht="14.25" customHeight="1">
      <c r="A17" s="10">
        <v>1070981606</v>
      </c>
      <c r="B17" s="64" t="s">
        <v>61</v>
      </c>
      <c r="C17" s="62" t="s">
        <v>62</v>
      </c>
      <c r="D17" t="s">
        <v>63</v>
      </c>
      <c r="E17" t="s">
        <v>115</v>
      </c>
      <c r="F17" s="61">
        <v>35624</v>
      </c>
      <c r="G17" s="15" t="s">
        <v>73</v>
      </c>
      <c r="H17" t="s">
        <v>116</v>
      </c>
      <c r="I17" s="62" t="s">
        <v>117</v>
      </c>
      <c r="K17" s="36" t="s">
        <v>68</v>
      </c>
      <c r="L17" t="s">
        <v>69</v>
      </c>
      <c r="M17" s="62" t="s">
        <v>70</v>
      </c>
      <c r="N17" t="s">
        <v>71</v>
      </c>
      <c r="O17" t="str">
        <f>IFERROR(IF(Tbla_actores[[#This Row],[codigo_proyecto]]="","",_xlfn.XLOOKUP(Tbla_actores[[#This Row],[codigo_proyecto]],Proyectos!$A:$A,Proyectos!$C:$C)),"")</f>
        <v>NULOS</v>
      </c>
    </row>
    <row r="18" spans="1:15" ht="14.25" customHeight="1">
      <c r="A18" s="9">
        <v>1019130516</v>
      </c>
      <c r="B18" s="63" t="s">
        <v>61</v>
      </c>
      <c r="C18" s="62" t="s">
        <v>62</v>
      </c>
      <c r="D18" t="s">
        <v>63</v>
      </c>
      <c r="E18" t="s">
        <v>118</v>
      </c>
      <c r="F18" s="61">
        <v>35570</v>
      </c>
      <c r="G18" s="15" t="s">
        <v>73</v>
      </c>
      <c r="H18" t="s">
        <v>119</v>
      </c>
      <c r="I18" s="62" t="s">
        <v>120</v>
      </c>
      <c r="K18" s="36" t="s">
        <v>68</v>
      </c>
      <c r="L18" t="s">
        <v>69</v>
      </c>
      <c r="M18" s="62" t="s">
        <v>70</v>
      </c>
      <c r="N18" t="s">
        <v>71</v>
      </c>
      <c r="O18" t="str">
        <f>IFERROR(IF(Tbla_actores[[#This Row],[codigo_proyecto]]="","",_xlfn.XLOOKUP(Tbla_actores[[#This Row],[codigo_proyecto]],Proyectos!$A:$A,Proyectos!$C:$C)),"")</f>
        <v>NULOS</v>
      </c>
    </row>
    <row r="19" spans="1:15" ht="14.25" customHeight="1">
      <c r="A19" s="10">
        <v>1019108719</v>
      </c>
      <c r="B19" s="64" t="s">
        <v>61</v>
      </c>
      <c r="C19" s="62" t="s">
        <v>62</v>
      </c>
      <c r="D19" t="s">
        <v>63</v>
      </c>
      <c r="E19" t="s">
        <v>121</v>
      </c>
      <c r="F19" s="61">
        <v>34863</v>
      </c>
      <c r="G19" s="15" t="s">
        <v>65</v>
      </c>
      <c r="H19" t="s">
        <v>122</v>
      </c>
      <c r="I19" s="62" t="s">
        <v>123</v>
      </c>
      <c r="K19" s="36" t="s">
        <v>68</v>
      </c>
      <c r="L19" t="s">
        <v>69</v>
      </c>
      <c r="M19" s="62" t="s">
        <v>70</v>
      </c>
      <c r="N19" t="s">
        <v>71</v>
      </c>
      <c r="O19" t="str">
        <f>IFERROR(IF(Tbla_actores[[#This Row],[codigo_proyecto]]="","",_xlfn.XLOOKUP(Tbla_actores[[#This Row],[codigo_proyecto]],Proyectos!$A:$A,Proyectos!$C:$C)),"")</f>
        <v>NULOS</v>
      </c>
    </row>
    <row r="20" spans="1:15" ht="14.25" customHeight="1">
      <c r="A20" s="9">
        <v>1032482914</v>
      </c>
      <c r="B20" s="63" t="s">
        <v>61</v>
      </c>
      <c r="C20" s="62" t="s">
        <v>62</v>
      </c>
      <c r="D20" t="s">
        <v>63</v>
      </c>
      <c r="E20" t="s">
        <v>124</v>
      </c>
      <c r="F20" s="61">
        <v>35228</v>
      </c>
      <c r="G20" s="15" t="s">
        <v>73</v>
      </c>
      <c r="H20" t="s">
        <v>125</v>
      </c>
      <c r="I20" s="62" t="s">
        <v>126</v>
      </c>
      <c r="K20" s="36" t="s">
        <v>68</v>
      </c>
      <c r="L20" t="s">
        <v>69</v>
      </c>
      <c r="M20" s="62" t="s">
        <v>70</v>
      </c>
      <c r="N20" t="s">
        <v>71</v>
      </c>
      <c r="O20" t="str">
        <f>IFERROR(IF(Tbla_actores[[#This Row],[codigo_proyecto]]="","",_xlfn.XLOOKUP(Tbla_actores[[#This Row],[codigo_proyecto]],Proyectos!$A:$A,Proyectos!$C:$C)),"")</f>
        <v>NULOS</v>
      </c>
    </row>
    <row r="21" spans="1:15" ht="14.25" customHeight="1">
      <c r="A21" s="10">
        <v>1085326071</v>
      </c>
      <c r="B21" s="64" t="s">
        <v>61</v>
      </c>
      <c r="C21" s="62" t="s">
        <v>62</v>
      </c>
      <c r="D21" t="s">
        <v>63</v>
      </c>
      <c r="E21" t="s">
        <v>127</v>
      </c>
      <c r="F21" s="61">
        <v>35081</v>
      </c>
      <c r="G21" s="15" t="s">
        <v>73</v>
      </c>
      <c r="H21" t="s">
        <v>128</v>
      </c>
      <c r="I21" s="62" t="s">
        <v>129</v>
      </c>
      <c r="K21" s="36" t="s">
        <v>68</v>
      </c>
      <c r="L21" t="s">
        <v>69</v>
      </c>
      <c r="M21" s="62" t="s">
        <v>70</v>
      </c>
      <c r="N21" t="s">
        <v>71</v>
      </c>
      <c r="O21" t="str">
        <f>IFERROR(IF(Tbla_actores[[#This Row],[codigo_proyecto]]="","",_xlfn.XLOOKUP(Tbla_actores[[#This Row],[codigo_proyecto]],Proyectos!$A:$A,Proyectos!$C:$C)),"")</f>
        <v>NULOS</v>
      </c>
    </row>
    <row r="22" spans="1:15" ht="14.25" customHeight="1">
      <c r="A22" s="9">
        <v>1015472790</v>
      </c>
      <c r="B22" s="63" t="s">
        <v>61</v>
      </c>
      <c r="C22" s="62" t="s">
        <v>62</v>
      </c>
      <c r="D22" t="s">
        <v>63</v>
      </c>
      <c r="E22" t="s">
        <v>130</v>
      </c>
      <c r="F22" s="61">
        <v>35791</v>
      </c>
      <c r="G22" s="15" t="s">
        <v>73</v>
      </c>
      <c r="H22" t="s">
        <v>131</v>
      </c>
      <c r="I22" s="62" t="s">
        <v>132</v>
      </c>
      <c r="K22" s="36" t="s">
        <v>68</v>
      </c>
      <c r="L22" t="s">
        <v>69</v>
      </c>
      <c r="M22" s="62" t="s">
        <v>70</v>
      </c>
      <c r="N22" t="s">
        <v>71</v>
      </c>
      <c r="O22" t="str">
        <f>IFERROR(IF(Tbla_actores[[#This Row],[codigo_proyecto]]="","",_xlfn.XLOOKUP(Tbla_actores[[#This Row],[codigo_proyecto]],Proyectos!$A:$A,Proyectos!$C:$C)),"")</f>
        <v>NULOS</v>
      </c>
    </row>
    <row r="23" spans="1:15" ht="14.25" customHeight="1">
      <c r="A23" s="10">
        <v>1020765109</v>
      </c>
      <c r="B23" s="64" t="s">
        <v>61</v>
      </c>
      <c r="C23" s="62" t="s">
        <v>62</v>
      </c>
      <c r="D23" t="s">
        <v>63</v>
      </c>
      <c r="E23" t="s">
        <v>133</v>
      </c>
      <c r="F23" s="61">
        <v>33480</v>
      </c>
      <c r="G23" s="15" t="s">
        <v>73</v>
      </c>
      <c r="H23" t="s">
        <v>134</v>
      </c>
      <c r="I23" s="62" t="s">
        <v>135</v>
      </c>
      <c r="K23" s="36" t="s">
        <v>68</v>
      </c>
      <c r="L23" t="s">
        <v>69</v>
      </c>
      <c r="M23" s="62" t="s">
        <v>70</v>
      </c>
      <c r="N23" t="s">
        <v>71</v>
      </c>
      <c r="O23" t="str">
        <f>IFERROR(IF(Tbla_actores[[#This Row],[codigo_proyecto]]="","",_xlfn.XLOOKUP(Tbla_actores[[#This Row],[codigo_proyecto]],Proyectos!$A:$A,Proyectos!$C:$C)),"")</f>
        <v>NULOS</v>
      </c>
    </row>
    <row r="24" spans="1:15" ht="14.25" customHeight="1">
      <c r="A24" s="9">
        <v>1018491166</v>
      </c>
      <c r="B24" s="63" t="s">
        <v>61</v>
      </c>
      <c r="C24" s="62" t="s">
        <v>62</v>
      </c>
      <c r="D24" t="s">
        <v>63</v>
      </c>
      <c r="E24" t="s">
        <v>136</v>
      </c>
      <c r="F24" s="61">
        <v>35409</v>
      </c>
      <c r="G24" s="15" t="s">
        <v>73</v>
      </c>
      <c r="H24" t="s">
        <v>137</v>
      </c>
      <c r="I24" s="62" t="s">
        <v>138</v>
      </c>
      <c r="K24" s="36" t="s">
        <v>68</v>
      </c>
      <c r="L24" t="s">
        <v>69</v>
      </c>
      <c r="M24" s="62" t="s">
        <v>70</v>
      </c>
      <c r="N24" t="s">
        <v>71</v>
      </c>
      <c r="O24" t="str">
        <f>IFERROR(IF(Tbla_actores[[#This Row],[codigo_proyecto]]="","",_xlfn.XLOOKUP(Tbla_actores[[#This Row],[codigo_proyecto]],Proyectos!$A:$A,Proyectos!$C:$C)),"")</f>
        <v>NULOS</v>
      </c>
    </row>
    <row r="25" spans="1:15" ht="14.25" customHeight="1">
      <c r="A25" s="10">
        <v>1020825805</v>
      </c>
      <c r="B25" s="64" t="s">
        <v>61</v>
      </c>
      <c r="C25" s="62" t="s">
        <v>62</v>
      </c>
      <c r="D25" t="s">
        <v>63</v>
      </c>
      <c r="E25" t="s">
        <v>139</v>
      </c>
      <c r="F25" s="61">
        <v>35570</v>
      </c>
      <c r="G25" s="15" t="s">
        <v>73</v>
      </c>
      <c r="H25" t="s">
        <v>140</v>
      </c>
      <c r="I25" s="62" t="s">
        <v>141</v>
      </c>
      <c r="K25" s="36" t="s">
        <v>68</v>
      </c>
      <c r="L25" t="s">
        <v>69</v>
      </c>
      <c r="M25" s="62" t="s">
        <v>70</v>
      </c>
      <c r="N25" t="s">
        <v>71</v>
      </c>
      <c r="O25" t="str">
        <f>IFERROR(IF(Tbla_actores[[#This Row],[codigo_proyecto]]="","",_xlfn.XLOOKUP(Tbla_actores[[#This Row],[codigo_proyecto]],Proyectos!$A:$A,Proyectos!$C:$C)),"")</f>
        <v>NULOS</v>
      </c>
    </row>
    <row r="26" spans="1:15" ht="14.25" customHeight="1">
      <c r="A26" s="9">
        <v>1073713144</v>
      </c>
      <c r="B26" s="63" t="s">
        <v>61</v>
      </c>
      <c r="C26" s="62" t="s">
        <v>62</v>
      </c>
      <c r="D26" t="s">
        <v>63</v>
      </c>
      <c r="E26" t="s">
        <v>142</v>
      </c>
      <c r="F26" s="61">
        <v>35734</v>
      </c>
      <c r="G26" s="15" t="s">
        <v>65</v>
      </c>
      <c r="H26" t="s">
        <v>143</v>
      </c>
      <c r="I26" s="62" t="s">
        <v>144</v>
      </c>
      <c r="K26" s="36" t="s">
        <v>68</v>
      </c>
      <c r="L26" t="s">
        <v>69</v>
      </c>
      <c r="M26" s="62" t="s">
        <v>70</v>
      </c>
      <c r="N26" t="s">
        <v>71</v>
      </c>
      <c r="O26" t="str">
        <f>IFERROR(IF(Tbla_actores[[#This Row],[codigo_proyecto]]="","",_xlfn.XLOOKUP(Tbla_actores[[#This Row],[codigo_proyecto]],Proyectos!$A:$A,Proyectos!$C:$C)),"")</f>
        <v>NULOS</v>
      </c>
    </row>
    <row r="27" spans="1:15" ht="14.25" customHeight="1">
      <c r="A27" s="10">
        <v>1033802045</v>
      </c>
      <c r="B27" s="64" t="s">
        <v>61</v>
      </c>
      <c r="C27" s="62" t="s">
        <v>62</v>
      </c>
      <c r="D27" t="s">
        <v>63</v>
      </c>
      <c r="E27" t="s">
        <v>145</v>
      </c>
      <c r="F27" s="61">
        <v>35730</v>
      </c>
      <c r="G27" s="15" t="s">
        <v>73</v>
      </c>
      <c r="H27" t="s">
        <v>146</v>
      </c>
      <c r="I27" s="62" t="s">
        <v>147</v>
      </c>
      <c r="K27" s="36" t="s">
        <v>68</v>
      </c>
      <c r="L27" t="s">
        <v>69</v>
      </c>
      <c r="M27" s="62" t="s">
        <v>70</v>
      </c>
      <c r="N27" t="s">
        <v>71</v>
      </c>
      <c r="O27" t="str">
        <f>IFERROR(IF(Tbla_actores[[#This Row],[codigo_proyecto]]="","",_xlfn.XLOOKUP(Tbla_actores[[#This Row],[codigo_proyecto]],Proyectos!$A:$A,Proyectos!$C:$C)),"")</f>
        <v>NULOS</v>
      </c>
    </row>
    <row r="28" spans="1:15" ht="14.25" customHeight="1">
      <c r="A28" s="9">
        <v>1016097811</v>
      </c>
      <c r="B28" s="63" t="s">
        <v>61</v>
      </c>
      <c r="C28" s="62" t="s">
        <v>62</v>
      </c>
      <c r="D28" t="s">
        <v>63</v>
      </c>
      <c r="E28" t="s">
        <v>148</v>
      </c>
      <c r="F28" s="61">
        <v>35724</v>
      </c>
      <c r="G28" s="15" t="s">
        <v>73</v>
      </c>
      <c r="H28" t="s">
        <v>149</v>
      </c>
      <c r="I28" s="62" t="s">
        <v>150</v>
      </c>
      <c r="K28" s="36" t="s">
        <v>68</v>
      </c>
      <c r="L28" t="s">
        <v>69</v>
      </c>
      <c r="M28" s="62" t="s">
        <v>70</v>
      </c>
      <c r="N28" t="s">
        <v>71</v>
      </c>
      <c r="O28" t="str">
        <f>IFERROR(IF(Tbla_actores[[#This Row],[codigo_proyecto]]="","",_xlfn.XLOOKUP(Tbla_actores[[#This Row],[codigo_proyecto]],Proyectos!$A:$A,Proyectos!$C:$C)),"")</f>
        <v>NULOS</v>
      </c>
    </row>
    <row r="29" spans="1:15" ht="14.25" customHeight="1">
      <c r="A29" s="10">
        <v>1015461950</v>
      </c>
      <c r="B29" s="64" t="s">
        <v>61</v>
      </c>
      <c r="C29" s="62" t="s">
        <v>62</v>
      </c>
      <c r="D29" t="s">
        <v>63</v>
      </c>
      <c r="E29" t="s">
        <v>151</v>
      </c>
      <c r="F29" s="61">
        <v>35182</v>
      </c>
      <c r="G29" s="15" t="s">
        <v>73</v>
      </c>
      <c r="H29" t="s">
        <v>152</v>
      </c>
      <c r="I29" s="62" t="s">
        <v>153</v>
      </c>
      <c r="K29" s="36" t="s">
        <v>68</v>
      </c>
      <c r="L29" t="s">
        <v>69</v>
      </c>
      <c r="M29" s="62" t="s">
        <v>70</v>
      </c>
      <c r="N29" t="s">
        <v>71</v>
      </c>
      <c r="O29" t="str">
        <f>IFERROR(IF(Tbla_actores[[#This Row],[codigo_proyecto]]="","",_xlfn.XLOOKUP(Tbla_actores[[#This Row],[codigo_proyecto]],Proyectos!$A:$A,Proyectos!$C:$C)),"")</f>
        <v>NULOS</v>
      </c>
    </row>
    <row r="30" spans="1:15" ht="14.25" customHeight="1">
      <c r="A30" s="9">
        <v>1026293485</v>
      </c>
      <c r="B30" s="63" t="s">
        <v>61</v>
      </c>
      <c r="C30" s="62" t="s">
        <v>62</v>
      </c>
      <c r="D30" t="s">
        <v>63</v>
      </c>
      <c r="E30" t="s">
        <v>154</v>
      </c>
      <c r="F30" s="61">
        <v>35053</v>
      </c>
      <c r="G30" s="15" t="s">
        <v>73</v>
      </c>
      <c r="H30" t="s">
        <v>155</v>
      </c>
      <c r="I30" s="62" t="s">
        <v>156</v>
      </c>
      <c r="K30" s="36" t="s">
        <v>68</v>
      </c>
      <c r="L30" t="s">
        <v>69</v>
      </c>
      <c r="M30" s="62" t="s">
        <v>70</v>
      </c>
      <c r="N30" t="s">
        <v>71</v>
      </c>
      <c r="O30" t="str">
        <f>IFERROR(IF(Tbla_actores[[#This Row],[codigo_proyecto]]="","",_xlfn.XLOOKUP(Tbla_actores[[#This Row],[codigo_proyecto]],Proyectos!$A:$A,Proyectos!$C:$C)),"")</f>
        <v>NULOS</v>
      </c>
    </row>
    <row r="31" spans="1:15" ht="14.25" customHeight="1">
      <c r="A31" s="10">
        <v>1088334873</v>
      </c>
      <c r="B31" s="64" t="s">
        <v>61</v>
      </c>
      <c r="C31" s="62" t="s">
        <v>62</v>
      </c>
      <c r="D31" t="s">
        <v>63</v>
      </c>
      <c r="E31" t="s">
        <v>157</v>
      </c>
      <c r="F31" s="61">
        <v>35184</v>
      </c>
      <c r="G31" s="15" t="s">
        <v>73</v>
      </c>
      <c r="H31" t="s">
        <v>158</v>
      </c>
      <c r="I31" s="62" t="s">
        <v>159</v>
      </c>
      <c r="K31" s="36" t="s">
        <v>68</v>
      </c>
      <c r="L31" t="s">
        <v>69</v>
      </c>
      <c r="M31" s="62" t="s">
        <v>70</v>
      </c>
      <c r="N31" t="s">
        <v>71</v>
      </c>
      <c r="O31" t="str">
        <f>IFERROR(IF(Tbla_actores[[#This Row],[codigo_proyecto]]="","",_xlfn.XLOOKUP(Tbla_actores[[#This Row],[codigo_proyecto]],Proyectos!$A:$A,Proyectos!$C:$C)),"")</f>
        <v>NULOS</v>
      </c>
    </row>
    <row r="32" spans="1:15" ht="14.25" customHeight="1">
      <c r="A32" s="9">
        <v>1012341863</v>
      </c>
      <c r="B32" s="63" t="s">
        <v>61</v>
      </c>
      <c r="C32" s="62" t="s">
        <v>62</v>
      </c>
      <c r="D32" t="s">
        <v>63</v>
      </c>
      <c r="E32" t="s">
        <v>160</v>
      </c>
      <c r="F32" s="61">
        <v>32241</v>
      </c>
      <c r="G32" s="15" t="s">
        <v>73</v>
      </c>
      <c r="H32" t="s">
        <v>161</v>
      </c>
      <c r="I32" s="62" t="s">
        <v>162</v>
      </c>
      <c r="K32" s="36" t="s">
        <v>68</v>
      </c>
      <c r="L32" t="s">
        <v>69</v>
      </c>
      <c r="M32" s="62" t="s">
        <v>70</v>
      </c>
      <c r="N32" t="s">
        <v>71</v>
      </c>
      <c r="O32" t="str">
        <f>IFERROR(IF(Tbla_actores[[#This Row],[codigo_proyecto]]="","",_xlfn.XLOOKUP(Tbla_actores[[#This Row],[codigo_proyecto]],Proyectos!$A:$A,Proyectos!$C:$C)),"")</f>
        <v>NULOS</v>
      </c>
    </row>
    <row r="33" spans="1:15" ht="14.25" customHeight="1">
      <c r="A33" s="10">
        <v>80237588</v>
      </c>
      <c r="B33" s="64" t="s">
        <v>61</v>
      </c>
      <c r="C33" s="62" t="s">
        <v>62</v>
      </c>
      <c r="D33" t="s">
        <v>63</v>
      </c>
      <c r="E33" t="s">
        <v>163</v>
      </c>
      <c r="F33" s="61">
        <v>29592</v>
      </c>
      <c r="G33" s="15" t="s">
        <v>73</v>
      </c>
      <c r="H33" t="s">
        <v>164</v>
      </c>
      <c r="I33" s="62" t="s">
        <v>165</v>
      </c>
      <c r="K33" s="36" t="s">
        <v>68</v>
      </c>
      <c r="L33" t="s">
        <v>69</v>
      </c>
      <c r="M33" s="62" t="s">
        <v>70</v>
      </c>
      <c r="N33" t="s">
        <v>71</v>
      </c>
      <c r="O33" t="str">
        <f>IFERROR(IF(Tbla_actores[[#This Row],[codigo_proyecto]]="","",_xlfn.XLOOKUP(Tbla_actores[[#This Row],[codigo_proyecto]],Proyectos!$A:$A,Proyectos!$C:$C)),"")</f>
        <v>NULOS</v>
      </c>
    </row>
    <row r="34" spans="1:15" ht="14.25" customHeight="1">
      <c r="A34" s="9">
        <v>1013683286</v>
      </c>
      <c r="B34" s="63" t="s">
        <v>61</v>
      </c>
      <c r="C34" s="62" t="s">
        <v>62</v>
      </c>
      <c r="D34" t="s">
        <v>63</v>
      </c>
      <c r="E34" t="s">
        <v>166</v>
      </c>
      <c r="F34" s="61">
        <v>36018</v>
      </c>
      <c r="G34" s="15" t="s">
        <v>65</v>
      </c>
      <c r="H34" t="s">
        <v>167</v>
      </c>
      <c r="I34" s="62" t="s">
        <v>168</v>
      </c>
      <c r="K34" s="36" t="s">
        <v>169</v>
      </c>
      <c r="L34" t="s">
        <v>69</v>
      </c>
      <c r="M34" s="62" t="s">
        <v>170</v>
      </c>
      <c r="N34" t="s">
        <v>71</v>
      </c>
      <c r="O34" t="str">
        <f>IFERROR(IF(Tbla_actores[[#This Row],[codigo_proyecto]]="","",_xlfn.XLOOKUP(Tbla_actores[[#This Row],[codigo_proyecto]],Proyectos!$A:$A,Proyectos!$C:$C)),"")</f>
        <v>NULOS</v>
      </c>
    </row>
    <row r="35" spans="1:15" ht="14.25" customHeight="1">
      <c r="A35" s="10">
        <v>1020826026</v>
      </c>
      <c r="B35" s="64" t="s">
        <v>61</v>
      </c>
      <c r="C35" s="62" t="s">
        <v>62</v>
      </c>
      <c r="D35" t="s">
        <v>63</v>
      </c>
      <c r="E35" t="s">
        <v>171</v>
      </c>
      <c r="F35" s="61">
        <v>35581</v>
      </c>
      <c r="G35" s="15" t="s">
        <v>73</v>
      </c>
      <c r="H35" t="s">
        <v>172</v>
      </c>
      <c r="I35" s="62" t="s">
        <v>173</v>
      </c>
      <c r="K35" s="36" t="s">
        <v>169</v>
      </c>
      <c r="L35" t="s">
        <v>69</v>
      </c>
      <c r="M35" s="62" t="s">
        <v>170</v>
      </c>
      <c r="N35" t="s">
        <v>71</v>
      </c>
      <c r="O35" t="str">
        <f>IFERROR(IF(Tbla_actores[[#This Row],[codigo_proyecto]]="","",_xlfn.XLOOKUP(Tbla_actores[[#This Row],[codigo_proyecto]],Proyectos!$A:$A,Proyectos!$C:$C)),"")</f>
        <v>NULOS</v>
      </c>
    </row>
    <row r="36" spans="1:15" ht="14.25" customHeight="1">
      <c r="A36" s="9">
        <v>1018492546</v>
      </c>
      <c r="B36" s="63" t="s">
        <v>61</v>
      </c>
      <c r="C36" s="62" t="s">
        <v>62</v>
      </c>
      <c r="D36" t="s">
        <v>63</v>
      </c>
      <c r="E36" t="s">
        <v>174</v>
      </c>
      <c r="F36" s="61">
        <v>35467</v>
      </c>
      <c r="G36" s="15" t="s">
        <v>73</v>
      </c>
      <c r="H36" t="s">
        <v>175</v>
      </c>
      <c r="I36" s="62" t="s">
        <v>176</v>
      </c>
      <c r="K36" s="36" t="s">
        <v>169</v>
      </c>
      <c r="L36" t="s">
        <v>69</v>
      </c>
      <c r="M36" s="62" t="s">
        <v>170</v>
      </c>
      <c r="N36" t="s">
        <v>71</v>
      </c>
      <c r="O36" t="str">
        <f>IFERROR(IF(Tbla_actores[[#This Row],[codigo_proyecto]]="","",_xlfn.XLOOKUP(Tbla_actores[[#This Row],[codigo_proyecto]],Proyectos!$A:$A,Proyectos!$C:$C)),"")</f>
        <v>NULOS</v>
      </c>
    </row>
    <row r="37" spans="1:15" ht="14.25" customHeight="1">
      <c r="A37" s="10">
        <v>1125579154</v>
      </c>
      <c r="B37" s="64" t="s">
        <v>61</v>
      </c>
      <c r="C37" s="62" t="s">
        <v>62</v>
      </c>
      <c r="D37" t="s">
        <v>63</v>
      </c>
      <c r="E37" t="s">
        <v>177</v>
      </c>
      <c r="F37" s="61">
        <v>35380</v>
      </c>
      <c r="G37" s="15" t="s">
        <v>65</v>
      </c>
      <c r="H37" t="s">
        <v>178</v>
      </c>
      <c r="I37" s="62" t="s">
        <v>179</v>
      </c>
      <c r="K37" s="36" t="s">
        <v>169</v>
      </c>
      <c r="L37" t="s">
        <v>69</v>
      </c>
      <c r="M37" s="62" t="s">
        <v>170</v>
      </c>
      <c r="N37" t="s">
        <v>71</v>
      </c>
      <c r="O37" t="str">
        <f>IFERROR(IF(Tbla_actores[[#This Row],[codigo_proyecto]]="","",_xlfn.XLOOKUP(Tbla_actores[[#This Row],[codigo_proyecto]],Proyectos!$A:$A,Proyectos!$C:$C)),"")</f>
        <v>NULOS</v>
      </c>
    </row>
    <row r="38" spans="1:15" ht="14.25" customHeight="1">
      <c r="A38" s="9">
        <v>1032499447</v>
      </c>
      <c r="B38" s="63" t="s">
        <v>61</v>
      </c>
      <c r="C38" s="62" t="s">
        <v>62</v>
      </c>
      <c r="D38" t="s">
        <v>63</v>
      </c>
      <c r="E38" t="s">
        <v>180</v>
      </c>
      <c r="F38" s="61">
        <v>36026</v>
      </c>
      <c r="G38" s="15" t="s">
        <v>65</v>
      </c>
      <c r="H38" t="s">
        <v>181</v>
      </c>
      <c r="I38" s="62" t="s">
        <v>182</v>
      </c>
      <c r="K38" s="36" t="s">
        <v>169</v>
      </c>
      <c r="L38" t="s">
        <v>69</v>
      </c>
      <c r="M38" s="62" t="s">
        <v>170</v>
      </c>
      <c r="N38" t="s">
        <v>71</v>
      </c>
      <c r="O38" t="str">
        <f>IFERROR(IF(Tbla_actores[[#This Row],[codigo_proyecto]]="","",_xlfn.XLOOKUP(Tbla_actores[[#This Row],[codigo_proyecto]],Proyectos!$A:$A,Proyectos!$C:$C)),"")</f>
        <v>NULOS</v>
      </c>
    </row>
    <row r="39" spans="1:15" ht="14.25" customHeight="1">
      <c r="A39" s="10">
        <v>1032477788</v>
      </c>
      <c r="B39" s="64" t="s">
        <v>61</v>
      </c>
      <c r="C39" s="62" t="s">
        <v>62</v>
      </c>
      <c r="D39" t="s">
        <v>63</v>
      </c>
      <c r="E39" t="s">
        <v>183</v>
      </c>
      <c r="F39" s="61">
        <v>35072</v>
      </c>
      <c r="G39" s="15" t="s">
        <v>65</v>
      </c>
      <c r="H39" t="s">
        <v>184</v>
      </c>
      <c r="I39" s="62" t="s">
        <v>185</v>
      </c>
      <c r="K39" s="36" t="s">
        <v>169</v>
      </c>
      <c r="L39" t="s">
        <v>69</v>
      </c>
      <c r="M39" s="62" t="s">
        <v>170</v>
      </c>
      <c r="N39" t="s">
        <v>71</v>
      </c>
      <c r="O39" t="str">
        <f>IFERROR(IF(Tbla_actores[[#This Row],[codigo_proyecto]]="","",_xlfn.XLOOKUP(Tbla_actores[[#This Row],[codigo_proyecto]],Proyectos!$A:$A,Proyectos!$C:$C)),"")</f>
        <v>NULOS</v>
      </c>
    </row>
    <row r="40" spans="1:15" ht="14.25" customHeight="1">
      <c r="A40" s="9">
        <v>1033813351</v>
      </c>
      <c r="B40" s="63" t="s">
        <v>61</v>
      </c>
      <c r="C40" s="62" t="s">
        <v>62</v>
      </c>
      <c r="D40" t="s">
        <v>63</v>
      </c>
      <c r="E40" t="s">
        <v>186</v>
      </c>
      <c r="F40" s="61">
        <v>36185</v>
      </c>
      <c r="G40" s="15" t="s">
        <v>65</v>
      </c>
      <c r="H40" t="s">
        <v>187</v>
      </c>
      <c r="I40" s="62" t="s">
        <v>188</v>
      </c>
      <c r="K40" s="36" t="s">
        <v>169</v>
      </c>
      <c r="L40" t="s">
        <v>69</v>
      </c>
      <c r="M40" s="62" t="s">
        <v>170</v>
      </c>
      <c r="N40" t="s">
        <v>71</v>
      </c>
      <c r="O40" t="str">
        <f>IFERROR(IF(Tbla_actores[[#This Row],[codigo_proyecto]]="","",_xlfn.XLOOKUP(Tbla_actores[[#This Row],[codigo_proyecto]],Proyectos!$A:$A,Proyectos!$C:$C)),"")</f>
        <v>NULOS</v>
      </c>
    </row>
    <row r="41" spans="1:15" ht="14.25" customHeight="1">
      <c r="A41" s="10">
        <v>1020806333</v>
      </c>
      <c r="B41" s="64" t="s">
        <v>61</v>
      </c>
      <c r="C41" s="62" t="s">
        <v>62</v>
      </c>
      <c r="D41" t="s">
        <v>63</v>
      </c>
      <c r="E41" t="s">
        <v>189</v>
      </c>
      <c r="F41" s="61">
        <v>34874</v>
      </c>
      <c r="G41" s="15" t="s">
        <v>65</v>
      </c>
      <c r="H41" t="s">
        <v>190</v>
      </c>
      <c r="I41" s="62" t="s">
        <v>191</v>
      </c>
      <c r="K41" s="36" t="s">
        <v>169</v>
      </c>
      <c r="L41" t="s">
        <v>69</v>
      </c>
      <c r="M41" s="62" t="s">
        <v>170</v>
      </c>
      <c r="N41" t="s">
        <v>71</v>
      </c>
      <c r="O41" t="str">
        <f>IFERROR(IF(Tbla_actores[[#This Row],[codigo_proyecto]]="","",_xlfn.XLOOKUP(Tbla_actores[[#This Row],[codigo_proyecto]],Proyectos!$A:$A,Proyectos!$C:$C)),"")</f>
        <v>NULOS</v>
      </c>
    </row>
    <row r="42" spans="1:15" ht="14.25" customHeight="1">
      <c r="A42" s="9">
        <v>1032483101</v>
      </c>
      <c r="B42" s="63" t="s">
        <v>61</v>
      </c>
      <c r="C42" s="62" t="s">
        <v>62</v>
      </c>
      <c r="D42" t="s">
        <v>63</v>
      </c>
      <c r="E42" t="s">
        <v>192</v>
      </c>
      <c r="F42" s="61">
        <v>35247</v>
      </c>
      <c r="G42" s="15" t="s">
        <v>65</v>
      </c>
      <c r="H42" t="s">
        <v>193</v>
      </c>
      <c r="I42" s="62" t="s">
        <v>194</v>
      </c>
      <c r="K42" s="36" t="s">
        <v>169</v>
      </c>
      <c r="L42" t="s">
        <v>69</v>
      </c>
      <c r="M42" s="62" t="s">
        <v>170</v>
      </c>
      <c r="N42" t="s">
        <v>71</v>
      </c>
      <c r="O42" t="str">
        <f>IFERROR(IF(Tbla_actores[[#This Row],[codigo_proyecto]]="","",_xlfn.XLOOKUP(Tbla_actores[[#This Row],[codigo_proyecto]],Proyectos!$A:$A,Proyectos!$C:$C)),"")</f>
        <v>NULOS</v>
      </c>
    </row>
    <row r="43" spans="1:15" ht="14.25" customHeight="1">
      <c r="A43" s="10">
        <v>1018488392</v>
      </c>
      <c r="B43" s="64" t="s">
        <v>61</v>
      </c>
      <c r="C43" s="62" t="s">
        <v>62</v>
      </c>
      <c r="D43" t="s">
        <v>63</v>
      </c>
      <c r="E43" t="s">
        <v>195</v>
      </c>
      <c r="F43" s="61">
        <v>35305</v>
      </c>
      <c r="G43" s="15" t="s">
        <v>73</v>
      </c>
      <c r="H43" t="s">
        <v>196</v>
      </c>
      <c r="I43" s="62" t="s">
        <v>197</v>
      </c>
      <c r="K43" s="36" t="s">
        <v>169</v>
      </c>
      <c r="L43" t="s">
        <v>69</v>
      </c>
      <c r="M43" s="62" t="s">
        <v>170</v>
      </c>
      <c r="N43" t="s">
        <v>71</v>
      </c>
      <c r="O43" t="str">
        <f>IFERROR(IF(Tbla_actores[[#This Row],[codigo_proyecto]]="","",_xlfn.XLOOKUP(Tbla_actores[[#This Row],[codigo_proyecto]],Proyectos!$A:$A,Proyectos!$C:$C)),"")</f>
        <v>NULOS</v>
      </c>
    </row>
    <row r="44" spans="1:15" ht="14.25" customHeight="1">
      <c r="A44" s="9">
        <v>1032491049</v>
      </c>
      <c r="B44" s="63" t="s">
        <v>61</v>
      </c>
      <c r="C44" s="62" t="s">
        <v>62</v>
      </c>
      <c r="D44" t="s">
        <v>63</v>
      </c>
      <c r="E44" t="s">
        <v>198</v>
      </c>
      <c r="F44" s="61">
        <v>35580</v>
      </c>
      <c r="G44" s="15" t="s">
        <v>65</v>
      </c>
      <c r="H44" t="s">
        <v>199</v>
      </c>
      <c r="I44" s="62" t="s">
        <v>200</v>
      </c>
      <c r="K44" s="36" t="s">
        <v>169</v>
      </c>
      <c r="L44" t="s">
        <v>69</v>
      </c>
      <c r="M44" s="62" t="s">
        <v>170</v>
      </c>
      <c r="N44" t="s">
        <v>71</v>
      </c>
      <c r="O44" t="str">
        <f>IFERROR(IF(Tbla_actores[[#This Row],[codigo_proyecto]]="","",_xlfn.XLOOKUP(Tbla_actores[[#This Row],[codigo_proyecto]],Proyectos!$A:$A,Proyectos!$C:$C)),"")</f>
        <v>NULOS</v>
      </c>
    </row>
    <row r="45" spans="1:15" ht="14.25" customHeight="1">
      <c r="A45" s="10">
        <v>1018498457</v>
      </c>
      <c r="B45" s="64" t="s">
        <v>61</v>
      </c>
      <c r="C45" s="62" t="s">
        <v>62</v>
      </c>
      <c r="D45" t="s">
        <v>63</v>
      </c>
      <c r="E45" t="s">
        <v>201</v>
      </c>
      <c r="F45" s="61">
        <v>35722</v>
      </c>
      <c r="G45" s="15" t="s">
        <v>73</v>
      </c>
      <c r="H45" t="s">
        <v>202</v>
      </c>
      <c r="I45" s="62" t="s">
        <v>203</v>
      </c>
      <c r="K45" s="36" t="s">
        <v>169</v>
      </c>
      <c r="L45" t="s">
        <v>69</v>
      </c>
      <c r="M45" s="62" t="s">
        <v>170</v>
      </c>
      <c r="N45" t="s">
        <v>71</v>
      </c>
      <c r="O45" t="str">
        <f>IFERROR(IF(Tbla_actores[[#This Row],[codigo_proyecto]]="","",_xlfn.XLOOKUP(Tbla_actores[[#This Row],[codigo_proyecto]],Proyectos!$A:$A,Proyectos!$C:$C)),"")</f>
        <v>NULOS</v>
      </c>
    </row>
    <row r="46" spans="1:15" ht="14.25" customHeight="1">
      <c r="A46" s="9">
        <v>1032480697</v>
      </c>
      <c r="B46" s="63" t="s">
        <v>61</v>
      </c>
      <c r="C46" s="62" t="s">
        <v>62</v>
      </c>
      <c r="D46" t="s">
        <v>63</v>
      </c>
      <c r="E46" t="s">
        <v>204</v>
      </c>
      <c r="F46" s="61">
        <v>35176</v>
      </c>
      <c r="G46" s="15" t="s">
        <v>65</v>
      </c>
      <c r="H46" t="s">
        <v>205</v>
      </c>
      <c r="I46" s="62" t="s">
        <v>206</v>
      </c>
      <c r="K46" s="36" t="s">
        <v>169</v>
      </c>
      <c r="L46" t="s">
        <v>69</v>
      </c>
      <c r="M46" s="62" t="s">
        <v>170</v>
      </c>
      <c r="N46" t="s">
        <v>71</v>
      </c>
      <c r="O46" t="str">
        <f>IFERROR(IF(Tbla_actores[[#This Row],[codigo_proyecto]]="","",_xlfn.XLOOKUP(Tbla_actores[[#This Row],[codigo_proyecto]],Proyectos!$A:$A,Proyectos!$C:$C)),"")</f>
        <v>NULOS</v>
      </c>
    </row>
    <row r="47" spans="1:15" ht="14.25" customHeight="1">
      <c r="A47" s="10">
        <v>1020810599</v>
      </c>
      <c r="B47" s="64" t="s">
        <v>61</v>
      </c>
      <c r="C47" s="62" t="s">
        <v>62</v>
      </c>
      <c r="D47" t="s">
        <v>63</v>
      </c>
      <c r="E47" t="s">
        <v>207</v>
      </c>
      <c r="F47" s="61">
        <v>35019</v>
      </c>
      <c r="G47" s="15" t="s">
        <v>65</v>
      </c>
      <c r="H47" t="s">
        <v>208</v>
      </c>
      <c r="I47" s="62" t="s">
        <v>209</v>
      </c>
      <c r="K47" s="36" t="s">
        <v>169</v>
      </c>
      <c r="L47" t="s">
        <v>69</v>
      </c>
      <c r="M47" s="62" t="s">
        <v>170</v>
      </c>
      <c r="N47" t="s">
        <v>71</v>
      </c>
      <c r="O47" t="str">
        <f>IFERROR(IF(Tbla_actores[[#This Row],[codigo_proyecto]]="","",_xlfn.XLOOKUP(Tbla_actores[[#This Row],[codigo_proyecto]],Proyectos!$A:$A,Proyectos!$C:$C)),"")</f>
        <v>NULOS</v>
      </c>
    </row>
    <row r="48" spans="1:15" ht="14.25" customHeight="1">
      <c r="A48" s="9">
        <v>1032487266</v>
      </c>
      <c r="B48" s="63" t="s">
        <v>61</v>
      </c>
      <c r="C48" s="62" t="s">
        <v>62</v>
      </c>
      <c r="D48" t="s">
        <v>63</v>
      </c>
      <c r="E48" t="s">
        <v>210</v>
      </c>
      <c r="F48" s="61">
        <v>35385</v>
      </c>
      <c r="G48" s="15" t="s">
        <v>65</v>
      </c>
      <c r="H48" t="s">
        <v>211</v>
      </c>
      <c r="I48" s="62" t="s">
        <v>212</v>
      </c>
      <c r="K48" s="36" t="s">
        <v>169</v>
      </c>
      <c r="L48" t="s">
        <v>69</v>
      </c>
      <c r="M48" s="62" t="s">
        <v>170</v>
      </c>
      <c r="N48" t="s">
        <v>71</v>
      </c>
      <c r="O48" t="str">
        <f>IFERROR(IF(Tbla_actores[[#This Row],[codigo_proyecto]]="","",_xlfn.XLOOKUP(Tbla_actores[[#This Row],[codigo_proyecto]],Proyectos!$A:$A,Proyectos!$C:$C)),"")</f>
        <v>NULOS</v>
      </c>
    </row>
    <row r="49" spans="1:15" ht="14.25" customHeight="1">
      <c r="A49" s="10">
        <v>1030673788</v>
      </c>
      <c r="B49" s="64" t="s">
        <v>61</v>
      </c>
      <c r="C49" s="62" t="s">
        <v>62</v>
      </c>
      <c r="D49" t="s">
        <v>63</v>
      </c>
      <c r="E49" t="s">
        <v>213</v>
      </c>
      <c r="F49" s="61">
        <v>35439</v>
      </c>
      <c r="G49" s="15" t="s">
        <v>73</v>
      </c>
      <c r="H49" t="s">
        <v>214</v>
      </c>
      <c r="I49" s="62" t="s">
        <v>215</v>
      </c>
      <c r="K49" s="36" t="s">
        <v>169</v>
      </c>
      <c r="L49" t="s">
        <v>69</v>
      </c>
      <c r="M49" s="62" t="s">
        <v>170</v>
      </c>
      <c r="N49" t="s">
        <v>71</v>
      </c>
      <c r="O49" t="str">
        <f>IFERROR(IF(Tbla_actores[[#This Row],[codigo_proyecto]]="","",_xlfn.XLOOKUP(Tbla_actores[[#This Row],[codigo_proyecto]],Proyectos!$A:$A,Proyectos!$C:$C)),"")</f>
        <v>NULOS</v>
      </c>
    </row>
    <row r="50" spans="1:15" ht="14.25" customHeight="1">
      <c r="A50" s="9">
        <v>1020783678</v>
      </c>
      <c r="B50" s="63" t="s">
        <v>61</v>
      </c>
      <c r="C50" s="62" t="s">
        <v>62</v>
      </c>
      <c r="D50" t="s">
        <v>63</v>
      </c>
      <c r="E50" t="s">
        <v>216</v>
      </c>
      <c r="F50" s="61">
        <v>34178</v>
      </c>
      <c r="G50" s="15" t="s">
        <v>65</v>
      </c>
      <c r="H50" t="s">
        <v>217</v>
      </c>
      <c r="I50" s="62" t="s">
        <v>218</v>
      </c>
      <c r="K50" s="36" t="s">
        <v>169</v>
      </c>
      <c r="L50" t="s">
        <v>69</v>
      </c>
      <c r="M50" s="62" t="s">
        <v>170</v>
      </c>
      <c r="N50" t="s">
        <v>71</v>
      </c>
      <c r="O50" t="str">
        <f>IFERROR(IF(Tbla_actores[[#This Row],[codigo_proyecto]]="","",_xlfn.XLOOKUP(Tbla_actores[[#This Row],[codigo_proyecto]],Proyectos!$A:$A,Proyectos!$C:$C)),"")</f>
        <v>NULOS</v>
      </c>
    </row>
    <row r="51" spans="1:15" ht="14.25" customHeight="1">
      <c r="A51" s="10">
        <v>1019134512</v>
      </c>
      <c r="B51" s="64" t="s">
        <v>61</v>
      </c>
      <c r="C51" s="62" t="s">
        <v>62</v>
      </c>
      <c r="D51" t="s">
        <v>63</v>
      </c>
      <c r="E51" t="s">
        <v>219</v>
      </c>
      <c r="F51" s="61">
        <v>35731</v>
      </c>
      <c r="G51" s="15" t="s">
        <v>65</v>
      </c>
      <c r="H51" t="s">
        <v>220</v>
      </c>
      <c r="I51" s="62" t="s">
        <v>221</v>
      </c>
      <c r="K51" s="36" t="s">
        <v>169</v>
      </c>
      <c r="L51" t="s">
        <v>69</v>
      </c>
      <c r="M51" s="62" t="s">
        <v>170</v>
      </c>
      <c r="N51" t="s">
        <v>71</v>
      </c>
      <c r="O51" t="str">
        <f>IFERROR(IF(Tbla_actores[[#This Row],[codigo_proyecto]]="","",_xlfn.XLOOKUP(Tbla_actores[[#This Row],[codigo_proyecto]],Proyectos!$A:$A,Proyectos!$C:$C)),"")</f>
        <v>NULOS</v>
      </c>
    </row>
    <row r="52" spans="1:15" ht="14.25" customHeight="1">
      <c r="A52" s="9">
        <v>1020806826</v>
      </c>
      <c r="B52" s="63" t="s">
        <v>61</v>
      </c>
      <c r="C52" s="62" t="s">
        <v>62</v>
      </c>
      <c r="D52" t="s">
        <v>63</v>
      </c>
      <c r="E52" t="s">
        <v>222</v>
      </c>
      <c r="F52" s="61">
        <v>34908</v>
      </c>
      <c r="G52" s="15" t="s">
        <v>73</v>
      </c>
      <c r="H52" t="s">
        <v>223</v>
      </c>
      <c r="I52" s="62" t="s">
        <v>224</v>
      </c>
      <c r="K52" s="36" t="s">
        <v>169</v>
      </c>
      <c r="L52" t="s">
        <v>69</v>
      </c>
      <c r="M52" s="62" t="s">
        <v>170</v>
      </c>
      <c r="N52" t="s">
        <v>71</v>
      </c>
      <c r="O52" t="str">
        <f>IFERROR(IF(Tbla_actores[[#This Row],[codigo_proyecto]]="","",_xlfn.XLOOKUP(Tbla_actores[[#This Row],[codigo_proyecto]],Proyectos!$A:$A,Proyectos!$C:$C)),"")</f>
        <v>NULOS</v>
      </c>
    </row>
    <row r="53" spans="1:15" ht="14.25" customHeight="1">
      <c r="A53" s="10">
        <v>1014298014</v>
      </c>
      <c r="B53" s="64" t="s">
        <v>61</v>
      </c>
      <c r="C53" s="62" t="s">
        <v>62</v>
      </c>
      <c r="D53" t="s">
        <v>63</v>
      </c>
      <c r="E53" t="s">
        <v>225</v>
      </c>
      <c r="F53" s="61">
        <v>35959</v>
      </c>
      <c r="G53" s="15" t="s">
        <v>73</v>
      </c>
      <c r="H53" t="s">
        <v>226</v>
      </c>
      <c r="I53" s="62" t="s">
        <v>227</v>
      </c>
      <c r="K53" s="36" t="s">
        <v>169</v>
      </c>
      <c r="L53" t="s">
        <v>69</v>
      </c>
      <c r="M53" s="62" t="s">
        <v>170</v>
      </c>
      <c r="N53" t="s">
        <v>71</v>
      </c>
      <c r="O53" t="str">
        <f>IFERROR(IF(Tbla_actores[[#This Row],[codigo_proyecto]]="","",_xlfn.XLOOKUP(Tbla_actores[[#This Row],[codigo_proyecto]],Proyectos!$A:$A,Proyectos!$C:$C)),"")</f>
        <v>NULOS</v>
      </c>
    </row>
    <row r="54" spans="1:15" ht="14.25" customHeight="1">
      <c r="A54" s="9">
        <v>1020812065</v>
      </c>
      <c r="B54" s="63" t="s">
        <v>61</v>
      </c>
      <c r="C54" s="62" t="s">
        <v>62</v>
      </c>
      <c r="D54" t="s">
        <v>63</v>
      </c>
      <c r="E54" t="s">
        <v>228</v>
      </c>
      <c r="F54" s="61">
        <v>35083</v>
      </c>
      <c r="G54" s="15" t="s">
        <v>65</v>
      </c>
      <c r="H54" t="s">
        <v>229</v>
      </c>
      <c r="I54" s="62" t="s">
        <v>230</v>
      </c>
      <c r="K54" s="36" t="s">
        <v>169</v>
      </c>
      <c r="L54" t="s">
        <v>69</v>
      </c>
      <c r="M54" s="62" t="s">
        <v>170</v>
      </c>
      <c r="N54" t="s">
        <v>71</v>
      </c>
      <c r="O54" t="str">
        <f>IFERROR(IF(Tbla_actores[[#This Row],[codigo_proyecto]]="","",_xlfn.XLOOKUP(Tbla_actores[[#This Row],[codigo_proyecto]],Proyectos!$A:$A,Proyectos!$C:$C)),"")</f>
        <v>NULOS</v>
      </c>
    </row>
    <row r="55" spans="1:15" ht="14.25" customHeight="1">
      <c r="A55" s="10">
        <v>1020809325</v>
      </c>
      <c r="B55" s="64" t="s">
        <v>61</v>
      </c>
      <c r="C55" s="62" t="s">
        <v>62</v>
      </c>
      <c r="D55" t="s">
        <v>63</v>
      </c>
      <c r="E55" t="s">
        <v>231</v>
      </c>
      <c r="F55" s="61">
        <v>34985</v>
      </c>
      <c r="G55" s="15" t="s">
        <v>65</v>
      </c>
      <c r="H55" t="s">
        <v>232</v>
      </c>
      <c r="I55" s="62" t="s">
        <v>233</v>
      </c>
      <c r="K55" s="36" t="s">
        <v>169</v>
      </c>
      <c r="L55" t="s">
        <v>69</v>
      </c>
      <c r="M55" s="62" t="s">
        <v>170</v>
      </c>
      <c r="N55" t="s">
        <v>71</v>
      </c>
      <c r="O55" t="str">
        <f>IFERROR(IF(Tbla_actores[[#This Row],[codigo_proyecto]]="","",_xlfn.XLOOKUP(Tbla_actores[[#This Row],[codigo_proyecto]],Proyectos!$A:$A,Proyectos!$C:$C)),"")</f>
        <v>NULOS</v>
      </c>
    </row>
    <row r="56" spans="1:15" ht="14.25" customHeight="1">
      <c r="A56" s="9">
        <v>1018502147</v>
      </c>
      <c r="B56" s="63" t="s">
        <v>61</v>
      </c>
      <c r="C56" s="62" t="s">
        <v>62</v>
      </c>
      <c r="D56" t="s">
        <v>63</v>
      </c>
      <c r="E56" t="s">
        <v>234</v>
      </c>
      <c r="F56" s="61">
        <v>35890</v>
      </c>
      <c r="G56" s="15" t="s">
        <v>73</v>
      </c>
      <c r="H56" t="s">
        <v>235</v>
      </c>
      <c r="I56" s="62" t="s">
        <v>236</v>
      </c>
      <c r="K56" s="36" t="s">
        <v>169</v>
      </c>
      <c r="L56" t="s">
        <v>69</v>
      </c>
      <c r="M56" s="62" t="s">
        <v>170</v>
      </c>
      <c r="N56" t="s">
        <v>71</v>
      </c>
      <c r="O56" t="str">
        <f>IFERROR(IF(Tbla_actores[[#This Row],[codigo_proyecto]]="","",_xlfn.XLOOKUP(Tbla_actores[[#This Row],[codigo_proyecto]],Proyectos!$A:$A,Proyectos!$C:$C)),"")</f>
        <v>NULOS</v>
      </c>
    </row>
    <row r="57" spans="1:15" ht="14.25" customHeight="1">
      <c r="A57" s="10">
        <v>1032493303</v>
      </c>
      <c r="B57" s="64" t="s">
        <v>61</v>
      </c>
      <c r="C57" s="62" t="s">
        <v>62</v>
      </c>
      <c r="D57" t="s">
        <v>63</v>
      </c>
      <c r="E57" t="s">
        <v>237</v>
      </c>
      <c r="F57" s="61">
        <v>35689</v>
      </c>
      <c r="G57" s="15" t="s">
        <v>65</v>
      </c>
      <c r="H57" t="s">
        <v>238</v>
      </c>
      <c r="I57" s="62" t="s">
        <v>239</v>
      </c>
      <c r="K57" s="36" t="s">
        <v>169</v>
      </c>
      <c r="L57" t="s">
        <v>69</v>
      </c>
      <c r="M57" s="62" t="s">
        <v>170</v>
      </c>
      <c r="N57" t="s">
        <v>71</v>
      </c>
      <c r="O57" t="str">
        <f>IFERROR(IF(Tbla_actores[[#This Row],[codigo_proyecto]]="","",_xlfn.XLOOKUP(Tbla_actores[[#This Row],[codigo_proyecto]],Proyectos!$A:$A,Proyectos!$C:$C)),"")</f>
        <v>NULOS</v>
      </c>
    </row>
    <row r="58" spans="1:15" ht="14.25" customHeight="1">
      <c r="A58" s="9">
        <v>1070016711</v>
      </c>
      <c r="B58" s="63" t="s">
        <v>61</v>
      </c>
      <c r="C58" s="62" t="s">
        <v>62</v>
      </c>
      <c r="D58" t="s">
        <v>63</v>
      </c>
      <c r="E58" t="s">
        <v>240</v>
      </c>
      <c r="F58" s="61">
        <v>35046</v>
      </c>
      <c r="G58" s="15" t="s">
        <v>73</v>
      </c>
      <c r="H58" t="s">
        <v>241</v>
      </c>
      <c r="I58" s="62" t="s">
        <v>242</v>
      </c>
      <c r="K58" s="36" t="s">
        <v>169</v>
      </c>
      <c r="L58" t="s">
        <v>69</v>
      </c>
      <c r="M58" s="62" t="s">
        <v>170</v>
      </c>
      <c r="N58" t="s">
        <v>71</v>
      </c>
      <c r="O58" t="str">
        <f>IFERROR(IF(Tbla_actores[[#This Row],[codigo_proyecto]]="","",_xlfn.XLOOKUP(Tbla_actores[[#This Row],[codigo_proyecto]],Proyectos!$A:$A,Proyectos!$C:$C)),"")</f>
        <v>NULOS</v>
      </c>
    </row>
    <row r="59" spans="1:15" ht="14.25" customHeight="1">
      <c r="A59" s="10">
        <v>1047471996</v>
      </c>
      <c r="B59" s="64" t="s">
        <v>61</v>
      </c>
      <c r="C59" s="62" t="s">
        <v>62</v>
      </c>
      <c r="D59" t="s">
        <v>63</v>
      </c>
      <c r="E59" t="s">
        <v>243</v>
      </c>
      <c r="F59" s="61">
        <v>34586</v>
      </c>
      <c r="G59" s="15" t="s">
        <v>73</v>
      </c>
      <c r="H59" t="s">
        <v>244</v>
      </c>
      <c r="I59" s="62" t="s">
        <v>245</v>
      </c>
      <c r="K59" s="36" t="s">
        <v>169</v>
      </c>
      <c r="L59" t="s">
        <v>69</v>
      </c>
      <c r="M59" s="62" t="s">
        <v>170</v>
      </c>
      <c r="N59" t="s">
        <v>71</v>
      </c>
      <c r="O59" t="str">
        <f>IFERROR(IF(Tbla_actores[[#This Row],[codigo_proyecto]]="","",_xlfn.XLOOKUP(Tbla_actores[[#This Row],[codigo_proyecto]],Proyectos!$A:$A,Proyectos!$C:$C)),"")</f>
        <v>NULOS</v>
      </c>
    </row>
    <row r="60" spans="1:15" ht="14.25" customHeight="1">
      <c r="A60" s="9">
        <v>1037656482</v>
      </c>
      <c r="B60" s="63" t="s">
        <v>61</v>
      </c>
      <c r="C60" s="62" t="s">
        <v>62</v>
      </c>
      <c r="D60" t="s">
        <v>63</v>
      </c>
      <c r="E60" t="s">
        <v>246</v>
      </c>
      <c r="F60" s="61">
        <v>35567</v>
      </c>
      <c r="G60" s="15" t="s">
        <v>65</v>
      </c>
      <c r="H60" t="s">
        <v>247</v>
      </c>
      <c r="I60" s="62" t="s">
        <v>248</v>
      </c>
      <c r="K60" s="36" t="s">
        <v>169</v>
      </c>
      <c r="L60" t="s">
        <v>69</v>
      </c>
      <c r="M60" s="62" t="s">
        <v>170</v>
      </c>
      <c r="N60" t="s">
        <v>71</v>
      </c>
      <c r="O60" t="str">
        <f>IFERROR(IF(Tbla_actores[[#This Row],[codigo_proyecto]]="","",_xlfn.XLOOKUP(Tbla_actores[[#This Row],[codigo_proyecto]],Proyectos!$A:$A,Proyectos!$C:$C)),"")</f>
        <v>NULOS</v>
      </c>
    </row>
    <row r="61" spans="1:15" ht="14.25" customHeight="1">
      <c r="A61" s="10">
        <v>1045733860</v>
      </c>
      <c r="B61" s="64" t="s">
        <v>61</v>
      </c>
      <c r="C61" s="62" t="s">
        <v>62</v>
      </c>
      <c r="D61" t="s">
        <v>63</v>
      </c>
      <c r="E61" t="s">
        <v>249</v>
      </c>
      <c r="F61" s="61">
        <v>34999</v>
      </c>
      <c r="G61" s="15" t="s">
        <v>73</v>
      </c>
      <c r="H61" t="s">
        <v>250</v>
      </c>
      <c r="I61" s="62" t="s">
        <v>251</v>
      </c>
      <c r="K61" s="36" t="s">
        <v>169</v>
      </c>
      <c r="L61" t="s">
        <v>69</v>
      </c>
      <c r="M61" s="62" t="s">
        <v>170</v>
      </c>
      <c r="N61" t="s">
        <v>71</v>
      </c>
      <c r="O61" t="str">
        <f>IFERROR(IF(Tbla_actores[[#This Row],[codigo_proyecto]]="","",_xlfn.XLOOKUP(Tbla_actores[[#This Row],[codigo_proyecto]],Proyectos!$A:$A,Proyectos!$C:$C)),"")</f>
        <v>NULOS</v>
      </c>
    </row>
    <row r="62" spans="1:15" ht="14.25" customHeight="1">
      <c r="A62" s="9">
        <v>1018488910</v>
      </c>
      <c r="B62" s="63" t="s">
        <v>61</v>
      </c>
      <c r="C62" s="62" t="s">
        <v>62</v>
      </c>
      <c r="D62" t="s">
        <v>63</v>
      </c>
      <c r="E62" t="s">
        <v>252</v>
      </c>
      <c r="F62" s="61">
        <v>35323</v>
      </c>
      <c r="G62" s="15" t="s">
        <v>73</v>
      </c>
      <c r="H62" t="s">
        <v>253</v>
      </c>
      <c r="I62" s="62" t="s">
        <v>254</v>
      </c>
      <c r="K62" s="36" t="s">
        <v>169</v>
      </c>
      <c r="L62" t="s">
        <v>69</v>
      </c>
      <c r="M62" s="62" t="s">
        <v>170</v>
      </c>
      <c r="N62" t="s">
        <v>71</v>
      </c>
      <c r="O62" t="str">
        <f>IFERROR(IF(Tbla_actores[[#This Row],[codigo_proyecto]]="","",_xlfn.XLOOKUP(Tbla_actores[[#This Row],[codigo_proyecto]],Proyectos!$A:$A,Proyectos!$C:$C)),"")</f>
        <v>NULOS</v>
      </c>
    </row>
    <row r="63" spans="1:15" ht="14.25" customHeight="1">
      <c r="A63" s="10">
        <v>1013674085</v>
      </c>
      <c r="B63" s="64" t="s">
        <v>61</v>
      </c>
      <c r="C63" s="62" t="s">
        <v>62</v>
      </c>
      <c r="D63" t="s">
        <v>63</v>
      </c>
      <c r="E63" t="s">
        <v>255</v>
      </c>
      <c r="F63" s="61">
        <v>35585</v>
      </c>
      <c r="G63" s="15" t="s">
        <v>73</v>
      </c>
      <c r="H63" t="s">
        <v>256</v>
      </c>
      <c r="I63" s="62" t="s">
        <v>257</v>
      </c>
      <c r="K63" s="36" t="s">
        <v>169</v>
      </c>
      <c r="L63" t="s">
        <v>69</v>
      </c>
      <c r="M63" s="62" t="s">
        <v>170</v>
      </c>
      <c r="N63" t="s">
        <v>71</v>
      </c>
      <c r="O63" t="str">
        <f>IFERROR(IF(Tbla_actores[[#This Row],[codigo_proyecto]]="","",_xlfn.XLOOKUP(Tbla_actores[[#This Row],[codigo_proyecto]],Proyectos!$A:$A,Proyectos!$C:$C)),"")</f>
        <v>NULOS</v>
      </c>
    </row>
    <row r="64" spans="1:15" ht="14.25" customHeight="1">
      <c r="A64" s="9">
        <v>1019135410</v>
      </c>
      <c r="B64" s="63" t="s">
        <v>61</v>
      </c>
      <c r="C64" s="62" t="s">
        <v>62</v>
      </c>
      <c r="D64" t="s">
        <v>63</v>
      </c>
      <c r="E64" t="s">
        <v>258</v>
      </c>
      <c r="F64" s="61">
        <v>35759</v>
      </c>
      <c r="G64" s="15" t="s">
        <v>73</v>
      </c>
      <c r="H64" t="s">
        <v>259</v>
      </c>
      <c r="I64" s="62" t="s">
        <v>260</v>
      </c>
      <c r="K64" s="36" t="s">
        <v>169</v>
      </c>
      <c r="L64" t="s">
        <v>69</v>
      </c>
      <c r="M64" s="62" t="s">
        <v>170</v>
      </c>
      <c r="N64" t="s">
        <v>71</v>
      </c>
      <c r="O64" t="str">
        <f>IFERROR(IF(Tbla_actores[[#This Row],[codigo_proyecto]]="","",_xlfn.XLOOKUP(Tbla_actores[[#This Row],[codigo_proyecto]],Proyectos!$A:$A,Proyectos!$C:$C)),"")</f>
        <v>NULOS</v>
      </c>
    </row>
    <row r="65" spans="1:15" ht="14.25" customHeight="1">
      <c r="A65" s="10">
        <v>1018506169</v>
      </c>
      <c r="B65" s="64" t="s">
        <v>61</v>
      </c>
      <c r="C65" s="62" t="s">
        <v>62</v>
      </c>
      <c r="D65" t="s">
        <v>63</v>
      </c>
      <c r="E65" t="s">
        <v>261</v>
      </c>
      <c r="F65" s="61">
        <v>36075</v>
      </c>
      <c r="G65" s="15" t="s">
        <v>65</v>
      </c>
      <c r="H65" t="s">
        <v>262</v>
      </c>
      <c r="I65" s="62" t="s">
        <v>263</v>
      </c>
      <c r="K65" s="36" t="s">
        <v>169</v>
      </c>
      <c r="L65" t="s">
        <v>69</v>
      </c>
      <c r="M65" s="62" t="s">
        <v>170</v>
      </c>
      <c r="N65" t="s">
        <v>71</v>
      </c>
      <c r="O65" t="str">
        <f>IFERROR(IF(Tbla_actores[[#This Row],[codigo_proyecto]]="","",_xlfn.XLOOKUP(Tbla_actores[[#This Row],[codigo_proyecto]],Proyectos!$A:$A,Proyectos!$C:$C)),"")</f>
        <v>NULOS</v>
      </c>
    </row>
    <row r="66" spans="1:15" ht="14.25" customHeight="1">
      <c r="A66" s="9">
        <v>1015468096</v>
      </c>
      <c r="B66" s="63" t="s">
        <v>61</v>
      </c>
      <c r="C66" s="62" t="s">
        <v>62</v>
      </c>
      <c r="D66" t="s">
        <v>63</v>
      </c>
      <c r="E66" t="s">
        <v>264</v>
      </c>
      <c r="F66" s="61">
        <v>35482</v>
      </c>
      <c r="G66" s="15" t="s">
        <v>65</v>
      </c>
      <c r="H66" t="s">
        <v>265</v>
      </c>
      <c r="I66" s="62" t="s">
        <v>266</v>
      </c>
      <c r="K66" s="36" t="s">
        <v>169</v>
      </c>
      <c r="L66" t="s">
        <v>69</v>
      </c>
      <c r="M66" s="62" t="s">
        <v>170</v>
      </c>
      <c r="N66" t="s">
        <v>71</v>
      </c>
      <c r="O66" t="str">
        <f>IFERROR(IF(Tbla_actores[[#This Row],[codigo_proyecto]]="","",_xlfn.XLOOKUP(Tbla_actores[[#This Row],[codigo_proyecto]],Proyectos!$A:$A,Proyectos!$C:$C)),"")</f>
        <v>NULOS</v>
      </c>
    </row>
    <row r="67" spans="1:15" ht="14.25" customHeight="1">
      <c r="A67" s="10">
        <v>1020808311</v>
      </c>
      <c r="B67" s="64" t="s">
        <v>61</v>
      </c>
      <c r="C67" s="62" t="s">
        <v>62</v>
      </c>
      <c r="D67" t="s">
        <v>63</v>
      </c>
      <c r="E67" t="s">
        <v>267</v>
      </c>
      <c r="F67" s="61">
        <v>34948</v>
      </c>
      <c r="G67" s="15" t="s">
        <v>65</v>
      </c>
      <c r="H67" t="s">
        <v>268</v>
      </c>
      <c r="I67" s="62" t="s">
        <v>269</v>
      </c>
      <c r="K67" s="36" t="s">
        <v>169</v>
      </c>
      <c r="L67" t="s">
        <v>69</v>
      </c>
      <c r="M67" s="62" t="s">
        <v>170</v>
      </c>
      <c r="N67" t="s">
        <v>71</v>
      </c>
      <c r="O67" t="str">
        <f>IFERROR(IF(Tbla_actores[[#This Row],[codigo_proyecto]]="","",_xlfn.XLOOKUP(Tbla_actores[[#This Row],[codigo_proyecto]],Proyectos!$A:$A,Proyectos!$C:$C)),"")</f>
        <v>NULOS</v>
      </c>
    </row>
    <row r="68" spans="1:15" ht="14.25" customHeight="1">
      <c r="A68" s="9">
        <v>1018503188</v>
      </c>
      <c r="B68" s="63" t="s">
        <v>61</v>
      </c>
      <c r="C68" s="62" t="s">
        <v>62</v>
      </c>
      <c r="D68" t="s">
        <v>63</v>
      </c>
      <c r="E68" t="s">
        <v>270</v>
      </c>
      <c r="F68" s="61">
        <v>35932</v>
      </c>
      <c r="G68" s="15" t="s">
        <v>73</v>
      </c>
      <c r="H68" t="s">
        <v>271</v>
      </c>
      <c r="I68" s="62" t="s">
        <v>272</v>
      </c>
      <c r="K68" s="36" t="s">
        <v>169</v>
      </c>
      <c r="L68" t="s">
        <v>69</v>
      </c>
      <c r="M68" s="62" t="s">
        <v>170</v>
      </c>
      <c r="N68" t="s">
        <v>71</v>
      </c>
      <c r="O68" t="str">
        <f>IFERROR(IF(Tbla_actores[[#This Row],[codigo_proyecto]]="","",_xlfn.XLOOKUP(Tbla_actores[[#This Row],[codigo_proyecto]],Proyectos!$A:$A,Proyectos!$C:$C)),"")</f>
        <v>NULOS</v>
      </c>
    </row>
    <row r="69" spans="1:15" ht="14.25" customHeight="1">
      <c r="A69" s="10">
        <v>1015466436</v>
      </c>
      <c r="B69" s="64" t="s">
        <v>61</v>
      </c>
      <c r="C69" s="62" t="s">
        <v>62</v>
      </c>
      <c r="D69" t="s">
        <v>63</v>
      </c>
      <c r="E69" t="s">
        <v>273</v>
      </c>
      <c r="F69" s="61">
        <v>35414</v>
      </c>
      <c r="G69" s="15" t="s">
        <v>73</v>
      </c>
      <c r="H69" t="s">
        <v>274</v>
      </c>
      <c r="I69" s="62" t="s">
        <v>275</v>
      </c>
      <c r="K69" s="36" t="s">
        <v>169</v>
      </c>
      <c r="L69" t="s">
        <v>69</v>
      </c>
      <c r="M69" s="62" t="s">
        <v>170</v>
      </c>
      <c r="N69" t="s">
        <v>71</v>
      </c>
      <c r="O69" t="str">
        <f>IFERROR(IF(Tbla_actores[[#This Row],[codigo_proyecto]]="","",_xlfn.XLOOKUP(Tbla_actores[[#This Row],[codigo_proyecto]],Proyectos!$A:$A,Proyectos!$C:$C)),"")</f>
        <v>NULOS</v>
      </c>
    </row>
    <row r="70" spans="1:15" ht="14.25" customHeight="1">
      <c r="A70" s="9">
        <v>1015473509</v>
      </c>
      <c r="B70" s="63" t="s">
        <v>61</v>
      </c>
      <c r="C70" s="62" t="s">
        <v>62</v>
      </c>
      <c r="D70" t="s">
        <v>63</v>
      </c>
      <c r="E70" t="s">
        <v>276</v>
      </c>
      <c r="F70" s="61">
        <v>35840</v>
      </c>
      <c r="G70" s="15" t="s">
        <v>73</v>
      </c>
      <c r="H70" t="s">
        <v>277</v>
      </c>
      <c r="I70" s="62" t="s">
        <v>278</v>
      </c>
      <c r="K70" s="36" t="s">
        <v>169</v>
      </c>
      <c r="L70" t="s">
        <v>69</v>
      </c>
      <c r="M70" s="62" t="s">
        <v>170</v>
      </c>
      <c r="N70" t="s">
        <v>71</v>
      </c>
      <c r="O70" t="str">
        <f>IFERROR(IF(Tbla_actores[[#This Row],[codigo_proyecto]]="","",_xlfn.XLOOKUP(Tbla_actores[[#This Row],[codigo_proyecto]],Proyectos!$A:$A,Proyectos!$C:$C)),"")</f>
        <v>NULOS</v>
      </c>
    </row>
    <row r="71" spans="1:15" ht="14.25" customHeight="1">
      <c r="A71" s="10">
        <v>1073174684</v>
      </c>
      <c r="B71" s="64" t="s">
        <v>61</v>
      </c>
      <c r="C71" s="62" t="s">
        <v>62</v>
      </c>
      <c r="D71" t="s">
        <v>63</v>
      </c>
      <c r="E71" t="s">
        <v>279</v>
      </c>
      <c r="F71" s="61">
        <v>35736</v>
      </c>
      <c r="G71" s="15" t="s">
        <v>65</v>
      </c>
      <c r="H71" t="s">
        <v>280</v>
      </c>
      <c r="I71" s="62" t="s">
        <v>281</v>
      </c>
      <c r="K71" s="36" t="s">
        <v>169</v>
      </c>
      <c r="L71" t="s">
        <v>69</v>
      </c>
      <c r="M71" s="62" t="s">
        <v>170</v>
      </c>
      <c r="N71" t="s">
        <v>71</v>
      </c>
      <c r="O71" t="str">
        <f>IFERROR(IF(Tbla_actores[[#This Row],[codigo_proyecto]]="","",_xlfn.XLOOKUP(Tbla_actores[[#This Row],[codigo_proyecto]],Proyectos!$A:$A,Proyectos!$C:$C)),"")</f>
        <v>NULOS</v>
      </c>
    </row>
    <row r="72" spans="1:15" ht="14.25" customHeight="1">
      <c r="A72" s="9">
        <v>1018496978</v>
      </c>
      <c r="B72" s="63" t="s">
        <v>61</v>
      </c>
      <c r="C72" s="62" t="s">
        <v>62</v>
      </c>
      <c r="D72" t="s">
        <v>63</v>
      </c>
      <c r="E72" t="s">
        <v>282</v>
      </c>
      <c r="F72" s="61">
        <v>35666</v>
      </c>
      <c r="G72" s="15" t="s">
        <v>65</v>
      </c>
      <c r="H72" t="s">
        <v>283</v>
      </c>
      <c r="I72" s="62" t="s">
        <v>284</v>
      </c>
      <c r="K72" s="36" t="s">
        <v>169</v>
      </c>
      <c r="L72" t="s">
        <v>69</v>
      </c>
      <c r="M72" s="62" t="s">
        <v>170</v>
      </c>
      <c r="N72" t="s">
        <v>71</v>
      </c>
      <c r="O72" t="str">
        <f>IFERROR(IF(Tbla_actores[[#This Row],[codigo_proyecto]]="","",_xlfn.XLOOKUP(Tbla_actores[[#This Row],[codigo_proyecto]],Proyectos!$A:$A,Proyectos!$C:$C)),"")</f>
        <v>NULOS</v>
      </c>
    </row>
    <row r="73" spans="1:15" ht="14.25" customHeight="1">
      <c r="A73" s="10">
        <v>1020820105</v>
      </c>
      <c r="B73" s="64" t="s">
        <v>61</v>
      </c>
      <c r="C73" s="62" t="s">
        <v>62</v>
      </c>
      <c r="D73" t="s">
        <v>63</v>
      </c>
      <c r="E73" t="s">
        <v>285</v>
      </c>
      <c r="F73" s="61">
        <v>35371</v>
      </c>
      <c r="G73" s="15" t="s">
        <v>73</v>
      </c>
      <c r="H73" t="s">
        <v>286</v>
      </c>
      <c r="I73" s="62" t="s">
        <v>287</v>
      </c>
      <c r="K73" s="36" t="s">
        <v>169</v>
      </c>
      <c r="L73" t="s">
        <v>69</v>
      </c>
      <c r="M73" s="62" t="s">
        <v>170</v>
      </c>
      <c r="N73" t="s">
        <v>71</v>
      </c>
      <c r="O73" t="str">
        <f>IFERROR(IF(Tbla_actores[[#This Row],[codigo_proyecto]]="","",_xlfn.XLOOKUP(Tbla_actores[[#This Row],[codigo_proyecto]],Proyectos!$A:$A,Proyectos!$C:$C)),"")</f>
        <v>NULOS</v>
      </c>
    </row>
    <row r="74" spans="1:15" ht="14.25" customHeight="1">
      <c r="A74" s="9">
        <v>1020822706</v>
      </c>
      <c r="B74" s="63" t="s">
        <v>61</v>
      </c>
      <c r="C74" s="62" t="s">
        <v>62</v>
      </c>
      <c r="D74" t="s">
        <v>63</v>
      </c>
      <c r="E74" t="s">
        <v>288</v>
      </c>
      <c r="F74" s="61">
        <v>35441</v>
      </c>
      <c r="G74" s="15" t="s">
        <v>65</v>
      </c>
      <c r="H74" t="s">
        <v>289</v>
      </c>
      <c r="I74" s="62" t="s">
        <v>290</v>
      </c>
      <c r="K74" s="36" t="s">
        <v>169</v>
      </c>
      <c r="L74" t="s">
        <v>69</v>
      </c>
      <c r="M74" s="62" t="s">
        <v>170</v>
      </c>
      <c r="N74" t="s">
        <v>71</v>
      </c>
      <c r="O74" t="str">
        <f>IFERROR(IF(Tbla_actores[[#This Row],[codigo_proyecto]]="","",_xlfn.XLOOKUP(Tbla_actores[[#This Row],[codigo_proyecto]],Proyectos!$A:$A,Proyectos!$C:$C)),"")</f>
        <v>NULOS</v>
      </c>
    </row>
    <row r="75" spans="1:15" ht="14.25" customHeight="1">
      <c r="A75" s="10">
        <v>1018471803</v>
      </c>
      <c r="B75" s="64" t="s">
        <v>61</v>
      </c>
      <c r="C75" s="62" t="s">
        <v>62</v>
      </c>
      <c r="D75" t="s">
        <v>63</v>
      </c>
      <c r="E75" t="s">
        <v>291</v>
      </c>
      <c r="F75" s="61">
        <v>34648</v>
      </c>
      <c r="G75" s="15" t="s">
        <v>65</v>
      </c>
      <c r="H75" t="s">
        <v>292</v>
      </c>
      <c r="I75" s="62" t="s">
        <v>293</v>
      </c>
      <c r="K75" s="36" t="s">
        <v>169</v>
      </c>
      <c r="L75" t="s">
        <v>69</v>
      </c>
      <c r="M75" s="62" t="s">
        <v>170</v>
      </c>
      <c r="N75" t="s">
        <v>71</v>
      </c>
      <c r="O75" t="str">
        <f>IFERROR(IF(Tbla_actores[[#This Row],[codigo_proyecto]]="","",_xlfn.XLOOKUP(Tbla_actores[[#This Row],[codigo_proyecto]],Proyectos!$A:$A,Proyectos!$C:$C)),"")</f>
        <v>NULOS</v>
      </c>
    </row>
    <row r="76" spans="1:15" ht="14.25" customHeight="1">
      <c r="A76" s="9">
        <v>1019133533</v>
      </c>
      <c r="B76" s="63" t="s">
        <v>61</v>
      </c>
      <c r="C76" s="62" t="s">
        <v>62</v>
      </c>
      <c r="D76" t="s">
        <v>63</v>
      </c>
      <c r="E76" t="s">
        <v>294</v>
      </c>
      <c r="F76" s="61">
        <v>35665</v>
      </c>
      <c r="G76" s="15" t="s">
        <v>65</v>
      </c>
      <c r="H76" t="s">
        <v>295</v>
      </c>
      <c r="I76" s="62" t="s">
        <v>296</v>
      </c>
      <c r="K76" s="36" t="s">
        <v>169</v>
      </c>
      <c r="L76" t="s">
        <v>69</v>
      </c>
      <c r="M76" s="62" t="s">
        <v>170</v>
      </c>
      <c r="N76" t="s">
        <v>71</v>
      </c>
      <c r="O76" t="str">
        <f>IFERROR(IF(Tbla_actores[[#This Row],[codigo_proyecto]]="","",_xlfn.XLOOKUP(Tbla_actores[[#This Row],[codigo_proyecto]],Proyectos!$A:$A,Proyectos!$C:$C)),"")</f>
        <v>NULOS</v>
      </c>
    </row>
    <row r="77" spans="1:15" ht="14.25" customHeight="1">
      <c r="A77" s="10">
        <v>1020819877</v>
      </c>
      <c r="B77" s="64" t="s">
        <v>61</v>
      </c>
      <c r="C77" s="62" t="s">
        <v>62</v>
      </c>
      <c r="D77" t="s">
        <v>63</v>
      </c>
      <c r="E77" t="s">
        <v>297</v>
      </c>
      <c r="F77" s="61">
        <v>35346</v>
      </c>
      <c r="G77" s="15" t="s">
        <v>65</v>
      </c>
      <c r="H77" t="s">
        <v>298</v>
      </c>
      <c r="I77" s="62" t="s">
        <v>299</v>
      </c>
      <c r="K77" s="36" t="s">
        <v>169</v>
      </c>
      <c r="L77" t="s">
        <v>69</v>
      </c>
      <c r="M77" s="62" t="s">
        <v>170</v>
      </c>
      <c r="N77" t="s">
        <v>71</v>
      </c>
      <c r="O77" t="str">
        <f>IFERROR(IF(Tbla_actores[[#This Row],[codigo_proyecto]]="","",_xlfn.XLOOKUP(Tbla_actores[[#This Row],[codigo_proyecto]],Proyectos!$A:$A,Proyectos!$C:$C)),"")</f>
        <v>NULOS</v>
      </c>
    </row>
    <row r="78" spans="1:15" ht="14.25" customHeight="1">
      <c r="A78" s="9">
        <v>1019093555</v>
      </c>
      <c r="B78" s="63" t="s">
        <v>61</v>
      </c>
      <c r="C78" s="62" t="s">
        <v>62</v>
      </c>
      <c r="D78" t="s">
        <v>63</v>
      </c>
      <c r="E78" t="s">
        <v>300</v>
      </c>
      <c r="F78" s="61">
        <v>34405</v>
      </c>
      <c r="G78" s="15" t="s">
        <v>65</v>
      </c>
      <c r="H78" t="s">
        <v>301</v>
      </c>
      <c r="I78" s="62" t="s">
        <v>302</v>
      </c>
      <c r="K78" s="36" t="s">
        <v>169</v>
      </c>
      <c r="L78" t="s">
        <v>69</v>
      </c>
      <c r="M78" s="62" t="s">
        <v>170</v>
      </c>
      <c r="N78" t="s">
        <v>71</v>
      </c>
      <c r="O78" t="str">
        <f>IFERROR(IF(Tbla_actores[[#This Row],[codigo_proyecto]]="","",_xlfn.XLOOKUP(Tbla_actores[[#This Row],[codigo_proyecto]],Proyectos!$A:$A,Proyectos!$C:$C)),"")</f>
        <v>NULOS</v>
      </c>
    </row>
    <row r="79" spans="1:15" ht="14.25" customHeight="1">
      <c r="A79" s="10">
        <v>1019134420</v>
      </c>
      <c r="B79" s="64" t="s">
        <v>61</v>
      </c>
      <c r="C79" s="62" t="s">
        <v>62</v>
      </c>
      <c r="D79" t="s">
        <v>63</v>
      </c>
      <c r="E79" t="s">
        <v>303</v>
      </c>
      <c r="F79" s="61">
        <v>35723</v>
      </c>
      <c r="G79" s="15" t="s">
        <v>73</v>
      </c>
      <c r="H79" t="s">
        <v>304</v>
      </c>
      <c r="I79" s="62" t="s">
        <v>305</v>
      </c>
      <c r="K79" s="36" t="s">
        <v>169</v>
      </c>
      <c r="L79" t="s">
        <v>69</v>
      </c>
      <c r="M79" s="62" t="s">
        <v>170</v>
      </c>
      <c r="N79" t="s">
        <v>71</v>
      </c>
      <c r="O79" t="str">
        <f>IFERROR(IF(Tbla_actores[[#This Row],[codigo_proyecto]]="","",_xlfn.XLOOKUP(Tbla_actores[[#This Row],[codigo_proyecto]],Proyectos!$A:$A,Proyectos!$C:$C)),"")</f>
        <v>NULOS</v>
      </c>
    </row>
    <row r="80" spans="1:15" ht="14.25" customHeight="1">
      <c r="A80" s="9">
        <v>1020825925</v>
      </c>
      <c r="B80" s="63" t="s">
        <v>61</v>
      </c>
      <c r="C80" s="62" t="s">
        <v>62</v>
      </c>
      <c r="D80" t="s">
        <v>63</v>
      </c>
      <c r="E80" t="s">
        <v>306</v>
      </c>
      <c r="F80" s="61">
        <v>35560</v>
      </c>
      <c r="G80" s="15" t="s">
        <v>65</v>
      </c>
      <c r="H80" t="s">
        <v>307</v>
      </c>
      <c r="I80" s="62" t="s">
        <v>308</v>
      </c>
      <c r="K80" s="36" t="s">
        <v>169</v>
      </c>
      <c r="L80" t="s">
        <v>69</v>
      </c>
      <c r="M80" s="62" t="s">
        <v>170</v>
      </c>
      <c r="N80" t="s">
        <v>71</v>
      </c>
      <c r="O80" t="str">
        <f>IFERROR(IF(Tbla_actores[[#This Row],[codigo_proyecto]]="","",_xlfn.XLOOKUP(Tbla_actores[[#This Row],[codigo_proyecto]],Proyectos!$A:$A,Proyectos!$C:$C)),"")</f>
        <v>NULOS</v>
      </c>
    </row>
    <row r="81" spans="1:15" ht="14.25" customHeight="1">
      <c r="A81" s="10">
        <v>1085335448</v>
      </c>
      <c r="B81" s="64" t="s">
        <v>61</v>
      </c>
      <c r="C81" s="62" t="s">
        <v>62</v>
      </c>
      <c r="D81" t="s">
        <v>63</v>
      </c>
      <c r="E81" t="s">
        <v>309</v>
      </c>
      <c r="F81" s="61">
        <v>35608</v>
      </c>
      <c r="G81" s="15" t="s">
        <v>65</v>
      </c>
      <c r="H81" t="s">
        <v>310</v>
      </c>
      <c r="I81" s="62" t="s">
        <v>311</v>
      </c>
      <c r="K81" s="36" t="s">
        <v>169</v>
      </c>
      <c r="L81" t="s">
        <v>69</v>
      </c>
      <c r="M81" s="62" t="s">
        <v>170</v>
      </c>
      <c r="N81" t="s">
        <v>71</v>
      </c>
      <c r="O81" t="str">
        <f>IFERROR(IF(Tbla_actores[[#This Row],[codigo_proyecto]]="","",_xlfn.XLOOKUP(Tbla_actores[[#This Row],[codigo_proyecto]],Proyectos!$A:$A,Proyectos!$C:$C)),"")</f>
        <v>NULOS</v>
      </c>
    </row>
    <row r="82" spans="1:15" ht="14.25" customHeight="1">
      <c r="A82" s="9">
        <v>1072706397</v>
      </c>
      <c r="B82" s="63" t="s">
        <v>61</v>
      </c>
      <c r="C82" s="62" t="s">
        <v>62</v>
      </c>
      <c r="D82" t="s">
        <v>63</v>
      </c>
      <c r="E82" t="s">
        <v>312</v>
      </c>
      <c r="F82" s="61">
        <v>34875</v>
      </c>
      <c r="G82" s="15" t="s">
        <v>65</v>
      </c>
      <c r="H82" t="s">
        <v>313</v>
      </c>
      <c r="I82" s="62" t="s">
        <v>314</v>
      </c>
      <c r="K82" s="36" t="s">
        <v>169</v>
      </c>
      <c r="L82" t="s">
        <v>69</v>
      </c>
      <c r="M82" s="62" t="s">
        <v>170</v>
      </c>
      <c r="N82" t="s">
        <v>71</v>
      </c>
      <c r="O82" t="str">
        <f>IFERROR(IF(Tbla_actores[[#This Row],[codigo_proyecto]]="","",_xlfn.XLOOKUP(Tbla_actores[[#This Row],[codigo_proyecto]],Proyectos!$A:$A,Proyectos!$C:$C)),"")</f>
        <v>NULOS</v>
      </c>
    </row>
    <row r="83" spans="1:15" ht="14.25" customHeight="1">
      <c r="A83" s="10">
        <v>1020791492</v>
      </c>
      <c r="B83" s="64" t="s">
        <v>61</v>
      </c>
      <c r="C83" s="62" t="s">
        <v>62</v>
      </c>
      <c r="D83" t="s">
        <v>63</v>
      </c>
      <c r="E83" t="s">
        <v>315</v>
      </c>
      <c r="F83" s="61">
        <v>34408</v>
      </c>
      <c r="G83" s="15" t="s">
        <v>65</v>
      </c>
      <c r="H83" t="s">
        <v>316</v>
      </c>
      <c r="I83" s="62" t="s">
        <v>317</v>
      </c>
      <c r="K83" s="36" t="s">
        <v>169</v>
      </c>
      <c r="L83" t="s">
        <v>69</v>
      </c>
      <c r="M83" s="62" t="s">
        <v>170</v>
      </c>
      <c r="N83" t="s">
        <v>71</v>
      </c>
      <c r="O83" t="str">
        <f>IFERROR(IF(Tbla_actores[[#This Row],[codigo_proyecto]]="","",_xlfn.XLOOKUP(Tbla_actores[[#This Row],[codigo_proyecto]],Proyectos!$A:$A,Proyectos!$C:$C)),"")</f>
        <v>NULOS</v>
      </c>
    </row>
    <row r="84" spans="1:15" ht="14.25" customHeight="1">
      <c r="A84" s="9">
        <v>1098780136</v>
      </c>
      <c r="B84" s="63" t="s">
        <v>61</v>
      </c>
      <c r="C84" s="62" t="s">
        <v>62</v>
      </c>
      <c r="D84" t="s">
        <v>63</v>
      </c>
      <c r="E84" t="s">
        <v>318</v>
      </c>
      <c r="F84" s="61">
        <v>35093</v>
      </c>
      <c r="G84" s="15" t="s">
        <v>65</v>
      </c>
      <c r="H84" t="s">
        <v>319</v>
      </c>
      <c r="I84" s="62" t="s">
        <v>320</v>
      </c>
      <c r="K84" s="36" t="s">
        <v>169</v>
      </c>
      <c r="L84" t="s">
        <v>69</v>
      </c>
      <c r="M84" s="62" t="s">
        <v>170</v>
      </c>
      <c r="N84" t="s">
        <v>71</v>
      </c>
      <c r="O84" t="str">
        <f>IFERROR(IF(Tbla_actores[[#This Row],[codigo_proyecto]]="","",_xlfn.XLOOKUP(Tbla_actores[[#This Row],[codigo_proyecto]],Proyectos!$A:$A,Proyectos!$C:$C)),"")</f>
        <v>NULOS</v>
      </c>
    </row>
    <row r="85" spans="1:15" ht="14.25" customHeight="1">
      <c r="A85" s="10">
        <v>1032483146</v>
      </c>
      <c r="B85" s="64" t="s">
        <v>61</v>
      </c>
      <c r="C85" s="62" t="s">
        <v>62</v>
      </c>
      <c r="D85" t="s">
        <v>63</v>
      </c>
      <c r="E85" t="s">
        <v>321</v>
      </c>
      <c r="F85" s="61">
        <v>35254</v>
      </c>
      <c r="G85" s="15" t="s">
        <v>73</v>
      </c>
      <c r="H85" t="s">
        <v>322</v>
      </c>
      <c r="I85" s="62" t="s">
        <v>323</v>
      </c>
      <c r="K85" s="36" t="s">
        <v>169</v>
      </c>
      <c r="L85" t="s">
        <v>69</v>
      </c>
      <c r="M85" s="62" t="s">
        <v>170</v>
      </c>
      <c r="N85" t="s">
        <v>71</v>
      </c>
      <c r="O85" t="str">
        <f>IFERROR(IF(Tbla_actores[[#This Row],[codigo_proyecto]]="","",_xlfn.XLOOKUP(Tbla_actores[[#This Row],[codigo_proyecto]],Proyectos!$A:$A,Proyectos!$C:$C)),"")</f>
        <v>NULOS</v>
      </c>
    </row>
    <row r="86" spans="1:15" ht="14.25" customHeight="1">
      <c r="A86" s="9">
        <v>1032502284</v>
      </c>
      <c r="B86" s="63" t="s">
        <v>61</v>
      </c>
      <c r="C86" s="62" t="s">
        <v>62</v>
      </c>
      <c r="D86" t="s">
        <v>63</v>
      </c>
      <c r="E86" t="s">
        <v>324</v>
      </c>
      <c r="F86" s="61">
        <v>36172</v>
      </c>
      <c r="G86" s="15" t="s">
        <v>65</v>
      </c>
      <c r="H86" t="s">
        <v>325</v>
      </c>
      <c r="I86" s="62" t="s">
        <v>326</v>
      </c>
      <c r="K86" s="36" t="s">
        <v>169</v>
      </c>
      <c r="L86" t="s">
        <v>69</v>
      </c>
      <c r="M86" s="62" t="s">
        <v>170</v>
      </c>
      <c r="N86" t="s">
        <v>71</v>
      </c>
      <c r="O86" t="str">
        <f>IFERROR(IF(Tbla_actores[[#This Row],[codigo_proyecto]]="","",_xlfn.XLOOKUP(Tbla_actores[[#This Row],[codigo_proyecto]],Proyectos!$A:$A,Proyectos!$C:$C)),"")</f>
        <v>NULOS</v>
      </c>
    </row>
    <row r="87" spans="1:15" ht="14.25" customHeight="1">
      <c r="A87" s="10">
        <v>1032491676</v>
      </c>
      <c r="B87" s="64" t="s">
        <v>61</v>
      </c>
      <c r="C87" s="62" t="s">
        <v>62</v>
      </c>
      <c r="D87" t="s">
        <v>63</v>
      </c>
      <c r="E87" t="s">
        <v>327</v>
      </c>
      <c r="F87" s="61">
        <v>35612</v>
      </c>
      <c r="G87" s="15" t="s">
        <v>65</v>
      </c>
      <c r="H87" t="s">
        <v>328</v>
      </c>
      <c r="I87" s="62" t="s">
        <v>329</v>
      </c>
      <c r="K87" s="36" t="s">
        <v>169</v>
      </c>
      <c r="L87" t="s">
        <v>69</v>
      </c>
      <c r="M87" s="62" t="s">
        <v>170</v>
      </c>
      <c r="N87" t="s">
        <v>71</v>
      </c>
      <c r="O87" t="str">
        <f>IFERROR(IF(Tbla_actores[[#This Row],[codigo_proyecto]]="","",_xlfn.XLOOKUP(Tbla_actores[[#This Row],[codigo_proyecto]],Proyectos!$A:$A,Proyectos!$C:$C)),"")</f>
        <v>NULOS</v>
      </c>
    </row>
    <row r="88" spans="1:15" ht="14.25" customHeight="1">
      <c r="A88" s="9">
        <v>1022424234</v>
      </c>
      <c r="B88" s="63" t="s">
        <v>61</v>
      </c>
      <c r="C88" s="62" t="s">
        <v>62</v>
      </c>
      <c r="D88" t="s">
        <v>63</v>
      </c>
      <c r="E88" t="s">
        <v>330</v>
      </c>
      <c r="F88" s="61">
        <v>35476</v>
      </c>
      <c r="G88" s="15" t="s">
        <v>73</v>
      </c>
      <c r="H88" t="s">
        <v>331</v>
      </c>
      <c r="I88" s="62" t="s">
        <v>332</v>
      </c>
      <c r="K88" s="36" t="s">
        <v>169</v>
      </c>
      <c r="L88" t="s">
        <v>69</v>
      </c>
      <c r="M88" s="62" t="s">
        <v>170</v>
      </c>
      <c r="N88" t="s">
        <v>71</v>
      </c>
      <c r="O88" t="str">
        <f>IFERROR(IF(Tbla_actores[[#This Row],[codigo_proyecto]]="","",_xlfn.XLOOKUP(Tbla_actores[[#This Row],[codigo_proyecto]],Proyectos!$A:$A,Proyectos!$C:$C)),"")</f>
        <v>NULOS</v>
      </c>
    </row>
    <row r="89" spans="1:15" ht="14.25" customHeight="1">
      <c r="A89" s="10">
        <v>1020817805</v>
      </c>
      <c r="B89" s="64" t="s">
        <v>61</v>
      </c>
      <c r="C89" s="62" t="s">
        <v>62</v>
      </c>
      <c r="D89" t="s">
        <v>63</v>
      </c>
      <c r="E89" t="s">
        <v>333</v>
      </c>
      <c r="F89" s="61">
        <v>35269</v>
      </c>
      <c r="G89" s="15" t="s">
        <v>65</v>
      </c>
      <c r="H89" t="s">
        <v>334</v>
      </c>
      <c r="I89" s="62" t="s">
        <v>335</v>
      </c>
      <c r="K89" s="36" t="s">
        <v>169</v>
      </c>
      <c r="L89" t="s">
        <v>69</v>
      </c>
      <c r="M89" s="62" t="s">
        <v>170</v>
      </c>
      <c r="N89" t="s">
        <v>71</v>
      </c>
      <c r="O89" t="str">
        <f>IFERROR(IF(Tbla_actores[[#This Row],[codigo_proyecto]]="","",_xlfn.XLOOKUP(Tbla_actores[[#This Row],[codigo_proyecto]],Proyectos!$A:$A,Proyectos!$C:$C)),"")</f>
        <v>NULOS</v>
      </c>
    </row>
    <row r="90" spans="1:15" ht="14.25" customHeight="1">
      <c r="A90" s="9">
        <v>1032502731</v>
      </c>
      <c r="B90" s="63" t="s">
        <v>61</v>
      </c>
      <c r="C90" s="62" t="s">
        <v>62</v>
      </c>
      <c r="D90" t="s">
        <v>63</v>
      </c>
      <c r="E90" t="s">
        <v>336</v>
      </c>
      <c r="F90" s="61">
        <v>36189</v>
      </c>
      <c r="G90" s="15" t="s">
        <v>65</v>
      </c>
      <c r="H90" t="s">
        <v>337</v>
      </c>
      <c r="I90" s="62" t="s">
        <v>338</v>
      </c>
      <c r="K90" s="36" t="s">
        <v>169</v>
      </c>
      <c r="L90" t="s">
        <v>69</v>
      </c>
      <c r="M90" s="62" t="s">
        <v>170</v>
      </c>
      <c r="N90" t="s">
        <v>71</v>
      </c>
      <c r="O90" t="str">
        <f>IFERROR(IF(Tbla_actores[[#This Row],[codigo_proyecto]]="","",_xlfn.XLOOKUP(Tbla_actores[[#This Row],[codigo_proyecto]],Proyectos!$A:$A,Proyectos!$C:$C)),"")</f>
        <v>NULOS</v>
      </c>
    </row>
    <row r="91" spans="1:15" ht="14.25" customHeight="1">
      <c r="A91" s="10">
        <v>1019131441</v>
      </c>
      <c r="B91" s="64" t="s">
        <v>61</v>
      </c>
      <c r="C91" s="62" t="s">
        <v>62</v>
      </c>
      <c r="D91" t="s">
        <v>63</v>
      </c>
      <c r="E91" t="s">
        <v>339</v>
      </c>
      <c r="F91" s="61">
        <v>35608</v>
      </c>
      <c r="G91" s="15" t="s">
        <v>65</v>
      </c>
      <c r="H91" t="s">
        <v>340</v>
      </c>
      <c r="I91" s="62" t="s">
        <v>341</v>
      </c>
      <c r="K91" s="36" t="s">
        <v>169</v>
      </c>
      <c r="L91" t="s">
        <v>69</v>
      </c>
      <c r="M91" s="62" t="s">
        <v>170</v>
      </c>
      <c r="N91" t="s">
        <v>71</v>
      </c>
      <c r="O91" t="str">
        <f>IFERROR(IF(Tbla_actores[[#This Row],[codigo_proyecto]]="","",_xlfn.XLOOKUP(Tbla_actores[[#This Row],[codigo_proyecto]],Proyectos!$A:$A,Proyectos!$C:$C)),"")</f>
        <v>NULOS</v>
      </c>
    </row>
    <row r="92" spans="1:15" ht="14.25" customHeight="1">
      <c r="A92" s="9">
        <v>1020820407</v>
      </c>
      <c r="B92" s="63" t="s">
        <v>61</v>
      </c>
      <c r="C92" s="62" t="s">
        <v>62</v>
      </c>
      <c r="D92" t="s">
        <v>63</v>
      </c>
      <c r="E92" t="s">
        <v>342</v>
      </c>
      <c r="F92" s="61">
        <v>35387</v>
      </c>
      <c r="G92" s="15" t="s">
        <v>65</v>
      </c>
      <c r="H92" t="s">
        <v>343</v>
      </c>
      <c r="I92" s="62" t="s">
        <v>344</v>
      </c>
      <c r="K92" s="36" t="s">
        <v>169</v>
      </c>
      <c r="L92" t="s">
        <v>69</v>
      </c>
      <c r="M92" s="62" t="s">
        <v>170</v>
      </c>
      <c r="N92" t="s">
        <v>71</v>
      </c>
      <c r="O92" t="str">
        <f>IFERROR(IF(Tbla_actores[[#This Row],[codigo_proyecto]]="","",_xlfn.XLOOKUP(Tbla_actores[[#This Row],[codigo_proyecto]],Proyectos!$A:$A,Proyectos!$C:$C)),"")</f>
        <v>NULOS</v>
      </c>
    </row>
    <row r="93" spans="1:15" ht="14.25" customHeight="1">
      <c r="A93" s="10">
        <v>1010235385</v>
      </c>
      <c r="B93" s="64" t="s">
        <v>61</v>
      </c>
      <c r="C93" s="62" t="s">
        <v>62</v>
      </c>
      <c r="D93" t="s">
        <v>63</v>
      </c>
      <c r="E93" t="s">
        <v>345</v>
      </c>
      <c r="F93" s="61">
        <v>35680</v>
      </c>
      <c r="G93" s="15" t="s">
        <v>73</v>
      </c>
      <c r="H93" t="s">
        <v>346</v>
      </c>
      <c r="I93" s="62" t="s">
        <v>347</v>
      </c>
      <c r="K93" s="36" t="s">
        <v>169</v>
      </c>
      <c r="L93" t="s">
        <v>69</v>
      </c>
      <c r="M93" s="62" t="s">
        <v>170</v>
      </c>
      <c r="N93" t="s">
        <v>71</v>
      </c>
      <c r="O93" t="str">
        <f>IFERROR(IF(Tbla_actores[[#This Row],[codigo_proyecto]]="","",_xlfn.XLOOKUP(Tbla_actores[[#This Row],[codigo_proyecto]],Proyectos!$A:$A,Proyectos!$C:$C)),"")</f>
        <v>NULOS</v>
      </c>
    </row>
    <row r="94" spans="1:15" ht="14.25" customHeight="1">
      <c r="A94" s="9">
        <v>1032476364</v>
      </c>
      <c r="B94" s="63" t="s">
        <v>61</v>
      </c>
      <c r="C94" s="62" t="s">
        <v>62</v>
      </c>
      <c r="D94" t="s">
        <v>63</v>
      </c>
      <c r="E94" t="s">
        <v>348</v>
      </c>
      <c r="F94" s="61">
        <v>35010</v>
      </c>
      <c r="G94" s="15" t="s">
        <v>65</v>
      </c>
      <c r="H94" t="s">
        <v>349</v>
      </c>
      <c r="I94" s="62" t="s">
        <v>350</v>
      </c>
      <c r="K94" s="36" t="s">
        <v>169</v>
      </c>
      <c r="L94" t="s">
        <v>69</v>
      </c>
      <c r="M94" s="62" t="s">
        <v>170</v>
      </c>
      <c r="N94" t="s">
        <v>71</v>
      </c>
      <c r="O94" t="str">
        <f>IFERROR(IF(Tbla_actores[[#This Row],[codigo_proyecto]]="","",_xlfn.XLOOKUP(Tbla_actores[[#This Row],[codigo_proyecto]],Proyectos!$A:$A,Proyectos!$C:$C)),"")</f>
        <v>NULOS</v>
      </c>
    </row>
    <row r="95" spans="1:15" ht="14.25" customHeight="1">
      <c r="A95" s="10">
        <v>1020807019</v>
      </c>
      <c r="B95" s="64" t="s">
        <v>61</v>
      </c>
      <c r="C95" s="62" t="s">
        <v>62</v>
      </c>
      <c r="D95" t="s">
        <v>63</v>
      </c>
      <c r="E95" t="s">
        <v>351</v>
      </c>
      <c r="F95" s="61">
        <v>34905</v>
      </c>
      <c r="G95" s="15" t="s">
        <v>73</v>
      </c>
      <c r="H95" t="s">
        <v>352</v>
      </c>
      <c r="I95" s="62" t="s">
        <v>353</v>
      </c>
      <c r="K95" s="36" t="s">
        <v>169</v>
      </c>
      <c r="L95" t="s">
        <v>69</v>
      </c>
      <c r="M95" s="62" t="s">
        <v>170</v>
      </c>
      <c r="N95" t="s">
        <v>71</v>
      </c>
      <c r="O95" t="str">
        <f>IFERROR(IF(Tbla_actores[[#This Row],[codigo_proyecto]]="","",_xlfn.XLOOKUP(Tbla_actores[[#This Row],[codigo_proyecto]],Proyectos!$A:$A,Proyectos!$C:$C)),"")</f>
        <v>NULOS</v>
      </c>
    </row>
    <row r="96" spans="1:15" ht="14.25" customHeight="1">
      <c r="A96" s="9">
        <v>1014268886</v>
      </c>
      <c r="B96" s="63" t="s">
        <v>61</v>
      </c>
      <c r="C96" s="62" t="s">
        <v>62</v>
      </c>
      <c r="D96" t="s">
        <v>63</v>
      </c>
      <c r="E96" t="s">
        <v>354</v>
      </c>
      <c r="F96" s="61">
        <v>34842</v>
      </c>
      <c r="G96" s="15" t="s">
        <v>73</v>
      </c>
      <c r="H96" t="s">
        <v>355</v>
      </c>
      <c r="I96" s="62" t="s">
        <v>356</v>
      </c>
      <c r="K96" s="36" t="s">
        <v>169</v>
      </c>
      <c r="L96" t="s">
        <v>69</v>
      </c>
      <c r="M96" s="62" t="s">
        <v>170</v>
      </c>
      <c r="N96" t="s">
        <v>71</v>
      </c>
      <c r="O96" t="str">
        <f>IFERROR(IF(Tbla_actores[[#This Row],[codigo_proyecto]]="","",_xlfn.XLOOKUP(Tbla_actores[[#This Row],[codigo_proyecto]],Proyectos!$A:$A,Proyectos!$C:$C)),"")</f>
        <v>NULOS</v>
      </c>
    </row>
    <row r="97" spans="1:15" ht="14.25" customHeight="1">
      <c r="A97" s="10">
        <v>1020825639</v>
      </c>
      <c r="B97" s="64" t="s">
        <v>61</v>
      </c>
      <c r="C97" s="62" t="s">
        <v>62</v>
      </c>
      <c r="D97" t="s">
        <v>63</v>
      </c>
      <c r="E97" t="s">
        <v>357</v>
      </c>
      <c r="F97" s="61">
        <v>35561</v>
      </c>
      <c r="G97" s="15" t="s">
        <v>73</v>
      </c>
      <c r="H97" t="s">
        <v>358</v>
      </c>
      <c r="I97" s="62" t="s">
        <v>359</v>
      </c>
      <c r="K97" s="36" t="s">
        <v>169</v>
      </c>
      <c r="L97" t="s">
        <v>69</v>
      </c>
      <c r="M97" s="62" t="s">
        <v>170</v>
      </c>
      <c r="N97" t="s">
        <v>71</v>
      </c>
      <c r="O97" t="str">
        <f>IFERROR(IF(Tbla_actores[[#This Row],[codigo_proyecto]]="","",_xlfn.XLOOKUP(Tbla_actores[[#This Row],[codigo_proyecto]],Proyectos!$A:$A,Proyectos!$C:$C)),"")</f>
        <v>NULOS</v>
      </c>
    </row>
    <row r="98" spans="1:15" ht="14.25" customHeight="1">
      <c r="A98" s="9">
        <v>1032466816</v>
      </c>
      <c r="B98" s="63" t="s">
        <v>61</v>
      </c>
      <c r="C98" s="62" t="s">
        <v>62</v>
      </c>
      <c r="D98" t="s">
        <v>63</v>
      </c>
      <c r="E98" t="s">
        <v>360</v>
      </c>
      <c r="F98" s="61">
        <v>34631</v>
      </c>
      <c r="G98" s="15" t="s">
        <v>65</v>
      </c>
      <c r="H98" t="s">
        <v>361</v>
      </c>
      <c r="I98" s="62" t="s">
        <v>362</v>
      </c>
      <c r="K98" s="36" t="s">
        <v>169</v>
      </c>
      <c r="L98" t="s">
        <v>69</v>
      </c>
      <c r="M98" s="62" t="s">
        <v>170</v>
      </c>
      <c r="N98" t="s">
        <v>71</v>
      </c>
      <c r="O98" t="str">
        <f>IFERROR(IF(Tbla_actores[[#This Row],[codigo_proyecto]]="","",_xlfn.XLOOKUP(Tbla_actores[[#This Row],[codigo_proyecto]],Proyectos!$A:$A,Proyectos!$C:$C)),"")</f>
        <v>NULOS</v>
      </c>
    </row>
    <row r="99" spans="1:15" ht="14.25" customHeight="1">
      <c r="A99" s="10">
        <v>1020803001</v>
      </c>
      <c r="B99" s="64" t="s">
        <v>61</v>
      </c>
      <c r="C99" s="62" t="s">
        <v>62</v>
      </c>
      <c r="D99" t="s">
        <v>63</v>
      </c>
      <c r="E99" t="s">
        <v>363</v>
      </c>
      <c r="F99" s="61">
        <v>34781</v>
      </c>
      <c r="G99" s="15" t="s">
        <v>65</v>
      </c>
      <c r="H99" t="s">
        <v>364</v>
      </c>
      <c r="I99" s="62" t="s">
        <v>365</v>
      </c>
      <c r="K99" s="36" t="s">
        <v>169</v>
      </c>
      <c r="L99" t="s">
        <v>69</v>
      </c>
      <c r="M99" s="62" t="s">
        <v>170</v>
      </c>
      <c r="N99" t="s">
        <v>71</v>
      </c>
      <c r="O99" t="str">
        <f>IFERROR(IF(Tbla_actores[[#This Row],[codigo_proyecto]]="","",_xlfn.XLOOKUP(Tbla_actores[[#This Row],[codigo_proyecto]],Proyectos!$A:$A,Proyectos!$C:$C)),"")</f>
        <v>NULOS</v>
      </c>
    </row>
    <row r="100" spans="1:15" ht="14.25" customHeight="1">
      <c r="A100" s="9">
        <v>1092356749</v>
      </c>
      <c r="B100" s="63" t="s">
        <v>61</v>
      </c>
      <c r="C100" s="62" t="s">
        <v>62</v>
      </c>
      <c r="D100" t="s">
        <v>63</v>
      </c>
      <c r="E100" t="s">
        <v>366</v>
      </c>
      <c r="F100" s="61">
        <v>34641</v>
      </c>
      <c r="G100" s="15" t="s">
        <v>65</v>
      </c>
      <c r="H100" t="s">
        <v>367</v>
      </c>
      <c r="I100" s="62" t="s">
        <v>368</v>
      </c>
      <c r="K100" s="36" t="s">
        <v>169</v>
      </c>
      <c r="L100" t="s">
        <v>69</v>
      </c>
      <c r="M100" s="62" t="s">
        <v>170</v>
      </c>
      <c r="N100" t="s">
        <v>71</v>
      </c>
      <c r="O100" t="str">
        <f>IFERROR(IF(Tbla_actores[[#This Row],[codigo_proyecto]]="","",_xlfn.XLOOKUP(Tbla_actores[[#This Row],[codigo_proyecto]],Proyectos!$A:$A,Proyectos!$C:$C)),"")</f>
        <v>NULOS</v>
      </c>
    </row>
    <row r="101" spans="1:15" ht="14.25" customHeight="1">
      <c r="A101" s="10">
        <v>1088314059</v>
      </c>
      <c r="B101" s="64" t="s">
        <v>61</v>
      </c>
      <c r="C101" s="62" t="s">
        <v>62</v>
      </c>
      <c r="D101" t="s">
        <v>63</v>
      </c>
      <c r="E101" t="s">
        <v>369</v>
      </c>
      <c r="F101" s="61">
        <v>34332</v>
      </c>
      <c r="G101" s="15" t="s">
        <v>73</v>
      </c>
      <c r="H101" t="s">
        <v>370</v>
      </c>
      <c r="I101" s="62" t="s">
        <v>371</v>
      </c>
      <c r="K101" s="36" t="s">
        <v>169</v>
      </c>
      <c r="L101" t="s">
        <v>69</v>
      </c>
      <c r="M101" s="62" t="s">
        <v>170</v>
      </c>
      <c r="N101" t="s">
        <v>71</v>
      </c>
      <c r="O101" t="str">
        <f>IFERROR(IF(Tbla_actores[[#This Row],[codigo_proyecto]]="","",_xlfn.XLOOKUP(Tbla_actores[[#This Row],[codigo_proyecto]],Proyectos!$A:$A,Proyectos!$C:$C)),"")</f>
        <v>NULOS</v>
      </c>
    </row>
    <row r="102" spans="1:15" ht="14.25" customHeight="1">
      <c r="A102" s="9">
        <v>1020812804</v>
      </c>
      <c r="B102" s="63" t="s">
        <v>61</v>
      </c>
      <c r="C102" s="62" t="s">
        <v>62</v>
      </c>
      <c r="D102" t="s">
        <v>63</v>
      </c>
      <c r="E102" t="s">
        <v>372</v>
      </c>
      <c r="F102" s="61">
        <v>35098</v>
      </c>
      <c r="G102" s="15" t="s">
        <v>65</v>
      </c>
      <c r="H102" t="s">
        <v>373</v>
      </c>
      <c r="I102" s="62" t="s">
        <v>374</v>
      </c>
      <c r="K102" s="36" t="s">
        <v>169</v>
      </c>
      <c r="L102" t="s">
        <v>69</v>
      </c>
      <c r="M102" s="62" t="s">
        <v>170</v>
      </c>
      <c r="N102" t="s">
        <v>71</v>
      </c>
      <c r="O102" t="str">
        <f>IFERROR(IF(Tbla_actores[[#This Row],[codigo_proyecto]]="","",_xlfn.XLOOKUP(Tbla_actores[[#This Row],[codigo_proyecto]],Proyectos!$A:$A,Proyectos!$C:$C)),"")</f>
        <v>NULOS</v>
      </c>
    </row>
    <row r="103" spans="1:15" ht="14.25" customHeight="1">
      <c r="A103" s="10">
        <v>1020813485</v>
      </c>
      <c r="B103" s="64" t="s">
        <v>61</v>
      </c>
      <c r="C103" s="62" t="s">
        <v>62</v>
      </c>
      <c r="D103" t="s">
        <v>63</v>
      </c>
      <c r="E103" t="s">
        <v>375</v>
      </c>
      <c r="F103" s="61">
        <v>35136</v>
      </c>
      <c r="G103" s="15" t="s">
        <v>73</v>
      </c>
      <c r="H103" t="s">
        <v>376</v>
      </c>
      <c r="I103" s="62" t="s">
        <v>377</v>
      </c>
      <c r="K103" s="36" t="s">
        <v>169</v>
      </c>
      <c r="L103" t="s">
        <v>69</v>
      </c>
      <c r="M103" s="62" t="s">
        <v>170</v>
      </c>
      <c r="N103" t="s">
        <v>71</v>
      </c>
      <c r="O103" t="str">
        <f>IFERROR(IF(Tbla_actores[[#This Row],[codigo_proyecto]]="","",_xlfn.XLOOKUP(Tbla_actores[[#This Row],[codigo_proyecto]],Proyectos!$A:$A,Proyectos!$C:$C)),"")</f>
        <v>NULOS</v>
      </c>
    </row>
    <row r="104" spans="1:15" ht="14.25" customHeight="1">
      <c r="A104" s="9">
        <v>1032486873</v>
      </c>
      <c r="B104" s="63" t="s">
        <v>61</v>
      </c>
      <c r="C104" s="62" t="s">
        <v>62</v>
      </c>
      <c r="D104" t="s">
        <v>63</v>
      </c>
      <c r="E104" t="s">
        <v>378</v>
      </c>
      <c r="F104" s="61">
        <v>35379</v>
      </c>
      <c r="G104" s="15" t="s">
        <v>73</v>
      </c>
      <c r="H104" t="s">
        <v>379</v>
      </c>
      <c r="I104" s="62" t="s">
        <v>380</v>
      </c>
      <c r="K104" s="36" t="s">
        <v>169</v>
      </c>
      <c r="L104" t="s">
        <v>69</v>
      </c>
      <c r="M104" s="62" t="s">
        <v>170</v>
      </c>
      <c r="N104" t="s">
        <v>71</v>
      </c>
      <c r="O104" t="str">
        <f>IFERROR(IF(Tbla_actores[[#This Row],[codigo_proyecto]]="","",_xlfn.XLOOKUP(Tbla_actores[[#This Row],[codigo_proyecto]],Proyectos!$A:$A,Proyectos!$C:$C)),"")</f>
        <v>NULOS</v>
      </c>
    </row>
    <row r="105" spans="1:15" ht="14.25" customHeight="1">
      <c r="A105" s="10">
        <v>1018497827</v>
      </c>
      <c r="B105" s="64" t="s">
        <v>61</v>
      </c>
      <c r="C105" s="62" t="s">
        <v>62</v>
      </c>
      <c r="D105" t="s">
        <v>63</v>
      </c>
      <c r="E105" t="s">
        <v>381</v>
      </c>
      <c r="F105" s="61">
        <v>35695</v>
      </c>
      <c r="G105" s="15" t="s">
        <v>65</v>
      </c>
      <c r="H105" t="s">
        <v>382</v>
      </c>
      <c r="I105" s="62" t="s">
        <v>383</v>
      </c>
      <c r="K105" s="36" t="s">
        <v>169</v>
      </c>
      <c r="L105" t="s">
        <v>69</v>
      </c>
      <c r="M105" s="62" t="s">
        <v>170</v>
      </c>
      <c r="N105" t="s">
        <v>71</v>
      </c>
      <c r="O105" t="str">
        <f>IFERROR(IF(Tbla_actores[[#This Row],[codigo_proyecto]]="","",_xlfn.XLOOKUP(Tbla_actores[[#This Row],[codigo_proyecto]],Proyectos!$A:$A,Proyectos!$C:$C)),"")</f>
        <v>NULOS</v>
      </c>
    </row>
    <row r="106" spans="1:15" ht="14.25" customHeight="1">
      <c r="A106" s="9">
        <v>1072704733</v>
      </c>
      <c r="B106" s="63" t="s">
        <v>61</v>
      </c>
      <c r="C106" s="62" t="s">
        <v>62</v>
      </c>
      <c r="D106" t="s">
        <v>63</v>
      </c>
      <c r="E106" t="s">
        <v>384</v>
      </c>
      <c r="F106" s="61">
        <v>34656</v>
      </c>
      <c r="G106" s="15" t="s">
        <v>73</v>
      </c>
      <c r="H106" t="s">
        <v>385</v>
      </c>
      <c r="I106" s="62" t="s">
        <v>386</v>
      </c>
      <c r="K106" s="36" t="s">
        <v>169</v>
      </c>
      <c r="L106" t="s">
        <v>69</v>
      </c>
      <c r="M106" s="62" t="s">
        <v>170</v>
      </c>
      <c r="N106" t="s">
        <v>71</v>
      </c>
      <c r="O106" t="str">
        <f>IFERROR(IF(Tbla_actores[[#This Row],[codigo_proyecto]]="","",_xlfn.XLOOKUP(Tbla_actores[[#This Row],[codigo_proyecto]],Proyectos!$A:$A,Proyectos!$C:$C)),"")</f>
        <v>NULOS</v>
      </c>
    </row>
    <row r="107" spans="1:15" ht="14.25" customHeight="1">
      <c r="A107" s="10">
        <v>1032494045</v>
      </c>
      <c r="B107" s="64" t="s">
        <v>61</v>
      </c>
      <c r="C107" s="62" t="s">
        <v>62</v>
      </c>
      <c r="D107" t="s">
        <v>63</v>
      </c>
      <c r="E107" t="s">
        <v>387</v>
      </c>
      <c r="F107" s="61">
        <v>35706</v>
      </c>
      <c r="G107" s="15" t="s">
        <v>73</v>
      </c>
      <c r="H107" t="s">
        <v>388</v>
      </c>
      <c r="I107" s="62" t="s">
        <v>389</v>
      </c>
      <c r="K107" s="36" t="s">
        <v>169</v>
      </c>
      <c r="L107" t="s">
        <v>69</v>
      </c>
      <c r="M107" s="62" t="s">
        <v>170</v>
      </c>
      <c r="N107" t="s">
        <v>71</v>
      </c>
      <c r="O107" t="str">
        <f>IFERROR(IF(Tbla_actores[[#This Row],[codigo_proyecto]]="","",_xlfn.XLOOKUP(Tbla_actores[[#This Row],[codigo_proyecto]],Proyectos!$A:$A,Proyectos!$C:$C)),"")</f>
        <v>NULOS</v>
      </c>
    </row>
    <row r="108" spans="1:15" ht="14.25" customHeight="1">
      <c r="A108" s="9">
        <v>1015467418</v>
      </c>
      <c r="B108" s="63" t="s">
        <v>61</v>
      </c>
      <c r="C108" s="62" t="s">
        <v>62</v>
      </c>
      <c r="D108" t="s">
        <v>63</v>
      </c>
      <c r="E108" t="s">
        <v>390</v>
      </c>
      <c r="F108" s="61">
        <v>35477</v>
      </c>
      <c r="G108" s="15" t="s">
        <v>73</v>
      </c>
      <c r="H108" t="s">
        <v>391</v>
      </c>
      <c r="I108" s="62" t="s">
        <v>392</v>
      </c>
      <c r="K108" s="36" t="s">
        <v>169</v>
      </c>
      <c r="L108" t="s">
        <v>69</v>
      </c>
      <c r="M108" s="62" t="s">
        <v>170</v>
      </c>
      <c r="N108" t="s">
        <v>71</v>
      </c>
      <c r="O108" t="str">
        <f>IFERROR(IF(Tbla_actores[[#This Row],[codigo_proyecto]]="","",_xlfn.XLOOKUP(Tbla_actores[[#This Row],[codigo_proyecto]],Proyectos!$A:$A,Proyectos!$C:$C)),"")</f>
        <v>NULOS</v>
      </c>
    </row>
    <row r="109" spans="1:15" ht="14.25" customHeight="1">
      <c r="A109" s="10">
        <v>1015466020</v>
      </c>
      <c r="B109" s="64" t="s">
        <v>61</v>
      </c>
      <c r="C109" s="62" t="s">
        <v>62</v>
      </c>
      <c r="D109" t="s">
        <v>63</v>
      </c>
      <c r="E109" t="s">
        <v>393</v>
      </c>
      <c r="F109" s="61">
        <v>35390</v>
      </c>
      <c r="G109" s="15" t="s">
        <v>73</v>
      </c>
      <c r="H109" t="s">
        <v>394</v>
      </c>
      <c r="I109" s="62" t="s">
        <v>395</v>
      </c>
      <c r="K109" s="36" t="s">
        <v>169</v>
      </c>
      <c r="L109" t="s">
        <v>69</v>
      </c>
      <c r="M109" s="62" t="s">
        <v>170</v>
      </c>
      <c r="N109" t="s">
        <v>71</v>
      </c>
      <c r="O109" t="str">
        <f>IFERROR(IF(Tbla_actores[[#This Row],[codigo_proyecto]]="","",_xlfn.XLOOKUP(Tbla_actores[[#This Row],[codigo_proyecto]],Proyectos!$A:$A,Proyectos!$C:$C)),"")</f>
        <v>NULOS</v>
      </c>
    </row>
    <row r="110" spans="1:15" ht="14.25" customHeight="1">
      <c r="A110" s="9">
        <v>1136888270</v>
      </c>
      <c r="B110" s="63" t="s">
        <v>61</v>
      </c>
      <c r="C110" s="62" t="s">
        <v>62</v>
      </c>
      <c r="D110" t="s">
        <v>63</v>
      </c>
      <c r="E110" t="s">
        <v>396</v>
      </c>
      <c r="F110" s="61">
        <v>35519</v>
      </c>
      <c r="G110" s="15" t="s">
        <v>65</v>
      </c>
      <c r="H110" t="s">
        <v>397</v>
      </c>
      <c r="I110" s="62" t="s">
        <v>398</v>
      </c>
      <c r="K110" s="36" t="s">
        <v>169</v>
      </c>
      <c r="L110" t="s">
        <v>69</v>
      </c>
      <c r="M110" s="62" t="s">
        <v>170</v>
      </c>
      <c r="N110" t="s">
        <v>71</v>
      </c>
      <c r="O110" t="str">
        <f>IFERROR(IF(Tbla_actores[[#This Row],[codigo_proyecto]]="","",_xlfn.XLOOKUP(Tbla_actores[[#This Row],[codigo_proyecto]],Proyectos!$A:$A,Proyectos!$C:$C)),"")</f>
        <v>NULOS</v>
      </c>
    </row>
    <row r="111" spans="1:15" ht="14.25" customHeight="1">
      <c r="A111" s="10">
        <v>1019129991</v>
      </c>
      <c r="B111" s="64" t="s">
        <v>61</v>
      </c>
      <c r="C111" s="62" t="s">
        <v>62</v>
      </c>
      <c r="D111" t="s">
        <v>63</v>
      </c>
      <c r="E111" t="s">
        <v>399</v>
      </c>
      <c r="F111" s="61">
        <v>35556</v>
      </c>
      <c r="G111" s="15" t="s">
        <v>65</v>
      </c>
      <c r="H111" t="s">
        <v>400</v>
      </c>
      <c r="I111" s="62" t="s">
        <v>401</v>
      </c>
      <c r="K111" s="36" t="s">
        <v>169</v>
      </c>
      <c r="L111" t="s">
        <v>69</v>
      </c>
      <c r="M111" s="62" t="s">
        <v>170</v>
      </c>
      <c r="N111" t="s">
        <v>71</v>
      </c>
      <c r="O111" t="str">
        <f>IFERROR(IF(Tbla_actores[[#This Row],[codigo_proyecto]]="","",_xlfn.XLOOKUP(Tbla_actores[[#This Row],[codigo_proyecto]],Proyectos!$A:$A,Proyectos!$C:$C)),"")</f>
        <v>NULOS</v>
      </c>
    </row>
    <row r="112" spans="1:15" ht="14.25" customHeight="1">
      <c r="A112" s="9">
        <v>1019126224</v>
      </c>
      <c r="B112" s="63" t="s">
        <v>61</v>
      </c>
      <c r="C112" s="62" t="s">
        <v>62</v>
      </c>
      <c r="D112" t="s">
        <v>63</v>
      </c>
      <c r="E112" t="s">
        <v>402</v>
      </c>
      <c r="F112" s="61">
        <v>35417</v>
      </c>
      <c r="G112" s="15" t="s">
        <v>65</v>
      </c>
      <c r="H112" t="s">
        <v>403</v>
      </c>
      <c r="I112" s="62" t="s">
        <v>404</v>
      </c>
      <c r="K112" s="36" t="s">
        <v>169</v>
      </c>
      <c r="L112" t="s">
        <v>69</v>
      </c>
      <c r="M112" s="62" t="s">
        <v>170</v>
      </c>
      <c r="N112" t="s">
        <v>71</v>
      </c>
      <c r="O112" t="str">
        <f>IFERROR(IF(Tbla_actores[[#This Row],[codigo_proyecto]]="","",_xlfn.XLOOKUP(Tbla_actores[[#This Row],[codigo_proyecto]],Proyectos!$A:$A,Proyectos!$C:$C)),"")</f>
        <v>NULOS</v>
      </c>
    </row>
    <row r="113" spans="1:15" ht="14.25" customHeight="1">
      <c r="A113" s="10">
        <v>1032500398</v>
      </c>
      <c r="B113" s="64" t="s">
        <v>61</v>
      </c>
      <c r="C113" s="62" t="s">
        <v>62</v>
      </c>
      <c r="D113" t="s">
        <v>63</v>
      </c>
      <c r="E113" t="s">
        <v>405</v>
      </c>
      <c r="F113" s="61">
        <v>36064</v>
      </c>
      <c r="G113" s="15" t="s">
        <v>65</v>
      </c>
      <c r="H113" t="s">
        <v>406</v>
      </c>
      <c r="I113" s="62" t="s">
        <v>407</v>
      </c>
      <c r="K113" s="36" t="s">
        <v>169</v>
      </c>
      <c r="L113" t="s">
        <v>69</v>
      </c>
      <c r="M113" s="62" t="s">
        <v>170</v>
      </c>
      <c r="N113" t="s">
        <v>71</v>
      </c>
      <c r="O113" t="str">
        <f>IFERROR(IF(Tbla_actores[[#This Row],[codigo_proyecto]]="","",_xlfn.XLOOKUP(Tbla_actores[[#This Row],[codigo_proyecto]],Proyectos!$A:$A,Proyectos!$C:$C)),"")</f>
        <v>NULOS</v>
      </c>
    </row>
    <row r="114" spans="1:15" ht="14.25" customHeight="1">
      <c r="A114" s="9">
        <v>1121934034</v>
      </c>
      <c r="B114" s="63" t="s">
        <v>61</v>
      </c>
      <c r="C114" s="62" t="s">
        <v>62</v>
      </c>
      <c r="D114" t="s">
        <v>63</v>
      </c>
      <c r="E114" t="s">
        <v>408</v>
      </c>
      <c r="F114" s="61">
        <v>35174</v>
      </c>
      <c r="G114" s="15" t="s">
        <v>73</v>
      </c>
      <c r="H114" t="s">
        <v>409</v>
      </c>
      <c r="I114" s="62" t="s">
        <v>410</v>
      </c>
      <c r="K114" s="36" t="s">
        <v>169</v>
      </c>
      <c r="L114" t="s">
        <v>69</v>
      </c>
      <c r="M114" s="62" t="s">
        <v>170</v>
      </c>
      <c r="N114" t="s">
        <v>71</v>
      </c>
      <c r="O114" t="str">
        <f>IFERROR(IF(Tbla_actores[[#This Row],[codigo_proyecto]]="","",_xlfn.XLOOKUP(Tbla_actores[[#This Row],[codigo_proyecto]],Proyectos!$A:$A,Proyectos!$C:$C)),"")</f>
        <v>NULOS</v>
      </c>
    </row>
    <row r="115" spans="1:15" ht="14.25" customHeight="1">
      <c r="A115" s="10">
        <v>1032495139</v>
      </c>
      <c r="B115" s="64" t="s">
        <v>61</v>
      </c>
      <c r="C115" s="62" t="s">
        <v>62</v>
      </c>
      <c r="D115" t="s">
        <v>63</v>
      </c>
      <c r="E115" t="s">
        <v>411</v>
      </c>
      <c r="F115" s="61">
        <v>35773</v>
      </c>
      <c r="G115" s="15" t="s">
        <v>65</v>
      </c>
      <c r="H115" t="s">
        <v>412</v>
      </c>
      <c r="I115" s="62" t="s">
        <v>413</v>
      </c>
      <c r="K115" s="36" t="s">
        <v>169</v>
      </c>
      <c r="L115" t="s">
        <v>69</v>
      </c>
      <c r="M115" s="62" t="s">
        <v>170</v>
      </c>
      <c r="N115" t="s">
        <v>71</v>
      </c>
      <c r="O115" t="str">
        <f>IFERROR(IF(Tbla_actores[[#This Row],[codigo_proyecto]]="","",_xlfn.XLOOKUP(Tbla_actores[[#This Row],[codigo_proyecto]],Proyectos!$A:$A,Proyectos!$C:$C)),"")</f>
        <v>NULOS</v>
      </c>
    </row>
    <row r="116" spans="1:15" ht="14.25" customHeight="1">
      <c r="A116" s="9">
        <v>569973</v>
      </c>
      <c r="B116" s="63" t="s">
        <v>61</v>
      </c>
      <c r="C116" s="62" t="s">
        <v>62</v>
      </c>
      <c r="D116" t="s">
        <v>63</v>
      </c>
      <c r="E116" t="s">
        <v>414</v>
      </c>
      <c r="F116" s="61">
        <v>34678</v>
      </c>
      <c r="G116" s="15" t="s">
        <v>73</v>
      </c>
      <c r="H116" t="s">
        <v>415</v>
      </c>
      <c r="I116" s="62" t="s">
        <v>416</v>
      </c>
      <c r="K116" s="36" t="s">
        <v>169</v>
      </c>
      <c r="L116" t="s">
        <v>69</v>
      </c>
      <c r="M116" s="62" t="s">
        <v>170</v>
      </c>
      <c r="N116" t="s">
        <v>71</v>
      </c>
      <c r="O116" t="str">
        <f>IFERROR(IF(Tbla_actores[[#This Row],[codigo_proyecto]]="","",_xlfn.XLOOKUP(Tbla_actores[[#This Row],[codigo_proyecto]],Proyectos!$A:$A,Proyectos!$C:$C)),"")</f>
        <v>NULOS</v>
      </c>
    </row>
    <row r="117" spans="1:15" ht="14.25" customHeight="1">
      <c r="A117" s="10">
        <v>1032483198</v>
      </c>
      <c r="B117" s="64" t="s">
        <v>61</v>
      </c>
      <c r="C117" s="62" t="s">
        <v>62</v>
      </c>
      <c r="D117" t="s">
        <v>63</v>
      </c>
      <c r="E117" t="s">
        <v>417</v>
      </c>
      <c r="F117" s="61">
        <v>35252</v>
      </c>
      <c r="G117" s="15" t="s">
        <v>73</v>
      </c>
      <c r="H117" t="s">
        <v>418</v>
      </c>
      <c r="I117" s="62" t="s">
        <v>419</v>
      </c>
      <c r="K117" s="36" t="s">
        <v>169</v>
      </c>
      <c r="L117" t="s">
        <v>69</v>
      </c>
      <c r="M117" s="62" t="s">
        <v>170</v>
      </c>
      <c r="N117" t="s">
        <v>71</v>
      </c>
      <c r="O117" t="str">
        <f>IFERROR(IF(Tbla_actores[[#This Row],[codigo_proyecto]]="","",_xlfn.XLOOKUP(Tbla_actores[[#This Row],[codigo_proyecto]],Proyectos!$A:$A,Proyectos!$C:$C)),"")</f>
        <v>NULOS</v>
      </c>
    </row>
    <row r="118" spans="1:15" ht="14.25" customHeight="1">
      <c r="A118" s="9">
        <v>1018505284</v>
      </c>
      <c r="B118" s="63" t="s">
        <v>61</v>
      </c>
      <c r="C118" s="62" t="s">
        <v>62</v>
      </c>
      <c r="D118" t="s">
        <v>63</v>
      </c>
      <c r="E118" t="s">
        <v>420</v>
      </c>
      <c r="F118" s="61">
        <v>36040</v>
      </c>
      <c r="G118" s="15" t="s">
        <v>73</v>
      </c>
      <c r="H118" t="s">
        <v>421</v>
      </c>
      <c r="I118" s="62" t="s">
        <v>422</v>
      </c>
      <c r="K118" s="36" t="s">
        <v>169</v>
      </c>
      <c r="L118" t="s">
        <v>69</v>
      </c>
      <c r="M118" s="62" t="s">
        <v>170</v>
      </c>
      <c r="N118" t="s">
        <v>71</v>
      </c>
      <c r="O118" t="str">
        <f>IFERROR(IF(Tbla_actores[[#This Row],[codigo_proyecto]]="","",_xlfn.XLOOKUP(Tbla_actores[[#This Row],[codigo_proyecto]],Proyectos!$A:$A,Proyectos!$C:$C)),"")</f>
        <v>NULOS</v>
      </c>
    </row>
    <row r="119" spans="1:15" ht="14.25" customHeight="1">
      <c r="A119" s="10">
        <v>1018488543</v>
      </c>
      <c r="B119" s="64" t="s">
        <v>61</v>
      </c>
      <c r="C119" s="62" t="s">
        <v>62</v>
      </c>
      <c r="D119" t="s">
        <v>63</v>
      </c>
      <c r="E119" t="s">
        <v>423</v>
      </c>
      <c r="F119" s="61">
        <v>35253</v>
      </c>
      <c r="G119" s="15" t="s">
        <v>65</v>
      </c>
      <c r="H119" t="s">
        <v>424</v>
      </c>
      <c r="I119" s="62" t="s">
        <v>425</v>
      </c>
      <c r="K119" s="36" t="s">
        <v>169</v>
      </c>
      <c r="L119" t="s">
        <v>69</v>
      </c>
      <c r="M119" s="62" t="s">
        <v>170</v>
      </c>
      <c r="N119" t="s">
        <v>71</v>
      </c>
      <c r="O119" t="str">
        <f>IFERROR(IF(Tbla_actores[[#This Row],[codigo_proyecto]]="","",_xlfn.XLOOKUP(Tbla_actores[[#This Row],[codigo_proyecto]],Proyectos!$A:$A,Proyectos!$C:$C)),"")</f>
        <v>NULOS</v>
      </c>
    </row>
    <row r="120" spans="1:15" ht="14.25" customHeight="1">
      <c r="A120" s="9">
        <v>1090506315</v>
      </c>
      <c r="B120" s="63" t="s">
        <v>61</v>
      </c>
      <c r="C120" s="62" t="s">
        <v>62</v>
      </c>
      <c r="D120" t="s">
        <v>63</v>
      </c>
      <c r="E120" t="s">
        <v>426</v>
      </c>
      <c r="F120" s="61">
        <v>35578</v>
      </c>
      <c r="G120" s="15" t="s">
        <v>65</v>
      </c>
      <c r="H120" t="s">
        <v>427</v>
      </c>
      <c r="I120" s="62" t="s">
        <v>428</v>
      </c>
      <c r="K120" s="36" t="s">
        <v>169</v>
      </c>
      <c r="L120" t="s">
        <v>69</v>
      </c>
      <c r="M120" s="62" t="s">
        <v>170</v>
      </c>
      <c r="N120" t="s">
        <v>71</v>
      </c>
      <c r="O120" t="str">
        <f>IFERROR(IF(Tbla_actores[[#This Row],[codigo_proyecto]]="","",_xlfn.XLOOKUP(Tbla_actores[[#This Row],[codigo_proyecto]],Proyectos!$A:$A,Proyectos!$C:$C)),"")</f>
        <v>NULOS</v>
      </c>
    </row>
    <row r="121" spans="1:15" ht="14.25" customHeight="1">
      <c r="A121" s="10">
        <v>1026299029</v>
      </c>
      <c r="B121" s="64" t="s">
        <v>61</v>
      </c>
      <c r="C121" s="62" t="s">
        <v>62</v>
      </c>
      <c r="D121" t="s">
        <v>63</v>
      </c>
      <c r="E121" t="s">
        <v>429</v>
      </c>
      <c r="F121" s="61">
        <v>35574</v>
      </c>
      <c r="G121" s="15" t="s">
        <v>73</v>
      </c>
      <c r="H121" t="s">
        <v>430</v>
      </c>
      <c r="I121" s="62" t="s">
        <v>431</v>
      </c>
      <c r="K121" s="36" t="s">
        <v>169</v>
      </c>
      <c r="L121" t="s">
        <v>69</v>
      </c>
      <c r="M121" s="62" t="s">
        <v>170</v>
      </c>
      <c r="N121" t="s">
        <v>71</v>
      </c>
      <c r="O121" t="str">
        <f>IFERROR(IF(Tbla_actores[[#This Row],[codigo_proyecto]]="","",_xlfn.XLOOKUP(Tbla_actores[[#This Row],[codigo_proyecto]],Proyectos!$A:$A,Proyectos!$C:$C)),"")</f>
        <v>NULOS</v>
      </c>
    </row>
    <row r="122" spans="1:15" ht="14.25" customHeight="1">
      <c r="A122" s="9">
        <v>1233496704</v>
      </c>
      <c r="B122" s="63" t="s">
        <v>61</v>
      </c>
      <c r="C122" s="62" t="s">
        <v>62</v>
      </c>
      <c r="D122" t="s">
        <v>63</v>
      </c>
      <c r="E122" t="s">
        <v>432</v>
      </c>
      <c r="F122" s="61">
        <v>35915</v>
      </c>
      <c r="G122" s="15" t="s">
        <v>73</v>
      </c>
      <c r="H122" t="s">
        <v>433</v>
      </c>
      <c r="I122" s="62" t="s">
        <v>434</v>
      </c>
      <c r="K122" s="36" t="s">
        <v>169</v>
      </c>
      <c r="L122" t="s">
        <v>69</v>
      </c>
      <c r="M122" s="62" t="s">
        <v>170</v>
      </c>
      <c r="N122" t="s">
        <v>71</v>
      </c>
      <c r="O122" t="str">
        <f>IFERROR(IF(Tbla_actores[[#This Row],[codigo_proyecto]]="","",_xlfn.XLOOKUP(Tbla_actores[[#This Row],[codigo_proyecto]],Proyectos!$A:$A,Proyectos!$C:$C)),"")</f>
        <v>NULOS</v>
      </c>
    </row>
    <row r="123" spans="1:15" ht="14.25" customHeight="1">
      <c r="A123" s="10">
        <v>1020805452</v>
      </c>
      <c r="B123" s="64" t="s">
        <v>61</v>
      </c>
      <c r="C123" s="62" t="s">
        <v>62</v>
      </c>
      <c r="D123" t="s">
        <v>63</v>
      </c>
      <c r="E123" t="s">
        <v>435</v>
      </c>
      <c r="F123" s="61">
        <v>34822</v>
      </c>
      <c r="G123" s="15" t="s">
        <v>73</v>
      </c>
      <c r="H123" t="s">
        <v>436</v>
      </c>
      <c r="I123" s="62" t="s">
        <v>437</v>
      </c>
      <c r="K123" s="36" t="s">
        <v>169</v>
      </c>
      <c r="L123" t="s">
        <v>69</v>
      </c>
      <c r="M123" s="62" t="s">
        <v>170</v>
      </c>
      <c r="N123" t="s">
        <v>71</v>
      </c>
      <c r="O123" t="str">
        <f>IFERROR(IF(Tbla_actores[[#This Row],[codigo_proyecto]]="","",_xlfn.XLOOKUP(Tbla_actores[[#This Row],[codigo_proyecto]],Proyectos!$A:$A,Proyectos!$C:$C)),"")</f>
        <v>NULOS</v>
      </c>
    </row>
    <row r="124" spans="1:15" ht="14.25" customHeight="1">
      <c r="A124" s="9">
        <v>1020833025</v>
      </c>
      <c r="B124" s="63" t="s">
        <v>61</v>
      </c>
      <c r="C124" s="62" t="s">
        <v>62</v>
      </c>
      <c r="D124" t="s">
        <v>63</v>
      </c>
      <c r="E124" t="s">
        <v>438</v>
      </c>
      <c r="F124" s="61">
        <v>35939</v>
      </c>
      <c r="G124" s="15" t="s">
        <v>73</v>
      </c>
      <c r="H124" t="s">
        <v>439</v>
      </c>
      <c r="I124" s="62" t="s">
        <v>440</v>
      </c>
      <c r="K124" s="36" t="s">
        <v>169</v>
      </c>
      <c r="L124" t="s">
        <v>69</v>
      </c>
      <c r="M124" s="62" t="s">
        <v>170</v>
      </c>
      <c r="N124" t="s">
        <v>71</v>
      </c>
      <c r="O124" t="str">
        <f>IFERROR(IF(Tbla_actores[[#This Row],[codigo_proyecto]]="","",_xlfn.XLOOKUP(Tbla_actores[[#This Row],[codigo_proyecto]],Proyectos!$A:$A,Proyectos!$C:$C)),"")</f>
        <v>NULOS</v>
      </c>
    </row>
    <row r="125" spans="1:15" ht="14.25" customHeight="1">
      <c r="A125" s="10">
        <v>1015469040</v>
      </c>
      <c r="B125" s="64" t="s">
        <v>61</v>
      </c>
      <c r="C125" s="62" t="s">
        <v>62</v>
      </c>
      <c r="D125" t="s">
        <v>63</v>
      </c>
      <c r="E125" t="s">
        <v>441</v>
      </c>
      <c r="F125" s="61">
        <v>35548</v>
      </c>
      <c r="G125" s="15" t="s">
        <v>65</v>
      </c>
      <c r="H125" t="s">
        <v>442</v>
      </c>
      <c r="I125" s="62" t="s">
        <v>443</v>
      </c>
      <c r="K125" s="36" t="s">
        <v>169</v>
      </c>
      <c r="L125" t="s">
        <v>69</v>
      </c>
      <c r="M125" s="62" t="s">
        <v>170</v>
      </c>
      <c r="N125" t="s">
        <v>71</v>
      </c>
      <c r="O125" t="str">
        <f>IFERROR(IF(Tbla_actores[[#This Row],[codigo_proyecto]]="","",_xlfn.XLOOKUP(Tbla_actores[[#This Row],[codigo_proyecto]],Proyectos!$A:$A,Proyectos!$C:$C)),"")</f>
        <v>NULOS</v>
      </c>
    </row>
    <row r="126" spans="1:15" ht="14.25" customHeight="1">
      <c r="A126" s="9">
        <v>1014293285</v>
      </c>
      <c r="B126" s="63" t="s">
        <v>61</v>
      </c>
      <c r="C126" s="62" t="s">
        <v>62</v>
      </c>
      <c r="D126" t="s">
        <v>63</v>
      </c>
      <c r="E126" t="s">
        <v>444</v>
      </c>
      <c r="F126" s="61">
        <v>35749</v>
      </c>
      <c r="G126" s="15" t="s">
        <v>73</v>
      </c>
      <c r="H126" t="s">
        <v>445</v>
      </c>
      <c r="I126" s="62" t="s">
        <v>446</v>
      </c>
      <c r="K126" s="36" t="s">
        <v>169</v>
      </c>
      <c r="L126" t="s">
        <v>69</v>
      </c>
      <c r="M126" s="62" t="s">
        <v>170</v>
      </c>
      <c r="N126" t="s">
        <v>71</v>
      </c>
      <c r="O126" t="str">
        <f>IFERROR(IF(Tbla_actores[[#This Row],[codigo_proyecto]]="","",_xlfn.XLOOKUP(Tbla_actores[[#This Row],[codigo_proyecto]],Proyectos!$A:$A,Proyectos!$C:$C)),"")</f>
        <v>NULOS</v>
      </c>
    </row>
    <row r="127" spans="1:15" ht="14.25" customHeight="1">
      <c r="A127" s="10">
        <v>1023032493</v>
      </c>
      <c r="B127" s="64" t="s">
        <v>61</v>
      </c>
      <c r="C127" s="62" t="s">
        <v>62</v>
      </c>
      <c r="D127" t="s">
        <v>63</v>
      </c>
      <c r="E127" t="s">
        <v>447</v>
      </c>
      <c r="F127" s="61">
        <v>36158</v>
      </c>
      <c r="G127" s="15" t="s">
        <v>65</v>
      </c>
      <c r="H127" t="s">
        <v>448</v>
      </c>
      <c r="I127" s="62" t="s">
        <v>449</v>
      </c>
      <c r="K127" s="36" t="s">
        <v>169</v>
      </c>
      <c r="L127" t="s">
        <v>69</v>
      </c>
      <c r="M127" s="62" t="s">
        <v>170</v>
      </c>
      <c r="N127" t="s">
        <v>71</v>
      </c>
      <c r="O127" t="str">
        <f>IFERROR(IF(Tbla_actores[[#This Row],[codigo_proyecto]]="","",_xlfn.XLOOKUP(Tbla_actores[[#This Row],[codigo_proyecto]],Proyectos!$A:$A,Proyectos!$C:$C)),"")</f>
        <v>NULOS</v>
      </c>
    </row>
    <row r="128" spans="1:15" ht="14.25" customHeight="1">
      <c r="A128" s="9">
        <v>1019110042</v>
      </c>
      <c r="B128" s="63" t="s">
        <v>61</v>
      </c>
      <c r="C128" s="62" t="s">
        <v>62</v>
      </c>
      <c r="D128" t="s">
        <v>63</v>
      </c>
      <c r="E128" t="s">
        <v>450</v>
      </c>
      <c r="F128" s="61">
        <v>34899</v>
      </c>
      <c r="G128" s="15" t="s">
        <v>65</v>
      </c>
      <c r="H128" t="s">
        <v>451</v>
      </c>
      <c r="I128" s="62" t="s">
        <v>452</v>
      </c>
      <c r="K128" s="36" t="s">
        <v>169</v>
      </c>
      <c r="L128" t="s">
        <v>69</v>
      </c>
      <c r="M128" s="62" t="s">
        <v>170</v>
      </c>
      <c r="N128" t="s">
        <v>71</v>
      </c>
      <c r="O128" t="str">
        <f>IFERROR(IF(Tbla_actores[[#This Row],[codigo_proyecto]]="","",_xlfn.XLOOKUP(Tbla_actores[[#This Row],[codigo_proyecto]],Proyectos!$A:$A,Proyectos!$C:$C)),"")</f>
        <v>NULOS</v>
      </c>
    </row>
    <row r="129" spans="1:15" ht="14.25" customHeight="1">
      <c r="A129" s="10">
        <v>1016092522</v>
      </c>
      <c r="B129" s="64" t="s">
        <v>61</v>
      </c>
      <c r="C129" s="62" t="s">
        <v>62</v>
      </c>
      <c r="D129" t="s">
        <v>63</v>
      </c>
      <c r="E129" t="s">
        <v>453</v>
      </c>
      <c r="F129" s="61">
        <v>35472</v>
      </c>
      <c r="G129" s="15" t="s">
        <v>65</v>
      </c>
      <c r="H129" t="s">
        <v>454</v>
      </c>
      <c r="I129" s="62" t="s">
        <v>455</v>
      </c>
      <c r="K129" s="36" t="s">
        <v>169</v>
      </c>
      <c r="L129" t="s">
        <v>69</v>
      </c>
      <c r="M129" s="62" t="s">
        <v>170</v>
      </c>
      <c r="N129" t="s">
        <v>71</v>
      </c>
      <c r="O129" t="str">
        <f>IFERROR(IF(Tbla_actores[[#This Row],[codigo_proyecto]]="","",_xlfn.XLOOKUP(Tbla_actores[[#This Row],[codigo_proyecto]],Proyectos!$A:$A,Proyectos!$C:$C)),"")</f>
        <v>NULOS</v>
      </c>
    </row>
    <row r="130" spans="1:15" ht="14.25" customHeight="1">
      <c r="A130" s="9">
        <v>1018496403</v>
      </c>
      <c r="B130" s="63" t="s">
        <v>61</v>
      </c>
      <c r="C130" s="62" t="s">
        <v>62</v>
      </c>
      <c r="D130" t="s">
        <v>63</v>
      </c>
      <c r="E130" t="s">
        <v>456</v>
      </c>
      <c r="F130" s="61">
        <v>35662</v>
      </c>
      <c r="G130" s="15" t="s">
        <v>73</v>
      </c>
      <c r="H130" t="s">
        <v>457</v>
      </c>
      <c r="I130" s="62" t="s">
        <v>458</v>
      </c>
      <c r="K130" s="36" t="s">
        <v>169</v>
      </c>
      <c r="L130" t="s">
        <v>69</v>
      </c>
      <c r="M130" s="62" t="s">
        <v>170</v>
      </c>
      <c r="N130" t="s">
        <v>71</v>
      </c>
      <c r="O130" t="str">
        <f>IFERROR(IF(Tbla_actores[[#This Row],[codigo_proyecto]]="","",_xlfn.XLOOKUP(Tbla_actores[[#This Row],[codigo_proyecto]],Proyectos!$A:$A,Proyectos!$C:$C)),"")</f>
        <v>NULOS</v>
      </c>
    </row>
    <row r="131" spans="1:15" ht="14.25" customHeight="1">
      <c r="A131" s="10">
        <v>1019118568</v>
      </c>
      <c r="B131" s="64" t="s">
        <v>61</v>
      </c>
      <c r="C131" s="62" t="s">
        <v>62</v>
      </c>
      <c r="D131" t="s">
        <v>63</v>
      </c>
      <c r="E131" t="s">
        <v>459</v>
      </c>
      <c r="F131" s="61">
        <v>35175</v>
      </c>
      <c r="G131" s="15" t="s">
        <v>73</v>
      </c>
      <c r="H131" t="s">
        <v>460</v>
      </c>
      <c r="I131" s="62" t="s">
        <v>461</v>
      </c>
      <c r="K131" s="36" t="s">
        <v>169</v>
      </c>
      <c r="L131" t="s">
        <v>69</v>
      </c>
      <c r="M131" s="62" t="s">
        <v>170</v>
      </c>
      <c r="N131" t="s">
        <v>71</v>
      </c>
      <c r="O131" t="str">
        <f>IFERROR(IF(Tbla_actores[[#This Row],[codigo_proyecto]]="","",_xlfn.XLOOKUP(Tbla_actores[[#This Row],[codigo_proyecto]],Proyectos!$A:$A,Proyectos!$C:$C)),"")</f>
        <v>NULOS</v>
      </c>
    </row>
    <row r="132" spans="1:15" ht="14.25" customHeight="1">
      <c r="A132" s="9">
        <v>1018497110</v>
      </c>
      <c r="B132" s="63" t="s">
        <v>61</v>
      </c>
      <c r="C132" s="62" t="s">
        <v>62</v>
      </c>
      <c r="D132" t="s">
        <v>63</v>
      </c>
      <c r="E132" t="s">
        <v>462</v>
      </c>
      <c r="F132" s="61">
        <v>35685</v>
      </c>
      <c r="G132" s="15" t="s">
        <v>65</v>
      </c>
      <c r="H132" t="s">
        <v>463</v>
      </c>
      <c r="I132" s="62" t="s">
        <v>464</v>
      </c>
      <c r="K132" s="36" t="s">
        <v>169</v>
      </c>
      <c r="L132" t="s">
        <v>69</v>
      </c>
      <c r="M132" s="62" t="s">
        <v>170</v>
      </c>
      <c r="N132" t="s">
        <v>71</v>
      </c>
      <c r="O132" t="str">
        <f>IFERROR(IF(Tbla_actores[[#This Row],[codigo_proyecto]]="","",_xlfn.XLOOKUP(Tbla_actores[[#This Row],[codigo_proyecto]],Proyectos!$A:$A,Proyectos!$C:$C)),"")</f>
        <v>NULOS</v>
      </c>
    </row>
    <row r="133" spans="1:15" ht="14.25" customHeight="1">
      <c r="A133" s="10">
        <v>1020816594</v>
      </c>
      <c r="B133" s="64" t="s">
        <v>61</v>
      </c>
      <c r="C133" s="62" t="s">
        <v>62</v>
      </c>
      <c r="D133" t="s">
        <v>63</v>
      </c>
      <c r="E133" t="s">
        <v>465</v>
      </c>
      <c r="F133" s="61">
        <v>35234</v>
      </c>
      <c r="G133" s="15" t="s">
        <v>65</v>
      </c>
      <c r="H133" t="s">
        <v>466</v>
      </c>
      <c r="I133" s="62" t="s">
        <v>467</v>
      </c>
      <c r="K133" s="36" t="s">
        <v>169</v>
      </c>
      <c r="L133" t="s">
        <v>69</v>
      </c>
      <c r="M133" s="62" t="s">
        <v>170</v>
      </c>
      <c r="N133" t="s">
        <v>71</v>
      </c>
      <c r="O133" t="str">
        <f>IFERROR(IF(Tbla_actores[[#This Row],[codigo_proyecto]]="","",_xlfn.XLOOKUP(Tbla_actores[[#This Row],[codigo_proyecto]],Proyectos!$A:$A,Proyectos!$C:$C)),"")</f>
        <v>NULOS</v>
      </c>
    </row>
    <row r="134" spans="1:15" ht="14.25" customHeight="1">
      <c r="A134" s="9">
        <v>1077872373</v>
      </c>
      <c r="B134" s="63" t="s">
        <v>61</v>
      </c>
      <c r="C134" s="62" t="s">
        <v>62</v>
      </c>
      <c r="D134" t="s">
        <v>63</v>
      </c>
      <c r="E134" t="s">
        <v>468</v>
      </c>
      <c r="F134" s="61">
        <v>35243</v>
      </c>
      <c r="G134" s="15" t="s">
        <v>65</v>
      </c>
      <c r="H134" t="s">
        <v>469</v>
      </c>
      <c r="I134" s="62" t="s">
        <v>470</v>
      </c>
      <c r="K134" s="36" t="s">
        <v>169</v>
      </c>
      <c r="L134" t="s">
        <v>69</v>
      </c>
      <c r="M134" s="62" t="s">
        <v>170</v>
      </c>
      <c r="N134" t="s">
        <v>71</v>
      </c>
      <c r="O134" t="str">
        <f>IFERROR(IF(Tbla_actores[[#This Row],[codigo_proyecto]]="","",_xlfn.XLOOKUP(Tbla_actores[[#This Row],[codigo_proyecto]],Proyectos!$A:$A,Proyectos!$C:$C)),"")</f>
        <v>NULOS</v>
      </c>
    </row>
    <row r="135" spans="1:15" ht="14.25" customHeight="1">
      <c r="A135" s="10">
        <v>1019136411</v>
      </c>
      <c r="B135" s="64" t="s">
        <v>61</v>
      </c>
      <c r="C135" s="62" t="s">
        <v>62</v>
      </c>
      <c r="D135" t="s">
        <v>63</v>
      </c>
      <c r="E135" t="s">
        <v>471</v>
      </c>
      <c r="F135" s="61">
        <v>35797</v>
      </c>
      <c r="G135" s="15" t="s">
        <v>65</v>
      </c>
      <c r="H135" t="s">
        <v>472</v>
      </c>
      <c r="I135" s="62" t="s">
        <v>473</v>
      </c>
      <c r="K135" s="36" t="s">
        <v>169</v>
      </c>
      <c r="L135" t="s">
        <v>69</v>
      </c>
      <c r="M135" s="62" t="s">
        <v>170</v>
      </c>
      <c r="N135" t="s">
        <v>71</v>
      </c>
      <c r="O135" t="str">
        <f>IFERROR(IF(Tbla_actores[[#This Row],[codigo_proyecto]]="","",_xlfn.XLOOKUP(Tbla_actores[[#This Row],[codigo_proyecto]],Proyectos!$A:$A,Proyectos!$C:$C)),"")</f>
        <v>NULOS</v>
      </c>
    </row>
    <row r="136" spans="1:15" ht="14.25" customHeight="1">
      <c r="A136" s="9">
        <v>1020818968</v>
      </c>
      <c r="B136" s="63" t="s">
        <v>61</v>
      </c>
      <c r="C136" s="62" t="s">
        <v>62</v>
      </c>
      <c r="D136" t="s">
        <v>63</v>
      </c>
      <c r="E136" t="s">
        <v>474</v>
      </c>
      <c r="F136" s="61">
        <v>35325</v>
      </c>
      <c r="G136" s="15" t="s">
        <v>65</v>
      </c>
      <c r="H136" t="s">
        <v>475</v>
      </c>
      <c r="I136" s="62" t="s">
        <v>476</v>
      </c>
      <c r="K136" s="36" t="s">
        <v>169</v>
      </c>
      <c r="L136" t="s">
        <v>69</v>
      </c>
      <c r="M136" s="62" t="s">
        <v>170</v>
      </c>
      <c r="N136" t="s">
        <v>71</v>
      </c>
      <c r="O136" t="str">
        <f>IFERROR(IF(Tbla_actores[[#This Row],[codigo_proyecto]]="","",_xlfn.XLOOKUP(Tbla_actores[[#This Row],[codigo_proyecto]],Proyectos!$A:$A,Proyectos!$C:$C)),"")</f>
        <v>NULOS</v>
      </c>
    </row>
    <row r="137" spans="1:15" ht="14.25" customHeight="1">
      <c r="A137" s="10">
        <v>1014294109</v>
      </c>
      <c r="B137" s="64" t="s">
        <v>61</v>
      </c>
      <c r="C137" s="62" t="s">
        <v>62</v>
      </c>
      <c r="D137" t="s">
        <v>63</v>
      </c>
      <c r="E137" t="s">
        <v>477</v>
      </c>
      <c r="F137" s="61">
        <v>35784</v>
      </c>
      <c r="G137" s="15" t="s">
        <v>73</v>
      </c>
      <c r="H137" t="s">
        <v>478</v>
      </c>
      <c r="I137" s="62" t="s">
        <v>479</v>
      </c>
      <c r="K137" s="36" t="s">
        <v>169</v>
      </c>
      <c r="L137" t="s">
        <v>69</v>
      </c>
      <c r="M137" s="62" t="s">
        <v>170</v>
      </c>
      <c r="N137" t="s">
        <v>71</v>
      </c>
      <c r="O137" t="str">
        <f>IFERROR(IF(Tbla_actores[[#This Row],[codigo_proyecto]]="","",_xlfn.XLOOKUP(Tbla_actores[[#This Row],[codigo_proyecto]],Proyectos!$A:$A,Proyectos!$C:$C)),"")</f>
        <v>NULOS</v>
      </c>
    </row>
    <row r="138" spans="1:15" ht="14.25" customHeight="1">
      <c r="A138" s="9">
        <v>1234089896</v>
      </c>
      <c r="B138" s="63" t="s">
        <v>61</v>
      </c>
      <c r="C138" s="62" t="s">
        <v>62</v>
      </c>
      <c r="D138" t="s">
        <v>63</v>
      </c>
      <c r="E138" t="s">
        <v>480</v>
      </c>
      <c r="F138" s="61">
        <v>35734</v>
      </c>
      <c r="G138" s="15" t="s">
        <v>65</v>
      </c>
      <c r="H138" t="s">
        <v>481</v>
      </c>
      <c r="I138" s="62" t="s">
        <v>482</v>
      </c>
      <c r="K138" s="36" t="s">
        <v>169</v>
      </c>
      <c r="L138" t="s">
        <v>69</v>
      </c>
      <c r="M138" s="62" t="s">
        <v>170</v>
      </c>
      <c r="N138" t="s">
        <v>71</v>
      </c>
      <c r="O138" t="str">
        <f>IFERROR(IF(Tbla_actores[[#This Row],[codigo_proyecto]]="","",_xlfn.XLOOKUP(Tbla_actores[[#This Row],[codigo_proyecto]],Proyectos!$A:$A,Proyectos!$C:$C)),"")</f>
        <v>NULOS</v>
      </c>
    </row>
    <row r="139" spans="1:15" ht="14.25" customHeight="1">
      <c r="A139" s="10">
        <v>1020816906</v>
      </c>
      <c r="B139" s="64" t="s">
        <v>61</v>
      </c>
      <c r="C139" s="62" t="s">
        <v>62</v>
      </c>
      <c r="D139" t="s">
        <v>63</v>
      </c>
      <c r="E139" t="s">
        <v>483</v>
      </c>
      <c r="F139" s="61">
        <v>35204</v>
      </c>
      <c r="G139" s="15" t="s">
        <v>73</v>
      </c>
      <c r="H139" t="s">
        <v>484</v>
      </c>
      <c r="I139" s="62" t="s">
        <v>485</v>
      </c>
      <c r="K139" s="36" t="s">
        <v>169</v>
      </c>
      <c r="L139" t="s">
        <v>69</v>
      </c>
      <c r="M139" s="62" t="s">
        <v>170</v>
      </c>
      <c r="N139" t="s">
        <v>71</v>
      </c>
      <c r="O139" t="str">
        <f>IFERROR(IF(Tbla_actores[[#This Row],[codigo_proyecto]]="","",_xlfn.XLOOKUP(Tbla_actores[[#This Row],[codigo_proyecto]],Proyectos!$A:$A,Proyectos!$C:$C)),"")</f>
        <v>NULOS</v>
      </c>
    </row>
    <row r="140" spans="1:15" ht="14.25" customHeight="1">
      <c r="A140" s="9">
        <v>1015453643</v>
      </c>
      <c r="B140" s="63" t="s">
        <v>61</v>
      </c>
      <c r="C140" s="62" t="s">
        <v>62</v>
      </c>
      <c r="D140" t="s">
        <v>63</v>
      </c>
      <c r="E140" t="s">
        <v>486</v>
      </c>
      <c r="F140" s="61">
        <v>34817</v>
      </c>
      <c r="G140" s="15" t="s">
        <v>73</v>
      </c>
      <c r="H140" t="s">
        <v>487</v>
      </c>
      <c r="I140" s="62" t="s">
        <v>488</v>
      </c>
      <c r="K140" s="36" t="s">
        <v>169</v>
      </c>
      <c r="L140" t="s">
        <v>69</v>
      </c>
      <c r="M140" s="62" t="s">
        <v>170</v>
      </c>
      <c r="N140" t="s">
        <v>71</v>
      </c>
      <c r="O140" t="str">
        <f>IFERROR(IF(Tbla_actores[[#This Row],[codigo_proyecto]]="","",_xlfn.XLOOKUP(Tbla_actores[[#This Row],[codigo_proyecto]],Proyectos!$A:$A,Proyectos!$C:$C)),"")</f>
        <v>NULOS</v>
      </c>
    </row>
    <row r="141" spans="1:15" ht="14.25" customHeight="1">
      <c r="A141" s="10">
        <v>1018502200</v>
      </c>
      <c r="B141" s="64" t="s">
        <v>61</v>
      </c>
      <c r="C141" s="62" t="s">
        <v>62</v>
      </c>
      <c r="D141" t="s">
        <v>63</v>
      </c>
      <c r="E141" t="s">
        <v>489</v>
      </c>
      <c r="F141" s="61">
        <v>35889</v>
      </c>
      <c r="G141" s="15" t="s">
        <v>73</v>
      </c>
      <c r="H141" t="s">
        <v>490</v>
      </c>
      <c r="I141" s="62" t="s">
        <v>491</v>
      </c>
      <c r="K141" s="36" t="s">
        <v>68</v>
      </c>
      <c r="L141" t="s">
        <v>69</v>
      </c>
      <c r="M141" s="62" t="s">
        <v>70</v>
      </c>
      <c r="N141" t="s">
        <v>71</v>
      </c>
      <c r="O141" t="str">
        <f>IFERROR(IF(Tbla_actores[[#This Row],[codigo_proyecto]]="","",_xlfn.XLOOKUP(Tbla_actores[[#This Row],[codigo_proyecto]],Proyectos!$A:$A,Proyectos!$C:$C)),"")</f>
        <v>NULOS</v>
      </c>
    </row>
    <row r="142" spans="1:15" ht="14.25" customHeight="1">
      <c r="A142" s="9">
        <v>1020790400</v>
      </c>
      <c r="B142" s="63" t="s">
        <v>61</v>
      </c>
      <c r="C142" s="62" t="s">
        <v>62</v>
      </c>
      <c r="D142" t="s">
        <v>63</v>
      </c>
      <c r="E142" t="s">
        <v>492</v>
      </c>
      <c r="F142" s="61">
        <v>34388</v>
      </c>
      <c r="G142" s="15" t="s">
        <v>73</v>
      </c>
      <c r="H142" t="s">
        <v>493</v>
      </c>
      <c r="I142" s="62" t="s">
        <v>494</v>
      </c>
      <c r="K142" s="36" t="s">
        <v>495</v>
      </c>
      <c r="L142" t="s">
        <v>69</v>
      </c>
      <c r="M142" s="62" t="s">
        <v>70</v>
      </c>
      <c r="N142" t="s">
        <v>71</v>
      </c>
      <c r="O142" t="str">
        <f>IFERROR(IF(Tbla_actores[[#This Row],[codigo_proyecto]]="","",_xlfn.XLOOKUP(Tbla_actores[[#This Row],[codigo_proyecto]],Proyectos!$A:$A,Proyectos!$C:$C)),"")</f>
        <v>NULOS</v>
      </c>
    </row>
    <row r="143" spans="1:15" ht="14.25" customHeight="1">
      <c r="A143" s="10">
        <v>1018469530</v>
      </c>
      <c r="B143" s="64" t="s">
        <v>61</v>
      </c>
      <c r="C143" s="62" t="s">
        <v>62</v>
      </c>
      <c r="D143" t="s">
        <v>63</v>
      </c>
      <c r="E143" t="s">
        <v>496</v>
      </c>
      <c r="F143" s="61">
        <v>34556</v>
      </c>
      <c r="G143" s="15" t="s">
        <v>73</v>
      </c>
      <c r="H143" t="s">
        <v>497</v>
      </c>
      <c r="I143" s="62" t="s">
        <v>498</v>
      </c>
      <c r="K143" s="36" t="s">
        <v>495</v>
      </c>
      <c r="L143" t="s">
        <v>69</v>
      </c>
      <c r="M143" s="62" t="s">
        <v>70</v>
      </c>
      <c r="N143" t="s">
        <v>71</v>
      </c>
      <c r="O143" t="str">
        <f>IFERROR(IF(Tbla_actores[[#This Row],[codigo_proyecto]]="","",_xlfn.XLOOKUP(Tbla_actores[[#This Row],[codigo_proyecto]],Proyectos!$A:$A,Proyectos!$C:$C)),"")</f>
        <v>NULOS</v>
      </c>
    </row>
    <row r="144" spans="1:15" ht="14.25" customHeight="1">
      <c r="A144" s="9">
        <v>1127574667</v>
      </c>
      <c r="B144" s="63" t="s">
        <v>61</v>
      </c>
      <c r="C144" s="62" t="s">
        <v>62</v>
      </c>
      <c r="D144" t="s">
        <v>63</v>
      </c>
      <c r="E144" t="s">
        <v>499</v>
      </c>
      <c r="F144" s="61">
        <v>34533</v>
      </c>
      <c r="G144" s="15" t="s">
        <v>65</v>
      </c>
      <c r="H144" t="s">
        <v>500</v>
      </c>
      <c r="I144" s="62" t="s">
        <v>501</v>
      </c>
      <c r="K144" s="36" t="s">
        <v>495</v>
      </c>
      <c r="L144" t="s">
        <v>69</v>
      </c>
      <c r="M144" s="62" t="s">
        <v>70</v>
      </c>
      <c r="N144" t="s">
        <v>71</v>
      </c>
      <c r="O144" t="str">
        <f>IFERROR(IF(Tbla_actores[[#This Row],[codigo_proyecto]]="","",_xlfn.XLOOKUP(Tbla_actores[[#This Row],[codigo_proyecto]],Proyectos!$A:$A,Proyectos!$C:$C)),"")</f>
        <v>NULOS</v>
      </c>
    </row>
    <row r="145" spans="1:15" ht="14.25" customHeight="1">
      <c r="A145" s="10">
        <v>1032501098</v>
      </c>
      <c r="B145" s="64" t="s">
        <v>61</v>
      </c>
      <c r="C145" s="62" t="s">
        <v>62</v>
      </c>
      <c r="D145" t="s">
        <v>63</v>
      </c>
      <c r="E145" t="s">
        <v>502</v>
      </c>
      <c r="F145" s="61">
        <v>36104</v>
      </c>
      <c r="G145" s="15" t="s">
        <v>73</v>
      </c>
      <c r="H145" t="s">
        <v>503</v>
      </c>
      <c r="I145" s="62" t="s">
        <v>504</v>
      </c>
      <c r="K145" s="36" t="s">
        <v>495</v>
      </c>
      <c r="L145" t="s">
        <v>69</v>
      </c>
      <c r="M145" s="62" t="s">
        <v>70</v>
      </c>
      <c r="N145" t="s">
        <v>71</v>
      </c>
      <c r="O145" t="str">
        <f>IFERROR(IF(Tbla_actores[[#This Row],[codigo_proyecto]]="","",_xlfn.XLOOKUP(Tbla_actores[[#This Row],[codigo_proyecto]],Proyectos!$A:$A,Proyectos!$C:$C)),"")</f>
        <v>NULOS</v>
      </c>
    </row>
    <row r="146" spans="1:15" ht="14.25" customHeight="1">
      <c r="A146" s="9">
        <v>1047466882</v>
      </c>
      <c r="B146" s="63" t="s">
        <v>61</v>
      </c>
      <c r="C146" s="62" t="s">
        <v>62</v>
      </c>
      <c r="D146" t="s">
        <v>63</v>
      </c>
      <c r="E146" t="s">
        <v>505</v>
      </c>
      <c r="F146" s="61">
        <v>34407</v>
      </c>
      <c r="G146" s="15" t="s">
        <v>73</v>
      </c>
      <c r="H146" t="s">
        <v>506</v>
      </c>
      <c r="I146" s="62" t="s">
        <v>507</v>
      </c>
      <c r="K146" s="36" t="s">
        <v>495</v>
      </c>
      <c r="L146" t="s">
        <v>69</v>
      </c>
      <c r="M146" s="62" t="s">
        <v>70</v>
      </c>
      <c r="N146" t="s">
        <v>71</v>
      </c>
      <c r="O146" t="str">
        <f>IFERROR(IF(Tbla_actores[[#This Row],[codigo_proyecto]]="","",_xlfn.XLOOKUP(Tbla_actores[[#This Row],[codigo_proyecto]],Proyectos!$A:$A,Proyectos!$C:$C)),"")</f>
        <v>NULOS</v>
      </c>
    </row>
    <row r="147" spans="1:15" ht="14.25" customHeight="1">
      <c r="A147" s="10">
        <v>1020805531</v>
      </c>
      <c r="B147" s="64" t="s">
        <v>61</v>
      </c>
      <c r="C147" s="62" t="s">
        <v>62</v>
      </c>
      <c r="D147" t="s">
        <v>63</v>
      </c>
      <c r="E147" t="s">
        <v>508</v>
      </c>
      <c r="F147" s="61">
        <v>34856</v>
      </c>
      <c r="G147" s="15" t="s">
        <v>73</v>
      </c>
      <c r="H147" t="s">
        <v>509</v>
      </c>
      <c r="I147" s="62" t="s">
        <v>510</v>
      </c>
      <c r="K147" s="36" t="s">
        <v>495</v>
      </c>
      <c r="L147" t="s">
        <v>69</v>
      </c>
      <c r="M147" s="62" t="s">
        <v>70</v>
      </c>
      <c r="N147" t="s">
        <v>71</v>
      </c>
      <c r="O147" t="str">
        <f>IFERROR(IF(Tbla_actores[[#This Row],[codigo_proyecto]]="","",_xlfn.XLOOKUP(Tbla_actores[[#This Row],[codigo_proyecto]],Proyectos!$A:$A,Proyectos!$C:$C)),"")</f>
        <v>NULOS</v>
      </c>
    </row>
    <row r="148" spans="1:15" ht="14.25" customHeight="1">
      <c r="A148" s="9">
        <v>1020825384</v>
      </c>
      <c r="B148" s="63" t="s">
        <v>61</v>
      </c>
      <c r="C148" s="62" t="s">
        <v>62</v>
      </c>
      <c r="D148" t="s">
        <v>63</v>
      </c>
      <c r="E148" t="s">
        <v>511</v>
      </c>
      <c r="F148" s="61">
        <v>35556</v>
      </c>
      <c r="G148" s="15" t="s">
        <v>65</v>
      </c>
      <c r="H148" t="s">
        <v>512</v>
      </c>
      <c r="I148" s="62" t="s">
        <v>513</v>
      </c>
      <c r="K148" s="36" t="s">
        <v>495</v>
      </c>
      <c r="L148" t="s">
        <v>69</v>
      </c>
      <c r="M148" s="62" t="s">
        <v>70</v>
      </c>
      <c r="N148" t="s">
        <v>71</v>
      </c>
      <c r="O148" t="str">
        <f>IFERROR(IF(Tbla_actores[[#This Row],[codigo_proyecto]]="","",_xlfn.XLOOKUP(Tbla_actores[[#This Row],[codigo_proyecto]],Proyectos!$A:$A,Proyectos!$C:$C)),"")</f>
        <v>NULOS</v>
      </c>
    </row>
    <row r="149" spans="1:15" ht="14.25" customHeight="1">
      <c r="A149" s="10">
        <v>1018499935</v>
      </c>
      <c r="B149" s="64" t="s">
        <v>61</v>
      </c>
      <c r="C149" s="62" t="s">
        <v>62</v>
      </c>
      <c r="D149" t="s">
        <v>63</v>
      </c>
      <c r="E149" t="s">
        <v>514</v>
      </c>
      <c r="F149" s="61">
        <v>35789</v>
      </c>
      <c r="G149" s="15" t="s">
        <v>65</v>
      </c>
      <c r="H149" t="s">
        <v>515</v>
      </c>
      <c r="I149" s="62" t="s">
        <v>516</v>
      </c>
      <c r="K149" s="36" t="s">
        <v>495</v>
      </c>
      <c r="L149" t="s">
        <v>69</v>
      </c>
      <c r="M149" s="62" t="s">
        <v>70</v>
      </c>
      <c r="N149" t="s">
        <v>71</v>
      </c>
      <c r="O149" t="str">
        <f>IFERROR(IF(Tbla_actores[[#This Row],[codigo_proyecto]]="","",_xlfn.XLOOKUP(Tbla_actores[[#This Row],[codigo_proyecto]],Proyectos!$A:$A,Proyectos!$C:$C)),"")</f>
        <v>NULOS</v>
      </c>
    </row>
    <row r="150" spans="1:15" ht="14.25" customHeight="1">
      <c r="A150" s="9">
        <v>1018484793</v>
      </c>
      <c r="B150" s="63" t="s">
        <v>61</v>
      </c>
      <c r="C150" s="62" t="s">
        <v>62</v>
      </c>
      <c r="D150" t="s">
        <v>63</v>
      </c>
      <c r="E150" t="s">
        <v>517</v>
      </c>
      <c r="F150" s="61">
        <v>35169</v>
      </c>
      <c r="G150" s="15" t="s">
        <v>73</v>
      </c>
      <c r="H150" t="s">
        <v>518</v>
      </c>
      <c r="I150" s="62" t="s">
        <v>519</v>
      </c>
      <c r="K150" s="36" t="s">
        <v>495</v>
      </c>
      <c r="L150" t="s">
        <v>69</v>
      </c>
      <c r="M150" s="62" t="s">
        <v>70</v>
      </c>
      <c r="N150" t="s">
        <v>71</v>
      </c>
      <c r="O150" t="str">
        <f>IFERROR(IF(Tbla_actores[[#This Row],[codigo_proyecto]]="","",_xlfn.XLOOKUP(Tbla_actores[[#This Row],[codigo_proyecto]],Proyectos!$A:$A,Proyectos!$C:$C)),"")</f>
        <v>NULOS</v>
      </c>
    </row>
    <row r="151" spans="1:15" ht="14.25" customHeight="1">
      <c r="A151" s="10">
        <v>1020807855</v>
      </c>
      <c r="B151" s="64" t="s">
        <v>61</v>
      </c>
      <c r="C151" s="62" t="s">
        <v>62</v>
      </c>
      <c r="D151" t="s">
        <v>63</v>
      </c>
      <c r="E151" t="s">
        <v>520</v>
      </c>
      <c r="F151" s="61">
        <v>34939</v>
      </c>
      <c r="G151" s="15" t="s">
        <v>65</v>
      </c>
      <c r="H151" t="s">
        <v>521</v>
      </c>
      <c r="I151" s="62" t="s">
        <v>522</v>
      </c>
      <c r="K151" s="36" t="s">
        <v>495</v>
      </c>
      <c r="L151" t="s">
        <v>69</v>
      </c>
      <c r="M151" s="62" t="s">
        <v>70</v>
      </c>
      <c r="N151" t="s">
        <v>71</v>
      </c>
      <c r="O151" t="str">
        <f>IFERROR(IF(Tbla_actores[[#This Row],[codigo_proyecto]]="","",_xlfn.XLOOKUP(Tbla_actores[[#This Row],[codigo_proyecto]],Proyectos!$A:$A,Proyectos!$C:$C)),"")</f>
        <v>NULOS</v>
      </c>
    </row>
    <row r="152" spans="1:15" ht="14.25" customHeight="1">
      <c r="A152" s="9">
        <v>1018484347</v>
      </c>
      <c r="B152" s="63" t="s">
        <v>61</v>
      </c>
      <c r="C152" s="62" t="s">
        <v>62</v>
      </c>
      <c r="D152" t="s">
        <v>63</v>
      </c>
      <c r="E152" t="s">
        <v>523</v>
      </c>
      <c r="F152" s="61">
        <v>35154</v>
      </c>
      <c r="G152" s="15" t="s">
        <v>65</v>
      </c>
      <c r="H152" t="s">
        <v>524</v>
      </c>
      <c r="I152" s="62" t="s">
        <v>525</v>
      </c>
      <c r="K152" s="36" t="s">
        <v>495</v>
      </c>
      <c r="L152" t="s">
        <v>69</v>
      </c>
      <c r="M152" s="62" t="s">
        <v>70</v>
      </c>
      <c r="N152" t="s">
        <v>71</v>
      </c>
      <c r="O152" t="str">
        <f>IFERROR(IF(Tbla_actores[[#This Row],[codigo_proyecto]]="","",_xlfn.XLOOKUP(Tbla_actores[[#This Row],[codigo_proyecto]],Proyectos!$A:$A,Proyectos!$C:$C)),"")</f>
        <v>NULOS</v>
      </c>
    </row>
    <row r="153" spans="1:15" ht="14.25" customHeight="1">
      <c r="A153" s="10">
        <v>1032486496</v>
      </c>
      <c r="B153" s="64" t="s">
        <v>61</v>
      </c>
      <c r="C153" s="62" t="s">
        <v>62</v>
      </c>
      <c r="D153" t="s">
        <v>63</v>
      </c>
      <c r="E153" t="s">
        <v>526</v>
      </c>
      <c r="F153" s="61">
        <v>35367</v>
      </c>
      <c r="G153" s="15" t="s">
        <v>65</v>
      </c>
      <c r="H153" t="s">
        <v>527</v>
      </c>
      <c r="I153" s="62" t="s">
        <v>528</v>
      </c>
      <c r="K153" s="36" t="s">
        <v>495</v>
      </c>
      <c r="L153" t="s">
        <v>69</v>
      </c>
      <c r="M153" s="62" t="s">
        <v>70</v>
      </c>
      <c r="N153" t="s">
        <v>71</v>
      </c>
      <c r="O153" t="str">
        <f>IFERROR(IF(Tbla_actores[[#This Row],[codigo_proyecto]]="","",_xlfn.XLOOKUP(Tbla_actores[[#This Row],[codigo_proyecto]],Proyectos!$A:$A,Proyectos!$C:$C)),"")</f>
        <v>NULOS</v>
      </c>
    </row>
    <row r="154" spans="1:15" ht="14.25" customHeight="1">
      <c r="A154" s="9">
        <v>1010237068</v>
      </c>
      <c r="B154" s="63" t="s">
        <v>61</v>
      </c>
      <c r="C154" s="62" t="s">
        <v>62</v>
      </c>
      <c r="D154" t="s">
        <v>63</v>
      </c>
      <c r="E154" t="s">
        <v>529</v>
      </c>
      <c r="F154" s="61">
        <v>35771</v>
      </c>
      <c r="G154" s="15" t="s">
        <v>73</v>
      </c>
      <c r="H154" t="s">
        <v>530</v>
      </c>
      <c r="I154" s="62" t="s">
        <v>531</v>
      </c>
      <c r="K154" s="36" t="s">
        <v>495</v>
      </c>
      <c r="L154" t="s">
        <v>69</v>
      </c>
      <c r="M154" s="62" t="s">
        <v>70</v>
      </c>
      <c r="N154" t="s">
        <v>71</v>
      </c>
      <c r="O154" t="str">
        <f>IFERROR(IF(Tbla_actores[[#This Row],[codigo_proyecto]]="","",_xlfn.XLOOKUP(Tbla_actores[[#This Row],[codigo_proyecto]],Proyectos!$A:$A,Proyectos!$C:$C)),"")</f>
        <v>NULOS</v>
      </c>
    </row>
    <row r="155" spans="1:15" ht="14.25" customHeight="1">
      <c r="A155" s="10">
        <v>1032466176</v>
      </c>
      <c r="B155" s="64" t="s">
        <v>61</v>
      </c>
      <c r="C155" s="62" t="s">
        <v>62</v>
      </c>
      <c r="D155" t="s">
        <v>63</v>
      </c>
      <c r="E155" t="s">
        <v>532</v>
      </c>
      <c r="F155" s="61">
        <v>34600</v>
      </c>
      <c r="G155" s="15" t="s">
        <v>65</v>
      </c>
      <c r="H155" t="s">
        <v>533</v>
      </c>
      <c r="I155" s="62" t="s">
        <v>534</v>
      </c>
      <c r="K155" s="36" t="s">
        <v>495</v>
      </c>
      <c r="L155" t="s">
        <v>69</v>
      </c>
      <c r="M155" s="62" t="s">
        <v>70</v>
      </c>
      <c r="N155" t="s">
        <v>71</v>
      </c>
      <c r="O155" t="str">
        <f>IFERROR(IF(Tbla_actores[[#This Row],[codigo_proyecto]]="","",_xlfn.XLOOKUP(Tbla_actores[[#This Row],[codigo_proyecto]],Proyectos!$A:$A,Proyectos!$C:$C)),"")</f>
        <v>NULOS</v>
      </c>
    </row>
    <row r="156" spans="1:15" ht="14.25" customHeight="1">
      <c r="A156" s="9">
        <v>1032483729</v>
      </c>
      <c r="B156" s="63" t="s">
        <v>61</v>
      </c>
      <c r="C156" s="62" t="s">
        <v>62</v>
      </c>
      <c r="D156" t="s">
        <v>63</v>
      </c>
      <c r="E156" t="s">
        <v>535</v>
      </c>
      <c r="F156" s="61">
        <v>35265</v>
      </c>
      <c r="G156" s="15" t="s">
        <v>73</v>
      </c>
      <c r="H156" t="s">
        <v>536</v>
      </c>
      <c r="I156" s="62" t="s">
        <v>537</v>
      </c>
      <c r="K156" s="36" t="s">
        <v>495</v>
      </c>
      <c r="L156" t="s">
        <v>69</v>
      </c>
      <c r="M156" s="62" t="s">
        <v>70</v>
      </c>
      <c r="N156" t="s">
        <v>71</v>
      </c>
      <c r="O156" t="str">
        <f>IFERROR(IF(Tbla_actores[[#This Row],[codigo_proyecto]]="","",_xlfn.XLOOKUP(Tbla_actores[[#This Row],[codigo_proyecto]],Proyectos!$A:$A,Proyectos!$C:$C)),"")</f>
        <v>NULOS</v>
      </c>
    </row>
    <row r="157" spans="1:15" ht="14.25" customHeight="1">
      <c r="A157" s="10">
        <v>1020819082</v>
      </c>
      <c r="B157" s="64" t="s">
        <v>61</v>
      </c>
      <c r="C157" s="62" t="s">
        <v>62</v>
      </c>
      <c r="D157" t="s">
        <v>63</v>
      </c>
      <c r="E157" t="s">
        <v>538</v>
      </c>
      <c r="F157" s="61">
        <v>35311</v>
      </c>
      <c r="G157" s="15" t="s">
        <v>73</v>
      </c>
      <c r="H157" t="s">
        <v>539</v>
      </c>
      <c r="I157" s="62" t="s">
        <v>540</v>
      </c>
      <c r="K157" s="36" t="s">
        <v>495</v>
      </c>
      <c r="L157" t="s">
        <v>69</v>
      </c>
      <c r="M157" s="62" t="s">
        <v>70</v>
      </c>
      <c r="N157" t="s">
        <v>71</v>
      </c>
      <c r="O157" t="str">
        <f>IFERROR(IF(Tbla_actores[[#This Row],[codigo_proyecto]]="","",_xlfn.XLOOKUP(Tbla_actores[[#This Row],[codigo_proyecto]],Proyectos!$A:$A,Proyectos!$C:$C)),"")</f>
        <v>NULOS</v>
      </c>
    </row>
    <row r="158" spans="1:15" ht="14.25" customHeight="1">
      <c r="A158" s="9">
        <v>1020820467</v>
      </c>
      <c r="B158" s="63" t="s">
        <v>61</v>
      </c>
      <c r="C158" s="62" t="s">
        <v>62</v>
      </c>
      <c r="D158" t="s">
        <v>63</v>
      </c>
      <c r="E158" t="s">
        <v>541</v>
      </c>
      <c r="F158" s="61">
        <v>35390</v>
      </c>
      <c r="G158" s="15" t="s">
        <v>73</v>
      </c>
      <c r="H158" t="s">
        <v>542</v>
      </c>
      <c r="I158" s="62" t="s">
        <v>543</v>
      </c>
      <c r="K158" s="36" t="s">
        <v>495</v>
      </c>
      <c r="L158" t="s">
        <v>69</v>
      </c>
      <c r="M158" s="62" t="s">
        <v>70</v>
      </c>
      <c r="N158" t="s">
        <v>71</v>
      </c>
      <c r="O158" t="str">
        <f>IFERROR(IF(Tbla_actores[[#This Row],[codigo_proyecto]]="","",_xlfn.XLOOKUP(Tbla_actores[[#This Row],[codigo_proyecto]],Proyectos!$A:$A,Proyectos!$C:$C)),"")</f>
        <v>NULOS</v>
      </c>
    </row>
    <row r="159" spans="1:15" ht="14.25" customHeight="1">
      <c r="A159" s="10">
        <v>1049642369</v>
      </c>
      <c r="B159" s="64" t="s">
        <v>61</v>
      </c>
      <c r="C159" s="62" t="s">
        <v>62</v>
      </c>
      <c r="D159" t="s">
        <v>63</v>
      </c>
      <c r="E159" t="s">
        <v>544</v>
      </c>
      <c r="F159" s="61">
        <v>34869</v>
      </c>
      <c r="G159" s="15" t="s">
        <v>73</v>
      </c>
      <c r="H159" t="s">
        <v>545</v>
      </c>
      <c r="I159" s="62" t="s">
        <v>546</v>
      </c>
      <c r="K159" s="36" t="s">
        <v>495</v>
      </c>
      <c r="L159" t="s">
        <v>69</v>
      </c>
      <c r="M159" s="62" t="s">
        <v>70</v>
      </c>
      <c r="N159" t="s">
        <v>71</v>
      </c>
      <c r="O159" t="str">
        <f>IFERROR(IF(Tbla_actores[[#This Row],[codigo_proyecto]]="","",_xlfn.XLOOKUP(Tbla_actores[[#This Row],[codigo_proyecto]],Proyectos!$A:$A,Proyectos!$C:$C)),"")</f>
        <v>NULOS</v>
      </c>
    </row>
    <row r="160" spans="1:15" ht="14.25" customHeight="1">
      <c r="A160" s="9">
        <v>1031173379</v>
      </c>
      <c r="B160" s="63" t="s">
        <v>61</v>
      </c>
      <c r="C160" s="62" t="s">
        <v>62</v>
      </c>
      <c r="D160" t="s">
        <v>63</v>
      </c>
      <c r="E160" t="s">
        <v>547</v>
      </c>
      <c r="F160" s="61">
        <v>35801</v>
      </c>
      <c r="G160" s="15" t="s">
        <v>73</v>
      </c>
      <c r="H160" t="s">
        <v>548</v>
      </c>
      <c r="I160" s="62" t="s">
        <v>549</v>
      </c>
      <c r="K160" s="36" t="s">
        <v>495</v>
      </c>
      <c r="L160" t="s">
        <v>69</v>
      </c>
      <c r="M160" s="62" t="s">
        <v>70</v>
      </c>
      <c r="N160" t="s">
        <v>71</v>
      </c>
      <c r="O160" t="str">
        <f>IFERROR(IF(Tbla_actores[[#This Row],[codigo_proyecto]]="","",_xlfn.XLOOKUP(Tbla_actores[[#This Row],[codigo_proyecto]],Proyectos!$A:$A,Proyectos!$C:$C)),"")</f>
        <v>NULOS</v>
      </c>
    </row>
    <row r="161" spans="1:15" ht="14.25" customHeight="1">
      <c r="A161" s="10">
        <v>1018506433</v>
      </c>
      <c r="B161" s="64" t="s">
        <v>61</v>
      </c>
      <c r="C161" s="62" t="s">
        <v>62</v>
      </c>
      <c r="D161" t="s">
        <v>63</v>
      </c>
      <c r="E161" t="s">
        <v>550</v>
      </c>
      <c r="F161" s="61">
        <v>36065</v>
      </c>
      <c r="G161" s="15" t="s">
        <v>73</v>
      </c>
      <c r="H161" t="s">
        <v>551</v>
      </c>
      <c r="I161" s="62" t="s">
        <v>552</v>
      </c>
      <c r="K161" s="36" t="s">
        <v>495</v>
      </c>
      <c r="L161" t="s">
        <v>69</v>
      </c>
      <c r="M161" s="62" t="s">
        <v>70</v>
      </c>
      <c r="N161" t="s">
        <v>71</v>
      </c>
      <c r="O161" t="str">
        <f>IFERROR(IF(Tbla_actores[[#This Row],[codigo_proyecto]]="","",_xlfn.XLOOKUP(Tbla_actores[[#This Row],[codigo_proyecto]],Proyectos!$A:$A,Proyectos!$C:$C)),"")</f>
        <v>NULOS</v>
      </c>
    </row>
    <row r="162" spans="1:15" ht="14.25" customHeight="1">
      <c r="A162" s="9">
        <v>1016103228</v>
      </c>
      <c r="B162" s="63" t="s">
        <v>61</v>
      </c>
      <c r="C162" s="62" t="s">
        <v>62</v>
      </c>
      <c r="D162" t="s">
        <v>63</v>
      </c>
      <c r="E162" t="s">
        <v>553</v>
      </c>
      <c r="F162" s="61">
        <v>35974</v>
      </c>
      <c r="G162" s="15" t="s">
        <v>73</v>
      </c>
      <c r="H162" t="s">
        <v>554</v>
      </c>
      <c r="I162" s="62" t="s">
        <v>555</v>
      </c>
      <c r="K162" s="36" t="s">
        <v>495</v>
      </c>
      <c r="L162" t="s">
        <v>69</v>
      </c>
      <c r="M162" s="62" t="s">
        <v>70</v>
      </c>
      <c r="N162" t="s">
        <v>71</v>
      </c>
      <c r="O162" t="str">
        <f>IFERROR(IF(Tbla_actores[[#This Row],[codigo_proyecto]]="","",_xlfn.XLOOKUP(Tbla_actores[[#This Row],[codigo_proyecto]],Proyectos!$A:$A,Proyectos!$C:$C)),"")</f>
        <v>NULOS</v>
      </c>
    </row>
    <row r="163" spans="1:15" ht="14.25" customHeight="1">
      <c r="A163" s="10">
        <v>1018479394</v>
      </c>
      <c r="B163" s="64" t="s">
        <v>61</v>
      </c>
      <c r="C163" s="62" t="s">
        <v>62</v>
      </c>
      <c r="D163" t="s">
        <v>63</v>
      </c>
      <c r="E163" t="s">
        <v>556</v>
      </c>
      <c r="F163" s="61">
        <v>34968</v>
      </c>
      <c r="G163" s="15" t="s">
        <v>73</v>
      </c>
      <c r="H163" t="s">
        <v>557</v>
      </c>
      <c r="I163" s="62" t="s">
        <v>558</v>
      </c>
      <c r="K163" s="36" t="s">
        <v>495</v>
      </c>
      <c r="L163" t="s">
        <v>69</v>
      </c>
      <c r="M163" s="62" t="s">
        <v>70</v>
      </c>
      <c r="N163" t="s">
        <v>71</v>
      </c>
      <c r="O163" t="str">
        <f>IFERROR(IF(Tbla_actores[[#This Row],[codigo_proyecto]]="","",_xlfn.XLOOKUP(Tbla_actores[[#This Row],[codigo_proyecto]],Proyectos!$A:$A,Proyectos!$C:$C)),"")</f>
        <v>NULOS</v>
      </c>
    </row>
    <row r="164" spans="1:15" ht="14.25" customHeight="1">
      <c r="A164" s="9">
        <v>1018485390</v>
      </c>
      <c r="B164" s="63" t="s">
        <v>61</v>
      </c>
      <c r="C164" s="62" t="s">
        <v>62</v>
      </c>
      <c r="D164" t="s">
        <v>63</v>
      </c>
      <c r="E164" t="s">
        <v>559</v>
      </c>
      <c r="F164" s="61">
        <v>35187</v>
      </c>
      <c r="G164" s="15" t="s">
        <v>73</v>
      </c>
      <c r="H164" t="s">
        <v>560</v>
      </c>
      <c r="I164" s="62" t="s">
        <v>561</v>
      </c>
      <c r="K164" s="36" t="s">
        <v>495</v>
      </c>
      <c r="L164" t="s">
        <v>69</v>
      </c>
      <c r="M164" s="62" t="s">
        <v>70</v>
      </c>
      <c r="N164" t="s">
        <v>71</v>
      </c>
      <c r="O164" t="str">
        <f>IFERROR(IF(Tbla_actores[[#This Row],[codigo_proyecto]]="","",_xlfn.XLOOKUP(Tbla_actores[[#This Row],[codigo_proyecto]],Proyectos!$A:$A,Proyectos!$C:$C)),"")</f>
        <v>NULOS</v>
      </c>
    </row>
    <row r="165" spans="1:15" ht="14.25" customHeight="1">
      <c r="A165" s="10">
        <v>1026592592</v>
      </c>
      <c r="B165" s="64" t="s">
        <v>61</v>
      </c>
      <c r="C165" s="62" t="s">
        <v>62</v>
      </c>
      <c r="D165" t="s">
        <v>63</v>
      </c>
      <c r="E165" t="s">
        <v>562</v>
      </c>
      <c r="F165" s="61">
        <v>35723</v>
      </c>
      <c r="G165" s="15" t="s">
        <v>73</v>
      </c>
      <c r="H165" t="s">
        <v>563</v>
      </c>
      <c r="I165" s="62" t="s">
        <v>564</v>
      </c>
      <c r="K165" s="36" t="s">
        <v>495</v>
      </c>
      <c r="L165" t="s">
        <v>69</v>
      </c>
      <c r="M165" s="62" t="s">
        <v>70</v>
      </c>
      <c r="N165" t="s">
        <v>71</v>
      </c>
      <c r="O165" t="str">
        <f>IFERROR(IF(Tbla_actores[[#This Row],[codigo_proyecto]]="","",_xlfn.XLOOKUP(Tbla_actores[[#This Row],[codigo_proyecto]],Proyectos!$A:$A,Proyectos!$C:$C)),"")</f>
        <v>NULOS</v>
      </c>
    </row>
    <row r="166" spans="1:15" ht="14.25" customHeight="1">
      <c r="A166" s="9">
        <v>1090499972</v>
      </c>
      <c r="B166" s="63" t="s">
        <v>61</v>
      </c>
      <c r="C166" s="62" t="s">
        <v>62</v>
      </c>
      <c r="D166" t="s">
        <v>63</v>
      </c>
      <c r="E166" t="s">
        <v>565</v>
      </c>
      <c r="F166" s="61">
        <v>35322</v>
      </c>
      <c r="G166" s="15" t="s">
        <v>73</v>
      </c>
      <c r="H166" t="s">
        <v>566</v>
      </c>
      <c r="I166" s="62" t="s">
        <v>567</v>
      </c>
      <c r="K166" s="36" t="s">
        <v>495</v>
      </c>
      <c r="L166" t="s">
        <v>69</v>
      </c>
      <c r="M166" s="62" t="s">
        <v>70</v>
      </c>
      <c r="N166" t="s">
        <v>71</v>
      </c>
      <c r="O166" t="str">
        <f>IFERROR(IF(Tbla_actores[[#This Row],[codigo_proyecto]]="","",_xlfn.XLOOKUP(Tbla_actores[[#This Row],[codigo_proyecto]],Proyectos!$A:$A,Proyectos!$C:$C)),"")</f>
        <v>NULOS</v>
      </c>
    </row>
    <row r="167" spans="1:15" ht="14.25" customHeight="1">
      <c r="A167" s="10">
        <v>1049649244</v>
      </c>
      <c r="B167" s="64" t="s">
        <v>61</v>
      </c>
      <c r="C167" s="62" t="s">
        <v>62</v>
      </c>
      <c r="D167" t="s">
        <v>63</v>
      </c>
      <c r="E167" t="s">
        <v>568</v>
      </c>
      <c r="F167" s="61">
        <v>35492</v>
      </c>
      <c r="G167" s="15" t="s">
        <v>73</v>
      </c>
      <c r="H167" t="s">
        <v>569</v>
      </c>
      <c r="I167" s="62" t="s">
        <v>570</v>
      </c>
      <c r="K167" s="36" t="s">
        <v>495</v>
      </c>
      <c r="L167" t="s">
        <v>69</v>
      </c>
      <c r="M167" s="62" t="s">
        <v>70</v>
      </c>
      <c r="N167" t="s">
        <v>71</v>
      </c>
      <c r="O167" t="str">
        <f>IFERROR(IF(Tbla_actores[[#This Row],[codigo_proyecto]]="","",_xlfn.XLOOKUP(Tbla_actores[[#This Row],[codigo_proyecto]],Proyectos!$A:$A,Proyectos!$C:$C)),"")</f>
        <v>NULOS</v>
      </c>
    </row>
    <row r="168" spans="1:15" ht="14.25" customHeight="1">
      <c r="A168" s="9">
        <v>1014289485</v>
      </c>
      <c r="B168" s="63" t="s">
        <v>61</v>
      </c>
      <c r="C168" s="62" t="s">
        <v>62</v>
      </c>
      <c r="D168" t="s">
        <v>63</v>
      </c>
      <c r="E168" t="s">
        <v>571</v>
      </c>
      <c r="F168" s="61">
        <v>35605</v>
      </c>
      <c r="G168" s="15" t="s">
        <v>73</v>
      </c>
      <c r="H168" t="s">
        <v>572</v>
      </c>
      <c r="I168" s="62" t="s">
        <v>573</v>
      </c>
      <c r="K168" s="36" t="s">
        <v>495</v>
      </c>
      <c r="L168" t="s">
        <v>69</v>
      </c>
      <c r="M168" s="62" t="s">
        <v>70</v>
      </c>
      <c r="N168" t="s">
        <v>71</v>
      </c>
      <c r="O168" t="str">
        <f>IFERROR(IF(Tbla_actores[[#This Row],[codigo_proyecto]]="","",_xlfn.XLOOKUP(Tbla_actores[[#This Row],[codigo_proyecto]],Proyectos!$A:$A,Proyectos!$C:$C)),"")</f>
        <v>NULOS</v>
      </c>
    </row>
    <row r="169" spans="1:15" ht="14.25" customHeight="1">
      <c r="A169" s="10">
        <v>1018498955</v>
      </c>
      <c r="B169" s="64" t="s">
        <v>61</v>
      </c>
      <c r="C169" s="62" t="s">
        <v>62</v>
      </c>
      <c r="D169" t="s">
        <v>63</v>
      </c>
      <c r="E169" t="s">
        <v>574</v>
      </c>
      <c r="F169" s="61">
        <v>35686</v>
      </c>
      <c r="G169" s="15" t="s">
        <v>65</v>
      </c>
      <c r="H169" t="s">
        <v>575</v>
      </c>
      <c r="I169" s="62" t="s">
        <v>576</v>
      </c>
      <c r="K169" s="36" t="s">
        <v>495</v>
      </c>
      <c r="L169" t="s">
        <v>69</v>
      </c>
      <c r="M169" s="62" t="s">
        <v>70</v>
      </c>
      <c r="N169" t="s">
        <v>71</v>
      </c>
      <c r="O169" t="str">
        <f>IFERROR(IF(Tbla_actores[[#This Row],[codigo_proyecto]]="","",_xlfn.XLOOKUP(Tbla_actores[[#This Row],[codigo_proyecto]],Proyectos!$A:$A,Proyectos!$C:$C)),"")</f>
        <v>NULOS</v>
      </c>
    </row>
    <row r="170" spans="1:15" ht="14.25" customHeight="1">
      <c r="A170" s="9">
        <v>1018500586</v>
      </c>
      <c r="B170" s="63" t="s">
        <v>61</v>
      </c>
      <c r="C170" s="62" t="s">
        <v>62</v>
      </c>
      <c r="D170" t="s">
        <v>63</v>
      </c>
      <c r="E170" t="s">
        <v>577</v>
      </c>
      <c r="F170" s="61">
        <v>35817</v>
      </c>
      <c r="G170" s="15" t="s">
        <v>65</v>
      </c>
      <c r="H170" t="s">
        <v>578</v>
      </c>
      <c r="I170" s="62" t="s">
        <v>579</v>
      </c>
      <c r="K170" s="36" t="s">
        <v>495</v>
      </c>
      <c r="L170" t="s">
        <v>69</v>
      </c>
      <c r="M170" s="62" t="s">
        <v>70</v>
      </c>
      <c r="N170" t="s">
        <v>71</v>
      </c>
      <c r="O170" t="str">
        <f>IFERROR(IF(Tbla_actores[[#This Row],[codigo_proyecto]]="","",_xlfn.XLOOKUP(Tbla_actores[[#This Row],[codigo_proyecto]],Proyectos!$A:$A,Proyectos!$C:$C)),"")</f>
        <v>NULOS</v>
      </c>
    </row>
    <row r="171" spans="1:15" ht="14.25" customHeight="1">
      <c r="A171" s="10">
        <v>1018497002</v>
      </c>
      <c r="B171" s="64" t="s">
        <v>61</v>
      </c>
      <c r="C171" s="62" t="s">
        <v>62</v>
      </c>
      <c r="D171" t="s">
        <v>63</v>
      </c>
      <c r="E171" t="s">
        <v>580</v>
      </c>
      <c r="F171" s="61">
        <v>35635</v>
      </c>
      <c r="G171" s="15" t="s">
        <v>73</v>
      </c>
      <c r="H171" t="s">
        <v>581</v>
      </c>
      <c r="I171" s="62" t="s">
        <v>582</v>
      </c>
      <c r="K171" s="36" t="s">
        <v>495</v>
      </c>
      <c r="L171" t="s">
        <v>69</v>
      </c>
      <c r="M171" s="62" t="s">
        <v>70</v>
      </c>
      <c r="N171" t="s">
        <v>71</v>
      </c>
      <c r="O171" t="str">
        <f>IFERROR(IF(Tbla_actores[[#This Row],[codigo_proyecto]]="","",_xlfn.XLOOKUP(Tbla_actores[[#This Row],[codigo_proyecto]],Proyectos!$A:$A,Proyectos!$C:$C)),"")</f>
        <v>NULOS</v>
      </c>
    </row>
    <row r="172" spans="1:15" ht="14.25" customHeight="1">
      <c r="A172" s="9">
        <v>1020823076</v>
      </c>
      <c r="B172" s="63" t="s">
        <v>61</v>
      </c>
      <c r="C172" s="62" t="s">
        <v>62</v>
      </c>
      <c r="D172" t="s">
        <v>63</v>
      </c>
      <c r="E172" t="s">
        <v>583</v>
      </c>
      <c r="F172" s="61">
        <v>35469</v>
      </c>
      <c r="G172" s="15" t="s">
        <v>73</v>
      </c>
      <c r="H172" t="s">
        <v>584</v>
      </c>
      <c r="I172" s="62" t="s">
        <v>585</v>
      </c>
      <c r="K172" s="36" t="s">
        <v>495</v>
      </c>
      <c r="L172" t="s">
        <v>69</v>
      </c>
      <c r="M172" s="62" t="s">
        <v>70</v>
      </c>
      <c r="N172" t="s">
        <v>71</v>
      </c>
      <c r="O172" t="str">
        <f>IFERROR(IF(Tbla_actores[[#This Row],[codigo_proyecto]]="","",_xlfn.XLOOKUP(Tbla_actores[[#This Row],[codigo_proyecto]],Proyectos!$A:$A,Proyectos!$C:$C)),"")</f>
        <v>NULOS</v>
      </c>
    </row>
    <row r="173" spans="1:15" ht="14.25" customHeight="1">
      <c r="A173" s="10">
        <v>1018502056</v>
      </c>
      <c r="B173" s="64" t="s">
        <v>61</v>
      </c>
      <c r="C173" s="62" t="s">
        <v>62</v>
      </c>
      <c r="D173" t="s">
        <v>63</v>
      </c>
      <c r="E173" t="s">
        <v>586</v>
      </c>
      <c r="F173" s="61">
        <v>35884</v>
      </c>
      <c r="G173" s="15" t="s">
        <v>73</v>
      </c>
      <c r="H173" t="s">
        <v>587</v>
      </c>
      <c r="I173" s="62" t="s">
        <v>588</v>
      </c>
      <c r="K173" s="36" t="s">
        <v>495</v>
      </c>
      <c r="L173" t="s">
        <v>69</v>
      </c>
      <c r="M173" s="62" t="s">
        <v>70</v>
      </c>
      <c r="N173" t="s">
        <v>71</v>
      </c>
      <c r="O173" t="str">
        <f>IFERROR(IF(Tbla_actores[[#This Row],[codigo_proyecto]]="","",_xlfn.XLOOKUP(Tbla_actores[[#This Row],[codigo_proyecto]],Proyectos!$A:$A,Proyectos!$C:$C)),"")</f>
        <v>NULOS</v>
      </c>
    </row>
    <row r="174" spans="1:15" ht="14.25" customHeight="1">
      <c r="A174" s="9">
        <v>1018500949</v>
      </c>
      <c r="B174" s="63" t="s">
        <v>61</v>
      </c>
      <c r="C174" s="62" t="s">
        <v>62</v>
      </c>
      <c r="D174" t="s">
        <v>63</v>
      </c>
      <c r="E174" t="s">
        <v>589</v>
      </c>
      <c r="F174" s="61">
        <v>35834</v>
      </c>
      <c r="G174" s="15" t="s">
        <v>73</v>
      </c>
      <c r="H174" t="s">
        <v>590</v>
      </c>
      <c r="I174" s="62" t="s">
        <v>591</v>
      </c>
      <c r="K174" s="36" t="s">
        <v>495</v>
      </c>
      <c r="L174" t="s">
        <v>69</v>
      </c>
      <c r="M174" s="62" t="s">
        <v>70</v>
      </c>
      <c r="N174" t="s">
        <v>71</v>
      </c>
      <c r="O174" t="str">
        <f>IFERROR(IF(Tbla_actores[[#This Row],[codigo_proyecto]]="","",_xlfn.XLOOKUP(Tbla_actores[[#This Row],[codigo_proyecto]],Proyectos!$A:$A,Proyectos!$C:$C)),"")</f>
        <v>NULOS</v>
      </c>
    </row>
    <row r="175" spans="1:15" ht="14.25" customHeight="1">
      <c r="A175" s="10">
        <v>1066082814</v>
      </c>
      <c r="B175" s="64" t="s">
        <v>61</v>
      </c>
      <c r="C175" s="62" t="s">
        <v>62</v>
      </c>
      <c r="D175" t="s">
        <v>63</v>
      </c>
      <c r="E175" t="s">
        <v>592</v>
      </c>
      <c r="F175" s="61">
        <v>35263</v>
      </c>
      <c r="G175" s="15" t="s">
        <v>73</v>
      </c>
      <c r="H175" t="s">
        <v>593</v>
      </c>
      <c r="I175" s="62" t="s">
        <v>594</v>
      </c>
      <c r="K175" s="36" t="s">
        <v>495</v>
      </c>
      <c r="L175" t="s">
        <v>69</v>
      </c>
      <c r="M175" s="62" t="s">
        <v>70</v>
      </c>
      <c r="N175" t="s">
        <v>71</v>
      </c>
      <c r="O175" t="str">
        <f>IFERROR(IF(Tbla_actores[[#This Row],[codigo_proyecto]]="","",_xlfn.XLOOKUP(Tbla_actores[[#This Row],[codigo_proyecto]],Proyectos!$A:$A,Proyectos!$C:$C)),"")</f>
        <v>NULOS</v>
      </c>
    </row>
    <row r="176" spans="1:15" ht="14.25" customHeight="1">
      <c r="A176" s="9">
        <v>1022382914</v>
      </c>
      <c r="B176" s="63" t="s">
        <v>61</v>
      </c>
      <c r="C176" s="62" t="s">
        <v>62</v>
      </c>
      <c r="D176" t="s">
        <v>63</v>
      </c>
      <c r="E176" t="s">
        <v>595</v>
      </c>
      <c r="F176" s="61">
        <v>33726</v>
      </c>
      <c r="G176" s="15" t="s">
        <v>73</v>
      </c>
      <c r="H176" t="s">
        <v>596</v>
      </c>
      <c r="I176" s="62" t="s">
        <v>597</v>
      </c>
      <c r="K176" s="36" t="s">
        <v>495</v>
      </c>
      <c r="L176" t="s">
        <v>69</v>
      </c>
      <c r="M176" s="62" t="s">
        <v>70</v>
      </c>
      <c r="N176" t="s">
        <v>71</v>
      </c>
      <c r="O176" t="str">
        <f>IFERROR(IF(Tbla_actores[[#This Row],[codigo_proyecto]]="","",_xlfn.XLOOKUP(Tbla_actores[[#This Row],[codigo_proyecto]],Proyectos!$A:$A,Proyectos!$C:$C)),"")</f>
        <v>NULOS</v>
      </c>
    </row>
    <row r="177" spans="1:15" ht="14.25" customHeight="1">
      <c r="A177" s="10">
        <v>1018488844</v>
      </c>
      <c r="B177" s="64" t="s">
        <v>61</v>
      </c>
      <c r="C177" s="62" t="s">
        <v>62</v>
      </c>
      <c r="D177" t="s">
        <v>63</v>
      </c>
      <c r="E177" t="s">
        <v>598</v>
      </c>
      <c r="F177" s="61">
        <v>35318</v>
      </c>
      <c r="G177" s="15" t="s">
        <v>73</v>
      </c>
      <c r="H177" t="s">
        <v>599</v>
      </c>
      <c r="I177" s="62" t="s">
        <v>600</v>
      </c>
      <c r="K177" s="36" t="s">
        <v>495</v>
      </c>
      <c r="L177" t="s">
        <v>69</v>
      </c>
      <c r="M177" s="62" t="s">
        <v>70</v>
      </c>
      <c r="N177" t="s">
        <v>71</v>
      </c>
      <c r="O177" t="str">
        <f>IFERROR(IF(Tbla_actores[[#This Row],[codigo_proyecto]]="","",_xlfn.XLOOKUP(Tbla_actores[[#This Row],[codigo_proyecto]],Proyectos!$A:$A,Proyectos!$C:$C)),"")</f>
        <v>NULOS</v>
      </c>
    </row>
    <row r="178" spans="1:15" ht="14.25" customHeight="1">
      <c r="A178" s="9">
        <v>1015407788</v>
      </c>
      <c r="B178" s="63" t="s">
        <v>61</v>
      </c>
      <c r="C178" s="62" t="s">
        <v>62</v>
      </c>
      <c r="D178" t="s">
        <v>63</v>
      </c>
      <c r="E178" t="s">
        <v>601</v>
      </c>
      <c r="F178" s="61">
        <v>32418</v>
      </c>
      <c r="G178" s="15" t="s">
        <v>73</v>
      </c>
      <c r="H178" t="s">
        <v>602</v>
      </c>
      <c r="I178" s="62" t="s">
        <v>603</v>
      </c>
      <c r="K178" s="36" t="s">
        <v>495</v>
      </c>
      <c r="L178" t="s">
        <v>69</v>
      </c>
      <c r="M178" s="62" t="s">
        <v>70</v>
      </c>
      <c r="N178" t="s">
        <v>71</v>
      </c>
      <c r="O178" t="str">
        <f>IFERROR(IF(Tbla_actores[[#This Row],[codigo_proyecto]]="","",_xlfn.XLOOKUP(Tbla_actores[[#This Row],[codigo_proyecto]],Proyectos!$A:$A,Proyectos!$C:$C)),"")</f>
        <v>NULOS</v>
      </c>
    </row>
    <row r="179" spans="1:15" ht="14.25" customHeight="1">
      <c r="A179" s="10">
        <v>1234638415</v>
      </c>
      <c r="B179" s="64" t="s">
        <v>61</v>
      </c>
      <c r="C179" s="62" t="s">
        <v>62</v>
      </c>
      <c r="D179" t="s">
        <v>63</v>
      </c>
      <c r="E179" t="s">
        <v>604</v>
      </c>
      <c r="F179" s="61">
        <v>35609</v>
      </c>
      <c r="G179" s="15" t="s">
        <v>73</v>
      </c>
      <c r="H179" t="s">
        <v>605</v>
      </c>
      <c r="I179" s="62" t="s">
        <v>606</v>
      </c>
      <c r="K179" s="36" t="s">
        <v>495</v>
      </c>
      <c r="L179" t="s">
        <v>69</v>
      </c>
      <c r="M179" s="62" t="s">
        <v>70</v>
      </c>
      <c r="N179" t="s">
        <v>71</v>
      </c>
      <c r="O179" t="str">
        <f>IFERROR(IF(Tbla_actores[[#This Row],[codigo_proyecto]]="","",_xlfn.XLOOKUP(Tbla_actores[[#This Row],[codigo_proyecto]],Proyectos!$A:$A,Proyectos!$C:$C)),"")</f>
        <v>NULOS</v>
      </c>
    </row>
    <row r="180" spans="1:15" ht="14.25" customHeight="1">
      <c r="A180" s="9">
        <v>1019144351</v>
      </c>
      <c r="B180" s="63" t="s">
        <v>61</v>
      </c>
      <c r="C180" s="62" t="s">
        <v>62</v>
      </c>
      <c r="D180" t="s">
        <v>63</v>
      </c>
      <c r="E180" t="s">
        <v>607</v>
      </c>
      <c r="F180" s="61">
        <v>36105</v>
      </c>
      <c r="G180" s="15" t="s">
        <v>73</v>
      </c>
      <c r="H180" t="s">
        <v>608</v>
      </c>
      <c r="I180" s="62" t="s">
        <v>609</v>
      </c>
      <c r="K180" s="36" t="s">
        <v>495</v>
      </c>
      <c r="L180" t="s">
        <v>69</v>
      </c>
      <c r="M180" s="62" t="s">
        <v>70</v>
      </c>
      <c r="N180" t="s">
        <v>71</v>
      </c>
      <c r="O180" t="str">
        <f>IFERROR(IF(Tbla_actores[[#This Row],[codigo_proyecto]]="","",_xlfn.XLOOKUP(Tbla_actores[[#This Row],[codigo_proyecto]],Proyectos!$A:$A,Proyectos!$C:$C)),"")</f>
        <v>NULOS</v>
      </c>
    </row>
    <row r="181" spans="1:15" ht="14.25" customHeight="1">
      <c r="A181" s="10">
        <v>80762162</v>
      </c>
      <c r="B181" s="64" t="s">
        <v>61</v>
      </c>
      <c r="C181" s="62" t="s">
        <v>62</v>
      </c>
      <c r="D181" t="s">
        <v>63</v>
      </c>
      <c r="E181" t="s">
        <v>610</v>
      </c>
      <c r="F181" s="61">
        <v>30463</v>
      </c>
      <c r="G181" s="15" t="s">
        <v>73</v>
      </c>
      <c r="H181" t="s">
        <v>611</v>
      </c>
      <c r="I181" s="62" t="s">
        <v>612</v>
      </c>
      <c r="K181" s="36" t="s">
        <v>495</v>
      </c>
      <c r="L181" t="s">
        <v>69</v>
      </c>
      <c r="M181" s="62" t="s">
        <v>70</v>
      </c>
      <c r="N181" t="s">
        <v>71</v>
      </c>
      <c r="O181" t="str">
        <f>IFERROR(IF(Tbla_actores[[#This Row],[codigo_proyecto]]="","",_xlfn.XLOOKUP(Tbla_actores[[#This Row],[codigo_proyecto]],Proyectos!$A:$A,Proyectos!$C:$C)),"")</f>
        <v>NULOS</v>
      </c>
    </row>
    <row r="182" spans="1:15" ht="14.25" customHeight="1">
      <c r="A182" s="9">
        <v>1032494837</v>
      </c>
      <c r="B182" s="63" t="s">
        <v>61</v>
      </c>
      <c r="C182" s="62" t="s">
        <v>62</v>
      </c>
      <c r="D182" t="s">
        <v>63</v>
      </c>
      <c r="E182" t="s">
        <v>613</v>
      </c>
      <c r="F182" s="61">
        <v>35729</v>
      </c>
      <c r="G182" s="15" t="s">
        <v>73</v>
      </c>
      <c r="H182" t="s">
        <v>614</v>
      </c>
      <c r="I182" s="62" t="s">
        <v>615</v>
      </c>
      <c r="K182" s="36" t="s">
        <v>495</v>
      </c>
      <c r="L182" t="s">
        <v>69</v>
      </c>
      <c r="M182" s="62" t="s">
        <v>70</v>
      </c>
      <c r="N182" t="s">
        <v>71</v>
      </c>
      <c r="O182" t="str">
        <f>IFERROR(IF(Tbla_actores[[#This Row],[codigo_proyecto]]="","",_xlfn.XLOOKUP(Tbla_actores[[#This Row],[codigo_proyecto]],Proyectos!$A:$A,Proyectos!$C:$C)),"")</f>
        <v>NULOS</v>
      </c>
    </row>
    <row r="183" spans="1:15" ht="14.25" customHeight="1">
      <c r="A183" s="10">
        <v>1020830217</v>
      </c>
      <c r="B183" s="64" t="s">
        <v>61</v>
      </c>
      <c r="C183" s="62" t="s">
        <v>62</v>
      </c>
      <c r="D183" t="s">
        <v>63</v>
      </c>
      <c r="E183" t="s">
        <v>616</v>
      </c>
      <c r="F183" s="61">
        <v>35821</v>
      </c>
      <c r="G183" s="15" t="s">
        <v>73</v>
      </c>
      <c r="H183" t="s">
        <v>617</v>
      </c>
      <c r="I183" s="62" t="s">
        <v>618</v>
      </c>
      <c r="K183" s="36" t="s">
        <v>495</v>
      </c>
      <c r="L183" t="s">
        <v>69</v>
      </c>
      <c r="M183" s="62" t="s">
        <v>70</v>
      </c>
      <c r="N183" t="s">
        <v>71</v>
      </c>
      <c r="O183" t="str">
        <f>IFERROR(IF(Tbla_actores[[#This Row],[codigo_proyecto]]="","",_xlfn.XLOOKUP(Tbla_actores[[#This Row],[codigo_proyecto]],Proyectos!$A:$A,Proyectos!$C:$C)),"")</f>
        <v>NULOS</v>
      </c>
    </row>
    <row r="184" spans="1:15" ht="14.25" customHeight="1">
      <c r="A184" s="9">
        <v>1026295354</v>
      </c>
      <c r="B184" s="63" t="s">
        <v>61</v>
      </c>
      <c r="C184" s="62" t="s">
        <v>62</v>
      </c>
      <c r="D184" t="s">
        <v>63</v>
      </c>
      <c r="E184" t="s">
        <v>619</v>
      </c>
      <c r="F184" s="61">
        <v>35202</v>
      </c>
      <c r="G184" s="15" t="s">
        <v>73</v>
      </c>
      <c r="H184" t="s">
        <v>620</v>
      </c>
      <c r="I184" s="62" t="s">
        <v>621</v>
      </c>
      <c r="K184" s="36" t="s">
        <v>495</v>
      </c>
      <c r="L184" t="s">
        <v>69</v>
      </c>
      <c r="M184" s="62" t="s">
        <v>70</v>
      </c>
      <c r="N184" t="s">
        <v>71</v>
      </c>
      <c r="O184" t="str">
        <f>IFERROR(IF(Tbla_actores[[#This Row],[codigo_proyecto]]="","",_xlfn.XLOOKUP(Tbla_actores[[#This Row],[codigo_proyecto]],Proyectos!$A:$A,Proyectos!$C:$C)),"")</f>
        <v>NULOS</v>
      </c>
    </row>
    <row r="185" spans="1:15" ht="14.25" customHeight="1">
      <c r="A185" s="10">
        <v>1074160475</v>
      </c>
      <c r="B185" s="64" t="s">
        <v>61</v>
      </c>
      <c r="C185" s="62" t="s">
        <v>62</v>
      </c>
      <c r="D185" t="s">
        <v>63</v>
      </c>
      <c r="E185" t="s">
        <v>622</v>
      </c>
      <c r="F185" s="61">
        <v>35836</v>
      </c>
      <c r="G185" s="15" t="s">
        <v>73</v>
      </c>
      <c r="H185" t="s">
        <v>623</v>
      </c>
      <c r="I185" s="62" t="s">
        <v>624</v>
      </c>
      <c r="K185" s="36" t="s">
        <v>495</v>
      </c>
      <c r="L185" t="s">
        <v>69</v>
      </c>
      <c r="M185" s="62" t="s">
        <v>70</v>
      </c>
      <c r="N185" t="s">
        <v>71</v>
      </c>
      <c r="O185" t="str">
        <f>IFERROR(IF(Tbla_actores[[#This Row],[codigo_proyecto]]="","",_xlfn.XLOOKUP(Tbla_actores[[#This Row],[codigo_proyecto]],Proyectos!$A:$A,Proyectos!$C:$C)),"")</f>
        <v>NULOS</v>
      </c>
    </row>
    <row r="186" spans="1:15" ht="14.25" customHeight="1">
      <c r="A186" s="9">
        <v>1018500814</v>
      </c>
      <c r="B186" s="63" t="s">
        <v>61</v>
      </c>
      <c r="C186" s="62" t="s">
        <v>62</v>
      </c>
      <c r="D186" t="s">
        <v>63</v>
      </c>
      <c r="E186" t="s">
        <v>625</v>
      </c>
      <c r="F186" s="61">
        <v>35831</v>
      </c>
      <c r="G186" s="15" t="s">
        <v>73</v>
      </c>
      <c r="H186" t="s">
        <v>626</v>
      </c>
      <c r="I186" s="62" t="s">
        <v>627</v>
      </c>
      <c r="K186" s="36" t="s">
        <v>495</v>
      </c>
      <c r="L186" t="s">
        <v>69</v>
      </c>
      <c r="M186" s="62" t="s">
        <v>70</v>
      </c>
      <c r="N186" t="s">
        <v>71</v>
      </c>
      <c r="O186" t="str">
        <f>IFERROR(IF(Tbla_actores[[#This Row],[codigo_proyecto]]="","",_xlfn.XLOOKUP(Tbla_actores[[#This Row],[codigo_proyecto]],Proyectos!$A:$A,Proyectos!$C:$C)),"")</f>
        <v>NULOS</v>
      </c>
    </row>
    <row r="187" spans="1:15" ht="14.25" customHeight="1">
      <c r="A187" s="10">
        <v>1032477760</v>
      </c>
      <c r="B187" s="64" t="s">
        <v>61</v>
      </c>
      <c r="C187" s="62" t="s">
        <v>62</v>
      </c>
      <c r="D187" t="s">
        <v>63</v>
      </c>
      <c r="E187" t="s">
        <v>628</v>
      </c>
      <c r="F187" s="61">
        <v>35059</v>
      </c>
      <c r="G187" s="15" t="s">
        <v>65</v>
      </c>
      <c r="H187" t="s">
        <v>629</v>
      </c>
      <c r="I187" s="62" t="s">
        <v>630</v>
      </c>
      <c r="K187" s="36" t="s">
        <v>495</v>
      </c>
      <c r="L187" t="s">
        <v>69</v>
      </c>
      <c r="M187" s="62" t="s">
        <v>70</v>
      </c>
      <c r="N187" t="s">
        <v>71</v>
      </c>
      <c r="O187" t="str">
        <f>IFERROR(IF(Tbla_actores[[#This Row],[codigo_proyecto]]="","",_xlfn.XLOOKUP(Tbla_actores[[#This Row],[codigo_proyecto]],Proyectos!$A:$A,Proyectos!$C:$C)),"")</f>
        <v>NULOS</v>
      </c>
    </row>
    <row r="188" spans="1:15" ht="14.25" customHeight="1">
      <c r="A188" s="9">
        <v>1122412446</v>
      </c>
      <c r="B188" s="63" t="s">
        <v>61</v>
      </c>
      <c r="C188" s="62" t="s">
        <v>62</v>
      </c>
      <c r="D188" t="s">
        <v>63</v>
      </c>
      <c r="E188" t="s">
        <v>631</v>
      </c>
      <c r="F188" s="61">
        <v>35076</v>
      </c>
      <c r="G188" s="15" t="s">
        <v>73</v>
      </c>
      <c r="H188" t="s">
        <v>632</v>
      </c>
      <c r="I188" s="62" t="s">
        <v>633</v>
      </c>
      <c r="K188" s="36" t="s">
        <v>495</v>
      </c>
      <c r="L188" t="s">
        <v>69</v>
      </c>
      <c r="M188" s="62" t="s">
        <v>70</v>
      </c>
      <c r="N188" t="s">
        <v>71</v>
      </c>
      <c r="O188" t="str">
        <f>IFERROR(IF(Tbla_actores[[#This Row],[codigo_proyecto]]="","",_xlfn.XLOOKUP(Tbla_actores[[#This Row],[codigo_proyecto]],Proyectos!$A:$A,Proyectos!$C:$C)),"")</f>
        <v>NULOS</v>
      </c>
    </row>
    <row r="189" spans="1:15" ht="14.25" customHeight="1">
      <c r="A189" s="10">
        <v>1026304329</v>
      </c>
      <c r="B189" s="64" t="s">
        <v>61</v>
      </c>
      <c r="C189" s="62" t="s">
        <v>634</v>
      </c>
      <c r="D189" t="s">
        <v>63</v>
      </c>
      <c r="E189" t="s">
        <v>635</v>
      </c>
      <c r="F189" s="61">
        <v>36182</v>
      </c>
      <c r="G189" s="15" t="s">
        <v>73</v>
      </c>
      <c r="H189" t="s">
        <v>636</v>
      </c>
      <c r="I189" s="62" t="s">
        <v>637</v>
      </c>
      <c r="K189" s="36" t="s">
        <v>68</v>
      </c>
      <c r="L189" t="s">
        <v>69</v>
      </c>
      <c r="M189" s="62" t="s">
        <v>70</v>
      </c>
      <c r="N189" t="s">
        <v>71</v>
      </c>
      <c r="O189" t="str">
        <f>IFERROR(IF(Tbla_actores[[#This Row],[codigo_proyecto]]="","",_xlfn.XLOOKUP(Tbla_actores[[#This Row],[codigo_proyecto]],Proyectos!$A:$A,Proyectos!$C:$C)),"")</f>
        <v>NULOS</v>
      </c>
    </row>
    <row r="190" spans="1:15" ht="14.25" customHeight="1">
      <c r="A190" s="9">
        <v>1020815571</v>
      </c>
      <c r="B190" s="63" t="s">
        <v>61</v>
      </c>
      <c r="C190" s="62" t="s">
        <v>634</v>
      </c>
      <c r="D190" t="s">
        <v>63</v>
      </c>
      <c r="E190" t="s">
        <v>638</v>
      </c>
      <c r="F190" s="61">
        <v>35149</v>
      </c>
      <c r="G190" s="15" t="s">
        <v>73</v>
      </c>
      <c r="H190" t="s">
        <v>639</v>
      </c>
      <c r="I190" s="62" t="s">
        <v>640</v>
      </c>
      <c r="K190" s="36" t="s">
        <v>68</v>
      </c>
      <c r="L190" t="s">
        <v>69</v>
      </c>
      <c r="M190" s="62" t="s">
        <v>70</v>
      </c>
      <c r="N190" t="s">
        <v>71</v>
      </c>
      <c r="O190" t="str">
        <f>IFERROR(IF(Tbla_actores[[#This Row],[codigo_proyecto]]="","",_xlfn.XLOOKUP(Tbla_actores[[#This Row],[codigo_proyecto]],Proyectos!$A:$A,Proyectos!$C:$C)),"")</f>
        <v>NULOS</v>
      </c>
    </row>
    <row r="191" spans="1:15" ht="14.25" customHeight="1">
      <c r="A191" s="10">
        <v>1018491659</v>
      </c>
      <c r="B191" s="64" t="s">
        <v>61</v>
      </c>
      <c r="C191" s="62" t="s">
        <v>634</v>
      </c>
      <c r="D191" t="s">
        <v>63</v>
      </c>
      <c r="E191" t="s">
        <v>641</v>
      </c>
      <c r="F191" s="61">
        <v>35433</v>
      </c>
      <c r="G191" s="15" t="s">
        <v>65</v>
      </c>
      <c r="H191" t="s">
        <v>642</v>
      </c>
      <c r="I191" s="62" t="s">
        <v>643</v>
      </c>
      <c r="K191" s="36" t="s">
        <v>68</v>
      </c>
      <c r="L191" t="s">
        <v>69</v>
      </c>
      <c r="M191" s="62" t="s">
        <v>70</v>
      </c>
      <c r="N191" t="s">
        <v>71</v>
      </c>
      <c r="O191" t="str">
        <f>IFERROR(IF(Tbla_actores[[#This Row],[codigo_proyecto]]="","",_xlfn.XLOOKUP(Tbla_actores[[#This Row],[codigo_proyecto]],Proyectos!$A:$A,Proyectos!$C:$C)),"")</f>
        <v>NULOS</v>
      </c>
    </row>
    <row r="192" spans="1:15" ht="14.25" customHeight="1">
      <c r="A192" s="9">
        <v>1032491941</v>
      </c>
      <c r="B192" s="63" t="s">
        <v>61</v>
      </c>
      <c r="C192" s="62" t="s">
        <v>634</v>
      </c>
      <c r="D192" t="s">
        <v>63</v>
      </c>
      <c r="E192" t="s">
        <v>644</v>
      </c>
      <c r="F192" s="61">
        <v>35621</v>
      </c>
      <c r="G192" s="15" t="s">
        <v>73</v>
      </c>
      <c r="H192" t="s">
        <v>645</v>
      </c>
      <c r="I192" s="62" t="s">
        <v>646</v>
      </c>
      <c r="K192" s="36" t="s">
        <v>68</v>
      </c>
      <c r="L192" t="s">
        <v>69</v>
      </c>
      <c r="M192" s="62" t="s">
        <v>70</v>
      </c>
      <c r="N192" t="s">
        <v>71</v>
      </c>
      <c r="O192" t="str">
        <f>IFERROR(IF(Tbla_actores[[#This Row],[codigo_proyecto]]="","",_xlfn.XLOOKUP(Tbla_actores[[#This Row],[codigo_proyecto]],Proyectos!$A:$A,Proyectos!$C:$C)),"")</f>
        <v>NULOS</v>
      </c>
    </row>
    <row r="193" spans="1:15" ht="14.25" customHeight="1">
      <c r="A193" s="10">
        <v>1010236116</v>
      </c>
      <c r="B193" s="64" t="s">
        <v>61</v>
      </c>
      <c r="C193" s="62" t="s">
        <v>634</v>
      </c>
      <c r="D193" t="s">
        <v>63</v>
      </c>
      <c r="E193" t="s">
        <v>647</v>
      </c>
      <c r="F193" s="61">
        <v>35686</v>
      </c>
      <c r="G193" s="15" t="s">
        <v>65</v>
      </c>
      <c r="H193" t="s">
        <v>648</v>
      </c>
      <c r="I193" s="62" t="s">
        <v>649</v>
      </c>
      <c r="K193" s="36" t="s">
        <v>68</v>
      </c>
      <c r="L193" t="s">
        <v>69</v>
      </c>
      <c r="M193" s="62" t="s">
        <v>70</v>
      </c>
      <c r="N193" t="s">
        <v>71</v>
      </c>
      <c r="O193" t="str">
        <f>IFERROR(IF(Tbla_actores[[#This Row],[codigo_proyecto]]="","",_xlfn.XLOOKUP(Tbla_actores[[#This Row],[codigo_proyecto]],Proyectos!$A:$A,Proyectos!$C:$C)),"")</f>
        <v>NULOS</v>
      </c>
    </row>
    <row r="194" spans="1:15" ht="14.25" customHeight="1">
      <c r="A194" s="9">
        <v>1015475231</v>
      </c>
      <c r="B194" s="63" t="s">
        <v>61</v>
      </c>
      <c r="C194" s="62" t="s">
        <v>634</v>
      </c>
      <c r="D194" t="s">
        <v>63</v>
      </c>
      <c r="E194" t="s">
        <v>650</v>
      </c>
      <c r="F194" s="61">
        <v>35955</v>
      </c>
      <c r="G194" s="15" t="s">
        <v>73</v>
      </c>
      <c r="H194" t="s">
        <v>651</v>
      </c>
      <c r="I194" s="62" t="s">
        <v>652</v>
      </c>
      <c r="K194" s="36" t="s">
        <v>68</v>
      </c>
      <c r="L194" t="s">
        <v>69</v>
      </c>
      <c r="M194" s="62" t="s">
        <v>70</v>
      </c>
      <c r="N194" t="s">
        <v>71</v>
      </c>
      <c r="O194" t="str">
        <f>IFERROR(IF(Tbla_actores[[#This Row],[codigo_proyecto]]="","",_xlfn.XLOOKUP(Tbla_actores[[#This Row],[codigo_proyecto]],Proyectos!$A:$A,Proyectos!$C:$C)),"")</f>
        <v>NULOS</v>
      </c>
    </row>
    <row r="195" spans="1:15" ht="14.25" customHeight="1">
      <c r="A195" s="10">
        <v>1015438560</v>
      </c>
      <c r="B195" s="64" t="s">
        <v>61</v>
      </c>
      <c r="C195" s="62" t="s">
        <v>634</v>
      </c>
      <c r="D195" t="s">
        <v>63</v>
      </c>
      <c r="E195" t="s">
        <v>653</v>
      </c>
      <c r="F195" s="61">
        <v>34029</v>
      </c>
      <c r="G195" s="15" t="s">
        <v>73</v>
      </c>
      <c r="H195" t="s">
        <v>654</v>
      </c>
      <c r="I195" s="62" t="s">
        <v>655</v>
      </c>
      <c r="K195" s="36" t="s">
        <v>68</v>
      </c>
      <c r="L195" t="s">
        <v>69</v>
      </c>
      <c r="M195" s="62" t="s">
        <v>70</v>
      </c>
      <c r="N195" t="s">
        <v>71</v>
      </c>
      <c r="O195" t="str">
        <f>IFERROR(IF(Tbla_actores[[#This Row],[codigo_proyecto]]="","",_xlfn.XLOOKUP(Tbla_actores[[#This Row],[codigo_proyecto]],Proyectos!$A:$A,Proyectos!$C:$C)),"")</f>
        <v>NULOS</v>
      </c>
    </row>
    <row r="196" spans="1:15" ht="14.25" customHeight="1">
      <c r="A196" s="9">
        <v>1026300890</v>
      </c>
      <c r="B196" s="63" t="s">
        <v>61</v>
      </c>
      <c r="C196" s="62" t="s">
        <v>634</v>
      </c>
      <c r="D196" t="s">
        <v>63</v>
      </c>
      <c r="E196" t="s">
        <v>656</v>
      </c>
      <c r="F196" s="61">
        <v>35821</v>
      </c>
      <c r="G196" s="15" t="s">
        <v>73</v>
      </c>
      <c r="H196" t="s">
        <v>657</v>
      </c>
      <c r="I196" s="62" t="s">
        <v>658</v>
      </c>
      <c r="K196" s="36" t="s">
        <v>68</v>
      </c>
      <c r="L196" t="s">
        <v>69</v>
      </c>
      <c r="M196" s="62" t="s">
        <v>70</v>
      </c>
      <c r="N196" t="s">
        <v>71</v>
      </c>
      <c r="O196" t="str">
        <f>IFERROR(IF(Tbla_actores[[#This Row],[codigo_proyecto]]="","",_xlfn.XLOOKUP(Tbla_actores[[#This Row],[codigo_proyecto]],Proyectos!$A:$A,Proyectos!$C:$C)),"")</f>
        <v>NULOS</v>
      </c>
    </row>
    <row r="197" spans="1:15" ht="14.25" customHeight="1">
      <c r="A197" s="10">
        <v>1019127003</v>
      </c>
      <c r="B197" s="64" t="s">
        <v>61</v>
      </c>
      <c r="C197" s="62" t="s">
        <v>634</v>
      </c>
      <c r="D197" t="s">
        <v>63</v>
      </c>
      <c r="E197" t="s">
        <v>659</v>
      </c>
      <c r="F197" s="61">
        <v>35443</v>
      </c>
      <c r="G197" s="15" t="s">
        <v>73</v>
      </c>
      <c r="H197" t="s">
        <v>660</v>
      </c>
      <c r="I197" s="62" t="s">
        <v>661</v>
      </c>
      <c r="K197" s="36" t="s">
        <v>68</v>
      </c>
      <c r="L197" t="s">
        <v>69</v>
      </c>
      <c r="M197" s="62" t="s">
        <v>70</v>
      </c>
      <c r="N197" t="s">
        <v>71</v>
      </c>
      <c r="O197" t="str">
        <f>IFERROR(IF(Tbla_actores[[#This Row],[codigo_proyecto]]="","",_xlfn.XLOOKUP(Tbla_actores[[#This Row],[codigo_proyecto]],Proyectos!$A:$A,Proyectos!$C:$C)),"")</f>
        <v>NULOS</v>
      </c>
    </row>
    <row r="198" spans="1:15" ht="14.25" customHeight="1">
      <c r="A198" s="9">
        <v>1032491151</v>
      </c>
      <c r="B198" s="63" t="s">
        <v>61</v>
      </c>
      <c r="C198" s="62" t="s">
        <v>634</v>
      </c>
      <c r="D198" t="s">
        <v>63</v>
      </c>
      <c r="E198" t="s">
        <v>662</v>
      </c>
      <c r="F198" s="61">
        <v>35570</v>
      </c>
      <c r="G198" s="15" t="s">
        <v>73</v>
      </c>
      <c r="H198" t="s">
        <v>663</v>
      </c>
      <c r="I198" s="62" t="s">
        <v>664</v>
      </c>
      <c r="K198" s="36" t="s">
        <v>68</v>
      </c>
      <c r="L198" t="s">
        <v>69</v>
      </c>
      <c r="M198" s="62" t="s">
        <v>70</v>
      </c>
      <c r="N198" t="s">
        <v>71</v>
      </c>
      <c r="O198" t="str">
        <f>IFERROR(IF(Tbla_actores[[#This Row],[codigo_proyecto]]="","",_xlfn.XLOOKUP(Tbla_actores[[#This Row],[codigo_proyecto]],Proyectos!$A:$A,Proyectos!$C:$C)),"")</f>
        <v>NULOS</v>
      </c>
    </row>
    <row r="199" spans="1:15" ht="14.25" customHeight="1">
      <c r="A199" s="10">
        <v>1019146968</v>
      </c>
      <c r="B199" s="64" t="s">
        <v>61</v>
      </c>
      <c r="C199" s="62" t="s">
        <v>634</v>
      </c>
      <c r="D199" t="s">
        <v>63</v>
      </c>
      <c r="E199" t="s">
        <v>665</v>
      </c>
      <c r="F199" s="61">
        <v>36213</v>
      </c>
      <c r="G199" s="15" t="s">
        <v>65</v>
      </c>
      <c r="H199" t="s">
        <v>666</v>
      </c>
      <c r="I199" s="62" t="s">
        <v>667</v>
      </c>
      <c r="K199" s="36" t="s">
        <v>68</v>
      </c>
      <c r="L199" t="s">
        <v>69</v>
      </c>
      <c r="M199" s="62" t="s">
        <v>70</v>
      </c>
      <c r="N199" t="s">
        <v>71</v>
      </c>
      <c r="O199" t="str">
        <f>IFERROR(IF(Tbla_actores[[#This Row],[codigo_proyecto]]="","",_xlfn.XLOOKUP(Tbla_actores[[#This Row],[codigo_proyecto]],Proyectos!$A:$A,Proyectos!$C:$C)),"")</f>
        <v>NULOS</v>
      </c>
    </row>
    <row r="200" spans="1:15" ht="14.25" customHeight="1">
      <c r="A200" s="9">
        <v>1032500083</v>
      </c>
      <c r="B200" s="63" t="s">
        <v>61</v>
      </c>
      <c r="C200" s="62" t="s">
        <v>634</v>
      </c>
      <c r="D200" t="s">
        <v>63</v>
      </c>
      <c r="E200" t="s">
        <v>668</v>
      </c>
      <c r="F200" s="61">
        <v>36051</v>
      </c>
      <c r="G200" s="15" t="s">
        <v>73</v>
      </c>
      <c r="H200" t="s">
        <v>669</v>
      </c>
      <c r="I200" s="62" t="s">
        <v>670</v>
      </c>
      <c r="K200" s="36" t="s">
        <v>68</v>
      </c>
      <c r="L200" t="s">
        <v>69</v>
      </c>
      <c r="M200" s="62" t="s">
        <v>70</v>
      </c>
      <c r="N200" t="s">
        <v>71</v>
      </c>
      <c r="O200" t="str">
        <f>IFERROR(IF(Tbla_actores[[#This Row],[codigo_proyecto]]="","",_xlfn.XLOOKUP(Tbla_actores[[#This Row],[codigo_proyecto]],Proyectos!$A:$A,Proyectos!$C:$C)),"")</f>
        <v>NULOS</v>
      </c>
    </row>
    <row r="201" spans="1:15" ht="14.25" customHeight="1">
      <c r="A201" s="10">
        <v>1090509452</v>
      </c>
      <c r="B201" s="64" t="s">
        <v>61</v>
      </c>
      <c r="C201" s="62" t="s">
        <v>634</v>
      </c>
      <c r="D201" t="s">
        <v>63</v>
      </c>
      <c r="E201" t="s">
        <v>671</v>
      </c>
      <c r="F201" s="61">
        <v>35692</v>
      </c>
      <c r="G201" s="15" t="s">
        <v>73</v>
      </c>
      <c r="H201" t="s">
        <v>672</v>
      </c>
      <c r="I201" s="62" t="s">
        <v>673</v>
      </c>
      <c r="K201" s="36" t="s">
        <v>68</v>
      </c>
      <c r="L201" t="s">
        <v>69</v>
      </c>
      <c r="M201" s="62" t="s">
        <v>70</v>
      </c>
      <c r="N201" t="s">
        <v>71</v>
      </c>
      <c r="O201" t="str">
        <f>IFERROR(IF(Tbla_actores[[#This Row],[codigo_proyecto]]="","",_xlfn.XLOOKUP(Tbla_actores[[#This Row],[codigo_proyecto]],Proyectos!$A:$A,Proyectos!$C:$C)),"")</f>
        <v>NULOS</v>
      </c>
    </row>
    <row r="202" spans="1:15" ht="14.25" customHeight="1">
      <c r="A202" s="9">
        <v>1020829101</v>
      </c>
      <c r="B202" s="63" t="s">
        <v>61</v>
      </c>
      <c r="C202" s="62" t="s">
        <v>634</v>
      </c>
      <c r="D202" t="s">
        <v>63</v>
      </c>
      <c r="E202" t="s">
        <v>674</v>
      </c>
      <c r="F202" s="61">
        <v>35720</v>
      </c>
      <c r="G202" s="15" t="s">
        <v>73</v>
      </c>
      <c r="H202" t="s">
        <v>675</v>
      </c>
      <c r="I202" s="62" t="s">
        <v>676</v>
      </c>
      <c r="K202" s="36" t="s">
        <v>68</v>
      </c>
      <c r="L202" t="s">
        <v>69</v>
      </c>
      <c r="M202" s="62" t="s">
        <v>70</v>
      </c>
      <c r="N202" t="s">
        <v>71</v>
      </c>
      <c r="O202" t="str">
        <f>IFERROR(IF(Tbla_actores[[#This Row],[codigo_proyecto]]="","",_xlfn.XLOOKUP(Tbla_actores[[#This Row],[codigo_proyecto]],Proyectos!$A:$A,Proyectos!$C:$C)),"")</f>
        <v>NULOS</v>
      </c>
    </row>
    <row r="203" spans="1:15" ht="14.25" customHeight="1">
      <c r="A203" s="10">
        <v>1073522093</v>
      </c>
      <c r="B203" s="64" t="s">
        <v>61</v>
      </c>
      <c r="C203" s="62" t="s">
        <v>634</v>
      </c>
      <c r="D203" t="s">
        <v>63</v>
      </c>
      <c r="E203" t="s">
        <v>677</v>
      </c>
      <c r="F203" s="61">
        <v>35589</v>
      </c>
      <c r="G203" s="15" t="s">
        <v>73</v>
      </c>
      <c r="H203" t="s">
        <v>678</v>
      </c>
      <c r="I203" s="62" t="s">
        <v>679</v>
      </c>
      <c r="K203" s="36" t="s">
        <v>68</v>
      </c>
      <c r="L203" t="s">
        <v>69</v>
      </c>
      <c r="M203" s="62" t="s">
        <v>70</v>
      </c>
      <c r="N203" t="s">
        <v>71</v>
      </c>
      <c r="O203" t="str">
        <f>IFERROR(IF(Tbla_actores[[#This Row],[codigo_proyecto]]="","",_xlfn.XLOOKUP(Tbla_actores[[#This Row],[codigo_proyecto]],Proyectos!$A:$A,Proyectos!$C:$C)),"")</f>
        <v>NULOS</v>
      </c>
    </row>
    <row r="204" spans="1:15" ht="14.25" customHeight="1">
      <c r="A204" s="9">
        <v>1019141670</v>
      </c>
      <c r="B204" s="63" t="s">
        <v>61</v>
      </c>
      <c r="C204" s="62" t="s">
        <v>634</v>
      </c>
      <c r="D204" t="s">
        <v>63</v>
      </c>
      <c r="E204" t="s">
        <v>680</v>
      </c>
      <c r="F204" s="61">
        <v>35998</v>
      </c>
      <c r="G204" s="15" t="s">
        <v>73</v>
      </c>
      <c r="H204" t="s">
        <v>681</v>
      </c>
      <c r="I204" s="62" t="s">
        <v>682</v>
      </c>
      <c r="K204" s="36" t="s">
        <v>68</v>
      </c>
      <c r="L204" t="s">
        <v>69</v>
      </c>
      <c r="M204" s="62" t="s">
        <v>70</v>
      </c>
      <c r="N204" t="s">
        <v>71</v>
      </c>
      <c r="O204" t="str">
        <f>IFERROR(IF(Tbla_actores[[#This Row],[codigo_proyecto]]="","",_xlfn.XLOOKUP(Tbla_actores[[#This Row],[codigo_proyecto]],Proyectos!$A:$A,Proyectos!$C:$C)),"")</f>
        <v>NULOS</v>
      </c>
    </row>
    <row r="205" spans="1:15" ht="14.25" customHeight="1">
      <c r="A205" s="10">
        <v>1073254144</v>
      </c>
      <c r="B205" s="64" t="s">
        <v>61</v>
      </c>
      <c r="C205" s="62" t="s">
        <v>634</v>
      </c>
      <c r="D205" t="s">
        <v>63</v>
      </c>
      <c r="E205" t="s">
        <v>683</v>
      </c>
      <c r="F205" s="61">
        <v>36386</v>
      </c>
      <c r="G205" s="15" t="s">
        <v>73</v>
      </c>
      <c r="H205" t="s">
        <v>684</v>
      </c>
      <c r="I205" s="62" t="s">
        <v>685</v>
      </c>
      <c r="K205" s="36" t="s">
        <v>68</v>
      </c>
      <c r="L205" t="s">
        <v>69</v>
      </c>
      <c r="M205" s="62" t="s">
        <v>70</v>
      </c>
      <c r="N205" t="s">
        <v>71</v>
      </c>
      <c r="O205" t="str">
        <f>IFERROR(IF(Tbla_actores[[#This Row],[codigo_proyecto]]="","",_xlfn.XLOOKUP(Tbla_actores[[#This Row],[codigo_proyecto]],Proyectos!$A:$A,Proyectos!$C:$C)),"")</f>
        <v>NULOS</v>
      </c>
    </row>
    <row r="206" spans="1:15" ht="14.25" customHeight="1">
      <c r="A206" s="9">
        <v>1069765298</v>
      </c>
      <c r="B206" s="63" t="s">
        <v>61</v>
      </c>
      <c r="C206" s="62" t="s">
        <v>634</v>
      </c>
      <c r="D206" t="s">
        <v>63</v>
      </c>
      <c r="E206" t="s">
        <v>686</v>
      </c>
      <c r="F206" s="61">
        <v>36087</v>
      </c>
      <c r="G206" s="15" t="s">
        <v>73</v>
      </c>
      <c r="H206" t="s">
        <v>687</v>
      </c>
      <c r="I206" s="62" t="s">
        <v>688</v>
      </c>
      <c r="K206" s="36" t="s">
        <v>68</v>
      </c>
      <c r="L206" t="s">
        <v>69</v>
      </c>
      <c r="M206" s="62" t="s">
        <v>70</v>
      </c>
      <c r="N206" t="s">
        <v>71</v>
      </c>
      <c r="O206" t="str">
        <f>IFERROR(IF(Tbla_actores[[#This Row],[codigo_proyecto]]="","",_xlfn.XLOOKUP(Tbla_actores[[#This Row],[codigo_proyecto]],Proyectos!$A:$A,Proyectos!$C:$C)),"")</f>
        <v>NULOS</v>
      </c>
    </row>
    <row r="207" spans="1:15" ht="14.25" customHeight="1">
      <c r="A207" s="10">
        <v>1031180030</v>
      </c>
      <c r="B207" s="64" t="s">
        <v>61</v>
      </c>
      <c r="C207" s="62" t="s">
        <v>634</v>
      </c>
      <c r="D207" t="s">
        <v>63</v>
      </c>
      <c r="E207" t="s">
        <v>689</v>
      </c>
      <c r="F207" s="61">
        <v>36264</v>
      </c>
      <c r="G207" s="15" t="s">
        <v>73</v>
      </c>
      <c r="H207" t="s">
        <v>690</v>
      </c>
      <c r="I207" s="62" t="s">
        <v>691</v>
      </c>
      <c r="K207" s="36" t="s">
        <v>68</v>
      </c>
      <c r="L207" t="s">
        <v>69</v>
      </c>
      <c r="M207" s="62" t="s">
        <v>70</v>
      </c>
      <c r="N207" t="s">
        <v>71</v>
      </c>
      <c r="O207" t="str">
        <f>IFERROR(IF(Tbla_actores[[#This Row],[codigo_proyecto]]="","",_xlfn.XLOOKUP(Tbla_actores[[#This Row],[codigo_proyecto]],Proyectos!$A:$A,Proyectos!$C:$C)),"")</f>
        <v>NULOS</v>
      </c>
    </row>
    <row r="208" spans="1:15" ht="14.25" customHeight="1">
      <c r="A208" s="9">
        <v>1020819080</v>
      </c>
      <c r="B208" s="63" t="s">
        <v>61</v>
      </c>
      <c r="C208" s="62" t="s">
        <v>634</v>
      </c>
      <c r="D208" t="s">
        <v>63</v>
      </c>
      <c r="E208" t="s">
        <v>692</v>
      </c>
      <c r="F208" s="61">
        <v>35334</v>
      </c>
      <c r="G208" s="15" t="s">
        <v>73</v>
      </c>
      <c r="H208" t="s">
        <v>693</v>
      </c>
      <c r="I208" s="62" t="s">
        <v>694</v>
      </c>
      <c r="K208" s="36" t="s">
        <v>68</v>
      </c>
      <c r="L208" t="s">
        <v>69</v>
      </c>
      <c r="M208" s="62" t="s">
        <v>70</v>
      </c>
      <c r="N208" t="s">
        <v>71</v>
      </c>
      <c r="O208" t="str">
        <f>IFERROR(IF(Tbla_actores[[#This Row],[codigo_proyecto]]="","",_xlfn.XLOOKUP(Tbla_actores[[#This Row],[codigo_proyecto]],Proyectos!$A:$A,Proyectos!$C:$C)),"")</f>
        <v>NULOS</v>
      </c>
    </row>
    <row r="209" spans="1:15" ht="14.25" customHeight="1">
      <c r="A209" s="10">
        <v>1018496464</v>
      </c>
      <c r="B209" s="64" t="s">
        <v>61</v>
      </c>
      <c r="C209" s="62" t="s">
        <v>634</v>
      </c>
      <c r="D209" t="s">
        <v>63</v>
      </c>
      <c r="E209" t="s">
        <v>695</v>
      </c>
      <c r="F209" s="61">
        <v>35643</v>
      </c>
      <c r="G209" s="15" t="s">
        <v>73</v>
      </c>
      <c r="H209" t="s">
        <v>696</v>
      </c>
      <c r="I209" s="62" t="s">
        <v>697</v>
      </c>
      <c r="K209" s="36" t="s">
        <v>68</v>
      </c>
      <c r="L209" t="s">
        <v>69</v>
      </c>
      <c r="M209" s="62" t="s">
        <v>70</v>
      </c>
      <c r="N209" t="s">
        <v>71</v>
      </c>
      <c r="O209" t="str">
        <f>IFERROR(IF(Tbla_actores[[#This Row],[codigo_proyecto]]="","",_xlfn.XLOOKUP(Tbla_actores[[#This Row],[codigo_proyecto]],Proyectos!$A:$A,Proyectos!$C:$C)),"")</f>
        <v>NULOS</v>
      </c>
    </row>
    <row r="210" spans="1:15" ht="14.25" customHeight="1">
      <c r="A210" s="9">
        <v>1032480433</v>
      </c>
      <c r="B210" s="63" t="s">
        <v>61</v>
      </c>
      <c r="C210" s="62" t="s">
        <v>634</v>
      </c>
      <c r="D210" t="s">
        <v>63</v>
      </c>
      <c r="E210" t="s">
        <v>698</v>
      </c>
      <c r="F210" s="61">
        <v>35163</v>
      </c>
      <c r="G210" s="15" t="s">
        <v>73</v>
      </c>
      <c r="H210" t="s">
        <v>699</v>
      </c>
      <c r="I210" s="62" t="s">
        <v>700</v>
      </c>
      <c r="K210" s="36" t="s">
        <v>68</v>
      </c>
      <c r="L210" t="s">
        <v>69</v>
      </c>
      <c r="M210" s="62" t="s">
        <v>70</v>
      </c>
      <c r="N210" t="s">
        <v>71</v>
      </c>
      <c r="O210" t="str">
        <f>IFERROR(IF(Tbla_actores[[#This Row],[codigo_proyecto]]="","",_xlfn.XLOOKUP(Tbla_actores[[#This Row],[codigo_proyecto]],Proyectos!$A:$A,Proyectos!$C:$C)),"")</f>
        <v>NULOS</v>
      </c>
    </row>
    <row r="211" spans="1:15" ht="14.25" customHeight="1">
      <c r="A211" s="10">
        <v>1016098809</v>
      </c>
      <c r="B211" s="64" t="s">
        <v>61</v>
      </c>
      <c r="C211" s="62" t="s">
        <v>634</v>
      </c>
      <c r="D211" t="s">
        <v>63</v>
      </c>
      <c r="E211" t="s">
        <v>701</v>
      </c>
      <c r="F211" s="61">
        <v>35775</v>
      </c>
      <c r="G211" s="15" t="s">
        <v>65</v>
      </c>
      <c r="H211" t="s">
        <v>702</v>
      </c>
      <c r="I211" s="62" t="s">
        <v>703</v>
      </c>
      <c r="K211" s="36" t="s">
        <v>68</v>
      </c>
      <c r="L211" t="s">
        <v>69</v>
      </c>
      <c r="M211" s="62" t="s">
        <v>70</v>
      </c>
      <c r="N211" t="s">
        <v>71</v>
      </c>
      <c r="O211" t="str">
        <f>IFERROR(IF(Tbla_actores[[#This Row],[codigo_proyecto]]="","",_xlfn.XLOOKUP(Tbla_actores[[#This Row],[codigo_proyecto]],Proyectos!$A:$A,Proyectos!$C:$C)),"")</f>
        <v>NULOS</v>
      </c>
    </row>
    <row r="212" spans="1:15" ht="14.25" customHeight="1">
      <c r="A212" s="9">
        <v>1192803132</v>
      </c>
      <c r="B212" s="63" t="s">
        <v>61</v>
      </c>
      <c r="C212" s="62" t="s">
        <v>634</v>
      </c>
      <c r="D212" t="s">
        <v>63</v>
      </c>
      <c r="E212" t="s">
        <v>704</v>
      </c>
      <c r="F212" s="61">
        <v>36759</v>
      </c>
      <c r="G212" s="15" t="s">
        <v>73</v>
      </c>
      <c r="H212" t="s">
        <v>705</v>
      </c>
      <c r="I212" s="62" t="s">
        <v>706</v>
      </c>
      <c r="K212" s="36" t="s">
        <v>68</v>
      </c>
      <c r="L212" t="s">
        <v>69</v>
      </c>
      <c r="M212" s="62" t="s">
        <v>70</v>
      </c>
      <c r="N212" t="s">
        <v>71</v>
      </c>
      <c r="O212" t="str">
        <f>IFERROR(IF(Tbla_actores[[#This Row],[codigo_proyecto]]="","",_xlfn.XLOOKUP(Tbla_actores[[#This Row],[codigo_proyecto]],Proyectos!$A:$A,Proyectos!$C:$C)),"")</f>
        <v>NULOS</v>
      </c>
    </row>
    <row r="213" spans="1:15" ht="14.25" customHeight="1">
      <c r="A213" s="10">
        <v>1030690474</v>
      </c>
      <c r="B213" s="64" t="s">
        <v>61</v>
      </c>
      <c r="C213" s="62" t="s">
        <v>634</v>
      </c>
      <c r="D213" t="s">
        <v>63</v>
      </c>
      <c r="E213" t="s">
        <v>707</v>
      </c>
      <c r="F213" s="61">
        <v>36057</v>
      </c>
      <c r="G213" s="15" t="s">
        <v>73</v>
      </c>
      <c r="H213" t="s">
        <v>708</v>
      </c>
      <c r="I213" s="62" t="s">
        <v>709</v>
      </c>
      <c r="K213" s="36" t="s">
        <v>68</v>
      </c>
      <c r="L213" t="s">
        <v>69</v>
      </c>
      <c r="M213" s="62" t="s">
        <v>70</v>
      </c>
      <c r="N213" t="s">
        <v>71</v>
      </c>
      <c r="O213" t="str">
        <f>IFERROR(IF(Tbla_actores[[#This Row],[codigo_proyecto]]="","",_xlfn.XLOOKUP(Tbla_actores[[#This Row],[codigo_proyecto]],Proyectos!$A:$A,Proyectos!$C:$C)),"")</f>
        <v>NULOS</v>
      </c>
    </row>
    <row r="214" spans="1:15" ht="14.25" customHeight="1">
      <c r="A214" s="9">
        <v>1020825564</v>
      </c>
      <c r="B214" s="63" t="s">
        <v>61</v>
      </c>
      <c r="C214" s="62" t="s">
        <v>634</v>
      </c>
      <c r="D214" t="s">
        <v>63</v>
      </c>
      <c r="E214" t="s">
        <v>710</v>
      </c>
      <c r="F214" s="61">
        <v>35510</v>
      </c>
      <c r="G214" s="15" t="s">
        <v>73</v>
      </c>
      <c r="H214" t="s">
        <v>711</v>
      </c>
      <c r="I214" s="62" t="s">
        <v>712</v>
      </c>
      <c r="K214" s="36" t="s">
        <v>68</v>
      </c>
      <c r="L214" t="s">
        <v>69</v>
      </c>
      <c r="M214" s="62" t="s">
        <v>70</v>
      </c>
      <c r="N214" t="s">
        <v>71</v>
      </c>
      <c r="O214" t="str">
        <f>IFERROR(IF(Tbla_actores[[#This Row],[codigo_proyecto]]="","",_xlfn.XLOOKUP(Tbla_actores[[#This Row],[codigo_proyecto]],Proyectos!$A:$A,Proyectos!$C:$C)),"")</f>
        <v>NULOS</v>
      </c>
    </row>
    <row r="215" spans="1:15" ht="14.25" customHeight="1">
      <c r="A215" s="10">
        <v>1015459359</v>
      </c>
      <c r="B215" s="64" t="s">
        <v>61</v>
      </c>
      <c r="C215" s="62" t="s">
        <v>634</v>
      </c>
      <c r="D215" t="s">
        <v>63</v>
      </c>
      <c r="E215" t="s">
        <v>713</v>
      </c>
      <c r="F215" s="61">
        <v>35074</v>
      </c>
      <c r="G215" s="15" t="s">
        <v>65</v>
      </c>
      <c r="H215" t="s">
        <v>714</v>
      </c>
      <c r="I215" s="62" t="s">
        <v>715</v>
      </c>
      <c r="K215" s="36" t="s">
        <v>169</v>
      </c>
      <c r="L215" t="s">
        <v>69</v>
      </c>
      <c r="M215" s="62" t="s">
        <v>170</v>
      </c>
      <c r="N215" t="s">
        <v>71</v>
      </c>
      <c r="O215" t="str">
        <f>IFERROR(IF(Tbla_actores[[#This Row],[codigo_proyecto]]="","",_xlfn.XLOOKUP(Tbla_actores[[#This Row],[codigo_proyecto]],Proyectos!$A:$A,Proyectos!$C:$C)),"")</f>
        <v>NULOS</v>
      </c>
    </row>
    <row r="216" spans="1:15" ht="14.25" customHeight="1">
      <c r="A216" s="9">
        <v>1083023406</v>
      </c>
      <c r="B216" s="63" t="s">
        <v>61</v>
      </c>
      <c r="C216" s="62" t="s">
        <v>634</v>
      </c>
      <c r="D216" t="s">
        <v>63</v>
      </c>
      <c r="E216" t="s">
        <v>716</v>
      </c>
      <c r="F216" s="61">
        <v>35510</v>
      </c>
      <c r="G216" s="15" t="s">
        <v>65</v>
      </c>
      <c r="H216" t="s">
        <v>717</v>
      </c>
      <c r="I216" s="62" t="s">
        <v>718</v>
      </c>
      <c r="K216" s="36" t="s">
        <v>169</v>
      </c>
      <c r="L216" t="s">
        <v>69</v>
      </c>
      <c r="M216" s="62" t="s">
        <v>170</v>
      </c>
      <c r="N216" t="s">
        <v>71</v>
      </c>
      <c r="O216" t="str">
        <f>IFERROR(IF(Tbla_actores[[#This Row],[codigo_proyecto]]="","",_xlfn.XLOOKUP(Tbla_actores[[#This Row],[codigo_proyecto]],Proyectos!$A:$A,Proyectos!$C:$C)),"")</f>
        <v>NULOS</v>
      </c>
    </row>
    <row r="217" spans="1:15" ht="14.25" customHeight="1">
      <c r="A217" s="10">
        <v>1032487190</v>
      </c>
      <c r="B217" s="64" t="s">
        <v>61</v>
      </c>
      <c r="C217" s="62" t="s">
        <v>634</v>
      </c>
      <c r="D217" t="s">
        <v>63</v>
      </c>
      <c r="E217" t="s">
        <v>719</v>
      </c>
      <c r="F217" s="61">
        <v>35394</v>
      </c>
      <c r="G217" s="15" t="s">
        <v>73</v>
      </c>
      <c r="H217" t="s">
        <v>720</v>
      </c>
      <c r="I217" s="62" t="s">
        <v>721</v>
      </c>
      <c r="K217" s="36" t="s">
        <v>169</v>
      </c>
      <c r="L217" t="s">
        <v>69</v>
      </c>
      <c r="M217" s="62" t="s">
        <v>170</v>
      </c>
      <c r="N217" t="s">
        <v>71</v>
      </c>
      <c r="O217" t="str">
        <f>IFERROR(IF(Tbla_actores[[#This Row],[codigo_proyecto]]="","",_xlfn.XLOOKUP(Tbla_actores[[#This Row],[codigo_proyecto]],Proyectos!$A:$A,Proyectos!$C:$C)),"")</f>
        <v>NULOS</v>
      </c>
    </row>
    <row r="218" spans="1:15" ht="14.25" customHeight="1">
      <c r="A218" s="9">
        <v>1018489895</v>
      </c>
      <c r="B218" s="63" t="s">
        <v>61</v>
      </c>
      <c r="C218" s="62" t="s">
        <v>634</v>
      </c>
      <c r="D218" t="s">
        <v>63</v>
      </c>
      <c r="E218" t="s">
        <v>722</v>
      </c>
      <c r="F218" s="61">
        <v>35350</v>
      </c>
      <c r="G218" s="15" t="s">
        <v>65</v>
      </c>
      <c r="H218" t="s">
        <v>723</v>
      </c>
      <c r="I218" s="62" t="s">
        <v>724</v>
      </c>
      <c r="K218" s="36" t="s">
        <v>169</v>
      </c>
      <c r="L218" t="s">
        <v>69</v>
      </c>
      <c r="M218" s="62" t="s">
        <v>170</v>
      </c>
      <c r="N218" t="s">
        <v>71</v>
      </c>
      <c r="O218" t="str">
        <f>IFERROR(IF(Tbla_actores[[#This Row],[codigo_proyecto]]="","",_xlfn.XLOOKUP(Tbla_actores[[#This Row],[codigo_proyecto]],Proyectos!$A:$A,Proyectos!$C:$C)),"")</f>
        <v>NULOS</v>
      </c>
    </row>
    <row r="219" spans="1:15" ht="14.25" customHeight="1">
      <c r="A219" s="10">
        <v>1016098946</v>
      </c>
      <c r="B219" s="64" t="s">
        <v>61</v>
      </c>
      <c r="C219" s="62" t="s">
        <v>634</v>
      </c>
      <c r="D219" t="s">
        <v>63</v>
      </c>
      <c r="E219" t="s">
        <v>725</v>
      </c>
      <c r="F219" s="61">
        <v>35780</v>
      </c>
      <c r="G219" s="15" t="s">
        <v>73</v>
      </c>
      <c r="H219" t="s">
        <v>726</v>
      </c>
      <c r="I219" s="62" t="s">
        <v>727</v>
      </c>
      <c r="K219" s="36" t="s">
        <v>169</v>
      </c>
      <c r="L219" t="s">
        <v>69</v>
      </c>
      <c r="M219" s="62" t="s">
        <v>170</v>
      </c>
      <c r="N219" t="s">
        <v>71</v>
      </c>
      <c r="O219" t="str">
        <f>IFERROR(IF(Tbla_actores[[#This Row],[codigo_proyecto]]="","",_xlfn.XLOOKUP(Tbla_actores[[#This Row],[codigo_proyecto]],Proyectos!$A:$A,Proyectos!$C:$C)),"")</f>
        <v>NULOS</v>
      </c>
    </row>
    <row r="220" spans="1:15" ht="14.25" customHeight="1">
      <c r="A220" s="9">
        <v>1072713382</v>
      </c>
      <c r="B220" s="63" t="s">
        <v>61</v>
      </c>
      <c r="C220" s="62" t="s">
        <v>634</v>
      </c>
      <c r="D220" t="s">
        <v>63</v>
      </c>
      <c r="E220" t="s">
        <v>728</v>
      </c>
      <c r="F220" s="61">
        <v>35505</v>
      </c>
      <c r="G220" s="15" t="s">
        <v>73</v>
      </c>
      <c r="H220" t="s">
        <v>729</v>
      </c>
      <c r="I220" s="62" t="s">
        <v>730</v>
      </c>
      <c r="K220" s="36" t="s">
        <v>169</v>
      </c>
      <c r="L220" t="s">
        <v>69</v>
      </c>
      <c r="M220" s="62" t="s">
        <v>170</v>
      </c>
      <c r="N220" t="s">
        <v>71</v>
      </c>
      <c r="O220" t="str">
        <f>IFERROR(IF(Tbla_actores[[#This Row],[codigo_proyecto]]="","",_xlfn.XLOOKUP(Tbla_actores[[#This Row],[codigo_proyecto]],Proyectos!$A:$A,Proyectos!$C:$C)),"")</f>
        <v>NULOS</v>
      </c>
    </row>
    <row r="221" spans="1:15" ht="14.25" customHeight="1">
      <c r="A221" s="10">
        <v>1014278228</v>
      </c>
      <c r="B221" s="64" t="s">
        <v>61</v>
      </c>
      <c r="C221" s="62" t="s">
        <v>634</v>
      </c>
      <c r="D221" t="s">
        <v>63</v>
      </c>
      <c r="E221" t="s">
        <v>731</v>
      </c>
      <c r="F221" s="61">
        <v>35234</v>
      </c>
      <c r="G221" s="15" t="s">
        <v>65</v>
      </c>
      <c r="H221" t="s">
        <v>732</v>
      </c>
      <c r="I221" s="62" t="s">
        <v>733</v>
      </c>
      <c r="K221" s="36" t="s">
        <v>169</v>
      </c>
      <c r="L221" t="s">
        <v>69</v>
      </c>
      <c r="M221" s="62" t="s">
        <v>170</v>
      </c>
      <c r="N221" t="s">
        <v>71</v>
      </c>
      <c r="O221" t="str">
        <f>IFERROR(IF(Tbla_actores[[#This Row],[codigo_proyecto]]="","",_xlfn.XLOOKUP(Tbla_actores[[#This Row],[codigo_proyecto]],Proyectos!$A:$A,Proyectos!$C:$C)),"")</f>
        <v>NULOS</v>
      </c>
    </row>
    <row r="222" spans="1:15" ht="14.25" customHeight="1">
      <c r="A222" s="9">
        <v>1020815799</v>
      </c>
      <c r="B222" s="63" t="s">
        <v>61</v>
      </c>
      <c r="C222" s="62" t="s">
        <v>634</v>
      </c>
      <c r="D222" t="s">
        <v>63</v>
      </c>
      <c r="E222" t="s">
        <v>734</v>
      </c>
      <c r="F222" s="61">
        <v>35209</v>
      </c>
      <c r="G222" s="15" t="s">
        <v>65</v>
      </c>
      <c r="H222" t="s">
        <v>735</v>
      </c>
      <c r="I222" s="62" t="s">
        <v>736</v>
      </c>
      <c r="K222" s="36" t="s">
        <v>169</v>
      </c>
      <c r="L222" t="s">
        <v>69</v>
      </c>
      <c r="M222" s="62" t="s">
        <v>170</v>
      </c>
      <c r="N222" t="s">
        <v>71</v>
      </c>
      <c r="O222" t="str">
        <f>IFERROR(IF(Tbla_actores[[#This Row],[codigo_proyecto]]="","",_xlfn.XLOOKUP(Tbla_actores[[#This Row],[codigo_proyecto]],Proyectos!$A:$A,Proyectos!$C:$C)),"")</f>
        <v>NULOS</v>
      </c>
    </row>
    <row r="223" spans="1:15" ht="14.25" customHeight="1">
      <c r="A223" s="10">
        <v>1032467999</v>
      </c>
      <c r="B223" s="64" t="s">
        <v>61</v>
      </c>
      <c r="C223" s="62" t="s">
        <v>634</v>
      </c>
      <c r="D223" t="s">
        <v>63</v>
      </c>
      <c r="E223" t="s">
        <v>737</v>
      </c>
      <c r="F223" s="61">
        <v>34676</v>
      </c>
      <c r="G223" s="15" t="s">
        <v>65</v>
      </c>
      <c r="H223" t="s">
        <v>738</v>
      </c>
      <c r="I223" s="62" t="s">
        <v>739</v>
      </c>
      <c r="K223" s="36" t="s">
        <v>169</v>
      </c>
      <c r="L223" t="s">
        <v>69</v>
      </c>
      <c r="M223" s="62" t="s">
        <v>170</v>
      </c>
      <c r="N223" t="s">
        <v>71</v>
      </c>
      <c r="O223" t="str">
        <f>IFERROR(IF(Tbla_actores[[#This Row],[codigo_proyecto]]="","",_xlfn.XLOOKUP(Tbla_actores[[#This Row],[codigo_proyecto]],Proyectos!$A:$A,Proyectos!$C:$C)),"")</f>
        <v>NULOS</v>
      </c>
    </row>
    <row r="224" spans="1:15" ht="14.25" customHeight="1">
      <c r="A224" s="9">
        <v>1018490427</v>
      </c>
      <c r="B224" s="63" t="s">
        <v>61</v>
      </c>
      <c r="C224" s="62" t="s">
        <v>634</v>
      </c>
      <c r="D224" t="s">
        <v>63</v>
      </c>
      <c r="E224" t="s">
        <v>740</v>
      </c>
      <c r="F224" s="61">
        <v>35377</v>
      </c>
      <c r="G224" s="15" t="s">
        <v>65</v>
      </c>
      <c r="H224" t="s">
        <v>741</v>
      </c>
      <c r="I224" s="62" t="s">
        <v>742</v>
      </c>
      <c r="K224" s="36" t="s">
        <v>169</v>
      </c>
      <c r="L224" t="s">
        <v>69</v>
      </c>
      <c r="M224" s="62" t="s">
        <v>170</v>
      </c>
      <c r="N224" t="s">
        <v>71</v>
      </c>
      <c r="O224" t="str">
        <f>IFERROR(IF(Tbla_actores[[#This Row],[codigo_proyecto]]="","",_xlfn.XLOOKUP(Tbla_actores[[#This Row],[codigo_proyecto]],Proyectos!$A:$A,Proyectos!$C:$C)),"")</f>
        <v>NULOS</v>
      </c>
    </row>
    <row r="225" spans="1:15" ht="14.25" customHeight="1">
      <c r="A225" s="10">
        <v>1032477715</v>
      </c>
      <c r="B225" s="64" t="s">
        <v>61</v>
      </c>
      <c r="C225" s="62" t="s">
        <v>634</v>
      </c>
      <c r="D225" t="s">
        <v>63</v>
      </c>
      <c r="E225" t="s">
        <v>743</v>
      </c>
      <c r="F225" s="61">
        <v>35073</v>
      </c>
      <c r="G225" s="15" t="s">
        <v>73</v>
      </c>
      <c r="H225" t="s">
        <v>744</v>
      </c>
      <c r="I225" s="62" t="s">
        <v>745</v>
      </c>
      <c r="K225" s="36" t="s">
        <v>169</v>
      </c>
      <c r="L225" t="s">
        <v>69</v>
      </c>
      <c r="M225" s="62" t="s">
        <v>170</v>
      </c>
      <c r="N225" t="s">
        <v>71</v>
      </c>
      <c r="O225" t="str">
        <f>IFERROR(IF(Tbla_actores[[#This Row],[codigo_proyecto]]="","",_xlfn.XLOOKUP(Tbla_actores[[#This Row],[codigo_proyecto]],Proyectos!$A:$A,Proyectos!$C:$C)),"")</f>
        <v>NULOS</v>
      </c>
    </row>
    <row r="226" spans="1:15" ht="14.25" customHeight="1">
      <c r="A226" s="9">
        <v>1020831592</v>
      </c>
      <c r="B226" s="63" t="s">
        <v>61</v>
      </c>
      <c r="C226" s="62" t="s">
        <v>634</v>
      </c>
      <c r="D226" t="s">
        <v>63</v>
      </c>
      <c r="E226" t="s">
        <v>746</v>
      </c>
      <c r="F226" s="61">
        <v>35869</v>
      </c>
      <c r="G226" s="15" t="s">
        <v>65</v>
      </c>
      <c r="H226" t="s">
        <v>747</v>
      </c>
      <c r="I226" s="62" t="s">
        <v>748</v>
      </c>
      <c r="K226" s="36" t="s">
        <v>169</v>
      </c>
      <c r="L226" t="s">
        <v>69</v>
      </c>
      <c r="M226" s="62" t="s">
        <v>170</v>
      </c>
      <c r="N226" t="s">
        <v>71</v>
      </c>
      <c r="O226" t="str">
        <f>IFERROR(IF(Tbla_actores[[#This Row],[codigo_proyecto]]="","",_xlfn.XLOOKUP(Tbla_actores[[#This Row],[codigo_proyecto]],Proyectos!$A:$A,Proyectos!$C:$C)),"")</f>
        <v>NULOS</v>
      </c>
    </row>
    <row r="227" spans="1:15" ht="14.25" customHeight="1">
      <c r="A227" s="10">
        <v>1143465991</v>
      </c>
      <c r="B227" s="64" t="s">
        <v>61</v>
      </c>
      <c r="C227" s="62" t="s">
        <v>634</v>
      </c>
      <c r="D227" t="s">
        <v>63</v>
      </c>
      <c r="E227" t="s">
        <v>749</v>
      </c>
      <c r="F227" s="61">
        <v>36129</v>
      </c>
      <c r="G227" s="15" t="s">
        <v>65</v>
      </c>
      <c r="H227" t="s">
        <v>750</v>
      </c>
      <c r="I227" s="62" t="s">
        <v>751</v>
      </c>
      <c r="K227" s="36" t="s">
        <v>169</v>
      </c>
      <c r="L227" t="s">
        <v>69</v>
      </c>
      <c r="M227" s="62" t="s">
        <v>170</v>
      </c>
      <c r="N227" t="s">
        <v>71</v>
      </c>
      <c r="O227" t="str">
        <f>IFERROR(IF(Tbla_actores[[#This Row],[codigo_proyecto]]="","",_xlfn.XLOOKUP(Tbla_actores[[#This Row],[codigo_proyecto]],Proyectos!$A:$A,Proyectos!$C:$C)),"")</f>
        <v>NULOS</v>
      </c>
    </row>
    <row r="228" spans="1:15" ht="14.25" customHeight="1">
      <c r="A228" s="9">
        <v>1069404078</v>
      </c>
      <c r="B228" s="63" t="s">
        <v>61</v>
      </c>
      <c r="C228" s="62" t="s">
        <v>634</v>
      </c>
      <c r="D228" t="s">
        <v>63</v>
      </c>
      <c r="E228" t="s">
        <v>752</v>
      </c>
      <c r="F228" s="61">
        <v>36120</v>
      </c>
      <c r="G228" s="15" t="s">
        <v>73</v>
      </c>
      <c r="H228" t="s">
        <v>753</v>
      </c>
      <c r="I228" s="62" t="s">
        <v>754</v>
      </c>
      <c r="K228" s="36" t="s">
        <v>169</v>
      </c>
      <c r="L228" t="s">
        <v>69</v>
      </c>
      <c r="M228" s="62" t="s">
        <v>170</v>
      </c>
      <c r="N228" t="s">
        <v>71</v>
      </c>
      <c r="O228" t="str">
        <f>IFERROR(IF(Tbla_actores[[#This Row],[codigo_proyecto]]="","",_xlfn.XLOOKUP(Tbla_actores[[#This Row],[codigo_proyecto]],Proyectos!$A:$A,Proyectos!$C:$C)),"")</f>
        <v>NULOS</v>
      </c>
    </row>
    <row r="229" spans="1:15" ht="14.25" customHeight="1">
      <c r="A229" s="10">
        <v>1032491395</v>
      </c>
      <c r="B229" s="64" t="s">
        <v>61</v>
      </c>
      <c r="C229" s="62" t="s">
        <v>634</v>
      </c>
      <c r="D229" t="s">
        <v>63</v>
      </c>
      <c r="E229" t="s">
        <v>755</v>
      </c>
      <c r="F229" s="61">
        <v>35598</v>
      </c>
      <c r="G229" s="15" t="s">
        <v>73</v>
      </c>
      <c r="H229" t="s">
        <v>756</v>
      </c>
      <c r="I229" s="62" t="s">
        <v>757</v>
      </c>
      <c r="K229" s="36" t="s">
        <v>169</v>
      </c>
      <c r="L229" t="s">
        <v>69</v>
      </c>
      <c r="M229" s="62" t="s">
        <v>170</v>
      </c>
      <c r="N229" t="s">
        <v>71</v>
      </c>
      <c r="O229" t="str">
        <f>IFERROR(IF(Tbla_actores[[#This Row],[codigo_proyecto]]="","",_xlfn.XLOOKUP(Tbla_actores[[#This Row],[codigo_proyecto]],Proyectos!$A:$A,Proyectos!$C:$C)),"")</f>
        <v>NULOS</v>
      </c>
    </row>
    <row r="230" spans="1:15" ht="14.25" customHeight="1">
      <c r="A230" s="9">
        <v>1019112246</v>
      </c>
      <c r="B230" s="63" t="s">
        <v>61</v>
      </c>
      <c r="C230" s="62" t="s">
        <v>634</v>
      </c>
      <c r="D230" t="s">
        <v>63</v>
      </c>
      <c r="E230" t="s">
        <v>758</v>
      </c>
      <c r="F230" s="61">
        <v>34963</v>
      </c>
      <c r="G230" s="15" t="s">
        <v>73</v>
      </c>
      <c r="H230" t="s">
        <v>759</v>
      </c>
      <c r="I230" s="62" t="s">
        <v>760</v>
      </c>
      <c r="K230" s="36" t="s">
        <v>169</v>
      </c>
      <c r="L230" t="s">
        <v>69</v>
      </c>
      <c r="M230" s="62" t="s">
        <v>170</v>
      </c>
      <c r="N230" t="s">
        <v>71</v>
      </c>
      <c r="O230" t="str">
        <f>IFERROR(IF(Tbla_actores[[#This Row],[codigo_proyecto]]="","",_xlfn.XLOOKUP(Tbla_actores[[#This Row],[codigo_proyecto]],Proyectos!$A:$A,Proyectos!$C:$C)),"")</f>
        <v>NULOS</v>
      </c>
    </row>
    <row r="231" spans="1:15" ht="14.25" customHeight="1">
      <c r="A231" s="10">
        <v>1019094416</v>
      </c>
      <c r="B231" s="64" t="s">
        <v>61</v>
      </c>
      <c r="C231" s="62" t="s">
        <v>634</v>
      </c>
      <c r="D231" t="s">
        <v>63</v>
      </c>
      <c r="E231" t="s">
        <v>761</v>
      </c>
      <c r="F231" s="61">
        <v>34449</v>
      </c>
      <c r="G231" s="15" t="s">
        <v>73</v>
      </c>
      <c r="H231" t="s">
        <v>762</v>
      </c>
      <c r="I231" s="62" t="s">
        <v>763</v>
      </c>
      <c r="K231" s="36" t="s">
        <v>169</v>
      </c>
      <c r="L231" t="s">
        <v>69</v>
      </c>
      <c r="M231" s="62" t="s">
        <v>170</v>
      </c>
      <c r="N231" t="s">
        <v>71</v>
      </c>
      <c r="O231" t="str">
        <f>IFERROR(IF(Tbla_actores[[#This Row],[codigo_proyecto]]="","",_xlfn.XLOOKUP(Tbla_actores[[#This Row],[codigo_proyecto]],Proyectos!$A:$A,Proyectos!$C:$C)),"")</f>
        <v>NULOS</v>
      </c>
    </row>
    <row r="232" spans="1:15" ht="14.25" customHeight="1">
      <c r="A232" s="9">
        <v>1020829959</v>
      </c>
      <c r="B232" s="63" t="s">
        <v>61</v>
      </c>
      <c r="C232" s="62" t="s">
        <v>634</v>
      </c>
      <c r="D232" t="s">
        <v>63</v>
      </c>
      <c r="E232" t="s">
        <v>764</v>
      </c>
      <c r="F232" s="61">
        <v>35813</v>
      </c>
      <c r="G232" s="15" t="s">
        <v>65</v>
      </c>
      <c r="H232" t="s">
        <v>765</v>
      </c>
      <c r="I232" s="62" t="s">
        <v>766</v>
      </c>
      <c r="K232" s="36" t="s">
        <v>169</v>
      </c>
      <c r="L232" t="s">
        <v>69</v>
      </c>
      <c r="M232" s="62" t="s">
        <v>170</v>
      </c>
      <c r="N232" t="s">
        <v>71</v>
      </c>
      <c r="O232" t="str">
        <f>IFERROR(IF(Tbla_actores[[#This Row],[codigo_proyecto]]="","",_xlfn.XLOOKUP(Tbla_actores[[#This Row],[codigo_proyecto]],Proyectos!$A:$A,Proyectos!$C:$C)),"")</f>
        <v>NULOS</v>
      </c>
    </row>
    <row r="233" spans="1:15" ht="14.25" customHeight="1">
      <c r="A233" s="10">
        <v>1020814453</v>
      </c>
      <c r="B233" s="64" t="s">
        <v>61</v>
      </c>
      <c r="C233" s="62" t="s">
        <v>634</v>
      </c>
      <c r="D233" t="s">
        <v>63</v>
      </c>
      <c r="E233" t="s">
        <v>767</v>
      </c>
      <c r="F233" s="61">
        <v>35140</v>
      </c>
      <c r="G233" s="15" t="s">
        <v>73</v>
      </c>
      <c r="H233" t="s">
        <v>768</v>
      </c>
      <c r="I233" s="62" t="s">
        <v>769</v>
      </c>
      <c r="K233" s="36" t="s">
        <v>169</v>
      </c>
      <c r="L233" t="s">
        <v>69</v>
      </c>
      <c r="M233" s="62" t="s">
        <v>170</v>
      </c>
      <c r="N233" t="s">
        <v>71</v>
      </c>
      <c r="O233" t="str">
        <f>IFERROR(IF(Tbla_actores[[#This Row],[codigo_proyecto]]="","",_xlfn.XLOOKUP(Tbla_actores[[#This Row],[codigo_proyecto]],Proyectos!$A:$A,Proyectos!$C:$C)),"")</f>
        <v>NULOS</v>
      </c>
    </row>
    <row r="234" spans="1:15" ht="14.25" customHeight="1">
      <c r="A234" s="9">
        <v>1014250500</v>
      </c>
      <c r="B234" s="63" t="s">
        <v>61</v>
      </c>
      <c r="C234" s="62" t="s">
        <v>634</v>
      </c>
      <c r="D234" t="s">
        <v>63</v>
      </c>
      <c r="E234" t="s">
        <v>770</v>
      </c>
      <c r="F234" s="61">
        <v>34342</v>
      </c>
      <c r="G234" s="15" t="s">
        <v>65</v>
      </c>
      <c r="H234" t="s">
        <v>771</v>
      </c>
      <c r="I234" s="62" t="s">
        <v>772</v>
      </c>
      <c r="K234" s="36" t="s">
        <v>169</v>
      </c>
      <c r="L234" t="s">
        <v>69</v>
      </c>
      <c r="M234" s="62" t="s">
        <v>170</v>
      </c>
      <c r="N234" t="s">
        <v>71</v>
      </c>
      <c r="O234" t="str">
        <f>IFERROR(IF(Tbla_actores[[#This Row],[codigo_proyecto]]="","",_xlfn.XLOOKUP(Tbla_actores[[#This Row],[codigo_proyecto]],Proyectos!$A:$A,Proyectos!$C:$C)),"")</f>
        <v>NULOS</v>
      </c>
    </row>
    <row r="235" spans="1:15" ht="14.25" customHeight="1">
      <c r="A235" s="10">
        <v>1020828208</v>
      </c>
      <c r="B235" s="64" t="s">
        <v>61</v>
      </c>
      <c r="C235" s="62" t="s">
        <v>634</v>
      </c>
      <c r="D235" t="s">
        <v>63</v>
      </c>
      <c r="E235" t="s">
        <v>773</v>
      </c>
      <c r="F235" s="61">
        <v>35686</v>
      </c>
      <c r="G235" s="15" t="s">
        <v>65</v>
      </c>
      <c r="H235" t="s">
        <v>774</v>
      </c>
      <c r="I235" s="62" t="s">
        <v>775</v>
      </c>
      <c r="K235" s="36" t="s">
        <v>169</v>
      </c>
      <c r="L235" t="s">
        <v>69</v>
      </c>
      <c r="M235" s="62" t="s">
        <v>170</v>
      </c>
      <c r="N235" t="s">
        <v>71</v>
      </c>
      <c r="O235" t="str">
        <f>IFERROR(IF(Tbla_actores[[#This Row],[codigo_proyecto]]="","",_xlfn.XLOOKUP(Tbla_actores[[#This Row],[codigo_proyecto]],Proyectos!$A:$A,Proyectos!$C:$C)),"")</f>
        <v>NULOS</v>
      </c>
    </row>
    <row r="236" spans="1:15" ht="14.25" customHeight="1">
      <c r="A236" s="9">
        <v>1032492607</v>
      </c>
      <c r="B236" s="63" t="s">
        <v>61</v>
      </c>
      <c r="C236" s="62" t="s">
        <v>634</v>
      </c>
      <c r="D236" t="s">
        <v>63</v>
      </c>
      <c r="E236" t="s">
        <v>776</v>
      </c>
      <c r="F236" s="61">
        <v>35657</v>
      </c>
      <c r="G236" s="15" t="s">
        <v>73</v>
      </c>
      <c r="H236" t="s">
        <v>777</v>
      </c>
      <c r="I236" s="62" t="s">
        <v>778</v>
      </c>
      <c r="K236" s="36" t="s">
        <v>169</v>
      </c>
      <c r="L236" t="s">
        <v>69</v>
      </c>
      <c r="M236" s="62" t="s">
        <v>170</v>
      </c>
      <c r="N236" t="s">
        <v>71</v>
      </c>
      <c r="O236" t="str">
        <f>IFERROR(IF(Tbla_actores[[#This Row],[codigo_proyecto]]="","",_xlfn.XLOOKUP(Tbla_actores[[#This Row],[codigo_proyecto]],Proyectos!$A:$A,Proyectos!$C:$C)),"")</f>
        <v>NULOS</v>
      </c>
    </row>
    <row r="237" spans="1:15" ht="14.25" customHeight="1">
      <c r="A237" s="10">
        <v>1015468542</v>
      </c>
      <c r="B237" s="64" t="s">
        <v>61</v>
      </c>
      <c r="C237" s="62" t="s">
        <v>634</v>
      </c>
      <c r="D237" t="s">
        <v>63</v>
      </c>
      <c r="E237" t="s">
        <v>779</v>
      </c>
      <c r="F237" s="61">
        <v>35554</v>
      </c>
      <c r="G237" s="15" t="s">
        <v>73</v>
      </c>
      <c r="H237" t="s">
        <v>780</v>
      </c>
      <c r="I237" s="62" t="s">
        <v>781</v>
      </c>
      <c r="K237" s="36" t="s">
        <v>169</v>
      </c>
      <c r="L237" t="s">
        <v>69</v>
      </c>
      <c r="M237" s="62" t="s">
        <v>170</v>
      </c>
      <c r="N237" t="s">
        <v>71</v>
      </c>
      <c r="O237" t="str">
        <f>IFERROR(IF(Tbla_actores[[#This Row],[codigo_proyecto]]="","",_xlfn.XLOOKUP(Tbla_actores[[#This Row],[codigo_proyecto]],Proyectos!$A:$A,Proyectos!$C:$C)),"")</f>
        <v>NULOS</v>
      </c>
    </row>
    <row r="238" spans="1:15" ht="14.25" customHeight="1">
      <c r="A238" s="9">
        <v>1031177790</v>
      </c>
      <c r="B238" s="63" t="s">
        <v>61</v>
      </c>
      <c r="C238" s="62" t="s">
        <v>634</v>
      </c>
      <c r="D238" t="s">
        <v>63</v>
      </c>
      <c r="E238" t="s">
        <v>782</v>
      </c>
      <c r="F238" s="61">
        <v>36117</v>
      </c>
      <c r="G238" s="15" t="s">
        <v>65</v>
      </c>
      <c r="H238" t="s">
        <v>783</v>
      </c>
      <c r="I238" s="62" t="s">
        <v>784</v>
      </c>
      <c r="K238" s="36" t="s">
        <v>169</v>
      </c>
      <c r="L238" t="s">
        <v>69</v>
      </c>
      <c r="M238" s="62" t="s">
        <v>170</v>
      </c>
      <c r="N238" t="s">
        <v>71</v>
      </c>
      <c r="O238" t="str">
        <f>IFERROR(IF(Tbla_actores[[#This Row],[codigo_proyecto]]="","",_xlfn.XLOOKUP(Tbla_actores[[#This Row],[codigo_proyecto]],Proyectos!$A:$A,Proyectos!$C:$C)),"")</f>
        <v>NULOS</v>
      </c>
    </row>
    <row r="239" spans="1:15" ht="14.25" customHeight="1">
      <c r="A239" s="10">
        <v>1136911693</v>
      </c>
      <c r="B239" s="64" t="s">
        <v>61</v>
      </c>
      <c r="C239" s="62" t="s">
        <v>634</v>
      </c>
      <c r="D239" t="s">
        <v>63</v>
      </c>
      <c r="E239" t="s">
        <v>785</v>
      </c>
      <c r="F239" s="61">
        <v>36186</v>
      </c>
      <c r="G239" s="15" t="s">
        <v>73</v>
      </c>
      <c r="H239" t="s">
        <v>786</v>
      </c>
      <c r="I239" s="62" t="s">
        <v>787</v>
      </c>
      <c r="K239" s="36" t="s">
        <v>169</v>
      </c>
      <c r="L239" t="s">
        <v>69</v>
      </c>
      <c r="M239" s="62" t="s">
        <v>170</v>
      </c>
      <c r="N239" t="s">
        <v>71</v>
      </c>
      <c r="O239" t="str">
        <f>IFERROR(IF(Tbla_actores[[#This Row],[codigo_proyecto]]="","",_xlfn.XLOOKUP(Tbla_actores[[#This Row],[codigo_proyecto]],Proyectos!$A:$A,Proyectos!$C:$C)),"")</f>
        <v>NULOS</v>
      </c>
    </row>
    <row r="240" spans="1:15" ht="14.25" customHeight="1">
      <c r="A240" s="9">
        <v>1018474933</v>
      </c>
      <c r="B240" s="63" t="s">
        <v>61</v>
      </c>
      <c r="C240" s="62" t="s">
        <v>634</v>
      </c>
      <c r="D240" t="s">
        <v>63</v>
      </c>
      <c r="E240" t="s">
        <v>788</v>
      </c>
      <c r="F240" s="61">
        <v>34780</v>
      </c>
      <c r="G240" s="15" t="s">
        <v>73</v>
      </c>
      <c r="H240" t="s">
        <v>789</v>
      </c>
      <c r="I240" s="62" t="s">
        <v>790</v>
      </c>
      <c r="K240" s="36" t="s">
        <v>169</v>
      </c>
      <c r="L240" t="s">
        <v>69</v>
      </c>
      <c r="M240" s="62" t="s">
        <v>170</v>
      </c>
      <c r="N240" t="s">
        <v>71</v>
      </c>
      <c r="O240" t="str">
        <f>IFERROR(IF(Tbla_actores[[#This Row],[codigo_proyecto]]="","",_xlfn.XLOOKUP(Tbla_actores[[#This Row],[codigo_proyecto]],Proyectos!$A:$A,Proyectos!$C:$C)),"")</f>
        <v>NULOS</v>
      </c>
    </row>
    <row r="241" spans="1:15" ht="14.25" customHeight="1">
      <c r="A241" s="10">
        <v>1015471016</v>
      </c>
      <c r="B241" s="64" t="s">
        <v>61</v>
      </c>
      <c r="C241" s="62" t="s">
        <v>634</v>
      </c>
      <c r="D241" t="s">
        <v>63</v>
      </c>
      <c r="E241" t="s">
        <v>791</v>
      </c>
      <c r="F241" s="61">
        <v>35697</v>
      </c>
      <c r="G241" s="15" t="s">
        <v>73</v>
      </c>
      <c r="H241" t="s">
        <v>792</v>
      </c>
      <c r="I241" s="62" t="s">
        <v>793</v>
      </c>
      <c r="K241" s="36" t="s">
        <v>169</v>
      </c>
      <c r="L241" t="s">
        <v>69</v>
      </c>
      <c r="M241" s="62" t="s">
        <v>170</v>
      </c>
      <c r="N241" t="s">
        <v>71</v>
      </c>
      <c r="O241" t="str">
        <f>IFERROR(IF(Tbla_actores[[#This Row],[codigo_proyecto]]="","",_xlfn.XLOOKUP(Tbla_actores[[#This Row],[codigo_proyecto]],Proyectos!$A:$A,Proyectos!$C:$C)),"")</f>
        <v>NULOS</v>
      </c>
    </row>
    <row r="242" spans="1:15" ht="14.25" customHeight="1">
      <c r="A242" s="9">
        <v>1014286553</v>
      </c>
      <c r="B242" s="63" t="s">
        <v>61</v>
      </c>
      <c r="C242" s="62" t="s">
        <v>634</v>
      </c>
      <c r="D242" t="s">
        <v>63</v>
      </c>
      <c r="E242" t="s">
        <v>794</v>
      </c>
      <c r="F242" s="61">
        <v>35487</v>
      </c>
      <c r="G242" s="15" t="s">
        <v>73</v>
      </c>
      <c r="H242" t="s">
        <v>795</v>
      </c>
      <c r="I242" s="62" t="s">
        <v>796</v>
      </c>
      <c r="K242" s="36" t="s">
        <v>169</v>
      </c>
      <c r="L242" t="s">
        <v>69</v>
      </c>
      <c r="M242" s="62" t="s">
        <v>170</v>
      </c>
      <c r="N242" t="s">
        <v>71</v>
      </c>
      <c r="O242" t="str">
        <f>IFERROR(IF(Tbla_actores[[#This Row],[codigo_proyecto]]="","",_xlfn.XLOOKUP(Tbla_actores[[#This Row],[codigo_proyecto]],Proyectos!$A:$A,Proyectos!$C:$C)),"")</f>
        <v>NULOS</v>
      </c>
    </row>
    <row r="243" spans="1:15" ht="14.25" customHeight="1">
      <c r="A243" s="10">
        <v>1019133004</v>
      </c>
      <c r="B243" s="64" t="s">
        <v>61</v>
      </c>
      <c r="C243" s="62" t="s">
        <v>634</v>
      </c>
      <c r="D243" t="s">
        <v>63</v>
      </c>
      <c r="E243" t="s">
        <v>797</v>
      </c>
      <c r="F243" s="61">
        <v>35671</v>
      </c>
      <c r="G243" s="15" t="s">
        <v>73</v>
      </c>
      <c r="H243" t="s">
        <v>798</v>
      </c>
      <c r="I243" s="62" t="s">
        <v>799</v>
      </c>
      <c r="K243" s="36" t="s">
        <v>169</v>
      </c>
      <c r="L243" t="s">
        <v>69</v>
      </c>
      <c r="M243" s="62" t="s">
        <v>170</v>
      </c>
      <c r="N243" t="s">
        <v>71</v>
      </c>
      <c r="O243" t="str">
        <f>IFERROR(IF(Tbla_actores[[#This Row],[codigo_proyecto]]="","",_xlfn.XLOOKUP(Tbla_actores[[#This Row],[codigo_proyecto]],Proyectos!$A:$A,Proyectos!$C:$C)),"")</f>
        <v>NULOS</v>
      </c>
    </row>
    <row r="244" spans="1:15" ht="14.25" customHeight="1">
      <c r="A244" s="9">
        <v>1125579291</v>
      </c>
      <c r="B244" s="63" t="s">
        <v>61</v>
      </c>
      <c r="C244" s="62" t="s">
        <v>634</v>
      </c>
      <c r="D244" t="s">
        <v>63</v>
      </c>
      <c r="E244" t="s">
        <v>800</v>
      </c>
      <c r="F244" s="61">
        <v>35584</v>
      </c>
      <c r="G244" s="15" t="s">
        <v>73</v>
      </c>
      <c r="H244" t="s">
        <v>801</v>
      </c>
      <c r="I244" s="62" t="s">
        <v>802</v>
      </c>
      <c r="K244" s="36" t="s">
        <v>169</v>
      </c>
      <c r="L244" t="s">
        <v>69</v>
      </c>
      <c r="M244" s="62" t="s">
        <v>170</v>
      </c>
      <c r="N244" t="s">
        <v>71</v>
      </c>
      <c r="O244" t="str">
        <f>IFERROR(IF(Tbla_actores[[#This Row],[codigo_proyecto]]="","",_xlfn.XLOOKUP(Tbla_actores[[#This Row],[codigo_proyecto]],Proyectos!$A:$A,Proyectos!$C:$C)),"")</f>
        <v>NULOS</v>
      </c>
    </row>
    <row r="245" spans="1:15" ht="14.25" customHeight="1">
      <c r="A245" s="10">
        <v>1098782221</v>
      </c>
      <c r="B245" s="64" t="s">
        <v>61</v>
      </c>
      <c r="C245" s="62" t="s">
        <v>634</v>
      </c>
      <c r="D245" t="s">
        <v>63</v>
      </c>
      <c r="E245" t="s">
        <v>803</v>
      </c>
      <c r="F245" s="61">
        <v>35110</v>
      </c>
      <c r="G245" s="15" t="s">
        <v>65</v>
      </c>
      <c r="H245" t="s">
        <v>804</v>
      </c>
      <c r="I245" s="62" t="s">
        <v>805</v>
      </c>
      <c r="K245" s="36" t="s">
        <v>169</v>
      </c>
      <c r="L245" t="s">
        <v>69</v>
      </c>
      <c r="M245" s="62" t="s">
        <v>170</v>
      </c>
      <c r="N245" t="s">
        <v>71</v>
      </c>
      <c r="O245" t="str">
        <f>IFERROR(IF(Tbla_actores[[#This Row],[codigo_proyecto]]="","",_xlfn.XLOOKUP(Tbla_actores[[#This Row],[codigo_proyecto]],Proyectos!$A:$A,Proyectos!$C:$C)),"")</f>
        <v>NULOS</v>
      </c>
    </row>
    <row r="246" spans="1:15" ht="14.25" customHeight="1">
      <c r="A246" s="9">
        <v>1032500075</v>
      </c>
      <c r="B246" s="63" t="s">
        <v>61</v>
      </c>
      <c r="C246" s="62" t="s">
        <v>634</v>
      </c>
      <c r="D246" t="s">
        <v>63</v>
      </c>
      <c r="E246" t="s">
        <v>806</v>
      </c>
      <c r="F246" s="61">
        <v>36044</v>
      </c>
      <c r="G246" s="15" t="s">
        <v>65</v>
      </c>
      <c r="H246" t="s">
        <v>807</v>
      </c>
      <c r="I246" s="62" t="s">
        <v>808</v>
      </c>
      <c r="K246" s="36" t="s">
        <v>169</v>
      </c>
      <c r="L246" t="s">
        <v>69</v>
      </c>
      <c r="M246" s="62" t="s">
        <v>170</v>
      </c>
      <c r="N246" t="s">
        <v>71</v>
      </c>
      <c r="O246" t="str">
        <f>IFERROR(IF(Tbla_actores[[#This Row],[codigo_proyecto]]="","",_xlfn.XLOOKUP(Tbla_actores[[#This Row],[codigo_proyecto]],Proyectos!$A:$A,Proyectos!$C:$C)),"")</f>
        <v>NULOS</v>
      </c>
    </row>
    <row r="247" spans="1:15" ht="14.25" customHeight="1">
      <c r="A247" s="10">
        <v>1018484271</v>
      </c>
      <c r="B247" s="64" t="s">
        <v>61</v>
      </c>
      <c r="C247" s="62" t="s">
        <v>634</v>
      </c>
      <c r="D247" t="s">
        <v>63</v>
      </c>
      <c r="E247" t="s">
        <v>809</v>
      </c>
      <c r="F247" s="61">
        <v>35158</v>
      </c>
      <c r="G247" s="15" t="s">
        <v>65</v>
      </c>
      <c r="H247" t="s">
        <v>810</v>
      </c>
      <c r="I247" s="62" t="s">
        <v>811</v>
      </c>
      <c r="K247" s="36" t="s">
        <v>169</v>
      </c>
      <c r="L247" t="s">
        <v>69</v>
      </c>
      <c r="M247" s="62" t="s">
        <v>170</v>
      </c>
      <c r="N247" t="s">
        <v>71</v>
      </c>
      <c r="O247" t="str">
        <f>IFERROR(IF(Tbla_actores[[#This Row],[codigo_proyecto]]="","",_xlfn.XLOOKUP(Tbla_actores[[#This Row],[codigo_proyecto]],Proyectos!$A:$A,Proyectos!$C:$C)),"")</f>
        <v>NULOS</v>
      </c>
    </row>
    <row r="248" spans="1:15" ht="14.25" customHeight="1">
      <c r="A248" s="9">
        <v>1018483957</v>
      </c>
      <c r="B248" s="63" t="s">
        <v>61</v>
      </c>
      <c r="C248" s="62" t="s">
        <v>634</v>
      </c>
      <c r="D248" t="s">
        <v>63</v>
      </c>
      <c r="E248" t="s">
        <v>812</v>
      </c>
      <c r="F248" s="61">
        <v>35087</v>
      </c>
      <c r="G248" s="15" t="s">
        <v>65</v>
      </c>
      <c r="H248" t="s">
        <v>813</v>
      </c>
      <c r="I248" s="62" t="s">
        <v>814</v>
      </c>
      <c r="K248" s="36" t="s">
        <v>169</v>
      </c>
      <c r="L248" t="s">
        <v>69</v>
      </c>
      <c r="M248" s="62" t="s">
        <v>170</v>
      </c>
      <c r="N248" t="s">
        <v>71</v>
      </c>
      <c r="O248" t="str">
        <f>IFERROR(IF(Tbla_actores[[#This Row],[codigo_proyecto]]="","",_xlfn.XLOOKUP(Tbla_actores[[#This Row],[codigo_proyecto]],Proyectos!$A:$A,Proyectos!$C:$C)),"")</f>
        <v>NULOS</v>
      </c>
    </row>
    <row r="249" spans="1:15" ht="14.25" customHeight="1">
      <c r="A249" s="10">
        <v>1018510699</v>
      </c>
      <c r="B249" s="64" t="s">
        <v>61</v>
      </c>
      <c r="C249" s="62" t="s">
        <v>634</v>
      </c>
      <c r="D249" t="s">
        <v>63</v>
      </c>
      <c r="E249" t="s">
        <v>815</v>
      </c>
      <c r="F249" s="61">
        <v>36264</v>
      </c>
      <c r="G249" s="15" t="s">
        <v>65</v>
      </c>
      <c r="H249" t="s">
        <v>816</v>
      </c>
      <c r="I249" s="62" t="s">
        <v>817</v>
      </c>
      <c r="K249" s="36" t="s">
        <v>169</v>
      </c>
      <c r="L249" t="s">
        <v>69</v>
      </c>
      <c r="M249" s="62" t="s">
        <v>170</v>
      </c>
      <c r="N249" t="s">
        <v>71</v>
      </c>
      <c r="O249" t="str">
        <f>IFERROR(IF(Tbla_actores[[#This Row],[codigo_proyecto]]="","",_xlfn.XLOOKUP(Tbla_actores[[#This Row],[codigo_proyecto]],Proyectos!$A:$A,Proyectos!$C:$C)),"")</f>
        <v>NULOS</v>
      </c>
    </row>
    <row r="250" spans="1:15" ht="14.25" customHeight="1">
      <c r="A250" s="9">
        <v>1019143704</v>
      </c>
      <c r="B250" s="63" t="s">
        <v>61</v>
      </c>
      <c r="C250" s="62" t="s">
        <v>634</v>
      </c>
      <c r="D250" t="s">
        <v>63</v>
      </c>
      <c r="E250" t="s">
        <v>818</v>
      </c>
      <c r="F250" s="61">
        <v>36090</v>
      </c>
      <c r="G250" s="15" t="s">
        <v>73</v>
      </c>
      <c r="H250" t="s">
        <v>819</v>
      </c>
      <c r="I250" s="62" t="s">
        <v>820</v>
      </c>
      <c r="K250" s="36" t="s">
        <v>169</v>
      </c>
      <c r="L250" t="s">
        <v>69</v>
      </c>
      <c r="M250" s="62" t="s">
        <v>170</v>
      </c>
      <c r="N250" t="s">
        <v>71</v>
      </c>
      <c r="O250" t="str">
        <f>IFERROR(IF(Tbla_actores[[#This Row],[codigo_proyecto]]="","",_xlfn.XLOOKUP(Tbla_actores[[#This Row],[codigo_proyecto]],Proyectos!$A:$A,Proyectos!$C:$C)),"")</f>
        <v>NULOS</v>
      </c>
    </row>
    <row r="251" spans="1:15" ht="14.25" customHeight="1">
      <c r="A251" s="10">
        <v>1121951089</v>
      </c>
      <c r="B251" s="64" t="s">
        <v>61</v>
      </c>
      <c r="C251" s="62" t="s">
        <v>634</v>
      </c>
      <c r="D251" t="s">
        <v>63</v>
      </c>
      <c r="E251" t="s">
        <v>821</v>
      </c>
      <c r="F251" s="61">
        <v>35797</v>
      </c>
      <c r="G251" s="15" t="s">
        <v>73</v>
      </c>
      <c r="H251" t="s">
        <v>822</v>
      </c>
      <c r="I251" s="62" t="s">
        <v>823</v>
      </c>
      <c r="K251" s="36" t="s">
        <v>169</v>
      </c>
      <c r="L251" t="s">
        <v>69</v>
      </c>
      <c r="M251" s="62" t="s">
        <v>170</v>
      </c>
      <c r="N251" t="s">
        <v>71</v>
      </c>
      <c r="O251" t="str">
        <f>IFERROR(IF(Tbla_actores[[#This Row],[codigo_proyecto]]="","",_xlfn.XLOOKUP(Tbla_actores[[#This Row],[codigo_proyecto]],Proyectos!$A:$A,Proyectos!$C:$C)),"")</f>
        <v>NULOS</v>
      </c>
    </row>
    <row r="252" spans="1:15" ht="14.25" customHeight="1">
      <c r="A252" s="9">
        <v>1020822910</v>
      </c>
      <c r="B252" s="63" t="s">
        <v>61</v>
      </c>
      <c r="C252" s="62" t="s">
        <v>634</v>
      </c>
      <c r="D252" t="s">
        <v>63</v>
      </c>
      <c r="E252" t="s">
        <v>824</v>
      </c>
      <c r="F252" s="61">
        <v>35466</v>
      </c>
      <c r="G252" s="15" t="s">
        <v>73</v>
      </c>
      <c r="H252" t="s">
        <v>825</v>
      </c>
      <c r="I252" s="62" t="s">
        <v>826</v>
      </c>
      <c r="K252" s="36" t="s">
        <v>169</v>
      </c>
      <c r="L252" t="s">
        <v>69</v>
      </c>
      <c r="M252" s="62" t="s">
        <v>170</v>
      </c>
      <c r="N252" t="s">
        <v>71</v>
      </c>
      <c r="O252" t="str">
        <f>IFERROR(IF(Tbla_actores[[#This Row],[codigo_proyecto]]="","",_xlfn.XLOOKUP(Tbla_actores[[#This Row],[codigo_proyecto]],Proyectos!$A:$A,Proyectos!$C:$C)),"")</f>
        <v>NULOS</v>
      </c>
    </row>
    <row r="253" spans="1:15" ht="14.25" customHeight="1">
      <c r="A253" s="10">
        <v>1018491375</v>
      </c>
      <c r="B253" s="64" t="s">
        <v>61</v>
      </c>
      <c r="C253" s="62" t="s">
        <v>634</v>
      </c>
      <c r="D253" t="s">
        <v>63</v>
      </c>
      <c r="E253" t="s">
        <v>827</v>
      </c>
      <c r="F253" s="61">
        <v>35417</v>
      </c>
      <c r="G253" s="15" t="s">
        <v>73</v>
      </c>
      <c r="H253" t="s">
        <v>828</v>
      </c>
      <c r="I253" s="62" t="s">
        <v>829</v>
      </c>
      <c r="K253" s="36" t="s">
        <v>169</v>
      </c>
      <c r="L253" t="s">
        <v>69</v>
      </c>
      <c r="M253" s="62" t="s">
        <v>170</v>
      </c>
      <c r="N253" t="s">
        <v>71</v>
      </c>
      <c r="O253" t="str">
        <f>IFERROR(IF(Tbla_actores[[#This Row],[codigo_proyecto]]="","",_xlfn.XLOOKUP(Tbla_actores[[#This Row],[codigo_proyecto]],Proyectos!$A:$A,Proyectos!$C:$C)),"")</f>
        <v>NULOS</v>
      </c>
    </row>
    <row r="254" spans="1:15" ht="14.25" customHeight="1">
      <c r="A254" s="9">
        <v>1032505576</v>
      </c>
      <c r="B254" s="63" t="s">
        <v>61</v>
      </c>
      <c r="C254" s="62" t="s">
        <v>634</v>
      </c>
      <c r="D254" t="s">
        <v>63</v>
      </c>
      <c r="E254" t="s">
        <v>830</v>
      </c>
      <c r="F254" s="61">
        <v>36345</v>
      </c>
      <c r="G254" s="15" t="s">
        <v>73</v>
      </c>
      <c r="H254" t="s">
        <v>831</v>
      </c>
      <c r="I254" s="62" t="s">
        <v>832</v>
      </c>
      <c r="K254" s="36" t="s">
        <v>169</v>
      </c>
      <c r="L254" t="s">
        <v>69</v>
      </c>
      <c r="M254" s="62" t="s">
        <v>170</v>
      </c>
      <c r="N254" t="s">
        <v>71</v>
      </c>
      <c r="O254" t="str">
        <f>IFERROR(IF(Tbla_actores[[#This Row],[codigo_proyecto]]="","",_xlfn.XLOOKUP(Tbla_actores[[#This Row],[codigo_proyecto]],Proyectos!$A:$A,Proyectos!$C:$C)),"")</f>
        <v>NULOS</v>
      </c>
    </row>
    <row r="255" spans="1:15" ht="14.25" customHeight="1">
      <c r="A255" s="10">
        <v>1019121247</v>
      </c>
      <c r="B255" s="64" t="s">
        <v>61</v>
      </c>
      <c r="C255" s="62" t="s">
        <v>634</v>
      </c>
      <c r="D255" t="s">
        <v>63</v>
      </c>
      <c r="E255" t="s">
        <v>833</v>
      </c>
      <c r="F255" s="61">
        <v>35232</v>
      </c>
      <c r="G255" s="15" t="s">
        <v>73</v>
      </c>
      <c r="H255" t="s">
        <v>834</v>
      </c>
      <c r="I255" s="62" t="s">
        <v>835</v>
      </c>
      <c r="K255" s="36" t="s">
        <v>169</v>
      </c>
      <c r="L255" t="s">
        <v>69</v>
      </c>
      <c r="M255" s="62" t="s">
        <v>170</v>
      </c>
      <c r="N255" t="s">
        <v>71</v>
      </c>
      <c r="O255" t="str">
        <f>IFERROR(IF(Tbla_actores[[#This Row],[codigo_proyecto]]="","",_xlfn.XLOOKUP(Tbla_actores[[#This Row],[codigo_proyecto]],Proyectos!$A:$A,Proyectos!$C:$C)),"")</f>
        <v>NULOS</v>
      </c>
    </row>
    <row r="256" spans="1:15" ht="14.25" customHeight="1">
      <c r="A256" s="9">
        <v>1020836831</v>
      </c>
      <c r="B256" s="63" t="s">
        <v>61</v>
      </c>
      <c r="C256" s="62" t="s">
        <v>634</v>
      </c>
      <c r="D256" t="s">
        <v>63</v>
      </c>
      <c r="E256" t="s">
        <v>836</v>
      </c>
      <c r="F256" s="61">
        <v>36109</v>
      </c>
      <c r="G256" s="15" t="s">
        <v>65</v>
      </c>
      <c r="H256" t="s">
        <v>837</v>
      </c>
      <c r="I256" s="62" t="s">
        <v>838</v>
      </c>
      <c r="K256" s="36" t="s">
        <v>169</v>
      </c>
      <c r="L256" t="s">
        <v>69</v>
      </c>
      <c r="M256" s="62" t="s">
        <v>170</v>
      </c>
      <c r="N256" t="s">
        <v>71</v>
      </c>
      <c r="O256" t="str">
        <f>IFERROR(IF(Tbla_actores[[#This Row],[codigo_proyecto]]="","",_xlfn.XLOOKUP(Tbla_actores[[#This Row],[codigo_proyecto]],Proyectos!$A:$A,Proyectos!$C:$C)),"")</f>
        <v>NULOS</v>
      </c>
    </row>
    <row r="257" spans="1:15" ht="14.25" customHeight="1">
      <c r="A257" s="10">
        <v>1032495688</v>
      </c>
      <c r="B257" s="64" t="s">
        <v>61</v>
      </c>
      <c r="C257" s="62" t="s">
        <v>634</v>
      </c>
      <c r="D257" t="s">
        <v>63</v>
      </c>
      <c r="E257" t="s">
        <v>839</v>
      </c>
      <c r="F257" s="61">
        <v>35763</v>
      </c>
      <c r="G257" s="15" t="s">
        <v>65</v>
      </c>
      <c r="H257" t="s">
        <v>840</v>
      </c>
      <c r="I257" s="62" t="s">
        <v>841</v>
      </c>
      <c r="K257" s="36" t="s">
        <v>169</v>
      </c>
      <c r="L257" t="s">
        <v>69</v>
      </c>
      <c r="M257" s="62" t="s">
        <v>170</v>
      </c>
      <c r="N257" t="s">
        <v>71</v>
      </c>
      <c r="O257" t="str">
        <f>IFERROR(IF(Tbla_actores[[#This Row],[codigo_proyecto]]="","",_xlfn.XLOOKUP(Tbla_actores[[#This Row],[codigo_proyecto]],Proyectos!$A:$A,Proyectos!$C:$C)),"")</f>
        <v>NULOS</v>
      </c>
    </row>
    <row r="258" spans="1:15" ht="14.25" customHeight="1">
      <c r="A258" s="9">
        <v>1018492369</v>
      </c>
      <c r="B258" s="63" t="s">
        <v>61</v>
      </c>
      <c r="C258" s="62" t="s">
        <v>634</v>
      </c>
      <c r="D258" t="s">
        <v>63</v>
      </c>
      <c r="E258" t="s">
        <v>842</v>
      </c>
      <c r="F258" s="61">
        <v>35469</v>
      </c>
      <c r="G258" s="15" t="s">
        <v>73</v>
      </c>
      <c r="H258" t="s">
        <v>843</v>
      </c>
      <c r="I258" s="62" t="s">
        <v>844</v>
      </c>
      <c r="K258" s="36" t="s">
        <v>169</v>
      </c>
      <c r="L258" t="s">
        <v>69</v>
      </c>
      <c r="M258" s="62" t="s">
        <v>170</v>
      </c>
      <c r="N258" t="s">
        <v>71</v>
      </c>
      <c r="O258" t="str">
        <f>IFERROR(IF(Tbla_actores[[#This Row],[codigo_proyecto]]="","",_xlfn.XLOOKUP(Tbla_actores[[#This Row],[codigo_proyecto]],Proyectos!$A:$A,Proyectos!$C:$C)),"")</f>
        <v>NULOS</v>
      </c>
    </row>
    <row r="259" spans="1:15" ht="14.25" customHeight="1">
      <c r="A259" s="10">
        <v>1018486973</v>
      </c>
      <c r="B259" s="64" t="s">
        <v>61</v>
      </c>
      <c r="C259" s="62" t="s">
        <v>634</v>
      </c>
      <c r="D259" t="s">
        <v>63</v>
      </c>
      <c r="E259" t="s">
        <v>845</v>
      </c>
      <c r="F259" s="61">
        <v>35254</v>
      </c>
      <c r="G259" s="15" t="s">
        <v>65</v>
      </c>
      <c r="H259" t="s">
        <v>846</v>
      </c>
      <c r="I259" s="62" t="s">
        <v>847</v>
      </c>
      <c r="K259" s="36" t="s">
        <v>169</v>
      </c>
      <c r="L259" t="s">
        <v>69</v>
      </c>
      <c r="M259" s="62" t="s">
        <v>170</v>
      </c>
      <c r="N259" t="s">
        <v>71</v>
      </c>
      <c r="O259" t="str">
        <f>IFERROR(IF(Tbla_actores[[#This Row],[codigo_proyecto]]="","",_xlfn.XLOOKUP(Tbla_actores[[#This Row],[codigo_proyecto]],Proyectos!$A:$A,Proyectos!$C:$C)),"")</f>
        <v>NULOS</v>
      </c>
    </row>
    <row r="260" spans="1:15" ht="14.25" customHeight="1">
      <c r="A260" s="9">
        <v>1020825269</v>
      </c>
      <c r="B260" s="63" t="s">
        <v>61</v>
      </c>
      <c r="C260" s="62" t="s">
        <v>634</v>
      </c>
      <c r="D260" t="s">
        <v>63</v>
      </c>
      <c r="E260" t="s">
        <v>848</v>
      </c>
      <c r="F260" s="61">
        <v>35553</v>
      </c>
      <c r="G260" s="15" t="s">
        <v>73</v>
      </c>
      <c r="H260" t="s">
        <v>849</v>
      </c>
      <c r="I260" s="62" t="s">
        <v>850</v>
      </c>
      <c r="K260" s="36" t="s">
        <v>169</v>
      </c>
      <c r="L260" t="s">
        <v>69</v>
      </c>
      <c r="M260" s="62" t="s">
        <v>170</v>
      </c>
      <c r="N260" t="s">
        <v>71</v>
      </c>
      <c r="O260" t="str">
        <f>IFERROR(IF(Tbla_actores[[#This Row],[codigo_proyecto]]="","",_xlfn.XLOOKUP(Tbla_actores[[#This Row],[codigo_proyecto]],Proyectos!$A:$A,Proyectos!$C:$C)),"")</f>
        <v>NULOS</v>
      </c>
    </row>
    <row r="261" spans="1:15" ht="14.25" customHeight="1">
      <c r="A261" s="10">
        <v>1026301416</v>
      </c>
      <c r="B261" s="64" t="s">
        <v>61</v>
      </c>
      <c r="C261" s="62" t="s">
        <v>634</v>
      </c>
      <c r="D261" t="s">
        <v>63</v>
      </c>
      <c r="E261" t="s">
        <v>851</v>
      </c>
      <c r="F261" s="61">
        <v>35879</v>
      </c>
      <c r="G261" s="15" t="s">
        <v>65</v>
      </c>
      <c r="H261" t="s">
        <v>852</v>
      </c>
      <c r="I261" s="62" t="s">
        <v>853</v>
      </c>
      <c r="K261" s="36" t="s">
        <v>169</v>
      </c>
      <c r="L261" t="s">
        <v>69</v>
      </c>
      <c r="M261" s="62" t="s">
        <v>170</v>
      </c>
      <c r="N261" t="s">
        <v>71</v>
      </c>
      <c r="O261" t="str">
        <f>IFERROR(IF(Tbla_actores[[#This Row],[codigo_proyecto]]="","",_xlfn.XLOOKUP(Tbla_actores[[#This Row],[codigo_proyecto]],Proyectos!$A:$A,Proyectos!$C:$C)),"")</f>
        <v>NULOS</v>
      </c>
    </row>
    <row r="262" spans="1:15" ht="14.25" customHeight="1">
      <c r="A262" s="9">
        <v>1018500572</v>
      </c>
      <c r="B262" s="63" t="s">
        <v>61</v>
      </c>
      <c r="C262" s="62" t="s">
        <v>634</v>
      </c>
      <c r="D262" t="s">
        <v>63</v>
      </c>
      <c r="E262" t="s">
        <v>854</v>
      </c>
      <c r="F262" s="61">
        <v>35821</v>
      </c>
      <c r="G262" s="15" t="s">
        <v>73</v>
      </c>
      <c r="H262" t="s">
        <v>855</v>
      </c>
      <c r="I262" s="62" t="s">
        <v>856</v>
      </c>
      <c r="K262" s="36" t="s">
        <v>169</v>
      </c>
      <c r="L262" t="s">
        <v>69</v>
      </c>
      <c r="M262" s="62" t="s">
        <v>170</v>
      </c>
      <c r="N262" t="s">
        <v>71</v>
      </c>
      <c r="O262" t="str">
        <f>IFERROR(IF(Tbla_actores[[#This Row],[codigo_proyecto]]="","",_xlfn.XLOOKUP(Tbla_actores[[#This Row],[codigo_proyecto]],Proyectos!$A:$A,Proyectos!$C:$C)),"")</f>
        <v>NULOS</v>
      </c>
    </row>
    <row r="263" spans="1:15" ht="14.25" customHeight="1">
      <c r="A263" s="10">
        <v>1020830141</v>
      </c>
      <c r="B263" s="64" t="s">
        <v>61</v>
      </c>
      <c r="C263" s="62" t="s">
        <v>634</v>
      </c>
      <c r="D263" t="s">
        <v>63</v>
      </c>
      <c r="E263" t="s">
        <v>857</v>
      </c>
      <c r="F263" s="61">
        <v>35816</v>
      </c>
      <c r="G263" s="15" t="s">
        <v>73</v>
      </c>
      <c r="H263" t="s">
        <v>858</v>
      </c>
      <c r="I263" s="62" t="s">
        <v>859</v>
      </c>
      <c r="K263" s="36" t="s">
        <v>169</v>
      </c>
      <c r="L263" t="s">
        <v>69</v>
      </c>
      <c r="M263" s="62" t="s">
        <v>170</v>
      </c>
      <c r="N263" t="s">
        <v>71</v>
      </c>
      <c r="O263" t="str">
        <f>IFERROR(IF(Tbla_actores[[#This Row],[codigo_proyecto]]="","",_xlfn.XLOOKUP(Tbla_actores[[#This Row],[codigo_proyecto]],Proyectos!$A:$A,Proyectos!$C:$C)),"")</f>
        <v>NULOS</v>
      </c>
    </row>
    <row r="264" spans="1:15" ht="14.25" customHeight="1">
      <c r="A264" s="9">
        <v>1015469678</v>
      </c>
      <c r="B264" s="63" t="s">
        <v>61</v>
      </c>
      <c r="C264" s="62" t="s">
        <v>634</v>
      </c>
      <c r="D264" t="s">
        <v>63</v>
      </c>
      <c r="E264" t="s">
        <v>860</v>
      </c>
      <c r="F264" s="61">
        <v>35437</v>
      </c>
      <c r="G264" s="15" t="s">
        <v>65</v>
      </c>
      <c r="H264" t="s">
        <v>861</v>
      </c>
      <c r="I264" s="62" t="s">
        <v>862</v>
      </c>
      <c r="K264" s="36" t="s">
        <v>169</v>
      </c>
      <c r="L264" t="s">
        <v>69</v>
      </c>
      <c r="M264" s="62" t="s">
        <v>170</v>
      </c>
      <c r="N264" t="s">
        <v>71</v>
      </c>
      <c r="O264" t="str">
        <f>IFERROR(IF(Tbla_actores[[#This Row],[codigo_proyecto]]="","",_xlfn.XLOOKUP(Tbla_actores[[#This Row],[codigo_proyecto]],Proyectos!$A:$A,Proyectos!$C:$C)),"")</f>
        <v>NULOS</v>
      </c>
    </row>
    <row r="265" spans="1:15" ht="14.25" customHeight="1">
      <c r="A265" s="10">
        <v>1014284972</v>
      </c>
      <c r="B265" s="64" t="s">
        <v>61</v>
      </c>
      <c r="C265" s="62" t="s">
        <v>634</v>
      </c>
      <c r="D265" t="s">
        <v>63</v>
      </c>
      <c r="E265" t="s">
        <v>863</v>
      </c>
      <c r="F265" s="61">
        <v>35451</v>
      </c>
      <c r="G265" s="15" t="s">
        <v>73</v>
      </c>
      <c r="H265" t="s">
        <v>864</v>
      </c>
      <c r="I265" s="62" t="s">
        <v>865</v>
      </c>
      <c r="K265" s="36" t="s">
        <v>169</v>
      </c>
      <c r="L265" t="s">
        <v>69</v>
      </c>
      <c r="M265" s="62" t="s">
        <v>170</v>
      </c>
      <c r="N265" t="s">
        <v>71</v>
      </c>
      <c r="O265" t="str">
        <f>IFERROR(IF(Tbla_actores[[#This Row],[codigo_proyecto]]="","",_xlfn.XLOOKUP(Tbla_actores[[#This Row],[codigo_proyecto]],Proyectos!$A:$A,Proyectos!$C:$C)),"")</f>
        <v>NULOS</v>
      </c>
    </row>
    <row r="266" spans="1:15" ht="14.25" customHeight="1">
      <c r="A266" s="9">
        <v>1070979320</v>
      </c>
      <c r="B266" s="63" t="s">
        <v>61</v>
      </c>
      <c r="C266" s="62" t="s">
        <v>634</v>
      </c>
      <c r="D266" t="s">
        <v>63</v>
      </c>
      <c r="E266" t="s">
        <v>866</v>
      </c>
      <c r="F266" s="61">
        <v>35316</v>
      </c>
      <c r="G266" s="15" t="s">
        <v>65</v>
      </c>
      <c r="H266" t="s">
        <v>867</v>
      </c>
      <c r="I266" s="62" t="s">
        <v>868</v>
      </c>
      <c r="K266" s="36" t="s">
        <v>169</v>
      </c>
      <c r="L266" t="s">
        <v>69</v>
      </c>
      <c r="M266" s="62" t="s">
        <v>170</v>
      </c>
      <c r="N266" t="s">
        <v>71</v>
      </c>
      <c r="O266" t="str">
        <f>IFERROR(IF(Tbla_actores[[#This Row],[codigo_proyecto]]="","",_xlfn.XLOOKUP(Tbla_actores[[#This Row],[codigo_proyecto]],Proyectos!$A:$A,Proyectos!$C:$C)),"")</f>
        <v>NULOS</v>
      </c>
    </row>
    <row r="267" spans="1:15" ht="14.25" customHeight="1">
      <c r="A267" s="10">
        <v>1019135824</v>
      </c>
      <c r="B267" s="64" t="s">
        <v>61</v>
      </c>
      <c r="C267" s="62" t="s">
        <v>634</v>
      </c>
      <c r="D267" t="s">
        <v>63</v>
      </c>
      <c r="E267" t="s">
        <v>869</v>
      </c>
      <c r="F267" s="61">
        <v>35756</v>
      </c>
      <c r="G267" s="15" t="s">
        <v>73</v>
      </c>
      <c r="H267" t="s">
        <v>870</v>
      </c>
      <c r="I267" s="62" t="s">
        <v>871</v>
      </c>
      <c r="K267" s="36" t="s">
        <v>169</v>
      </c>
      <c r="L267" t="s">
        <v>69</v>
      </c>
      <c r="M267" s="62" t="s">
        <v>170</v>
      </c>
      <c r="N267" t="s">
        <v>71</v>
      </c>
      <c r="O267" t="str">
        <f>IFERROR(IF(Tbla_actores[[#This Row],[codigo_proyecto]]="","",_xlfn.XLOOKUP(Tbla_actores[[#This Row],[codigo_proyecto]],Proyectos!$A:$A,Proyectos!$C:$C)),"")</f>
        <v>NULOS</v>
      </c>
    </row>
    <row r="268" spans="1:15" ht="14.25" customHeight="1">
      <c r="A268" s="9">
        <v>1032496406</v>
      </c>
      <c r="B268" s="63" t="s">
        <v>61</v>
      </c>
      <c r="C268" s="62" t="s">
        <v>634</v>
      </c>
      <c r="D268" t="s">
        <v>63</v>
      </c>
      <c r="E268" t="s">
        <v>872</v>
      </c>
      <c r="F268" s="61">
        <v>35845</v>
      </c>
      <c r="G268" s="15" t="s">
        <v>65</v>
      </c>
      <c r="H268" t="s">
        <v>873</v>
      </c>
      <c r="I268" s="62" t="s">
        <v>874</v>
      </c>
      <c r="K268" s="36" t="s">
        <v>169</v>
      </c>
      <c r="L268" t="s">
        <v>69</v>
      </c>
      <c r="M268" s="62" t="s">
        <v>170</v>
      </c>
      <c r="N268" t="s">
        <v>71</v>
      </c>
      <c r="O268" t="str">
        <f>IFERROR(IF(Tbla_actores[[#This Row],[codigo_proyecto]]="","",_xlfn.XLOOKUP(Tbla_actores[[#This Row],[codigo_proyecto]],Proyectos!$A:$A,Proyectos!$C:$C)),"")</f>
        <v>NULOS</v>
      </c>
    </row>
    <row r="269" spans="1:15" ht="14.25" customHeight="1">
      <c r="A269" s="10">
        <v>1047499220</v>
      </c>
      <c r="B269" s="64" t="s">
        <v>61</v>
      </c>
      <c r="C269" s="62" t="s">
        <v>634</v>
      </c>
      <c r="D269" t="s">
        <v>63</v>
      </c>
      <c r="E269" t="s">
        <v>875</v>
      </c>
      <c r="F269" s="61">
        <v>35786</v>
      </c>
      <c r="G269" s="15" t="s">
        <v>65</v>
      </c>
      <c r="H269" t="s">
        <v>876</v>
      </c>
      <c r="I269" s="62" t="s">
        <v>877</v>
      </c>
      <c r="K269" s="36" t="s">
        <v>169</v>
      </c>
      <c r="L269" t="s">
        <v>69</v>
      </c>
      <c r="M269" s="62" t="s">
        <v>170</v>
      </c>
      <c r="N269" t="s">
        <v>71</v>
      </c>
      <c r="O269" t="str">
        <f>IFERROR(IF(Tbla_actores[[#This Row],[codigo_proyecto]]="","",_xlfn.XLOOKUP(Tbla_actores[[#This Row],[codigo_proyecto]],Proyectos!$A:$A,Proyectos!$C:$C)),"")</f>
        <v>NULOS</v>
      </c>
    </row>
    <row r="270" spans="1:15" ht="14.25" customHeight="1">
      <c r="A270" s="9">
        <v>1020828753</v>
      </c>
      <c r="B270" s="63" t="s">
        <v>61</v>
      </c>
      <c r="C270" s="62" t="s">
        <v>634</v>
      </c>
      <c r="D270" t="s">
        <v>63</v>
      </c>
      <c r="E270" t="s">
        <v>878</v>
      </c>
      <c r="F270" s="61">
        <v>35705</v>
      </c>
      <c r="G270" s="15" t="s">
        <v>65</v>
      </c>
      <c r="H270" t="s">
        <v>879</v>
      </c>
      <c r="I270" s="62" t="s">
        <v>880</v>
      </c>
      <c r="K270" s="36" t="s">
        <v>169</v>
      </c>
      <c r="L270" t="s">
        <v>69</v>
      </c>
      <c r="M270" s="62" t="s">
        <v>170</v>
      </c>
      <c r="N270" t="s">
        <v>71</v>
      </c>
      <c r="O270" t="str">
        <f>IFERROR(IF(Tbla_actores[[#This Row],[codigo_proyecto]]="","",_xlfn.XLOOKUP(Tbla_actores[[#This Row],[codigo_proyecto]],Proyectos!$A:$A,Proyectos!$C:$C)),"")</f>
        <v>NULOS</v>
      </c>
    </row>
    <row r="271" spans="1:15" ht="14.25" customHeight="1">
      <c r="A271" s="10">
        <v>1118866749</v>
      </c>
      <c r="B271" s="64" t="s">
        <v>61</v>
      </c>
      <c r="C271" s="62" t="s">
        <v>634</v>
      </c>
      <c r="D271" t="s">
        <v>63</v>
      </c>
      <c r="E271" t="s">
        <v>881</v>
      </c>
      <c r="F271" s="61">
        <v>35784</v>
      </c>
      <c r="G271" s="15" t="s">
        <v>65</v>
      </c>
      <c r="H271" t="s">
        <v>882</v>
      </c>
      <c r="I271" s="62" t="s">
        <v>883</v>
      </c>
      <c r="K271" s="36" t="s">
        <v>169</v>
      </c>
      <c r="L271" t="s">
        <v>69</v>
      </c>
      <c r="M271" s="62" t="s">
        <v>170</v>
      </c>
      <c r="N271" t="s">
        <v>71</v>
      </c>
      <c r="O271" t="str">
        <f>IFERROR(IF(Tbla_actores[[#This Row],[codigo_proyecto]]="","",_xlfn.XLOOKUP(Tbla_actores[[#This Row],[codigo_proyecto]],Proyectos!$A:$A,Proyectos!$C:$C)),"")</f>
        <v>NULOS</v>
      </c>
    </row>
    <row r="272" spans="1:15" ht="14.25" customHeight="1">
      <c r="A272" s="9">
        <v>1016100113</v>
      </c>
      <c r="B272" s="63" t="s">
        <v>61</v>
      </c>
      <c r="C272" s="62" t="s">
        <v>634</v>
      </c>
      <c r="D272" t="s">
        <v>63</v>
      </c>
      <c r="E272" t="s">
        <v>884</v>
      </c>
      <c r="F272" s="61">
        <v>35821</v>
      </c>
      <c r="G272" s="15" t="s">
        <v>65</v>
      </c>
      <c r="H272" t="s">
        <v>885</v>
      </c>
      <c r="I272" s="62" t="s">
        <v>886</v>
      </c>
      <c r="K272" s="36" t="s">
        <v>169</v>
      </c>
      <c r="L272" t="s">
        <v>69</v>
      </c>
      <c r="M272" s="62" t="s">
        <v>170</v>
      </c>
      <c r="N272" t="s">
        <v>71</v>
      </c>
      <c r="O272" t="str">
        <f>IFERROR(IF(Tbla_actores[[#This Row],[codigo_proyecto]]="","",_xlfn.XLOOKUP(Tbla_actores[[#This Row],[codigo_proyecto]],Proyectos!$A:$A,Proyectos!$C:$C)),"")</f>
        <v>NULOS</v>
      </c>
    </row>
    <row r="273" spans="1:15" ht="14.25" customHeight="1">
      <c r="A273" s="10">
        <v>1032485105</v>
      </c>
      <c r="B273" s="64" t="s">
        <v>61</v>
      </c>
      <c r="C273" s="62" t="s">
        <v>634</v>
      </c>
      <c r="D273" t="s">
        <v>63</v>
      </c>
      <c r="E273" t="s">
        <v>887</v>
      </c>
      <c r="F273" s="61">
        <v>35286</v>
      </c>
      <c r="G273" s="15" t="s">
        <v>73</v>
      </c>
      <c r="H273" t="s">
        <v>888</v>
      </c>
      <c r="I273" s="62" t="s">
        <v>889</v>
      </c>
      <c r="K273" s="36" t="s">
        <v>169</v>
      </c>
      <c r="L273" t="s">
        <v>69</v>
      </c>
      <c r="M273" s="62" t="s">
        <v>170</v>
      </c>
      <c r="N273" t="s">
        <v>71</v>
      </c>
      <c r="O273" t="str">
        <f>IFERROR(IF(Tbla_actores[[#This Row],[codigo_proyecto]]="","",_xlfn.XLOOKUP(Tbla_actores[[#This Row],[codigo_proyecto]],Proyectos!$A:$A,Proyectos!$C:$C)),"")</f>
        <v>NULOS</v>
      </c>
    </row>
    <row r="274" spans="1:15" ht="14.25" customHeight="1">
      <c r="A274" s="9">
        <v>1032468514</v>
      </c>
      <c r="B274" s="63" t="s">
        <v>61</v>
      </c>
      <c r="C274" s="62" t="s">
        <v>634</v>
      </c>
      <c r="D274" t="s">
        <v>63</v>
      </c>
      <c r="E274" t="s">
        <v>890</v>
      </c>
      <c r="F274" s="61">
        <v>34654</v>
      </c>
      <c r="G274" s="15" t="s">
        <v>73</v>
      </c>
      <c r="H274" t="s">
        <v>891</v>
      </c>
      <c r="I274" s="62" t="s">
        <v>892</v>
      </c>
      <c r="K274" s="36" t="s">
        <v>169</v>
      </c>
      <c r="L274" t="s">
        <v>69</v>
      </c>
      <c r="M274" s="62" t="s">
        <v>170</v>
      </c>
      <c r="N274" t="s">
        <v>71</v>
      </c>
      <c r="O274" t="str">
        <f>IFERROR(IF(Tbla_actores[[#This Row],[codigo_proyecto]]="","",_xlfn.XLOOKUP(Tbla_actores[[#This Row],[codigo_proyecto]],Proyectos!$A:$A,Proyectos!$C:$C)),"")</f>
        <v>NULOS</v>
      </c>
    </row>
    <row r="275" spans="1:15" ht="14.25" customHeight="1">
      <c r="A275" s="10">
        <v>1020820489</v>
      </c>
      <c r="B275" s="64" t="s">
        <v>61</v>
      </c>
      <c r="C275" s="62" t="s">
        <v>634</v>
      </c>
      <c r="D275" t="s">
        <v>63</v>
      </c>
      <c r="E275" t="s">
        <v>893</v>
      </c>
      <c r="F275" s="61">
        <v>35392</v>
      </c>
      <c r="G275" s="15" t="s">
        <v>73</v>
      </c>
      <c r="H275" t="s">
        <v>894</v>
      </c>
      <c r="I275" s="62" t="s">
        <v>895</v>
      </c>
      <c r="K275" s="36" t="s">
        <v>169</v>
      </c>
      <c r="L275" t="s">
        <v>69</v>
      </c>
      <c r="M275" s="62" t="s">
        <v>170</v>
      </c>
      <c r="N275" t="s">
        <v>71</v>
      </c>
      <c r="O275" t="str">
        <f>IFERROR(IF(Tbla_actores[[#This Row],[codigo_proyecto]]="","",_xlfn.XLOOKUP(Tbla_actores[[#This Row],[codigo_proyecto]],Proyectos!$A:$A,Proyectos!$C:$C)),"")</f>
        <v>NULOS</v>
      </c>
    </row>
    <row r="276" spans="1:15" ht="14.25" customHeight="1">
      <c r="A276" s="9">
        <v>1018501239</v>
      </c>
      <c r="B276" s="63" t="s">
        <v>61</v>
      </c>
      <c r="C276" s="62" t="s">
        <v>634</v>
      </c>
      <c r="D276" t="s">
        <v>63</v>
      </c>
      <c r="E276" t="s">
        <v>896</v>
      </c>
      <c r="F276" s="61">
        <v>35845</v>
      </c>
      <c r="G276" s="15" t="s">
        <v>65</v>
      </c>
      <c r="H276" t="s">
        <v>897</v>
      </c>
      <c r="I276" s="62" t="s">
        <v>898</v>
      </c>
      <c r="K276" s="36" t="s">
        <v>169</v>
      </c>
      <c r="L276" t="s">
        <v>69</v>
      </c>
      <c r="M276" s="62" t="s">
        <v>170</v>
      </c>
      <c r="N276" t="s">
        <v>71</v>
      </c>
      <c r="O276" t="str">
        <f>IFERROR(IF(Tbla_actores[[#This Row],[codigo_proyecto]]="","",_xlfn.XLOOKUP(Tbla_actores[[#This Row],[codigo_proyecto]],Proyectos!$A:$A,Proyectos!$C:$C)),"")</f>
        <v>NULOS</v>
      </c>
    </row>
    <row r="277" spans="1:15" ht="14.25" customHeight="1">
      <c r="A277" s="10">
        <v>1032493368</v>
      </c>
      <c r="B277" s="64" t="s">
        <v>61</v>
      </c>
      <c r="C277" s="62" t="s">
        <v>634</v>
      </c>
      <c r="D277" t="s">
        <v>63</v>
      </c>
      <c r="E277" t="s">
        <v>899</v>
      </c>
      <c r="F277" s="61">
        <v>35641</v>
      </c>
      <c r="G277" s="15" t="s">
        <v>73</v>
      </c>
      <c r="H277" t="s">
        <v>900</v>
      </c>
      <c r="I277" s="62" t="s">
        <v>901</v>
      </c>
      <c r="K277" s="36" t="s">
        <v>169</v>
      </c>
      <c r="L277" t="s">
        <v>69</v>
      </c>
      <c r="M277" s="62" t="s">
        <v>170</v>
      </c>
      <c r="N277" t="s">
        <v>71</v>
      </c>
      <c r="O277" t="str">
        <f>IFERROR(IF(Tbla_actores[[#This Row],[codigo_proyecto]]="","",_xlfn.XLOOKUP(Tbla_actores[[#This Row],[codigo_proyecto]],Proyectos!$A:$A,Proyectos!$C:$C)),"")</f>
        <v>NULOS</v>
      </c>
    </row>
    <row r="278" spans="1:15" ht="14.25" customHeight="1">
      <c r="A278" s="9">
        <v>1052408962</v>
      </c>
      <c r="B278" s="63" t="s">
        <v>61</v>
      </c>
      <c r="C278" s="62" t="s">
        <v>634</v>
      </c>
      <c r="D278" t="s">
        <v>63</v>
      </c>
      <c r="E278" t="s">
        <v>902</v>
      </c>
      <c r="F278" s="61">
        <v>35428</v>
      </c>
      <c r="G278" s="15" t="s">
        <v>73</v>
      </c>
      <c r="H278" t="s">
        <v>903</v>
      </c>
      <c r="I278" s="62" t="s">
        <v>904</v>
      </c>
      <c r="K278" s="36" t="s">
        <v>169</v>
      </c>
      <c r="L278" t="s">
        <v>69</v>
      </c>
      <c r="M278" s="62" t="s">
        <v>170</v>
      </c>
      <c r="N278" t="s">
        <v>71</v>
      </c>
      <c r="O278" t="str">
        <f>IFERROR(IF(Tbla_actores[[#This Row],[codigo_proyecto]]="","",_xlfn.XLOOKUP(Tbla_actores[[#This Row],[codigo_proyecto]],Proyectos!$A:$A,Proyectos!$C:$C)),"")</f>
        <v>NULOS</v>
      </c>
    </row>
    <row r="279" spans="1:15" ht="14.25" customHeight="1">
      <c r="A279" s="10">
        <v>1020820439</v>
      </c>
      <c r="B279" s="64" t="s">
        <v>61</v>
      </c>
      <c r="C279" s="62" t="s">
        <v>634</v>
      </c>
      <c r="D279" t="s">
        <v>63</v>
      </c>
      <c r="E279" t="s">
        <v>905</v>
      </c>
      <c r="F279" s="61">
        <v>35387</v>
      </c>
      <c r="G279" s="15" t="s">
        <v>65</v>
      </c>
      <c r="H279" t="s">
        <v>906</v>
      </c>
      <c r="I279" s="62" t="s">
        <v>907</v>
      </c>
      <c r="K279" s="36" t="s">
        <v>169</v>
      </c>
      <c r="L279" t="s">
        <v>69</v>
      </c>
      <c r="M279" s="62" t="s">
        <v>170</v>
      </c>
      <c r="N279" t="s">
        <v>71</v>
      </c>
      <c r="O279" t="str">
        <f>IFERROR(IF(Tbla_actores[[#This Row],[codigo_proyecto]]="","",_xlfn.XLOOKUP(Tbla_actores[[#This Row],[codigo_proyecto]],Proyectos!$A:$A,Proyectos!$C:$C)),"")</f>
        <v>NULOS</v>
      </c>
    </row>
    <row r="280" spans="1:15" ht="14.25" customHeight="1">
      <c r="A280" s="9">
        <v>1032492045</v>
      </c>
      <c r="B280" s="63" t="s">
        <v>61</v>
      </c>
      <c r="C280" s="62" t="s">
        <v>634</v>
      </c>
      <c r="D280" t="s">
        <v>63</v>
      </c>
      <c r="E280" t="s">
        <v>908</v>
      </c>
      <c r="F280" s="61">
        <v>35631</v>
      </c>
      <c r="G280" s="15" t="s">
        <v>65</v>
      </c>
      <c r="H280" t="s">
        <v>909</v>
      </c>
      <c r="I280" s="62" t="s">
        <v>910</v>
      </c>
      <c r="K280" s="36" t="s">
        <v>169</v>
      </c>
      <c r="L280" t="s">
        <v>69</v>
      </c>
      <c r="M280" s="62" t="s">
        <v>170</v>
      </c>
      <c r="N280" t="s">
        <v>71</v>
      </c>
      <c r="O280" t="str">
        <f>IFERROR(IF(Tbla_actores[[#This Row],[codigo_proyecto]]="","",_xlfn.XLOOKUP(Tbla_actores[[#This Row],[codigo_proyecto]],Proyectos!$A:$A,Proyectos!$C:$C)),"")</f>
        <v>NULOS</v>
      </c>
    </row>
    <row r="281" spans="1:15" ht="14.25" customHeight="1">
      <c r="A281" s="10">
        <v>1018509115</v>
      </c>
      <c r="B281" s="64" t="s">
        <v>61</v>
      </c>
      <c r="C281" s="62" t="s">
        <v>634</v>
      </c>
      <c r="D281" t="s">
        <v>63</v>
      </c>
      <c r="E281" t="s">
        <v>911</v>
      </c>
      <c r="F281" s="61">
        <v>36195</v>
      </c>
      <c r="G281" s="15" t="s">
        <v>65</v>
      </c>
      <c r="H281" t="s">
        <v>912</v>
      </c>
      <c r="I281" s="62" t="s">
        <v>913</v>
      </c>
      <c r="K281" s="36" t="s">
        <v>169</v>
      </c>
      <c r="L281" t="s">
        <v>69</v>
      </c>
      <c r="M281" s="62" t="s">
        <v>170</v>
      </c>
      <c r="N281" t="s">
        <v>71</v>
      </c>
      <c r="O281" t="str">
        <f>IFERROR(IF(Tbla_actores[[#This Row],[codigo_proyecto]]="","",_xlfn.XLOOKUP(Tbla_actores[[#This Row],[codigo_proyecto]],Proyectos!$A:$A,Proyectos!$C:$C)),"")</f>
        <v>NULOS</v>
      </c>
    </row>
    <row r="282" spans="1:15" ht="14.25" customHeight="1">
      <c r="A282" s="9">
        <v>1020829518</v>
      </c>
      <c r="B282" s="63" t="s">
        <v>61</v>
      </c>
      <c r="C282" s="62" t="s">
        <v>62</v>
      </c>
      <c r="D282" t="s">
        <v>63</v>
      </c>
      <c r="E282" t="s">
        <v>914</v>
      </c>
      <c r="F282" s="61">
        <v>35794</v>
      </c>
      <c r="G282" s="15" t="s">
        <v>73</v>
      </c>
      <c r="H282" t="s">
        <v>915</v>
      </c>
      <c r="I282" s="62" t="s">
        <v>916</v>
      </c>
      <c r="K282" s="36" t="s">
        <v>169</v>
      </c>
      <c r="L282" t="s">
        <v>69</v>
      </c>
      <c r="M282" s="62" t="s">
        <v>170</v>
      </c>
      <c r="N282" t="s">
        <v>71</v>
      </c>
      <c r="O282" t="str">
        <f>IFERROR(IF(Tbla_actores[[#This Row],[codigo_proyecto]]="","",_xlfn.XLOOKUP(Tbla_actores[[#This Row],[codigo_proyecto]],Proyectos!$A:$A,Proyectos!$C:$C)),"")</f>
        <v>NULOS</v>
      </c>
    </row>
    <row r="283" spans="1:15" ht="14.25" customHeight="1">
      <c r="A283" s="10">
        <v>1019136323</v>
      </c>
      <c r="B283" s="64" t="s">
        <v>61</v>
      </c>
      <c r="C283" s="62" t="s">
        <v>634</v>
      </c>
      <c r="D283" t="s">
        <v>63</v>
      </c>
      <c r="E283" t="s">
        <v>917</v>
      </c>
      <c r="F283" s="61">
        <v>35798</v>
      </c>
      <c r="G283" s="15" t="s">
        <v>65</v>
      </c>
      <c r="H283" t="s">
        <v>918</v>
      </c>
      <c r="I283" s="62" t="s">
        <v>919</v>
      </c>
      <c r="K283" s="36" t="s">
        <v>169</v>
      </c>
      <c r="L283" t="s">
        <v>69</v>
      </c>
      <c r="M283" s="62" t="s">
        <v>170</v>
      </c>
      <c r="N283" t="s">
        <v>71</v>
      </c>
      <c r="O283" t="str">
        <f>IFERROR(IF(Tbla_actores[[#This Row],[codigo_proyecto]]="","",_xlfn.XLOOKUP(Tbla_actores[[#This Row],[codigo_proyecto]],Proyectos!$A:$A,Proyectos!$C:$C)),"")</f>
        <v>NULOS</v>
      </c>
    </row>
    <row r="284" spans="1:15" ht="14.25" customHeight="1">
      <c r="A284" s="9">
        <v>1233491798</v>
      </c>
      <c r="B284" s="63" t="s">
        <v>61</v>
      </c>
      <c r="C284" s="62" t="s">
        <v>634</v>
      </c>
      <c r="D284" t="s">
        <v>63</v>
      </c>
      <c r="E284" t="s">
        <v>920</v>
      </c>
      <c r="F284" s="61">
        <v>35752</v>
      </c>
      <c r="G284" s="15" t="s">
        <v>73</v>
      </c>
      <c r="H284" t="s">
        <v>921</v>
      </c>
      <c r="I284" s="62" t="s">
        <v>922</v>
      </c>
      <c r="K284" s="36" t="s">
        <v>169</v>
      </c>
      <c r="L284" t="s">
        <v>69</v>
      </c>
      <c r="M284" s="62" t="s">
        <v>170</v>
      </c>
      <c r="N284" t="s">
        <v>71</v>
      </c>
      <c r="O284" t="str">
        <f>IFERROR(IF(Tbla_actores[[#This Row],[codigo_proyecto]]="","",_xlfn.XLOOKUP(Tbla_actores[[#This Row],[codigo_proyecto]],Proyectos!$A:$A,Proyectos!$C:$C)),"")</f>
        <v>NULOS</v>
      </c>
    </row>
    <row r="285" spans="1:15" ht="14.25" customHeight="1">
      <c r="A285" s="10">
        <v>1118573668</v>
      </c>
      <c r="B285" s="64" t="s">
        <v>61</v>
      </c>
      <c r="C285" s="62" t="s">
        <v>634</v>
      </c>
      <c r="D285" t="s">
        <v>63</v>
      </c>
      <c r="E285" t="s">
        <v>923</v>
      </c>
      <c r="F285" s="61">
        <v>36232</v>
      </c>
      <c r="G285" s="15" t="s">
        <v>65</v>
      </c>
      <c r="H285" t="s">
        <v>924</v>
      </c>
      <c r="I285" s="62" t="s">
        <v>925</v>
      </c>
      <c r="K285" s="36" t="s">
        <v>169</v>
      </c>
      <c r="L285" t="s">
        <v>69</v>
      </c>
      <c r="M285" s="62" t="s">
        <v>170</v>
      </c>
      <c r="N285" t="s">
        <v>71</v>
      </c>
      <c r="O285" t="str">
        <f>IFERROR(IF(Tbla_actores[[#This Row],[codigo_proyecto]]="","",_xlfn.XLOOKUP(Tbla_actores[[#This Row],[codigo_proyecto]],Proyectos!$A:$A,Proyectos!$C:$C)),"")</f>
        <v>NULOS</v>
      </c>
    </row>
    <row r="286" spans="1:15" ht="14.25" customHeight="1">
      <c r="A286" s="9">
        <v>1098803167</v>
      </c>
      <c r="B286" s="63" t="s">
        <v>61</v>
      </c>
      <c r="C286" s="62" t="s">
        <v>634</v>
      </c>
      <c r="D286" t="s">
        <v>63</v>
      </c>
      <c r="E286" t="s">
        <v>926</v>
      </c>
      <c r="F286" s="61">
        <v>35813</v>
      </c>
      <c r="G286" s="15" t="s">
        <v>65</v>
      </c>
      <c r="H286" t="s">
        <v>927</v>
      </c>
      <c r="I286" s="62" t="s">
        <v>928</v>
      </c>
      <c r="K286" s="36" t="s">
        <v>169</v>
      </c>
      <c r="L286" t="s">
        <v>69</v>
      </c>
      <c r="M286" s="62" t="s">
        <v>170</v>
      </c>
      <c r="N286" t="s">
        <v>71</v>
      </c>
      <c r="O286" t="str">
        <f>IFERROR(IF(Tbla_actores[[#This Row],[codigo_proyecto]]="","",_xlfn.XLOOKUP(Tbla_actores[[#This Row],[codigo_proyecto]],Proyectos!$A:$A,Proyectos!$C:$C)),"")</f>
        <v>NULOS</v>
      </c>
    </row>
    <row r="287" spans="1:15" ht="14.25" customHeight="1">
      <c r="A287" s="10">
        <v>1019130263</v>
      </c>
      <c r="B287" s="64" t="s">
        <v>61</v>
      </c>
      <c r="C287" s="62" t="s">
        <v>634</v>
      </c>
      <c r="D287" t="s">
        <v>63</v>
      </c>
      <c r="E287" t="s">
        <v>929</v>
      </c>
      <c r="F287" s="61">
        <v>35555</v>
      </c>
      <c r="G287" s="15" t="s">
        <v>73</v>
      </c>
      <c r="H287" t="s">
        <v>930</v>
      </c>
      <c r="I287" s="62" t="s">
        <v>931</v>
      </c>
      <c r="K287" s="36" t="s">
        <v>169</v>
      </c>
      <c r="L287" t="s">
        <v>69</v>
      </c>
      <c r="M287" s="62" t="s">
        <v>170</v>
      </c>
      <c r="N287" t="s">
        <v>71</v>
      </c>
      <c r="O287" t="str">
        <f>IFERROR(IF(Tbla_actores[[#This Row],[codigo_proyecto]]="","",_xlfn.XLOOKUP(Tbla_actores[[#This Row],[codigo_proyecto]],Proyectos!$A:$A,Proyectos!$C:$C)),"")</f>
        <v>NULOS</v>
      </c>
    </row>
    <row r="288" spans="1:15" ht="14.25" customHeight="1">
      <c r="A288" s="9">
        <v>1018488811</v>
      </c>
      <c r="B288" s="63" t="s">
        <v>61</v>
      </c>
      <c r="C288" s="62" t="s">
        <v>634</v>
      </c>
      <c r="D288" t="s">
        <v>63</v>
      </c>
      <c r="E288" t="s">
        <v>932</v>
      </c>
      <c r="F288" s="61">
        <v>35314</v>
      </c>
      <c r="G288" s="15" t="s">
        <v>73</v>
      </c>
      <c r="H288" t="s">
        <v>933</v>
      </c>
      <c r="I288" s="62" t="s">
        <v>934</v>
      </c>
      <c r="K288" s="36" t="s">
        <v>169</v>
      </c>
      <c r="L288" t="s">
        <v>69</v>
      </c>
      <c r="M288" s="62" t="s">
        <v>170</v>
      </c>
      <c r="N288" t="s">
        <v>71</v>
      </c>
      <c r="O288" t="str">
        <f>IFERROR(IF(Tbla_actores[[#This Row],[codigo_proyecto]]="","",_xlfn.XLOOKUP(Tbla_actores[[#This Row],[codigo_proyecto]],Proyectos!$A:$A,Proyectos!$C:$C)),"")</f>
        <v>NULOS</v>
      </c>
    </row>
    <row r="289" spans="1:15" ht="14.25" customHeight="1">
      <c r="A289" s="10">
        <v>1018510766</v>
      </c>
      <c r="B289" s="64" t="s">
        <v>61</v>
      </c>
      <c r="C289" s="62" t="s">
        <v>634</v>
      </c>
      <c r="D289" t="s">
        <v>63</v>
      </c>
      <c r="E289" t="s">
        <v>935</v>
      </c>
      <c r="F289" s="61">
        <v>36282</v>
      </c>
      <c r="G289" s="15" t="s">
        <v>65</v>
      </c>
      <c r="H289" t="s">
        <v>936</v>
      </c>
      <c r="I289" s="62" t="s">
        <v>937</v>
      </c>
      <c r="K289" s="36" t="s">
        <v>169</v>
      </c>
      <c r="L289" t="s">
        <v>69</v>
      </c>
      <c r="M289" s="62" t="s">
        <v>170</v>
      </c>
      <c r="N289" t="s">
        <v>71</v>
      </c>
      <c r="O289" t="str">
        <f>IFERROR(IF(Tbla_actores[[#This Row],[codigo_proyecto]]="","",_xlfn.XLOOKUP(Tbla_actores[[#This Row],[codigo_proyecto]],Proyectos!$A:$A,Proyectos!$C:$C)),"")</f>
        <v>NULOS</v>
      </c>
    </row>
    <row r="290" spans="1:15" ht="14.25" customHeight="1">
      <c r="A290" s="9">
        <v>1019125364</v>
      </c>
      <c r="B290" s="63" t="s">
        <v>61</v>
      </c>
      <c r="C290" s="62" t="s">
        <v>634</v>
      </c>
      <c r="D290" t="s">
        <v>63</v>
      </c>
      <c r="E290" t="s">
        <v>938</v>
      </c>
      <c r="F290" s="61">
        <v>35385</v>
      </c>
      <c r="G290" s="15" t="s">
        <v>73</v>
      </c>
      <c r="H290" t="s">
        <v>939</v>
      </c>
      <c r="I290" s="62" t="s">
        <v>940</v>
      </c>
      <c r="K290" s="36" t="s">
        <v>169</v>
      </c>
      <c r="L290" t="s">
        <v>69</v>
      </c>
      <c r="M290" s="62" t="s">
        <v>170</v>
      </c>
      <c r="N290" t="s">
        <v>71</v>
      </c>
      <c r="O290" t="str">
        <f>IFERROR(IF(Tbla_actores[[#This Row],[codigo_proyecto]]="","",_xlfn.XLOOKUP(Tbla_actores[[#This Row],[codigo_proyecto]],Proyectos!$A:$A,Proyectos!$C:$C)),"")</f>
        <v>NULOS</v>
      </c>
    </row>
    <row r="291" spans="1:15" ht="14.25" customHeight="1">
      <c r="A291" s="10">
        <v>1026302733</v>
      </c>
      <c r="B291" s="64" t="s">
        <v>61</v>
      </c>
      <c r="C291" s="62" t="s">
        <v>634</v>
      </c>
      <c r="D291" t="s">
        <v>63</v>
      </c>
      <c r="E291" t="s">
        <v>941</v>
      </c>
      <c r="F291" s="61">
        <v>36044</v>
      </c>
      <c r="G291" s="15" t="s">
        <v>73</v>
      </c>
      <c r="H291" t="s">
        <v>942</v>
      </c>
      <c r="I291" s="62" t="s">
        <v>943</v>
      </c>
      <c r="K291" s="36" t="s">
        <v>169</v>
      </c>
      <c r="L291" t="s">
        <v>69</v>
      </c>
      <c r="M291" s="62" t="s">
        <v>170</v>
      </c>
      <c r="N291" t="s">
        <v>71</v>
      </c>
      <c r="O291" t="str">
        <f>IFERROR(IF(Tbla_actores[[#This Row],[codigo_proyecto]]="","",_xlfn.XLOOKUP(Tbla_actores[[#This Row],[codigo_proyecto]],Proyectos!$A:$A,Proyectos!$C:$C)),"")</f>
        <v>NULOS</v>
      </c>
    </row>
    <row r="292" spans="1:15" ht="14.25" customHeight="1">
      <c r="A292" s="9">
        <v>1032483017</v>
      </c>
      <c r="B292" s="63" t="s">
        <v>61</v>
      </c>
      <c r="C292" s="62" t="s">
        <v>634</v>
      </c>
      <c r="D292" t="s">
        <v>63</v>
      </c>
      <c r="E292" t="s">
        <v>944</v>
      </c>
      <c r="F292" s="61">
        <v>35250</v>
      </c>
      <c r="G292" s="15" t="s">
        <v>73</v>
      </c>
      <c r="H292" t="s">
        <v>945</v>
      </c>
      <c r="I292" s="62" t="s">
        <v>946</v>
      </c>
      <c r="K292" s="36" t="s">
        <v>169</v>
      </c>
      <c r="L292" t="s">
        <v>69</v>
      </c>
      <c r="M292" s="62" t="s">
        <v>170</v>
      </c>
      <c r="N292" t="s">
        <v>71</v>
      </c>
      <c r="O292" t="str">
        <f>IFERROR(IF(Tbla_actores[[#This Row],[codigo_proyecto]]="","",_xlfn.XLOOKUP(Tbla_actores[[#This Row],[codigo_proyecto]],Proyectos!$A:$A,Proyectos!$C:$C)),"")</f>
        <v>NULOS</v>
      </c>
    </row>
    <row r="293" spans="1:15" ht="14.25" customHeight="1">
      <c r="A293" s="10">
        <v>1018490625</v>
      </c>
      <c r="B293" s="64" t="s">
        <v>61</v>
      </c>
      <c r="C293" s="62" t="s">
        <v>634</v>
      </c>
      <c r="D293" t="s">
        <v>63</v>
      </c>
      <c r="E293" t="s">
        <v>947</v>
      </c>
      <c r="F293" s="61">
        <v>35384</v>
      </c>
      <c r="G293" s="15" t="s">
        <v>73</v>
      </c>
      <c r="H293" t="s">
        <v>948</v>
      </c>
      <c r="I293" s="62" t="s">
        <v>949</v>
      </c>
      <c r="K293" s="36" t="s">
        <v>169</v>
      </c>
      <c r="L293" t="s">
        <v>69</v>
      </c>
      <c r="M293" s="62" t="s">
        <v>170</v>
      </c>
      <c r="N293" t="s">
        <v>71</v>
      </c>
      <c r="O293" t="str">
        <f>IFERROR(IF(Tbla_actores[[#This Row],[codigo_proyecto]]="","",_xlfn.XLOOKUP(Tbla_actores[[#This Row],[codigo_proyecto]],Proyectos!$A:$A,Proyectos!$C:$C)),"")</f>
        <v>NULOS</v>
      </c>
    </row>
    <row r="294" spans="1:15" ht="14.25" customHeight="1">
      <c r="A294" s="9">
        <v>1022435571</v>
      </c>
      <c r="B294" s="63" t="s">
        <v>61</v>
      </c>
      <c r="C294" s="62" t="s">
        <v>634</v>
      </c>
      <c r="D294" t="s">
        <v>63</v>
      </c>
      <c r="E294" t="s">
        <v>950</v>
      </c>
      <c r="F294" s="61">
        <v>35923</v>
      </c>
      <c r="G294" s="15" t="s">
        <v>65</v>
      </c>
      <c r="H294" t="s">
        <v>951</v>
      </c>
      <c r="I294" s="62" t="s">
        <v>952</v>
      </c>
      <c r="K294" s="36" t="s">
        <v>169</v>
      </c>
      <c r="L294" t="s">
        <v>69</v>
      </c>
      <c r="M294" s="62" t="s">
        <v>170</v>
      </c>
      <c r="N294" t="s">
        <v>71</v>
      </c>
      <c r="O294" t="str">
        <f>IFERROR(IF(Tbla_actores[[#This Row],[codigo_proyecto]]="","",_xlfn.XLOOKUP(Tbla_actores[[#This Row],[codigo_proyecto]],Proyectos!$A:$A,Proyectos!$C:$C)),"")</f>
        <v>NULOS</v>
      </c>
    </row>
    <row r="295" spans="1:15" ht="14.25" customHeight="1">
      <c r="A295" s="10">
        <v>1151957012</v>
      </c>
      <c r="B295" s="64" t="s">
        <v>61</v>
      </c>
      <c r="C295" s="62" t="s">
        <v>634</v>
      </c>
      <c r="D295" t="s">
        <v>63</v>
      </c>
      <c r="E295" t="s">
        <v>953</v>
      </c>
      <c r="F295" s="61">
        <v>34717</v>
      </c>
      <c r="G295" s="15" t="s">
        <v>73</v>
      </c>
      <c r="H295" t="s">
        <v>954</v>
      </c>
      <c r="I295" s="62" t="s">
        <v>955</v>
      </c>
      <c r="K295" s="36" t="s">
        <v>169</v>
      </c>
      <c r="L295" t="s">
        <v>69</v>
      </c>
      <c r="M295" s="62" t="s">
        <v>170</v>
      </c>
      <c r="N295" t="s">
        <v>71</v>
      </c>
      <c r="O295" t="str">
        <f>IFERROR(IF(Tbla_actores[[#This Row],[codigo_proyecto]]="","",_xlfn.XLOOKUP(Tbla_actores[[#This Row],[codigo_proyecto]],Proyectos!$A:$A,Proyectos!$C:$C)),"")</f>
        <v>NULOS</v>
      </c>
    </row>
    <row r="296" spans="1:15" ht="14.25" customHeight="1">
      <c r="A296" s="9">
        <v>1020817407</v>
      </c>
      <c r="B296" s="63" t="s">
        <v>61</v>
      </c>
      <c r="C296" s="62" t="s">
        <v>634</v>
      </c>
      <c r="D296" t="s">
        <v>63</v>
      </c>
      <c r="E296" t="s">
        <v>956</v>
      </c>
      <c r="F296" s="61">
        <v>35258</v>
      </c>
      <c r="G296" s="15" t="s">
        <v>73</v>
      </c>
      <c r="H296" t="s">
        <v>957</v>
      </c>
      <c r="I296" s="62" t="s">
        <v>958</v>
      </c>
      <c r="K296" s="36" t="s">
        <v>169</v>
      </c>
      <c r="L296" t="s">
        <v>69</v>
      </c>
      <c r="M296" s="62" t="s">
        <v>170</v>
      </c>
      <c r="N296" t="s">
        <v>71</v>
      </c>
      <c r="O296" t="str">
        <f>IFERROR(IF(Tbla_actores[[#This Row],[codigo_proyecto]]="","",_xlfn.XLOOKUP(Tbla_actores[[#This Row],[codigo_proyecto]],Proyectos!$A:$A,Proyectos!$C:$C)),"")</f>
        <v>NULOS</v>
      </c>
    </row>
    <row r="297" spans="1:15" ht="14.25" customHeight="1">
      <c r="A297" s="10">
        <v>1020822450</v>
      </c>
      <c r="B297" s="64" t="s">
        <v>61</v>
      </c>
      <c r="C297" s="62" t="s">
        <v>634</v>
      </c>
      <c r="D297" t="s">
        <v>63</v>
      </c>
      <c r="E297" t="s">
        <v>959</v>
      </c>
      <c r="F297" s="61">
        <v>35453</v>
      </c>
      <c r="G297" s="15" t="s">
        <v>73</v>
      </c>
      <c r="H297" t="s">
        <v>960</v>
      </c>
      <c r="I297" s="62" t="s">
        <v>961</v>
      </c>
      <c r="K297" s="36" t="s">
        <v>169</v>
      </c>
      <c r="L297" t="s">
        <v>69</v>
      </c>
      <c r="M297" s="62" t="s">
        <v>170</v>
      </c>
      <c r="N297" t="s">
        <v>71</v>
      </c>
      <c r="O297" t="str">
        <f>IFERROR(IF(Tbla_actores[[#This Row],[codigo_proyecto]]="","",_xlfn.XLOOKUP(Tbla_actores[[#This Row],[codigo_proyecto]],Proyectos!$A:$A,Proyectos!$C:$C)),"")</f>
        <v>NULOS</v>
      </c>
    </row>
    <row r="298" spans="1:15" ht="14.25" customHeight="1">
      <c r="A298" s="9">
        <v>1019133457</v>
      </c>
      <c r="B298" s="63" t="s">
        <v>61</v>
      </c>
      <c r="C298" s="62" t="s">
        <v>634</v>
      </c>
      <c r="D298" t="s">
        <v>63</v>
      </c>
      <c r="E298" t="s">
        <v>962</v>
      </c>
      <c r="F298" s="61">
        <v>35691</v>
      </c>
      <c r="G298" s="15" t="s">
        <v>65</v>
      </c>
      <c r="H298" t="s">
        <v>963</v>
      </c>
      <c r="I298" s="62" t="s">
        <v>964</v>
      </c>
      <c r="K298" s="36" t="s">
        <v>169</v>
      </c>
      <c r="L298" t="s">
        <v>69</v>
      </c>
      <c r="M298" s="62" t="s">
        <v>170</v>
      </c>
      <c r="N298" t="s">
        <v>71</v>
      </c>
      <c r="O298" t="str">
        <f>IFERROR(IF(Tbla_actores[[#This Row],[codigo_proyecto]]="","",_xlfn.XLOOKUP(Tbla_actores[[#This Row],[codigo_proyecto]],Proyectos!$A:$A,Proyectos!$C:$C)),"")</f>
        <v>NULOS</v>
      </c>
    </row>
    <row r="299" spans="1:15" ht="14.25" customHeight="1">
      <c r="A299" s="10">
        <v>1020805067</v>
      </c>
      <c r="B299" s="64" t="s">
        <v>61</v>
      </c>
      <c r="C299" s="62" t="s">
        <v>634</v>
      </c>
      <c r="D299" t="s">
        <v>63</v>
      </c>
      <c r="E299" t="s">
        <v>965</v>
      </c>
      <c r="F299" s="61">
        <v>34849</v>
      </c>
      <c r="G299" s="15" t="s">
        <v>65</v>
      </c>
      <c r="H299" t="s">
        <v>966</v>
      </c>
      <c r="I299" s="62" t="s">
        <v>967</v>
      </c>
      <c r="K299" s="36" t="s">
        <v>169</v>
      </c>
      <c r="L299" t="s">
        <v>69</v>
      </c>
      <c r="M299" s="62" t="s">
        <v>170</v>
      </c>
      <c r="N299" t="s">
        <v>71</v>
      </c>
      <c r="O299" t="str">
        <f>IFERROR(IF(Tbla_actores[[#This Row],[codigo_proyecto]]="","",_xlfn.XLOOKUP(Tbla_actores[[#This Row],[codigo_proyecto]],Proyectos!$A:$A,Proyectos!$C:$C)),"")</f>
        <v>NULOS</v>
      </c>
    </row>
    <row r="300" spans="1:15" ht="14.25" customHeight="1">
      <c r="A300" s="9">
        <v>1019079545</v>
      </c>
      <c r="B300" s="63" t="s">
        <v>61</v>
      </c>
      <c r="C300" s="62" t="s">
        <v>634</v>
      </c>
      <c r="D300" t="s">
        <v>63</v>
      </c>
      <c r="E300" t="s">
        <v>968</v>
      </c>
      <c r="F300" s="61">
        <v>34025</v>
      </c>
      <c r="G300" s="15" t="s">
        <v>73</v>
      </c>
      <c r="H300" t="s">
        <v>969</v>
      </c>
      <c r="I300" s="62" t="s">
        <v>970</v>
      </c>
      <c r="K300" s="36" t="s">
        <v>169</v>
      </c>
      <c r="L300" t="s">
        <v>69</v>
      </c>
      <c r="M300" s="62" t="s">
        <v>170</v>
      </c>
      <c r="N300" t="s">
        <v>71</v>
      </c>
      <c r="O300" t="str">
        <f>IFERROR(IF(Tbla_actores[[#This Row],[codigo_proyecto]]="","",_xlfn.XLOOKUP(Tbla_actores[[#This Row],[codigo_proyecto]],Proyectos!$A:$A,Proyectos!$C:$C)),"")</f>
        <v>NULOS</v>
      </c>
    </row>
    <row r="301" spans="1:15" ht="14.25" customHeight="1">
      <c r="A301" s="10">
        <v>1022429811</v>
      </c>
      <c r="B301" s="64" t="s">
        <v>61</v>
      </c>
      <c r="C301" s="62" t="s">
        <v>634</v>
      </c>
      <c r="D301" t="s">
        <v>63</v>
      </c>
      <c r="E301" t="s">
        <v>971</v>
      </c>
      <c r="F301" s="61">
        <v>35684</v>
      </c>
      <c r="G301" s="15" t="s">
        <v>73</v>
      </c>
      <c r="H301" t="s">
        <v>972</v>
      </c>
      <c r="I301" s="62" t="s">
        <v>973</v>
      </c>
      <c r="K301" s="36" t="s">
        <v>169</v>
      </c>
      <c r="L301" t="s">
        <v>69</v>
      </c>
      <c r="M301" s="62" t="s">
        <v>170</v>
      </c>
      <c r="N301" t="s">
        <v>71</v>
      </c>
      <c r="O301" t="str">
        <f>IFERROR(IF(Tbla_actores[[#This Row],[codigo_proyecto]]="","",_xlfn.XLOOKUP(Tbla_actores[[#This Row],[codigo_proyecto]],Proyectos!$A:$A,Proyectos!$C:$C)),"")</f>
        <v>NULOS</v>
      </c>
    </row>
    <row r="302" spans="1:15" ht="14.25" customHeight="1">
      <c r="A302" s="9">
        <v>1020806593</v>
      </c>
      <c r="B302" s="63" t="s">
        <v>61</v>
      </c>
      <c r="C302" s="62" t="s">
        <v>634</v>
      </c>
      <c r="D302" t="s">
        <v>63</v>
      </c>
      <c r="E302" t="s">
        <v>974</v>
      </c>
      <c r="F302" s="61">
        <v>34865</v>
      </c>
      <c r="G302" s="15" t="s">
        <v>65</v>
      </c>
      <c r="H302" t="s">
        <v>975</v>
      </c>
      <c r="I302" s="62" t="s">
        <v>976</v>
      </c>
      <c r="K302" s="36" t="s">
        <v>169</v>
      </c>
      <c r="L302" t="s">
        <v>69</v>
      </c>
      <c r="M302" s="62" t="s">
        <v>170</v>
      </c>
      <c r="N302" t="s">
        <v>71</v>
      </c>
      <c r="O302" t="str">
        <f>IFERROR(IF(Tbla_actores[[#This Row],[codigo_proyecto]]="","",_xlfn.XLOOKUP(Tbla_actores[[#This Row],[codigo_proyecto]],Proyectos!$A:$A,Proyectos!$C:$C)),"")</f>
        <v>NULOS</v>
      </c>
    </row>
    <row r="303" spans="1:15" ht="14.25" customHeight="1">
      <c r="A303" s="10">
        <v>1018488207</v>
      </c>
      <c r="B303" s="64" t="s">
        <v>61</v>
      </c>
      <c r="C303" s="62" t="s">
        <v>634</v>
      </c>
      <c r="D303" t="s">
        <v>63</v>
      </c>
      <c r="E303" t="s">
        <v>977</v>
      </c>
      <c r="F303" s="61">
        <v>35301</v>
      </c>
      <c r="G303" s="15" t="s">
        <v>73</v>
      </c>
      <c r="H303" t="s">
        <v>978</v>
      </c>
      <c r="I303" s="62" t="s">
        <v>979</v>
      </c>
      <c r="K303" s="36" t="s">
        <v>169</v>
      </c>
      <c r="L303" t="s">
        <v>69</v>
      </c>
      <c r="M303" s="62" t="s">
        <v>170</v>
      </c>
      <c r="N303" t="s">
        <v>71</v>
      </c>
      <c r="O303" t="str">
        <f>IFERROR(IF(Tbla_actores[[#This Row],[codigo_proyecto]]="","",_xlfn.XLOOKUP(Tbla_actores[[#This Row],[codigo_proyecto]],Proyectos!$A:$A,Proyectos!$C:$C)),"")</f>
        <v>NULOS</v>
      </c>
    </row>
    <row r="304" spans="1:15" ht="14.25" customHeight="1">
      <c r="A304" s="9">
        <v>1049641356</v>
      </c>
      <c r="B304" s="63" t="s">
        <v>61</v>
      </c>
      <c r="C304" s="62" t="s">
        <v>634</v>
      </c>
      <c r="D304" t="s">
        <v>63</v>
      </c>
      <c r="E304" t="s">
        <v>980</v>
      </c>
      <c r="F304" s="61">
        <v>34772</v>
      </c>
      <c r="G304" s="15" t="s">
        <v>65</v>
      </c>
      <c r="H304" t="s">
        <v>981</v>
      </c>
      <c r="I304" s="62" t="s">
        <v>982</v>
      </c>
      <c r="K304" s="36" t="s">
        <v>169</v>
      </c>
      <c r="L304" t="s">
        <v>69</v>
      </c>
      <c r="M304" s="62" t="s">
        <v>170</v>
      </c>
      <c r="N304" t="s">
        <v>71</v>
      </c>
      <c r="O304" t="str">
        <f>IFERROR(IF(Tbla_actores[[#This Row],[codigo_proyecto]]="","",_xlfn.XLOOKUP(Tbla_actores[[#This Row],[codigo_proyecto]],Proyectos!$A:$A,Proyectos!$C:$C)),"")</f>
        <v>NULOS</v>
      </c>
    </row>
    <row r="305" spans="1:15" ht="14.25" customHeight="1">
      <c r="A305" s="10">
        <v>1018484890</v>
      </c>
      <c r="B305" s="64" t="s">
        <v>61</v>
      </c>
      <c r="C305" s="62" t="s">
        <v>634</v>
      </c>
      <c r="D305" t="s">
        <v>63</v>
      </c>
      <c r="E305" t="s">
        <v>983</v>
      </c>
      <c r="F305" s="61">
        <v>35144</v>
      </c>
      <c r="G305" s="15" t="s">
        <v>73</v>
      </c>
      <c r="H305" t="s">
        <v>984</v>
      </c>
      <c r="I305" s="62" t="s">
        <v>985</v>
      </c>
      <c r="K305" s="36" t="s">
        <v>169</v>
      </c>
      <c r="L305" t="s">
        <v>69</v>
      </c>
      <c r="M305" s="62" t="s">
        <v>170</v>
      </c>
      <c r="N305" t="s">
        <v>71</v>
      </c>
      <c r="O305" t="str">
        <f>IFERROR(IF(Tbla_actores[[#This Row],[codigo_proyecto]]="","",_xlfn.XLOOKUP(Tbla_actores[[#This Row],[codigo_proyecto]],Proyectos!$A:$A,Proyectos!$C:$C)),"")</f>
        <v>NULOS</v>
      </c>
    </row>
    <row r="306" spans="1:15" ht="14.25" customHeight="1">
      <c r="A306" s="9">
        <v>1007334204</v>
      </c>
      <c r="B306" s="63" t="s">
        <v>61</v>
      </c>
      <c r="C306" s="62" t="s">
        <v>634</v>
      </c>
      <c r="D306" t="s">
        <v>63</v>
      </c>
      <c r="E306" t="s">
        <v>986</v>
      </c>
      <c r="F306" s="61">
        <v>36510</v>
      </c>
      <c r="G306" s="15" t="s">
        <v>65</v>
      </c>
      <c r="H306" t="s">
        <v>987</v>
      </c>
      <c r="I306" s="62" t="s">
        <v>988</v>
      </c>
      <c r="K306" s="36" t="s">
        <v>169</v>
      </c>
      <c r="L306" t="s">
        <v>69</v>
      </c>
      <c r="M306" s="62" t="s">
        <v>170</v>
      </c>
      <c r="N306" t="s">
        <v>71</v>
      </c>
      <c r="O306" t="str">
        <f>IFERROR(IF(Tbla_actores[[#This Row],[codigo_proyecto]]="","",_xlfn.XLOOKUP(Tbla_actores[[#This Row],[codigo_proyecto]],Proyectos!$A:$A,Proyectos!$C:$C)),"")</f>
        <v>NULOS</v>
      </c>
    </row>
    <row r="307" spans="1:15" ht="14.25" customHeight="1">
      <c r="A307" s="10">
        <v>1022406561</v>
      </c>
      <c r="B307" s="64" t="s">
        <v>61</v>
      </c>
      <c r="C307" s="62" t="s">
        <v>634</v>
      </c>
      <c r="D307" t="s">
        <v>63</v>
      </c>
      <c r="E307" t="s">
        <v>989</v>
      </c>
      <c r="F307" s="61">
        <v>34909</v>
      </c>
      <c r="G307" s="15" t="s">
        <v>73</v>
      </c>
      <c r="H307" t="s">
        <v>990</v>
      </c>
      <c r="I307" s="62" t="s">
        <v>991</v>
      </c>
      <c r="K307" s="36" t="s">
        <v>169</v>
      </c>
      <c r="L307" t="s">
        <v>69</v>
      </c>
      <c r="M307" s="62" t="s">
        <v>170</v>
      </c>
      <c r="N307" t="s">
        <v>71</v>
      </c>
      <c r="O307" t="str">
        <f>IFERROR(IF(Tbla_actores[[#This Row],[codigo_proyecto]]="","",_xlfn.XLOOKUP(Tbla_actores[[#This Row],[codigo_proyecto]],Proyectos!$A:$A,Proyectos!$C:$C)),"")</f>
        <v>NULOS</v>
      </c>
    </row>
    <row r="308" spans="1:15" ht="14.25" customHeight="1">
      <c r="A308" s="9">
        <v>1019120231</v>
      </c>
      <c r="B308" s="63" t="s">
        <v>61</v>
      </c>
      <c r="C308" s="62" t="s">
        <v>634</v>
      </c>
      <c r="D308" t="s">
        <v>63</v>
      </c>
      <c r="E308" t="s">
        <v>992</v>
      </c>
      <c r="F308" s="61">
        <v>35224</v>
      </c>
      <c r="G308" s="15" t="s">
        <v>73</v>
      </c>
      <c r="H308" t="s">
        <v>993</v>
      </c>
      <c r="I308" s="62" t="s">
        <v>994</v>
      </c>
      <c r="K308" s="36" t="s">
        <v>169</v>
      </c>
      <c r="L308" t="s">
        <v>69</v>
      </c>
      <c r="M308" s="62" t="s">
        <v>170</v>
      </c>
      <c r="N308" t="s">
        <v>71</v>
      </c>
      <c r="O308" t="str">
        <f>IFERROR(IF(Tbla_actores[[#This Row],[codigo_proyecto]]="","",_xlfn.XLOOKUP(Tbla_actores[[#This Row],[codigo_proyecto]],Proyectos!$A:$A,Proyectos!$C:$C)),"")</f>
        <v>NULOS</v>
      </c>
    </row>
    <row r="309" spans="1:15" ht="14.25" customHeight="1">
      <c r="A309" s="10">
        <v>1018490823</v>
      </c>
      <c r="B309" s="64" t="s">
        <v>61</v>
      </c>
      <c r="C309" s="62" t="s">
        <v>634</v>
      </c>
      <c r="D309" t="s">
        <v>63</v>
      </c>
      <c r="E309" t="s">
        <v>995</v>
      </c>
      <c r="F309" s="61">
        <v>35395</v>
      </c>
      <c r="G309" s="15" t="s">
        <v>73</v>
      </c>
      <c r="H309" t="s">
        <v>996</v>
      </c>
      <c r="I309" s="62" t="s">
        <v>997</v>
      </c>
      <c r="K309" s="36" t="s">
        <v>169</v>
      </c>
      <c r="L309" t="s">
        <v>69</v>
      </c>
      <c r="M309" s="62" t="s">
        <v>170</v>
      </c>
      <c r="N309" t="s">
        <v>71</v>
      </c>
      <c r="O309" t="str">
        <f>IFERROR(IF(Tbla_actores[[#This Row],[codigo_proyecto]]="","",_xlfn.XLOOKUP(Tbla_actores[[#This Row],[codigo_proyecto]],Proyectos!$A:$A,Proyectos!$C:$C)),"")</f>
        <v>NULOS</v>
      </c>
    </row>
    <row r="310" spans="1:15" ht="14.25" customHeight="1">
      <c r="A310" s="9">
        <v>1020817671</v>
      </c>
      <c r="B310" s="63" t="s">
        <v>61</v>
      </c>
      <c r="C310" s="62" t="s">
        <v>634</v>
      </c>
      <c r="D310" t="s">
        <v>63</v>
      </c>
      <c r="E310" t="s">
        <v>998</v>
      </c>
      <c r="F310" s="61">
        <v>35279</v>
      </c>
      <c r="G310" s="15" t="s">
        <v>65</v>
      </c>
      <c r="H310" t="s">
        <v>999</v>
      </c>
      <c r="I310" s="62" t="s">
        <v>1000</v>
      </c>
      <c r="K310" s="36" t="s">
        <v>169</v>
      </c>
      <c r="L310" t="s">
        <v>69</v>
      </c>
      <c r="M310" s="62" t="s">
        <v>170</v>
      </c>
      <c r="N310" t="s">
        <v>71</v>
      </c>
      <c r="O310" t="str">
        <f>IFERROR(IF(Tbla_actores[[#This Row],[codigo_proyecto]]="","",_xlfn.XLOOKUP(Tbla_actores[[#This Row],[codigo_proyecto]],Proyectos!$A:$A,Proyectos!$C:$C)),"")</f>
        <v>NULOS</v>
      </c>
    </row>
    <row r="311" spans="1:15" ht="14.25" customHeight="1">
      <c r="A311" s="10">
        <v>1032480829</v>
      </c>
      <c r="B311" s="64" t="s">
        <v>61</v>
      </c>
      <c r="C311" s="62" t="s">
        <v>634</v>
      </c>
      <c r="D311" t="s">
        <v>63</v>
      </c>
      <c r="E311" t="s">
        <v>1001</v>
      </c>
      <c r="F311" s="61">
        <v>35172</v>
      </c>
      <c r="G311" s="15" t="s">
        <v>73</v>
      </c>
      <c r="H311" t="s">
        <v>1002</v>
      </c>
      <c r="I311" s="62" t="s">
        <v>1003</v>
      </c>
      <c r="K311" s="36" t="s">
        <v>169</v>
      </c>
      <c r="L311" t="s">
        <v>69</v>
      </c>
      <c r="M311" s="62" t="s">
        <v>170</v>
      </c>
      <c r="N311" t="s">
        <v>71</v>
      </c>
      <c r="O311" t="str">
        <f>IFERROR(IF(Tbla_actores[[#This Row],[codigo_proyecto]]="","",_xlfn.XLOOKUP(Tbla_actores[[#This Row],[codigo_proyecto]],Proyectos!$A:$A,Proyectos!$C:$C)),"")</f>
        <v>NULOS</v>
      </c>
    </row>
    <row r="312" spans="1:15" ht="14.25" customHeight="1">
      <c r="A312" s="9">
        <v>1020819590</v>
      </c>
      <c r="B312" s="63" t="s">
        <v>61</v>
      </c>
      <c r="C312" s="62" t="s">
        <v>634</v>
      </c>
      <c r="D312" t="s">
        <v>63</v>
      </c>
      <c r="E312" t="s">
        <v>1004</v>
      </c>
      <c r="F312" s="61">
        <v>35351</v>
      </c>
      <c r="G312" s="15" t="s">
        <v>73</v>
      </c>
      <c r="H312" t="s">
        <v>1005</v>
      </c>
      <c r="I312" s="62" t="s">
        <v>1006</v>
      </c>
      <c r="K312" s="36" t="s">
        <v>169</v>
      </c>
      <c r="L312" t="s">
        <v>69</v>
      </c>
      <c r="M312" s="62" t="s">
        <v>170</v>
      </c>
      <c r="N312" t="s">
        <v>71</v>
      </c>
      <c r="O312" t="str">
        <f>IFERROR(IF(Tbla_actores[[#This Row],[codigo_proyecto]]="","",_xlfn.XLOOKUP(Tbla_actores[[#This Row],[codigo_proyecto]],Proyectos!$A:$A,Proyectos!$C:$C)),"")</f>
        <v>NULOS</v>
      </c>
    </row>
    <row r="313" spans="1:15" ht="14.25" customHeight="1">
      <c r="A313" s="10">
        <v>9702071005</v>
      </c>
      <c r="B313" s="64" t="s">
        <v>61</v>
      </c>
      <c r="C313" s="62" t="s">
        <v>634</v>
      </c>
      <c r="D313" t="s">
        <v>63</v>
      </c>
      <c r="E313" t="s">
        <v>1007</v>
      </c>
      <c r="F313" s="61">
        <v>35468</v>
      </c>
      <c r="G313" s="15" t="s">
        <v>65</v>
      </c>
      <c r="H313" t="s">
        <v>1008</v>
      </c>
      <c r="I313" s="62" t="s">
        <v>1009</v>
      </c>
      <c r="K313" s="36" t="s">
        <v>169</v>
      </c>
      <c r="L313" t="s">
        <v>69</v>
      </c>
      <c r="M313" s="62" t="s">
        <v>170</v>
      </c>
      <c r="N313" t="s">
        <v>71</v>
      </c>
      <c r="O313" t="str">
        <f>IFERROR(IF(Tbla_actores[[#This Row],[codigo_proyecto]]="","",_xlfn.XLOOKUP(Tbla_actores[[#This Row],[codigo_proyecto]],Proyectos!$A:$A,Proyectos!$C:$C)),"")</f>
        <v>NULOS</v>
      </c>
    </row>
    <row r="314" spans="1:15" ht="14.25" customHeight="1">
      <c r="A314" s="9">
        <v>1018493227</v>
      </c>
      <c r="B314" s="63" t="s">
        <v>61</v>
      </c>
      <c r="C314" s="62" t="s">
        <v>634</v>
      </c>
      <c r="D314" t="s">
        <v>63</v>
      </c>
      <c r="E314" t="s">
        <v>1010</v>
      </c>
      <c r="F314" s="61">
        <v>35511</v>
      </c>
      <c r="G314" s="15" t="s">
        <v>65</v>
      </c>
      <c r="H314" t="s">
        <v>1011</v>
      </c>
      <c r="I314" s="62" t="s">
        <v>1012</v>
      </c>
      <c r="K314" s="36" t="s">
        <v>169</v>
      </c>
      <c r="L314" t="s">
        <v>69</v>
      </c>
      <c r="M314" s="62" t="s">
        <v>170</v>
      </c>
      <c r="N314" t="s">
        <v>71</v>
      </c>
      <c r="O314" t="str">
        <f>IFERROR(IF(Tbla_actores[[#This Row],[codigo_proyecto]]="","",_xlfn.XLOOKUP(Tbla_actores[[#This Row],[codigo_proyecto]],Proyectos!$A:$A,Proyectos!$C:$C)),"")</f>
        <v>NULOS</v>
      </c>
    </row>
    <row r="315" spans="1:15" ht="14.25" customHeight="1">
      <c r="A315" s="10">
        <v>1018495671</v>
      </c>
      <c r="B315" s="64" t="s">
        <v>61</v>
      </c>
      <c r="C315" s="62" t="s">
        <v>634</v>
      </c>
      <c r="D315" t="s">
        <v>63</v>
      </c>
      <c r="E315" t="s">
        <v>1013</v>
      </c>
      <c r="F315" s="61">
        <v>35630</v>
      </c>
      <c r="G315" s="15" t="s">
        <v>73</v>
      </c>
      <c r="H315" t="s">
        <v>1014</v>
      </c>
      <c r="I315" s="62" t="s">
        <v>1015</v>
      </c>
      <c r="K315" s="36" t="s">
        <v>169</v>
      </c>
      <c r="L315" t="s">
        <v>69</v>
      </c>
      <c r="M315" s="62" t="s">
        <v>170</v>
      </c>
      <c r="N315" t="s">
        <v>71</v>
      </c>
      <c r="O315" t="str">
        <f>IFERROR(IF(Tbla_actores[[#This Row],[codigo_proyecto]]="","",_xlfn.XLOOKUP(Tbla_actores[[#This Row],[codigo_proyecto]],Proyectos!$A:$A,Proyectos!$C:$C)),"")</f>
        <v>NULOS</v>
      </c>
    </row>
    <row r="316" spans="1:15" ht="14.25" customHeight="1">
      <c r="A316" s="9">
        <v>1020825086</v>
      </c>
      <c r="B316" s="63" t="s">
        <v>61</v>
      </c>
      <c r="C316" s="62" t="s">
        <v>634</v>
      </c>
      <c r="D316" t="s">
        <v>63</v>
      </c>
      <c r="E316" t="s">
        <v>1016</v>
      </c>
      <c r="F316" s="61">
        <v>35549</v>
      </c>
      <c r="G316" s="15" t="s">
        <v>65</v>
      </c>
      <c r="H316" t="s">
        <v>1017</v>
      </c>
      <c r="I316" s="62" t="s">
        <v>1018</v>
      </c>
      <c r="K316" s="36" t="s">
        <v>169</v>
      </c>
      <c r="L316" t="s">
        <v>69</v>
      </c>
      <c r="M316" s="62" t="s">
        <v>170</v>
      </c>
      <c r="N316" t="s">
        <v>71</v>
      </c>
      <c r="O316" t="str">
        <f>IFERROR(IF(Tbla_actores[[#This Row],[codigo_proyecto]]="","",_xlfn.XLOOKUP(Tbla_actores[[#This Row],[codigo_proyecto]],Proyectos!$A:$A,Proyectos!$C:$C)),"")</f>
        <v>NULOS</v>
      </c>
    </row>
    <row r="317" spans="1:15" ht="14.25" customHeight="1">
      <c r="A317" s="10">
        <v>1022432432</v>
      </c>
      <c r="B317" s="64" t="s">
        <v>61</v>
      </c>
      <c r="C317" s="62" t="s">
        <v>634</v>
      </c>
      <c r="D317" t="s">
        <v>63</v>
      </c>
      <c r="E317" t="s">
        <v>1019</v>
      </c>
      <c r="F317" s="61">
        <v>35735</v>
      </c>
      <c r="G317" s="15" t="s">
        <v>73</v>
      </c>
      <c r="H317" t="s">
        <v>1020</v>
      </c>
      <c r="I317" s="62" t="s">
        <v>1021</v>
      </c>
      <c r="K317" s="36" t="s">
        <v>169</v>
      </c>
      <c r="L317" t="s">
        <v>69</v>
      </c>
      <c r="M317" s="62" t="s">
        <v>170</v>
      </c>
      <c r="N317" t="s">
        <v>71</v>
      </c>
      <c r="O317" t="str">
        <f>IFERROR(IF(Tbla_actores[[#This Row],[codigo_proyecto]]="","",_xlfn.XLOOKUP(Tbla_actores[[#This Row],[codigo_proyecto]],Proyectos!$A:$A,Proyectos!$C:$C)),"")</f>
        <v>NULOS</v>
      </c>
    </row>
    <row r="318" spans="1:15" ht="14.25" customHeight="1">
      <c r="A318" s="9">
        <v>1018502464</v>
      </c>
      <c r="B318" s="63" t="s">
        <v>61</v>
      </c>
      <c r="C318" s="62" t="s">
        <v>634</v>
      </c>
      <c r="D318" t="s">
        <v>63</v>
      </c>
      <c r="E318" t="s">
        <v>1022</v>
      </c>
      <c r="F318" s="61">
        <v>35902</v>
      </c>
      <c r="G318" s="15" t="s">
        <v>73</v>
      </c>
      <c r="H318" t="s">
        <v>1023</v>
      </c>
      <c r="I318" s="62" t="s">
        <v>1024</v>
      </c>
      <c r="K318" s="36" t="s">
        <v>169</v>
      </c>
      <c r="L318" t="s">
        <v>69</v>
      </c>
      <c r="M318" s="62" t="s">
        <v>170</v>
      </c>
      <c r="N318" t="s">
        <v>71</v>
      </c>
      <c r="O318" t="str">
        <f>IFERROR(IF(Tbla_actores[[#This Row],[codigo_proyecto]]="","",_xlfn.XLOOKUP(Tbla_actores[[#This Row],[codigo_proyecto]],Proyectos!$A:$A,Proyectos!$C:$C)),"")</f>
        <v>NULOS</v>
      </c>
    </row>
    <row r="319" spans="1:15" ht="14.25" customHeight="1">
      <c r="A319" s="10">
        <v>1136887944</v>
      </c>
      <c r="B319" s="64" t="s">
        <v>61</v>
      </c>
      <c r="C319" s="62" t="s">
        <v>634</v>
      </c>
      <c r="D319" t="s">
        <v>63</v>
      </c>
      <c r="E319" t="s">
        <v>1025</v>
      </c>
      <c r="F319" s="61">
        <v>35247</v>
      </c>
      <c r="G319" s="15" t="s">
        <v>73</v>
      </c>
      <c r="H319" t="s">
        <v>1026</v>
      </c>
      <c r="I319" s="62" t="s">
        <v>1027</v>
      </c>
      <c r="K319" s="36" t="s">
        <v>169</v>
      </c>
      <c r="L319" t="s">
        <v>69</v>
      </c>
      <c r="M319" s="62" t="s">
        <v>170</v>
      </c>
      <c r="N319" t="s">
        <v>71</v>
      </c>
      <c r="O319" t="str">
        <f>IFERROR(IF(Tbla_actores[[#This Row],[codigo_proyecto]]="","",_xlfn.XLOOKUP(Tbla_actores[[#This Row],[codigo_proyecto]],Proyectos!$A:$A,Proyectos!$C:$C)),"")</f>
        <v>NULOS</v>
      </c>
    </row>
    <row r="320" spans="1:15" ht="14.25" customHeight="1">
      <c r="A320" s="9">
        <v>1052406560</v>
      </c>
      <c r="B320" s="63" t="s">
        <v>61</v>
      </c>
      <c r="C320" s="62" t="s">
        <v>634</v>
      </c>
      <c r="D320" t="s">
        <v>63</v>
      </c>
      <c r="E320" t="s">
        <v>1028</v>
      </c>
      <c r="F320" s="61">
        <v>35085</v>
      </c>
      <c r="G320" s="15" t="s">
        <v>73</v>
      </c>
      <c r="H320" t="s">
        <v>1029</v>
      </c>
      <c r="I320" s="62" t="s">
        <v>1030</v>
      </c>
      <c r="K320" s="36" t="s">
        <v>169</v>
      </c>
      <c r="L320" t="s">
        <v>69</v>
      </c>
      <c r="M320" s="62" t="s">
        <v>170</v>
      </c>
      <c r="N320" t="s">
        <v>71</v>
      </c>
      <c r="O320" t="str">
        <f>IFERROR(IF(Tbla_actores[[#This Row],[codigo_proyecto]]="","",_xlfn.XLOOKUP(Tbla_actores[[#This Row],[codigo_proyecto]],Proyectos!$A:$A,Proyectos!$C:$C)),"")</f>
        <v>NULOS</v>
      </c>
    </row>
    <row r="321" spans="1:15" ht="14.25" customHeight="1">
      <c r="A321" s="10">
        <v>1018469285</v>
      </c>
      <c r="B321" s="64" t="s">
        <v>61</v>
      </c>
      <c r="C321" s="62" t="s">
        <v>634</v>
      </c>
      <c r="D321" t="s">
        <v>63</v>
      </c>
      <c r="E321" t="s">
        <v>1031</v>
      </c>
      <c r="F321" s="61">
        <v>34572</v>
      </c>
      <c r="G321" s="15" t="s">
        <v>73</v>
      </c>
      <c r="H321" t="s">
        <v>1032</v>
      </c>
      <c r="I321" s="62" t="s">
        <v>1033</v>
      </c>
      <c r="K321" s="36" t="s">
        <v>169</v>
      </c>
      <c r="L321" t="s">
        <v>69</v>
      </c>
      <c r="M321" s="62" t="s">
        <v>170</v>
      </c>
      <c r="N321" t="s">
        <v>71</v>
      </c>
      <c r="O321" t="str">
        <f>IFERROR(IF(Tbla_actores[[#This Row],[codigo_proyecto]]="","",_xlfn.XLOOKUP(Tbla_actores[[#This Row],[codigo_proyecto]],Proyectos!$A:$A,Proyectos!$C:$C)),"")</f>
        <v>NULOS</v>
      </c>
    </row>
    <row r="322" spans="1:15" ht="14.25" customHeight="1">
      <c r="A322" s="9">
        <v>1020816550</v>
      </c>
      <c r="B322" s="63" t="s">
        <v>61</v>
      </c>
      <c r="C322" s="62" t="s">
        <v>634</v>
      </c>
      <c r="D322" t="s">
        <v>63</v>
      </c>
      <c r="E322" t="s">
        <v>1034</v>
      </c>
      <c r="F322" s="61">
        <v>35245</v>
      </c>
      <c r="G322" s="15" t="s">
        <v>65</v>
      </c>
      <c r="H322" t="s">
        <v>1035</v>
      </c>
      <c r="I322" s="62" t="s">
        <v>1036</v>
      </c>
      <c r="K322" s="36" t="s">
        <v>169</v>
      </c>
      <c r="L322" t="s">
        <v>69</v>
      </c>
      <c r="M322" s="62" t="s">
        <v>170</v>
      </c>
      <c r="N322" t="s">
        <v>71</v>
      </c>
      <c r="O322" t="str">
        <f>IFERROR(IF(Tbla_actores[[#This Row],[codigo_proyecto]]="","",_xlfn.XLOOKUP(Tbla_actores[[#This Row],[codigo_proyecto]],Proyectos!$A:$A,Proyectos!$C:$C)),"")</f>
        <v>NULOS</v>
      </c>
    </row>
    <row r="323" spans="1:15" ht="14.25" customHeight="1">
      <c r="A323" s="10">
        <v>1018464742</v>
      </c>
      <c r="B323" s="64" t="s">
        <v>61</v>
      </c>
      <c r="C323" s="62" t="s">
        <v>634</v>
      </c>
      <c r="D323" t="s">
        <v>63</v>
      </c>
      <c r="E323" t="s">
        <v>1037</v>
      </c>
      <c r="F323" s="61">
        <v>34373</v>
      </c>
      <c r="G323" s="15" t="s">
        <v>65</v>
      </c>
      <c r="H323" t="s">
        <v>1038</v>
      </c>
      <c r="I323" s="62" t="s">
        <v>1039</v>
      </c>
      <c r="K323" s="36" t="s">
        <v>169</v>
      </c>
      <c r="L323" t="s">
        <v>69</v>
      </c>
      <c r="M323" s="62" t="s">
        <v>170</v>
      </c>
      <c r="N323" t="s">
        <v>71</v>
      </c>
      <c r="O323" t="str">
        <f>IFERROR(IF(Tbla_actores[[#This Row],[codigo_proyecto]]="","",_xlfn.XLOOKUP(Tbla_actores[[#This Row],[codigo_proyecto]],Proyectos!$A:$A,Proyectos!$C:$C)),"")</f>
        <v>NULOS</v>
      </c>
    </row>
    <row r="324" spans="1:15" ht="14.25" customHeight="1">
      <c r="A324" s="9">
        <v>1082781184</v>
      </c>
      <c r="B324" s="63" t="s">
        <v>61</v>
      </c>
      <c r="C324" s="62" t="s">
        <v>634</v>
      </c>
      <c r="D324" t="s">
        <v>63</v>
      </c>
      <c r="E324" t="s">
        <v>1040</v>
      </c>
      <c r="F324" s="61">
        <v>35956</v>
      </c>
      <c r="G324" s="15" t="s">
        <v>65</v>
      </c>
      <c r="H324" t="s">
        <v>1041</v>
      </c>
      <c r="I324" s="62" t="s">
        <v>1042</v>
      </c>
      <c r="K324" s="36" t="s">
        <v>169</v>
      </c>
      <c r="L324" t="s">
        <v>69</v>
      </c>
      <c r="M324" s="62" t="s">
        <v>170</v>
      </c>
      <c r="N324" t="s">
        <v>71</v>
      </c>
      <c r="O324" t="str">
        <f>IFERROR(IF(Tbla_actores[[#This Row],[codigo_proyecto]]="","",_xlfn.XLOOKUP(Tbla_actores[[#This Row],[codigo_proyecto]],Proyectos!$A:$A,Proyectos!$C:$C)),"")</f>
        <v>NULOS</v>
      </c>
    </row>
    <row r="325" spans="1:15" ht="14.25" customHeight="1">
      <c r="A325" s="10">
        <v>1018502715</v>
      </c>
      <c r="B325" s="64" t="s">
        <v>61</v>
      </c>
      <c r="C325" s="62" t="s">
        <v>634</v>
      </c>
      <c r="D325" t="s">
        <v>63</v>
      </c>
      <c r="E325" t="s">
        <v>1043</v>
      </c>
      <c r="F325" s="61">
        <v>35913</v>
      </c>
      <c r="G325" s="15" t="s">
        <v>65</v>
      </c>
      <c r="H325" t="s">
        <v>1044</v>
      </c>
      <c r="I325" s="62" t="s">
        <v>1045</v>
      </c>
      <c r="K325" s="36" t="s">
        <v>169</v>
      </c>
      <c r="L325" t="s">
        <v>69</v>
      </c>
      <c r="M325" s="62" t="s">
        <v>170</v>
      </c>
      <c r="N325" t="s">
        <v>71</v>
      </c>
      <c r="O325" t="str">
        <f>IFERROR(IF(Tbla_actores[[#This Row],[codigo_proyecto]]="","",_xlfn.XLOOKUP(Tbla_actores[[#This Row],[codigo_proyecto]],Proyectos!$A:$A,Proyectos!$C:$C)),"")</f>
        <v>NULOS</v>
      </c>
    </row>
    <row r="326" spans="1:15" ht="14.25" customHeight="1">
      <c r="A326" s="9">
        <v>1032473949</v>
      </c>
      <c r="B326" s="63" t="s">
        <v>61</v>
      </c>
      <c r="C326" s="62" t="s">
        <v>634</v>
      </c>
      <c r="D326" t="s">
        <v>63</v>
      </c>
      <c r="E326" t="s">
        <v>1046</v>
      </c>
      <c r="F326" s="61">
        <v>34860</v>
      </c>
      <c r="G326" s="15" t="s">
        <v>65</v>
      </c>
      <c r="H326" t="s">
        <v>1047</v>
      </c>
      <c r="I326" s="62" t="s">
        <v>1048</v>
      </c>
      <c r="K326" s="36" t="s">
        <v>169</v>
      </c>
      <c r="L326" t="s">
        <v>69</v>
      </c>
      <c r="M326" s="62" t="s">
        <v>170</v>
      </c>
      <c r="N326" t="s">
        <v>71</v>
      </c>
      <c r="O326" t="str">
        <f>IFERROR(IF(Tbla_actores[[#This Row],[codigo_proyecto]]="","",_xlfn.XLOOKUP(Tbla_actores[[#This Row],[codigo_proyecto]],Proyectos!$A:$A,Proyectos!$C:$C)),"")</f>
        <v>NULOS</v>
      </c>
    </row>
    <row r="327" spans="1:15" ht="14.25" customHeight="1">
      <c r="A327" s="10">
        <v>1019140169</v>
      </c>
      <c r="B327" s="64" t="s">
        <v>61</v>
      </c>
      <c r="C327" s="62" t="s">
        <v>634</v>
      </c>
      <c r="D327" t="s">
        <v>63</v>
      </c>
      <c r="E327" t="s">
        <v>1049</v>
      </c>
      <c r="F327" s="61">
        <v>35937</v>
      </c>
      <c r="G327" s="15" t="s">
        <v>65</v>
      </c>
      <c r="H327" t="s">
        <v>1050</v>
      </c>
      <c r="I327" s="62" t="s">
        <v>1051</v>
      </c>
      <c r="K327" s="36" t="s">
        <v>169</v>
      </c>
      <c r="L327" t="s">
        <v>69</v>
      </c>
      <c r="M327" s="62" t="s">
        <v>170</v>
      </c>
      <c r="N327" t="s">
        <v>71</v>
      </c>
      <c r="O327" t="str">
        <f>IFERROR(IF(Tbla_actores[[#This Row],[codigo_proyecto]]="","",_xlfn.XLOOKUP(Tbla_actores[[#This Row],[codigo_proyecto]],Proyectos!$A:$A,Proyectos!$C:$C)),"")</f>
        <v>NULOS</v>
      </c>
    </row>
    <row r="328" spans="1:15" ht="14.25" customHeight="1">
      <c r="A328" s="9">
        <v>1000706513</v>
      </c>
      <c r="B328" s="63" t="s">
        <v>61</v>
      </c>
      <c r="C328" s="62" t="s">
        <v>634</v>
      </c>
      <c r="D328" t="s">
        <v>63</v>
      </c>
      <c r="E328" t="s">
        <v>1052</v>
      </c>
      <c r="F328" s="61">
        <v>36570</v>
      </c>
      <c r="G328" s="15" t="s">
        <v>73</v>
      </c>
      <c r="H328" t="s">
        <v>1053</v>
      </c>
      <c r="I328" s="62" t="s">
        <v>1054</v>
      </c>
      <c r="K328" s="36" t="s">
        <v>169</v>
      </c>
      <c r="L328" t="s">
        <v>69</v>
      </c>
      <c r="M328" s="62" t="s">
        <v>170</v>
      </c>
      <c r="N328" t="s">
        <v>71</v>
      </c>
      <c r="O328" t="str">
        <f>IFERROR(IF(Tbla_actores[[#This Row],[codigo_proyecto]]="","",_xlfn.XLOOKUP(Tbla_actores[[#This Row],[codigo_proyecto]],Proyectos!$A:$A,Proyectos!$C:$C)),"")</f>
        <v>NULOS</v>
      </c>
    </row>
    <row r="329" spans="1:15" ht="14.25" customHeight="1">
      <c r="A329" s="10">
        <v>1015482645</v>
      </c>
      <c r="B329" s="64" t="s">
        <v>61</v>
      </c>
      <c r="C329" s="62" t="s">
        <v>634</v>
      </c>
      <c r="D329" t="s">
        <v>63</v>
      </c>
      <c r="E329" t="s">
        <v>1055</v>
      </c>
      <c r="F329" s="61">
        <v>36399</v>
      </c>
      <c r="G329" s="15" t="s">
        <v>73</v>
      </c>
      <c r="H329" t="s">
        <v>1056</v>
      </c>
      <c r="I329" s="62" t="s">
        <v>1057</v>
      </c>
      <c r="K329" s="36" t="s">
        <v>169</v>
      </c>
      <c r="L329" t="s">
        <v>69</v>
      </c>
      <c r="M329" s="62" t="s">
        <v>170</v>
      </c>
      <c r="N329" t="s">
        <v>71</v>
      </c>
      <c r="O329" t="str">
        <f>IFERROR(IF(Tbla_actores[[#This Row],[codigo_proyecto]]="","",_xlfn.XLOOKUP(Tbla_actores[[#This Row],[codigo_proyecto]],Proyectos!$A:$A,Proyectos!$C:$C)),"")</f>
        <v>NULOS</v>
      </c>
    </row>
    <row r="330" spans="1:15" ht="14.25" customHeight="1">
      <c r="A330" s="9">
        <v>1015393821</v>
      </c>
      <c r="B330" s="63" t="s">
        <v>61</v>
      </c>
      <c r="C330" s="62" t="s">
        <v>634</v>
      </c>
      <c r="D330" t="s">
        <v>63</v>
      </c>
      <c r="E330" t="s">
        <v>1058</v>
      </c>
      <c r="F330" s="61">
        <v>31509</v>
      </c>
      <c r="G330" s="15" t="s">
        <v>73</v>
      </c>
      <c r="H330" t="s">
        <v>1059</v>
      </c>
      <c r="I330" s="62" t="s">
        <v>1060</v>
      </c>
      <c r="K330" s="36" t="s">
        <v>169</v>
      </c>
      <c r="L330" t="s">
        <v>69</v>
      </c>
      <c r="M330" s="62" t="s">
        <v>170</v>
      </c>
      <c r="N330" t="s">
        <v>71</v>
      </c>
      <c r="O330" t="str">
        <f>IFERROR(IF(Tbla_actores[[#This Row],[codigo_proyecto]]="","",_xlfn.XLOOKUP(Tbla_actores[[#This Row],[codigo_proyecto]],Proyectos!$A:$A,Proyectos!$C:$C)),"")</f>
        <v>NULOS</v>
      </c>
    </row>
    <row r="331" spans="1:15" ht="14.25" customHeight="1">
      <c r="A331" s="10">
        <v>1026596516</v>
      </c>
      <c r="B331" s="64" t="s">
        <v>61</v>
      </c>
      <c r="C331" s="62" t="s">
        <v>634</v>
      </c>
      <c r="D331" t="s">
        <v>63</v>
      </c>
      <c r="E331" t="s">
        <v>1061</v>
      </c>
      <c r="F331" s="61">
        <v>36178</v>
      </c>
      <c r="G331" s="15" t="s">
        <v>73</v>
      </c>
      <c r="H331" t="s">
        <v>1062</v>
      </c>
      <c r="I331" s="62" t="s">
        <v>1063</v>
      </c>
      <c r="K331" s="36" t="s">
        <v>169</v>
      </c>
      <c r="L331" t="s">
        <v>69</v>
      </c>
      <c r="M331" s="62" t="s">
        <v>170</v>
      </c>
      <c r="N331" t="s">
        <v>71</v>
      </c>
      <c r="O331" t="str">
        <f>IFERROR(IF(Tbla_actores[[#This Row],[codigo_proyecto]]="","",_xlfn.XLOOKUP(Tbla_actores[[#This Row],[codigo_proyecto]],Proyectos!$A:$A,Proyectos!$C:$C)),"")</f>
        <v>NULOS</v>
      </c>
    </row>
    <row r="332" spans="1:15" ht="14.25" customHeight="1">
      <c r="A332" s="9">
        <v>1032496165</v>
      </c>
      <c r="B332" s="63" t="s">
        <v>61</v>
      </c>
      <c r="C332" s="62" t="s">
        <v>634</v>
      </c>
      <c r="D332" t="s">
        <v>63</v>
      </c>
      <c r="E332" t="s">
        <v>1064</v>
      </c>
      <c r="F332" s="61">
        <v>35833</v>
      </c>
      <c r="G332" s="15" t="s">
        <v>73</v>
      </c>
      <c r="H332" t="s">
        <v>1065</v>
      </c>
      <c r="I332" s="62" t="s">
        <v>1066</v>
      </c>
      <c r="K332" s="36" t="s">
        <v>169</v>
      </c>
      <c r="L332" t="s">
        <v>69</v>
      </c>
      <c r="M332" s="62" t="s">
        <v>170</v>
      </c>
      <c r="N332" t="s">
        <v>71</v>
      </c>
      <c r="O332" t="str">
        <f>IFERROR(IF(Tbla_actores[[#This Row],[codigo_proyecto]]="","",_xlfn.XLOOKUP(Tbla_actores[[#This Row],[codigo_proyecto]],Proyectos!$A:$A,Proyectos!$C:$C)),"")</f>
        <v>NULOS</v>
      </c>
    </row>
    <row r="333" spans="1:15" ht="14.25" customHeight="1">
      <c r="A333" s="10">
        <v>1020795953</v>
      </c>
      <c r="B333" s="64" t="s">
        <v>61</v>
      </c>
      <c r="C333" s="62" t="s">
        <v>634</v>
      </c>
      <c r="D333" t="s">
        <v>63</v>
      </c>
      <c r="E333" t="s">
        <v>1067</v>
      </c>
      <c r="F333" s="61">
        <v>34531</v>
      </c>
      <c r="G333" s="15" t="s">
        <v>73</v>
      </c>
      <c r="H333" t="s">
        <v>1068</v>
      </c>
      <c r="I333" s="62" t="s">
        <v>1069</v>
      </c>
      <c r="K333" s="36" t="s">
        <v>169</v>
      </c>
      <c r="L333" t="s">
        <v>69</v>
      </c>
      <c r="M333" s="62" t="s">
        <v>170</v>
      </c>
      <c r="N333" t="s">
        <v>71</v>
      </c>
      <c r="O333" t="str">
        <f>IFERROR(IF(Tbla_actores[[#This Row],[codigo_proyecto]]="","",_xlfn.XLOOKUP(Tbla_actores[[#This Row],[codigo_proyecto]],Proyectos!$A:$A,Proyectos!$C:$C)),"")</f>
        <v>NULOS</v>
      </c>
    </row>
    <row r="334" spans="1:15" ht="14.25" customHeight="1">
      <c r="A334" s="9">
        <v>1070331455</v>
      </c>
      <c r="B334" s="63" t="s">
        <v>61</v>
      </c>
      <c r="C334" s="62" t="s">
        <v>634</v>
      </c>
      <c r="D334" t="s">
        <v>63</v>
      </c>
      <c r="E334" t="s">
        <v>1070</v>
      </c>
      <c r="F334" s="61">
        <v>35344</v>
      </c>
      <c r="G334" s="15" t="s">
        <v>73</v>
      </c>
      <c r="H334" t="s">
        <v>1071</v>
      </c>
      <c r="I334" s="62" t="s">
        <v>1072</v>
      </c>
      <c r="K334" s="36" t="s">
        <v>169</v>
      </c>
      <c r="L334" t="s">
        <v>69</v>
      </c>
      <c r="M334" s="62" t="s">
        <v>170</v>
      </c>
      <c r="N334" t="s">
        <v>71</v>
      </c>
      <c r="O334" t="str">
        <f>IFERROR(IF(Tbla_actores[[#This Row],[codigo_proyecto]]="","",_xlfn.XLOOKUP(Tbla_actores[[#This Row],[codigo_proyecto]],Proyectos!$A:$A,Proyectos!$C:$C)),"")</f>
        <v>NULOS</v>
      </c>
    </row>
    <row r="335" spans="1:15" ht="14.25" customHeight="1">
      <c r="A335" s="10">
        <v>1233899089</v>
      </c>
      <c r="B335" s="64" t="s">
        <v>61</v>
      </c>
      <c r="C335" s="62" t="s">
        <v>634</v>
      </c>
      <c r="D335" t="s">
        <v>63</v>
      </c>
      <c r="E335" t="s">
        <v>1073</v>
      </c>
      <c r="F335" s="61">
        <v>35957</v>
      </c>
      <c r="G335" s="15" t="s">
        <v>73</v>
      </c>
      <c r="H335" t="s">
        <v>1074</v>
      </c>
      <c r="I335" s="62" t="s">
        <v>1075</v>
      </c>
      <c r="K335" s="36" t="s">
        <v>169</v>
      </c>
      <c r="L335" t="s">
        <v>69</v>
      </c>
      <c r="M335" s="62" t="s">
        <v>170</v>
      </c>
      <c r="N335" t="s">
        <v>71</v>
      </c>
      <c r="O335" t="str">
        <f>IFERROR(IF(Tbla_actores[[#This Row],[codigo_proyecto]]="","",_xlfn.XLOOKUP(Tbla_actores[[#This Row],[codigo_proyecto]],Proyectos!$A:$A,Proyectos!$C:$C)),"")</f>
        <v>NULOS</v>
      </c>
    </row>
    <row r="336" spans="1:15" ht="14.25" customHeight="1">
      <c r="A336" s="9">
        <v>1020827312</v>
      </c>
      <c r="B336" s="63" t="s">
        <v>61</v>
      </c>
      <c r="C336" s="62" t="s">
        <v>634</v>
      </c>
      <c r="D336" t="s">
        <v>63</v>
      </c>
      <c r="E336" t="s">
        <v>1076</v>
      </c>
      <c r="F336" s="61">
        <v>35619</v>
      </c>
      <c r="G336" s="15" t="s">
        <v>65</v>
      </c>
      <c r="H336" t="s">
        <v>1077</v>
      </c>
      <c r="I336" s="62" t="s">
        <v>1078</v>
      </c>
      <c r="K336" s="36" t="s">
        <v>169</v>
      </c>
      <c r="L336" t="s">
        <v>69</v>
      </c>
      <c r="M336" s="62" t="s">
        <v>170</v>
      </c>
      <c r="N336" t="s">
        <v>71</v>
      </c>
      <c r="O336" t="str">
        <f>IFERROR(IF(Tbla_actores[[#This Row],[codigo_proyecto]]="","",_xlfn.XLOOKUP(Tbla_actores[[#This Row],[codigo_proyecto]],Proyectos!$A:$A,Proyectos!$C:$C)),"")</f>
        <v>NULOS</v>
      </c>
    </row>
    <row r="337" spans="1:15" ht="14.25" customHeight="1">
      <c r="A337" s="10">
        <v>1015472746</v>
      </c>
      <c r="B337" s="64" t="s">
        <v>61</v>
      </c>
      <c r="C337" s="62" t="s">
        <v>634</v>
      </c>
      <c r="D337" t="s">
        <v>63</v>
      </c>
      <c r="E337" t="s">
        <v>1079</v>
      </c>
      <c r="F337" s="61">
        <v>35784</v>
      </c>
      <c r="G337" s="15" t="s">
        <v>73</v>
      </c>
      <c r="H337" t="s">
        <v>1080</v>
      </c>
      <c r="I337" s="62" t="s">
        <v>1081</v>
      </c>
      <c r="K337" s="36" t="s">
        <v>169</v>
      </c>
      <c r="L337" t="s">
        <v>69</v>
      </c>
      <c r="M337" s="62" t="s">
        <v>170</v>
      </c>
      <c r="N337" t="s">
        <v>71</v>
      </c>
      <c r="O337" t="str">
        <f>IFERROR(IF(Tbla_actores[[#This Row],[codigo_proyecto]]="","",_xlfn.XLOOKUP(Tbla_actores[[#This Row],[codigo_proyecto]],Proyectos!$A:$A,Proyectos!$C:$C)),"")</f>
        <v>NULOS</v>
      </c>
    </row>
    <row r="338" spans="1:15" ht="14.25" customHeight="1">
      <c r="A338" s="9">
        <v>1020818403</v>
      </c>
      <c r="B338" s="63" t="s">
        <v>61</v>
      </c>
      <c r="C338" s="62" t="s">
        <v>634</v>
      </c>
      <c r="D338" t="s">
        <v>63</v>
      </c>
      <c r="E338" t="s">
        <v>1082</v>
      </c>
      <c r="F338" s="61">
        <v>35308</v>
      </c>
      <c r="G338" s="15" t="s">
        <v>65</v>
      </c>
      <c r="H338" t="s">
        <v>1083</v>
      </c>
      <c r="I338" s="62" t="s">
        <v>1084</v>
      </c>
      <c r="K338" s="36" t="s">
        <v>169</v>
      </c>
      <c r="L338" t="s">
        <v>69</v>
      </c>
      <c r="M338" s="62" t="s">
        <v>170</v>
      </c>
      <c r="N338" t="s">
        <v>71</v>
      </c>
      <c r="O338" t="str">
        <f>IFERROR(IF(Tbla_actores[[#This Row],[codigo_proyecto]]="","",_xlfn.XLOOKUP(Tbla_actores[[#This Row],[codigo_proyecto]],Proyectos!$A:$A,Proyectos!$C:$C)),"")</f>
        <v>NULOS</v>
      </c>
    </row>
    <row r="339" spans="1:15" ht="14.25" customHeight="1">
      <c r="A339" s="10">
        <v>1019152235</v>
      </c>
      <c r="B339" s="64" t="s">
        <v>61</v>
      </c>
      <c r="C339" s="62" t="s">
        <v>634</v>
      </c>
      <c r="D339" t="s">
        <v>63</v>
      </c>
      <c r="E339" t="s">
        <v>1085</v>
      </c>
      <c r="F339" s="61">
        <v>36446</v>
      </c>
      <c r="G339" s="15" t="s">
        <v>65</v>
      </c>
      <c r="H339" t="s">
        <v>1086</v>
      </c>
      <c r="I339" s="62" t="s">
        <v>1087</v>
      </c>
      <c r="K339" s="36" t="s">
        <v>169</v>
      </c>
      <c r="L339" t="s">
        <v>69</v>
      </c>
      <c r="M339" s="62" t="s">
        <v>170</v>
      </c>
      <c r="N339" t="s">
        <v>71</v>
      </c>
      <c r="O339" t="str">
        <f>IFERROR(IF(Tbla_actores[[#This Row],[codigo_proyecto]]="","",_xlfn.XLOOKUP(Tbla_actores[[#This Row],[codigo_proyecto]],Proyectos!$A:$A,Proyectos!$C:$C)),"")</f>
        <v>NULOS</v>
      </c>
    </row>
    <row r="340" spans="1:15" ht="14.25" customHeight="1">
      <c r="A340" s="9">
        <v>1016098468</v>
      </c>
      <c r="B340" s="63" t="s">
        <v>61</v>
      </c>
      <c r="C340" s="62" t="s">
        <v>634</v>
      </c>
      <c r="D340" t="s">
        <v>63</v>
      </c>
      <c r="E340" t="s">
        <v>1088</v>
      </c>
      <c r="F340" s="61">
        <v>35728</v>
      </c>
      <c r="G340" s="15" t="s">
        <v>65</v>
      </c>
      <c r="H340" t="s">
        <v>1089</v>
      </c>
      <c r="I340" s="62" t="s">
        <v>1090</v>
      </c>
      <c r="K340" s="36" t="s">
        <v>169</v>
      </c>
      <c r="L340" t="s">
        <v>69</v>
      </c>
      <c r="M340" s="62" t="s">
        <v>170</v>
      </c>
      <c r="N340" t="s">
        <v>71</v>
      </c>
      <c r="O340" t="str">
        <f>IFERROR(IF(Tbla_actores[[#This Row],[codigo_proyecto]]="","",_xlfn.XLOOKUP(Tbla_actores[[#This Row],[codigo_proyecto]],Proyectos!$A:$A,Proyectos!$C:$C)),"")</f>
        <v>NULOS</v>
      </c>
    </row>
    <row r="341" spans="1:15" ht="14.25" customHeight="1">
      <c r="A341" s="10">
        <v>1020818404</v>
      </c>
      <c r="B341" s="64" t="s">
        <v>61</v>
      </c>
      <c r="C341" s="62" t="s">
        <v>634</v>
      </c>
      <c r="D341" t="s">
        <v>63</v>
      </c>
      <c r="E341" t="s">
        <v>1091</v>
      </c>
      <c r="F341" s="61">
        <v>35310</v>
      </c>
      <c r="G341" s="15" t="s">
        <v>65</v>
      </c>
      <c r="H341" t="s">
        <v>1092</v>
      </c>
      <c r="I341" s="62" t="s">
        <v>1093</v>
      </c>
      <c r="K341" s="36" t="s">
        <v>169</v>
      </c>
      <c r="L341" t="s">
        <v>69</v>
      </c>
      <c r="M341" s="62" t="s">
        <v>170</v>
      </c>
      <c r="N341" t="s">
        <v>71</v>
      </c>
      <c r="O341" t="str">
        <f>IFERROR(IF(Tbla_actores[[#This Row],[codigo_proyecto]]="","",_xlfn.XLOOKUP(Tbla_actores[[#This Row],[codigo_proyecto]],Proyectos!$A:$A,Proyectos!$C:$C)),"")</f>
        <v>NULOS</v>
      </c>
    </row>
    <row r="342" spans="1:15" ht="14.25" customHeight="1">
      <c r="A342" s="9">
        <v>1068976747</v>
      </c>
      <c r="B342" s="63" t="s">
        <v>61</v>
      </c>
      <c r="C342" s="62" t="s">
        <v>634</v>
      </c>
      <c r="D342" t="s">
        <v>63</v>
      </c>
      <c r="E342" t="s">
        <v>1094</v>
      </c>
      <c r="F342" s="61">
        <v>35759</v>
      </c>
      <c r="G342" s="15" t="s">
        <v>65</v>
      </c>
      <c r="H342" t="s">
        <v>1095</v>
      </c>
      <c r="I342" s="62" t="s">
        <v>1096</v>
      </c>
      <c r="K342" s="36" t="s">
        <v>169</v>
      </c>
      <c r="L342" t="s">
        <v>69</v>
      </c>
      <c r="M342" s="62" t="s">
        <v>170</v>
      </c>
      <c r="N342" t="s">
        <v>71</v>
      </c>
      <c r="O342" t="str">
        <f>IFERROR(IF(Tbla_actores[[#This Row],[codigo_proyecto]]="","",_xlfn.XLOOKUP(Tbla_actores[[#This Row],[codigo_proyecto]],Proyectos!$A:$A,Proyectos!$C:$C)),"")</f>
        <v>NULOS</v>
      </c>
    </row>
    <row r="343" spans="1:15" ht="14.25" customHeight="1">
      <c r="A343" s="10">
        <v>1020828812</v>
      </c>
      <c r="B343" s="64" t="s">
        <v>61</v>
      </c>
      <c r="C343" s="62" t="s">
        <v>634</v>
      </c>
      <c r="D343" t="s">
        <v>63</v>
      </c>
      <c r="E343" t="s">
        <v>1097</v>
      </c>
      <c r="F343" s="61">
        <v>35705</v>
      </c>
      <c r="G343" s="15" t="s">
        <v>65</v>
      </c>
      <c r="H343" t="s">
        <v>1098</v>
      </c>
      <c r="I343" s="62" t="s">
        <v>1099</v>
      </c>
      <c r="K343" s="36" t="s">
        <v>169</v>
      </c>
      <c r="L343" t="s">
        <v>69</v>
      </c>
      <c r="M343" s="62" t="s">
        <v>170</v>
      </c>
      <c r="N343" t="s">
        <v>71</v>
      </c>
      <c r="O343" t="str">
        <f>IFERROR(IF(Tbla_actores[[#This Row],[codigo_proyecto]]="","",_xlfn.XLOOKUP(Tbla_actores[[#This Row],[codigo_proyecto]],Proyectos!$A:$A,Proyectos!$C:$C)),"")</f>
        <v>NULOS</v>
      </c>
    </row>
    <row r="344" spans="1:15" ht="14.25" customHeight="1">
      <c r="A344" s="9">
        <v>1019128439</v>
      </c>
      <c r="B344" s="63" t="s">
        <v>61</v>
      </c>
      <c r="C344" s="62" t="s">
        <v>634</v>
      </c>
      <c r="D344" t="s">
        <v>63</v>
      </c>
      <c r="E344" t="s">
        <v>1100</v>
      </c>
      <c r="F344" s="61">
        <v>35480</v>
      </c>
      <c r="G344" s="15" t="s">
        <v>65</v>
      </c>
      <c r="H344" t="s">
        <v>1101</v>
      </c>
      <c r="I344" s="62" t="s">
        <v>1102</v>
      </c>
      <c r="K344" s="36" t="s">
        <v>169</v>
      </c>
      <c r="L344" t="s">
        <v>69</v>
      </c>
      <c r="M344" s="62" t="s">
        <v>170</v>
      </c>
      <c r="N344" t="s">
        <v>71</v>
      </c>
      <c r="O344" t="str">
        <f>IFERROR(IF(Tbla_actores[[#This Row],[codigo_proyecto]]="","",_xlfn.XLOOKUP(Tbla_actores[[#This Row],[codigo_proyecto]],Proyectos!$A:$A,Proyectos!$C:$C)),"")</f>
        <v>NULOS</v>
      </c>
    </row>
    <row r="345" spans="1:15" ht="14.25" customHeight="1">
      <c r="A345" s="10">
        <v>1018472620</v>
      </c>
      <c r="B345" s="64" t="s">
        <v>61</v>
      </c>
      <c r="C345" s="62" t="s">
        <v>62</v>
      </c>
      <c r="D345" t="s">
        <v>63</v>
      </c>
      <c r="E345" t="s">
        <v>1103</v>
      </c>
      <c r="F345" s="61">
        <v>34663</v>
      </c>
      <c r="G345" s="15" t="s">
        <v>73</v>
      </c>
      <c r="H345" t="s">
        <v>1104</v>
      </c>
      <c r="I345" s="62" t="s">
        <v>1105</v>
      </c>
      <c r="K345" s="36" t="s">
        <v>169</v>
      </c>
      <c r="L345" t="s">
        <v>69</v>
      </c>
      <c r="M345" s="62" t="s">
        <v>170</v>
      </c>
      <c r="N345" t="s">
        <v>71</v>
      </c>
      <c r="O345" t="str">
        <f>IFERROR(IF(Tbla_actores[[#This Row],[codigo_proyecto]]="","",_xlfn.XLOOKUP(Tbla_actores[[#This Row],[codigo_proyecto]],Proyectos!$A:$A,Proyectos!$C:$C)),"")</f>
        <v>NULOS</v>
      </c>
    </row>
    <row r="346" spans="1:15" ht="14.25" customHeight="1">
      <c r="A346" s="9">
        <v>1020813285</v>
      </c>
      <c r="B346" s="63" t="s">
        <v>61</v>
      </c>
      <c r="C346" s="62" t="s">
        <v>634</v>
      </c>
      <c r="D346" t="s">
        <v>63</v>
      </c>
      <c r="E346" t="s">
        <v>1106</v>
      </c>
      <c r="F346" s="61">
        <v>35124</v>
      </c>
      <c r="G346" s="15" t="s">
        <v>73</v>
      </c>
      <c r="H346" t="s">
        <v>1107</v>
      </c>
      <c r="I346" s="62" t="s">
        <v>1108</v>
      </c>
      <c r="K346" s="36" t="s">
        <v>169</v>
      </c>
      <c r="L346" t="s">
        <v>69</v>
      </c>
      <c r="M346" s="62" t="s">
        <v>170</v>
      </c>
      <c r="N346" t="s">
        <v>71</v>
      </c>
      <c r="O346" t="str">
        <f>IFERROR(IF(Tbla_actores[[#This Row],[codigo_proyecto]]="","",_xlfn.XLOOKUP(Tbla_actores[[#This Row],[codigo_proyecto]],Proyectos!$A:$A,Proyectos!$C:$C)),"")</f>
        <v>NULOS</v>
      </c>
    </row>
    <row r="347" spans="1:15" ht="14.25" customHeight="1">
      <c r="A347" s="10">
        <v>1079182037</v>
      </c>
      <c r="B347" s="64" t="s">
        <v>61</v>
      </c>
      <c r="C347" s="62" t="s">
        <v>634</v>
      </c>
      <c r="D347" t="s">
        <v>63</v>
      </c>
      <c r="E347" t="s">
        <v>1109</v>
      </c>
      <c r="F347" s="61">
        <v>34491</v>
      </c>
      <c r="G347" s="15" t="s">
        <v>65</v>
      </c>
      <c r="H347" t="s">
        <v>1110</v>
      </c>
      <c r="I347" s="62" t="s">
        <v>1111</v>
      </c>
      <c r="K347" s="36" t="s">
        <v>169</v>
      </c>
      <c r="L347" t="s">
        <v>69</v>
      </c>
      <c r="M347" s="62" t="s">
        <v>170</v>
      </c>
      <c r="N347" t="s">
        <v>71</v>
      </c>
      <c r="O347" t="str">
        <f>IFERROR(IF(Tbla_actores[[#This Row],[codigo_proyecto]]="","",_xlfn.XLOOKUP(Tbla_actores[[#This Row],[codigo_proyecto]],Proyectos!$A:$A,Proyectos!$C:$C)),"")</f>
        <v>NULOS</v>
      </c>
    </row>
    <row r="348" spans="1:15" ht="14.25" customHeight="1">
      <c r="A348" s="9">
        <v>1032479455</v>
      </c>
      <c r="B348" s="63" t="s">
        <v>61</v>
      </c>
      <c r="C348" s="62" t="s">
        <v>62</v>
      </c>
      <c r="D348" t="s">
        <v>63</v>
      </c>
      <c r="E348" t="s">
        <v>1112</v>
      </c>
      <c r="F348" s="61">
        <v>35127</v>
      </c>
      <c r="G348" s="15" t="s">
        <v>65</v>
      </c>
      <c r="H348" t="s">
        <v>1113</v>
      </c>
      <c r="I348" s="62" t="s">
        <v>1114</v>
      </c>
      <c r="K348" s="36" t="s">
        <v>169</v>
      </c>
      <c r="L348" t="s">
        <v>69</v>
      </c>
      <c r="M348" s="62" t="s">
        <v>170</v>
      </c>
      <c r="N348" t="s">
        <v>71</v>
      </c>
      <c r="O348" t="str">
        <f>IFERROR(IF(Tbla_actores[[#This Row],[codigo_proyecto]]="","",_xlfn.XLOOKUP(Tbla_actores[[#This Row],[codigo_proyecto]],Proyectos!$A:$A,Proyectos!$C:$C)),"")</f>
        <v>NULOS</v>
      </c>
    </row>
    <row r="349" spans="1:15" ht="14.25" customHeight="1">
      <c r="A349" s="10">
        <v>1030696419</v>
      </c>
      <c r="B349" s="64" t="s">
        <v>61</v>
      </c>
      <c r="C349" s="62" t="s">
        <v>634</v>
      </c>
      <c r="D349" t="s">
        <v>63</v>
      </c>
      <c r="E349" t="s">
        <v>1115</v>
      </c>
      <c r="F349" s="61">
        <v>36300</v>
      </c>
      <c r="G349" s="15" t="s">
        <v>65</v>
      </c>
      <c r="H349" t="s">
        <v>1116</v>
      </c>
      <c r="I349" s="62" t="s">
        <v>1117</v>
      </c>
      <c r="K349" s="36" t="s">
        <v>169</v>
      </c>
      <c r="L349" t="s">
        <v>69</v>
      </c>
      <c r="M349" s="62" t="s">
        <v>170</v>
      </c>
      <c r="N349" t="s">
        <v>71</v>
      </c>
      <c r="O349" t="str">
        <f>IFERROR(IF(Tbla_actores[[#This Row],[codigo_proyecto]]="","",_xlfn.XLOOKUP(Tbla_actores[[#This Row],[codigo_proyecto]],Proyectos!$A:$A,Proyectos!$C:$C)),"")</f>
        <v>NULOS</v>
      </c>
    </row>
    <row r="350" spans="1:15" ht="14.25" customHeight="1">
      <c r="A350" s="9">
        <v>1032493253</v>
      </c>
      <c r="B350" s="63" t="s">
        <v>61</v>
      </c>
      <c r="C350" s="62" t="s">
        <v>634</v>
      </c>
      <c r="D350" t="s">
        <v>63</v>
      </c>
      <c r="E350" t="s">
        <v>1118</v>
      </c>
      <c r="F350" s="61">
        <v>35687</v>
      </c>
      <c r="G350" s="15" t="s">
        <v>73</v>
      </c>
      <c r="H350" t="s">
        <v>1119</v>
      </c>
      <c r="I350" s="62" t="s">
        <v>1120</v>
      </c>
      <c r="K350" s="36" t="s">
        <v>169</v>
      </c>
      <c r="L350" t="s">
        <v>69</v>
      </c>
      <c r="M350" s="62" t="s">
        <v>170</v>
      </c>
      <c r="N350" t="s">
        <v>71</v>
      </c>
      <c r="O350" t="str">
        <f>IFERROR(IF(Tbla_actores[[#This Row],[codigo_proyecto]]="","",_xlfn.XLOOKUP(Tbla_actores[[#This Row],[codigo_proyecto]],Proyectos!$A:$A,Proyectos!$C:$C)),"")</f>
        <v>NULOS</v>
      </c>
    </row>
    <row r="351" spans="1:15" ht="14.25" customHeight="1">
      <c r="A351" s="10">
        <v>1121964123</v>
      </c>
      <c r="B351" s="64" t="s">
        <v>61</v>
      </c>
      <c r="C351" s="62" t="s">
        <v>634</v>
      </c>
      <c r="D351" t="s">
        <v>63</v>
      </c>
      <c r="E351" t="s">
        <v>1121</v>
      </c>
      <c r="F351" s="61">
        <v>36332</v>
      </c>
      <c r="G351" s="15" t="s">
        <v>73</v>
      </c>
      <c r="H351" t="s">
        <v>1122</v>
      </c>
      <c r="I351" s="62" t="s">
        <v>1123</v>
      </c>
      <c r="K351" s="36" t="s">
        <v>169</v>
      </c>
      <c r="L351" t="s">
        <v>69</v>
      </c>
      <c r="M351" s="62" t="s">
        <v>170</v>
      </c>
      <c r="N351" t="s">
        <v>71</v>
      </c>
      <c r="O351" t="str">
        <f>IFERROR(IF(Tbla_actores[[#This Row],[codigo_proyecto]]="","",_xlfn.XLOOKUP(Tbla_actores[[#This Row],[codigo_proyecto]],Proyectos!$A:$A,Proyectos!$C:$C)),"")</f>
        <v>NULOS</v>
      </c>
    </row>
    <row r="352" spans="1:15" ht="14.25" customHeight="1">
      <c r="A352" s="9">
        <v>1032492109</v>
      </c>
      <c r="B352" s="63" t="s">
        <v>61</v>
      </c>
      <c r="C352" s="62" t="s">
        <v>634</v>
      </c>
      <c r="D352" t="s">
        <v>63</v>
      </c>
      <c r="E352" t="s">
        <v>1124</v>
      </c>
      <c r="F352" s="61">
        <v>35501</v>
      </c>
      <c r="G352" s="15" t="s">
        <v>65</v>
      </c>
      <c r="H352" t="s">
        <v>1125</v>
      </c>
      <c r="I352" s="62" t="s">
        <v>1126</v>
      </c>
      <c r="K352" s="36" t="s">
        <v>169</v>
      </c>
      <c r="L352" t="s">
        <v>69</v>
      </c>
      <c r="M352" s="62" t="s">
        <v>170</v>
      </c>
      <c r="N352" t="s">
        <v>71</v>
      </c>
      <c r="O352" t="str">
        <f>IFERROR(IF(Tbla_actores[[#This Row],[codigo_proyecto]]="","",_xlfn.XLOOKUP(Tbla_actores[[#This Row],[codigo_proyecto]],Proyectos!$A:$A,Proyectos!$C:$C)),"")</f>
        <v>NULOS</v>
      </c>
    </row>
    <row r="353" spans="1:15" ht="14.25" customHeight="1">
      <c r="A353" s="10">
        <v>1018491082</v>
      </c>
      <c r="B353" s="64" t="s">
        <v>61</v>
      </c>
      <c r="C353" s="62" t="s">
        <v>634</v>
      </c>
      <c r="D353" t="s">
        <v>63</v>
      </c>
      <c r="E353" t="s">
        <v>1127</v>
      </c>
      <c r="F353" s="61">
        <v>35383</v>
      </c>
      <c r="G353" s="15" t="s">
        <v>65</v>
      </c>
      <c r="H353" t="s">
        <v>1128</v>
      </c>
      <c r="I353" s="62" t="s">
        <v>1129</v>
      </c>
      <c r="K353" s="36" t="s">
        <v>169</v>
      </c>
      <c r="L353" t="s">
        <v>69</v>
      </c>
      <c r="M353" s="62" t="s">
        <v>170</v>
      </c>
      <c r="N353" t="s">
        <v>71</v>
      </c>
      <c r="O353" t="str">
        <f>IFERROR(IF(Tbla_actores[[#This Row],[codigo_proyecto]]="","",_xlfn.XLOOKUP(Tbla_actores[[#This Row],[codigo_proyecto]],Proyectos!$A:$A,Proyectos!$C:$C)),"")</f>
        <v>NULOS</v>
      </c>
    </row>
    <row r="354" spans="1:15" ht="14.25" customHeight="1">
      <c r="A354" s="9">
        <v>1121950627</v>
      </c>
      <c r="B354" s="63" t="s">
        <v>61</v>
      </c>
      <c r="C354" s="62" t="s">
        <v>634</v>
      </c>
      <c r="D354" t="s">
        <v>63</v>
      </c>
      <c r="E354" t="s">
        <v>1130</v>
      </c>
      <c r="F354" s="61">
        <v>35774</v>
      </c>
      <c r="G354" s="15" t="s">
        <v>73</v>
      </c>
      <c r="H354" t="s">
        <v>1131</v>
      </c>
      <c r="I354" s="62" t="s">
        <v>1132</v>
      </c>
      <c r="K354" s="36" t="s">
        <v>495</v>
      </c>
      <c r="L354" t="s">
        <v>69</v>
      </c>
      <c r="M354" s="62" t="s">
        <v>70</v>
      </c>
      <c r="N354" t="s">
        <v>71</v>
      </c>
      <c r="O354" t="str">
        <f>IFERROR(IF(Tbla_actores[[#This Row],[codigo_proyecto]]="","",_xlfn.XLOOKUP(Tbla_actores[[#This Row],[codigo_proyecto]],Proyectos!$A:$A,Proyectos!$C:$C)),"")</f>
        <v>NULOS</v>
      </c>
    </row>
    <row r="355" spans="1:15" ht="14.25" customHeight="1">
      <c r="A355" s="10">
        <v>1018505240</v>
      </c>
      <c r="B355" s="64" t="s">
        <v>61</v>
      </c>
      <c r="C355" s="62" t="s">
        <v>634</v>
      </c>
      <c r="D355" t="s">
        <v>63</v>
      </c>
      <c r="E355" t="s">
        <v>1133</v>
      </c>
      <c r="F355" s="61">
        <v>36037</v>
      </c>
      <c r="G355" s="15" t="s">
        <v>65</v>
      </c>
      <c r="H355" t="s">
        <v>1134</v>
      </c>
      <c r="I355" s="62" t="s">
        <v>1135</v>
      </c>
      <c r="K355" s="36" t="s">
        <v>495</v>
      </c>
      <c r="L355" t="s">
        <v>69</v>
      </c>
      <c r="M355" s="62" t="s">
        <v>70</v>
      </c>
      <c r="N355" t="s">
        <v>71</v>
      </c>
      <c r="O355" t="str">
        <f>IFERROR(IF(Tbla_actores[[#This Row],[codigo_proyecto]]="","",_xlfn.XLOOKUP(Tbla_actores[[#This Row],[codigo_proyecto]],Proyectos!$A:$A,Proyectos!$C:$C)),"")</f>
        <v>NULOS</v>
      </c>
    </row>
    <row r="356" spans="1:15" ht="14.25" customHeight="1">
      <c r="A356" s="9">
        <v>1020816984</v>
      </c>
      <c r="B356" s="63" t="s">
        <v>61</v>
      </c>
      <c r="C356" s="62" t="s">
        <v>634</v>
      </c>
      <c r="D356" t="s">
        <v>63</v>
      </c>
      <c r="E356" t="s">
        <v>1136</v>
      </c>
      <c r="F356" s="61">
        <v>35254</v>
      </c>
      <c r="G356" s="15" t="s">
        <v>73</v>
      </c>
      <c r="H356" t="s">
        <v>1137</v>
      </c>
      <c r="I356" s="62" t="s">
        <v>1138</v>
      </c>
      <c r="K356" s="36" t="s">
        <v>1139</v>
      </c>
      <c r="L356" t="s">
        <v>69</v>
      </c>
      <c r="M356" s="62" t="s">
        <v>70</v>
      </c>
      <c r="N356" t="s">
        <v>71</v>
      </c>
      <c r="O356" t="str">
        <f>IFERROR(IF(Tbla_actores[[#This Row],[codigo_proyecto]]="","",_xlfn.XLOOKUP(Tbla_actores[[#This Row],[codigo_proyecto]],Proyectos!$A:$A,Proyectos!$C:$C)),"")</f>
        <v>NULOS</v>
      </c>
    </row>
    <row r="357" spans="1:15" ht="14.25" customHeight="1">
      <c r="A357" s="10">
        <v>1032502879</v>
      </c>
      <c r="B357" s="64" t="s">
        <v>61</v>
      </c>
      <c r="C357" s="62" t="s">
        <v>634</v>
      </c>
      <c r="D357" t="s">
        <v>63</v>
      </c>
      <c r="E357" t="s">
        <v>1140</v>
      </c>
      <c r="F357" s="61">
        <v>36209</v>
      </c>
      <c r="G357" s="15" t="s">
        <v>65</v>
      </c>
      <c r="H357" t="s">
        <v>1141</v>
      </c>
      <c r="I357" s="62" t="s">
        <v>1142</v>
      </c>
      <c r="K357" s="36" t="s">
        <v>495</v>
      </c>
      <c r="L357" t="s">
        <v>69</v>
      </c>
      <c r="M357" s="62" t="s">
        <v>70</v>
      </c>
      <c r="N357" t="s">
        <v>71</v>
      </c>
      <c r="O357" t="str">
        <f>IFERROR(IF(Tbla_actores[[#This Row],[codigo_proyecto]]="","",_xlfn.XLOOKUP(Tbla_actores[[#This Row],[codigo_proyecto]],Proyectos!$A:$A,Proyectos!$C:$C)),"")</f>
        <v>NULOS</v>
      </c>
    </row>
    <row r="358" spans="1:15" ht="14.25" customHeight="1">
      <c r="A358" s="9">
        <v>1002971416</v>
      </c>
      <c r="B358" s="63" t="s">
        <v>61</v>
      </c>
      <c r="C358" s="62" t="s">
        <v>634</v>
      </c>
      <c r="D358" t="s">
        <v>63</v>
      </c>
      <c r="E358" t="s">
        <v>1143</v>
      </c>
      <c r="F358" s="61">
        <v>36662</v>
      </c>
      <c r="G358" s="15" t="s">
        <v>65</v>
      </c>
      <c r="H358" t="s">
        <v>1144</v>
      </c>
      <c r="I358" s="62" t="s">
        <v>1145</v>
      </c>
      <c r="K358" s="36" t="s">
        <v>495</v>
      </c>
      <c r="L358" t="s">
        <v>69</v>
      </c>
      <c r="M358" s="62" t="s">
        <v>70</v>
      </c>
      <c r="N358" t="s">
        <v>71</v>
      </c>
      <c r="O358" t="str">
        <f>IFERROR(IF(Tbla_actores[[#This Row],[codigo_proyecto]]="","",_xlfn.XLOOKUP(Tbla_actores[[#This Row],[codigo_proyecto]],Proyectos!$A:$A,Proyectos!$C:$C)),"")</f>
        <v>NULOS</v>
      </c>
    </row>
    <row r="359" spans="1:15" ht="14.25" customHeight="1">
      <c r="A359" s="10">
        <v>1032504188</v>
      </c>
      <c r="B359" s="64" t="s">
        <v>61</v>
      </c>
      <c r="C359" s="62" t="s">
        <v>634</v>
      </c>
      <c r="D359" t="s">
        <v>63</v>
      </c>
      <c r="E359" t="s">
        <v>1146</v>
      </c>
      <c r="F359" s="61">
        <v>36274</v>
      </c>
      <c r="G359" s="15" t="s">
        <v>73</v>
      </c>
      <c r="H359" t="s">
        <v>1147</v>
      </c>
      <c r="I359" s="62" t="s">
        <v>1148</v>
      </c>
      <c r="K359" s="36" t="s">
        <v>495</v>
      </c>
      <c r="L359" t="s">
        <v>69</v>
      </c>
      <c r="M359" s="62" t="s">
        <v>70</v>
      </c>
      <c r="N359" t="s">
        <v>71</v>
      </c>
      <c r="O359" t="str">
        <f>IFERROR(IF(Tbla_actores[[#This Row],[codigo_proyecto]]="","",_xlfn.XLOOKUP(Tbla_actores[[#This Row],[codigo_proyecto]],Proyectos!$A:$A,Proyectos!$C:$C)),"")</f>
        <v>NULOS</v>
      </c>
    </row>
    <row r="360" spans="1:15" ht="14.25" customHeight="1">
      <c r="A360" s="9">
        <v>1082864783</v>
      </c>
      <c r="B360" s="63" t="s">
        <v>61</v>
      </c>
      <c r="C360" s="62" t="s">
        <v>634</v>
      </c>
      <c r="D360" t="s">
        <v>63</v>
      </c>
      <c r="E360" t="s">
        <v>1149</v>
      </c>
      <c r="F360" s="61">
        <v>36664</v>
      </c>
      <c r="G360" s="15" t="s">
        <v>65</v>
      </c>
      <c r="H360" t="s">
        <v>1150</v>
      </c>
      <c r="I360" s="62" t="s">
        <v>1151</v>
      </c>
      <c r="K360" s="36" t="s">
        <v>495</v>
      </c>
      <c r="L360" t="s">
        <v>69</v>
      </c>
      <c r="M360" s="62" t="s">
        <v>70</v>
      </c>
      <c r="N360" t="s">
        <v>71</v>
      </c>
      <c r="O360" t="str">
        <f>IFERROR(IF(Tbla_actores[[#This Row],[codigo_proyecto]]="","",_xlfn.XLOOKUP(Tbla_actores[[#This Row],[codigo_proyecto]],Proyectos!$A:$A,Proyectos!$C:$C)),"")</f>
        <v>NULOS</v>
      </c>
    </row>
    <row r="361" spans="1:15" ht="14.25" customHeight="1">
      <c r="A361" s="10">
        <v>1032498140</v>
      </c>
      <c r="B361" s="64" t="s">
        <v>61</v>
      </c>
      <c r="C361" s="62" t="s">
        <v>634</v>
      </c>
      <c r="D361" t="s">
        <v>63</v>
      </c>
      <c r="E361" t="s">
        <v>1152</v>
      </c>
      <c r="F361" s="61">
        <v>35933</v>
      </c>
      <c r="G361" s="15" t="s">
        <v>65</v>
      </c>
      <c r="H361" t="s">
        <v>1153</v>
      </c>
      <c r="I361" s="62" t="s">
        <v>1154</v>
      </c>
      <c r="K361" s="36" t="s">
        <v>495</v>
      </c>
      <c r="L361" t="s">
        <v>69</v>
      </c>
      <c r="M361" s="62" t="s">
        <v>70</v>
      </c>
      <c r="N361" t="s">
        <v>71</v>
      </c>
      <c r="O361" t="str">
        <f>IFERROR(IF(Tbla_actores[[#This Row],[codigo_proyecto]]="","",_xlfn.XLOOKUP(Tbla_actores[[#This Row],[codigo_proyecto]],Proyectos!$A:$A,Proyectos!$C:$C)),"")</f>
        <v>NULOS</v>
      </c>
    </row>
    <row r="362" spans="1:15" ht="14.25" customHeight="1">
      <c r="A362" s="9">
        <v>1053857204</v>
      </c>
      <c r="B362" s="63" t="s">
        <v>61</v>
      </c>
      <c r="C362" s="62" t="s">
        <v>634</v>
      </c>
      <c r="D362" t="s">
        <v>63</v>
      </c>
      <c r="E362" t="s">
        <v>1155</v>
      </c>
      <c r="F362" s="61">
        <v>35573</v>
      </c>
      <c r="G362" s="15" t="s">
        <v>73</v>
      </c>
      <c r="H362" t="s">
        <v>1156</v>
      </c>
      <c r="I362" s="62" t="s">
        <v>1157</v>
      </c>
      <c r="K362" s="36" t="s">
        <v>495</v>
      </c>
      <c r="L362" t="s">
        <v>69</v>
      </c>
      <c r="M362" s="62" t="s">
        <v>70</v>
      </c>
      <c r="N362" t="s">
        <v>71</v>
      </c>
      <c r="O362" t="str">
        <f>IFERROR(IF(Tbla_actores[[#This Row],[codigo_proyecto]]="","",_xlfn.XLOOKUP(Tbla_actores[[#This Row],[codigo_proyecto]],Proyectos!$A:$A,Proyectos!$C:$C)),"")</f>
        <v>NULOS</v>
      </c>
    </row>
    <row r="363" spans="1:15" ht="14.25" customHeight="1">
      <c r="A363" s="10">
        <v>1032485112</v>
      </c>
      <c r="B363" s="64" t="s">
        <v>61</v>
      </c>
      <c r="C363" s="62" t="s">
        <v>634</v>
      </c>
      <c r="D363" t="s">
        <v>63</v>
      </c>
      <c r="E363" t="s">
        <v>1158</v>
      </c>
      <c r="F363" s="61">
        <v>35320</v>
      </c>
      <c r="G363" s="15" t="s">
        <v>73</v>
      </c>
      <c r="H363" t="s">
        <v>1159</v>
      </c>
      <c r="I363" s="62" t="s">
        <v>1160</v>
      </c>
      <c r="K363" s="36" t="s">
        <v>495</v>
      </c>
      <c r="L363" t="s">
        <v>69</v>
      </c>
      <c r="M363" s="62" t="s">
        <v>70</v>
      </c>
      <c r="N363" t="s">
        <v>71</v>
      </c>
      <c r="O363" t="str">
        <f>IFERROR(IF(Tbla_actores[[#This Row],[codigo_proyecto]]="","",_xlfn.XLOOKUP(Tbla_actores[[#This Row],[codigo_proyecto]],Proyectos!$A:$A,Proyectos!$C:$C)),"")</f>
        <v>NULOS</v>
      </c>
    </row>
    <row r="364" spans="1:15" ht="14.25" customHeight="1">
      <c r="A364" s="9">
        <v>1019149094</v>
      </c>
      <c r="B364" s="63" t="s">
        <v>61</v>
      </c>
      <c r="C364" s="62" t="s">
        <v>634</v>
      </c>
      <c r="D364" t="s">
        <v>63</v>
      </c>
      <c r="E364" t="s">
        <v>1161</v>
      </c>
      <c r="F364" s="61">
        <v>36316</v>
      </c>
      <c r="G364" s="15" t="s">
        <v>65</v>
      </c>
      <c r="H364" t="s">
        <v>1162</v>
      </c>
      <c r="I364" s="62" t="s">
        <v>1163</v>
      </c>
      <c r="K364" s="36" t="s">
        <v>495</v>
      </c>
      <c r="L364" t="s">
        <v>69</v>
      </c>
      <c r="M364" s="62" t="s">
        <v>70</v>
      </c>
      <c r="N364" t="s">
        <v>71</v>
      </c>
      <c r="O364" t="str">
        <f>IFERROR(IF(Tbla_actores[[#This Row],[codigo_proyecto]]="","",_xlfn.XLOOKUP(Tbla_actores[[#This Row],[codigo_proyecto]],Proyectos!$A:$A,Proyectos!$C:$C)),"")</f>
        <v>NULOS</v>
      </c>
    </row>
    <row r="365" spans="1:15" ht="14.25" customHeight="1">
      <c r="A365" s="10">
        <v>1031172509</v>
      </c>
      <c r="B365" s="64" t="s">
        <v>61</v>
      </c>
      <c r="C365" s="62" t="s">
        <v>634</v>
      </c>
      <c r="D365" t="s">
        <v>63</v>
      </c>
      <c r="E365" t="s">
        <v>1164</v>
      </c>
      <c r="F365" s="61">
        <v>35751</v>
      </c>
      <c r="G365" s="15" t="s">
        <v>73</v>
      </c>
      <c r="H365" t="s">
        <v>1165</v>
      </c>
      <c r="I365" s="62" t="s">
        <v>1166</v>
      </c>
      <c r="K365" s="36" t="s">
        <v>495</v>
      </c>
      <c r="L365" t="s">
        <v>69</v>
      </c>
      <c r="M365" s="62" t="s">
        <v>70</v>
      </c>
      <c r="N365" t="s">
        <v>71</v>
      </c>
      <c r="O365" t="str">
        <f>IFERROR(IF(Tbla_actores[[#This Row],[codigo_proyecto]]="","",_xlfn.XLOOKUP(Tbla_actores[[#This Row],[codigo_proyecto]],Proyectos!$A:$A,Proyectos!$C:$C)),"")</f>
        <v>NULOS</v>
      </c>
    </row>
    <row r="366" spans="1:15" ht="14.25" customHeight="1">
      <c r="A366" s="9">
        <v>1032500528</v>
      </c>
      <c r="B366" s="63" t="s">
        <v>61</v>
      </c>
      <c r="C366" s="62" t="s">
        <v>634</v>
      </c>
      <c r="D366" t="s">
        <v>63</v>
      </c>
      <c r="E366" t="s">
        <v>1167</v>
      </c>
      <c r="F366" s="61">
        <v>36073</v>
      </c>
      <c r="G366" s="15" t="s">
        <v>65</v>
      </c>
      <c r="H366" t="s">
        <v>1168</v>
      </c>
      <c r="I366" s="62" t="s">
        <v>1169</v>
      </c>
      <c r="K366" s="36" t="s">
        <v>495</v>
      </c>
      <c r="L366" t="s">
        <v>69</v>
      </c>
      <c r="M366" s="62" t="s">
        <v>70</v>
      </c>
      <c r="N366" t="s">
        <v>71</v>
      </c>
      <c r="O366" t="str">
        <f>IFERROR(IF(Tbla_actores[[#This Row],[codigo_proyecto]]="","",_xlfn.XLOOKUP(Tbla_actores[[#This Row],[codigo_proyecto]],Proyectos!$A:$A,Proyectos!$C:$C)),"")</f>
        <v>NULOS</v>
      </c>
    </row>
    <row r="367" spans="1:15" ht="14.25" customHeight="1">
      <c r="A367" s="10">
        <v>1032502811</v>
      </c>
      <c r="B367" s="64" t="s">
        <v>61</v>
      </c>
      <c r="C367" s="62" t="s">
        <v>634</v>
      </c>
      <c r="D367" t="s">
        <v>63</v>
      </c>
      <c r="E367" t="s">
        <v>1170</v>
      </c>
      <c r="F367" s="61">
        <v>36202</v>
      </c>
      <c r="G367" s="15" t="s">
        <v>65</v>
      </c>
      <c r="H367" t="s">
        <v>1171</v>
      </c>
      <c r="I367" s="62" t="s">
        <v>1172</v>
      </c>
      <c r="K367" s="36" t="s">
        <v>495</v>
      </c>
      <c r="L367" t="s">
        <v>69</v>
      </c>
      <c r="M367" s="62" t="s">
        <v>70</v>
      </c>
      <c r="N367" t="s">
        <v>71</v>
      </c>
      <c r="O367" t="str">
        <f>IFERROR(IF(Tbla_actores[[#This Row],[codigo_proyecto]]="","",_xlfn.XLOOKUP(Tbla_actores[[#This Row],[codigo_proyecto]],Proyectos!$A:$A,Proyectos!$C:$C)),"")</f>
        <v>NULOS</v>
      </c>
    </row>
    <row r="368" spans="1:15" ht="14.25" customHeight="1">
      <c r="A368" s="9">
        <v>1019142073</v>
      </c>
      <c r="B368" s="63" t="s">
        <v>61</v>
      </c>
      <c r="C368" s="62" t="s">
        <v>634</v>
      </c>
      <c r="D368" t="s">
        <v>63</v>
      </c>
      <c r="E368" t="s">
        <v>1173</v>
      </c>
      <c r="F368" s="61">
        <v>36013</v>
      </c>
      <c r="G368" s="15" t="s">
        <v>73</v>
      </c>
      <c r="H368" t="s">
        <v>1174</v>
      </c>
      <c r="I368" s="62" t="s">
        <v>1175</v>
      </c>
      <c r="K368" s="36" t="s">
        <v>495</v>
      </c>
      <c r="L368" t="s">
        <v>69</v>
      </c>
      <c r="M368" s="62" t="s">
        <v>70</v>
      </c>
      <c r="N368" t="s">
        <v>71</v>
      </c>
      <c r="O368" t="str">
        <f>IFERROR(IF(Tbla_actores[[#This Row],[codigo_proyecto]]="","",_xlfn.XLOOKUP(Tbla_actores[[#This Row],[codigo_proyecto]],Proyectos!$A:$A,Proyectos!$C:$C)),"")</f>
        <v>NULOS</v>
      </c>
    </row>
    <row r="369" spans="1:15" ht="14.25" customHeight="1">
      <c r="A369" s="10">
        <v>1031181860</v>
      </c>
      <c r="B369" s="64" t="s">
        <v>61</v>
      </c>
      <c r="C369" s="62" t="s">
        <v>634</v>
      </c>
      <c r="D369" t="s">
        <v>63</v>
      </c>
      <c r="E369" t="s">
        <v>1176</v>
      </c>
      <c r="F369" s="61">
        <v>36392</v>
      </c>
      <c r="G369" s="15" t="s">
        <v>65</v>
      </c>
      <c r="H369" t="s">
        <v>1177</v>
      </c>
      <c r="I369" s="62" t="s">
        <v>1178</v>
      </c>
      <c r="K369" s="36" t="s">
        <v>495</v>
      </c>
      <c r="L369" t="s">
        <v>69</v>
      </c>
      <c r="M369" s="62" t="s">
        <v>70</v>
      </c>
      <c r="N369" t="s">
        <v>71</v>
      </c>
      <c r="O369" t="str">
        <f>IFERROR(IF(Tbla_actores[[#This Row],[codigo_proyecto]]="","",_xlfn.XLOOKUP(Tbla_actores[[#This Row],[codigo_proyecto]],Proyectos!$A:$A,Proyectos!$C:$C)),"")</f>
        <v>NULOS</v>
      </c>
    </row>
    <row r="370" spans="1:15" ht="14.25" customHeight="1">
      <c r="A370" s="9">
        <v>1015458993</v>
      </c>
      <c r="B370" s="63" t="s">
        <v>61</v>
      </c>
      <c r="C370" s="62" t="s">
        <v>634</v>
      </c>
      <c r="D370" t="s">
        <v>63</v>
      </c>
      <c r="E370" t="s">
        <v>1179</v>
      </c>
      <c r="F370" s="61">
        <v>35059</v>
      </c>
      <c r="G370" s="15" t="s">
        <v>73</v>
      </c>
      <c r="H370" t="s">
        <v>1180</v>
      </c>
      <c r="I370" s="62" t="s">
        <v>1181</v>
      </c>
      <c r="K370" s="36" t="s">
        <v>495</v>
      </c>
      <c r="L370" t="s">
        <v>69</v>
      </c>
      <c r="M370" s="62" t="s">
        <v>70</v>
      </c>
      <c r="N370" t="s">
        <v>71</v>
      </c>
      <c r="O370" t="str">
        <f>IFERROR(IF(Tbla_actores[[#This Row],[codigo_proyecto]]="","",_xlfn.XLOOKUP(Tbla_actores[[#This Row],[codigo_proyecto]],Proyectos!$A:$A,Proyectos!$C:$C)),"")</f>
        <v>NULOS</v>
      </c>
    </row>
    <row r="371" spans="1:15" ht="14.25" customHeight="1">
      <c r="A371" s="10">
        <v>1020824797</v>
      </c>
      <c r="B371" s="64" t="s">
        <v>61</v>
      </c>
      <c r="C371" s="62" t="s">
        <v>634</v>
      </c>
      <c r="D371" t="s">
        <v>63</v>
      </c>
      <c r="E371" t="s">
        <v>1182</v>
      </c>
      <c r="F371" s="61">
        <v>35520</v>
      </c>
      <c r="G371" s="15" t="s">
        <v>73</v>
      </c>
      <c r="H371" t="s">
        <v>1183</v>
      </c>
      <c r="I371" s="62" t="s">
        <v>1184</v>
      </c>
      <c r="K371" s="36" t="s">
        <v>495</v>
      </c>
      <c r="L371" t="s">
        <v>69</v>
      </c>
      <c r="M371" s="62" t="s">
        <v>70</v>
      </c>
      <c r="N371" t="s">
        <v>71</v>
      </c>
      <c r="O371" t="str">
        <f>IFERROR(IF(Tbla_actores[[#This Row],[codigo_proyecto]]="","",_xlfn.XLOOKUP(Tbla_actores[[#This Row],[codigo_proyecto]],Proyectos!$A:$A,Proyectos!$C:$C)),"")</f>
        <v>NULOS</v>
      </c>
    </row>
    <row r="372" spans="1:15" ht="14.25" customHeight="1">
      <c r="A372" s="9">
        <v>1030689204</v>
      </c>
      <c r="B372" s="63" t="s">
        <v>61</v>
      </c>
      <c r="C372" s="62" t="s">
        <v>634</v>
      </c>
      <c r="D372" t="s">
        <v>63</v>
      </c>
      <c r="E372" t="s">
        <v>1185</v>
      </c>
      <c r="F372" s="61">
        <v>36007</v>
      </c>
      <c r="G372" s="15" t="s">
        <v>65</v>
      </c>
      <c r="H372" t="s">
        <v>1186</v>
      </c>
      <c r="I372" s="62" t="s">
        <v>1187</v>
      </c>
      <c r="K372" s="36" t="s">
        <v>495</v>
      </c>
      <c r="L372" t="s">
        <v>69</v>
      </c>
      <c r="M372" s="62" t="s">
        <v>70</v>
      </c>
      <c r="N372" t="s">
        <v>71</v>
      </c>
      <c r="O372" t="str">
        <f>IFERROR(IF(Tbla_actores[[#This Row],[codigo_proyecto]]="","",_xlfn.XLOOKUP(Tbla_actores[[#This Row],[codigo_proyecto]],Proyectos!$A:$A,Proyectos!$C:$C)),"")</f>
        <v>NULOS</v>
      </c>
    </row>
    <row r="373" spans="1:15" ht="14.25" customHeight="1">
      <c r="A373" s="10">
        <v>1018503047</v>
      </c>
      <c r="B373" s="64" t="s">
        <v>61</v>
      </c>
      <c r="C373" s="62" t="s">
        <v>634</v>
      </c>
      <c r="D373" t="s">
        <v>63</v>
      </c>
      <c r="E373" t="s">
        <v>1188</v>
      </c>
      <c r="F373" s="61">
        <v>35913</v>
      </c>
      <c r="G373" s="15" t="s">
        <v>65</v>
      </c>
      <c r="H373" t="s">
        <v>1189</v>
      </c>
      <c r="I373" s="62" t="s">
        <v>1190</v>
      </c>
      <c r="K373" s="36" t="s">
        <v>495</v>
      </c>
      <c r="L373" t="s">
        <v>69</v>
      </c>
      <c r="M373" s="62" t="s">
        <v>70</v>
      </c>
      <c r="N373" t="s">
        <v>71</v>
      </c>
      <c r="O373" t="str">
        <f>IFERROR(IF(Tbla_actores[[#This Row],[codigo_proyecto]]="","",_xlfn.XLOOKUP(Tbla_actores[[#This Row],[codigo_proyecto]],Proyectos!$A:$A,Proyectos!$C:$C)),"")</f>
        <v>NULOS</v>
      </c>
    </row>
    <row r="374" spans="1:15" ht="14.25" customHeight="1">
      <c r="A374" s="9">
        <v>1015468870</v>
      </c>
      <c r="B374" s="63" t="s">
        <v>61</v>
      </c>
      <c r="C374" s="62" t="s">
        <v>634</v>
      </c>
      <c r="D374" t="s">
        <v>63</v>
      </c>
      <c r="E374" t="s">
        <v>1191</v>
      </c>
      <c r="F374" s="61">
        <v>35574</v>
      </c>
      <c r="G374" s="15" t="s">
        <v>73</v>
      </c>
      <c r="H374" t="s">
        <v>1192</v>
      </c>
      <c r="I374" s="62" t="s">
        <v>1193</v>
      </c>
      <c r="K374" s="36" t="s">
        <v>495</v>
      </c>
      <c r="L374" t="s">
        <v>69</v>
      </c>
      <c r="M374" s="62" t="s">
        <v>70</v>
      </c>
      <c r="N374" t="s">
        <v>71</v>
      </c>
      <c r="O374" t="str">
        <f>IFERROR(IF(Tbla_actores[[#This Row],[codigo_proyecto]]="","",_xlfn.XLOOKUP(Tbla_actores[[#This Row],[codigo_proyecto]],Proyectos!$A:$A,Proyectos!$C:$C)),"")</f>
        <v>NULOS</v>
      </c>
    </row>
    <row r="375" spans="1:15" ht="14.25" customHeight="1">
      <c r="A375" s="10">
        <v>1020825678</v>
      </c>
      <c r="B375" s="64" t="s">
        <v>61</v>
      </c>
      <c r="C375" s="62" t="s">
        <v>634</v>
      </c>
      <c r="D375" t="s">
        <v>63</v>
      </c>
      <c r="E375" t="s">
        <v>1194</v>
      </c>
      <c r="F375" s="61">
        <v>35564</v>
      </c>
      <c r="G375" s="15" t="s">
        <v>73</v>
      </c>
      <c r="H375" t="s">
        <v>1195</v>
      </c>
      <c r="I375" s="62" t="s">
        <v>1196</v>
      </c>
      <c r="K375" s="36" t="s">
        <v>495</v>
      </c>
      <c r="L375" t="s">
        <v>69</v>
      </c>
      <c r="M375" s="62" t="s">
        <v>70</v>
      </c>
      <c r="N375" t="s">
        <v>71</v>
      </c>
      <c r="O375" t="str">
        <f>IFERROR(IF(Tbla_actores[[#This Row],[codigo_proyecto]]="","",_xlfn.XLOOKUP(Tbla_actores[[#This Row],[codigo_proyecto]],Proyectos!$A:$A,Proyectos!$C:$C)),"")</f>
        <v>NULOS</v>
      </c>
    </row>
    <row r="376" spans="1:15" ht="14.25" customHeight="1">
      <c r="A376" s="9">
        <v>1010244608</v>
      </c>
      <c r="B376" s="63" t="s">
        <v>61</v>
      </c>
      <c r="C376" s="62" t="s">
        <v>634</v>
      </c>
      <c r="D376" t="s">
        <v>63</v>
      </c>
      <c r="E376" t="s">
        <v>1197</v>
      </c>
      <c r="F376" s="61">
        <v>36221</v>
      </c>
      <c r="G376" s="15" t="s">
        <v>65</v>
      </c>
      <c r="H376" t="s">
        <v>1198</v>
      </c>
      <c r="I376" s="62" t="s">
        <v>1199</v>
      </c>
      <c r="K376" s="36" t="s">
        <v>495</v>
      </c>
      <c r="L376" t="s">
        <v>69</v>
      </c>
      <c r="M376" s="62" t="s">
        <v>70</v>
      </c>
      <c r="N376" t="s">
        <v>71</v>
      </c>
      <c r="O376" t="str">
        <f>IFERROR(IF(Tbla_actores[[#This Row],[codigo_proyecto]]="","",_xlfn.XLOOKUP(Tbla_actores[[#This Row],[codigo_proyecto]],Proyectos!$A:$A,Proyectos!$C:$C)),"")</f>
        <v>NULOS</v>
      </c>
    </row>
    <row r="377" spans="1:15" ht="14.25" customHeight="1">
      <c r="A377" s="10">
        <v>1121941146</v>
      </c>
      <c r="B377" s="64" t="s">
        <v>61</v>
      </c>
      <c r="C377" s="62" t="s">
        <v>634</v>
      </c>
      <c r="D377" t="s">
        <v>63</v>
      </c>
      <c r="E377" t="s">
        <v>1200</v>
      </c>
      <c r="F377" s="61">
        <v>35441</v>
      </c>
      <c r="G377" s="15" t="s">
        <v>73</v>
      </c>
      <c r="H377" t="s">
        <v>1201</v>
      </c>
      <c r="I377" s="62" t="s">
        <v>1202</v>
      </c>
      <c r="K377" s="36" t="s">
        <v>495</v>
      </c>
      <c r="L377" t="s">
        <v>69</v>
      </c>
      <c r="M377" s="62" t="s">
        <v>70</v>
      </c>
      <c r="N377" t="s">
        <v>71</v>
      </c>
      <c r="O377" t="str">
        <f>IFERROR(IF(Tbla_actores[[#This Row],[codigo_proyecto]]="","",_xlfn.XLOOKUP(Tbla_actores[[#This Row],[codigo_proyecto]],Proyectos!$A:$A,Proyectos!$C:$C)),"")</f>
        <v>NULOS</v>
      </c>
    </row>
    <row r="378" spans="1:15" ht="14.25" customHeight="1">
      <c r="A378" s="9">
        <v>1020824988</v>
      </c>
      <c r="B378" s="63" t="s">
        <v>61</v>
      </c>
      <c r="C378" s="62" t="s">
        <v>634</v>
      </c>
      <c r="D378" t="s">
        <v>63</v>
      </c>
      <c r="E378" t="s">
        <v>1203</v>
      </c>
      <c r="F378" s="61">
        <v>35547</v>
      </c>
      <c r="G378" s="15" t="s">
        <v>73</v>
      </c>
      <c r="H378" t="s">
        <v>1204</v>
      </c>
      <c r="I378" s="62" t="s">
        <v>1205</v>
      </c>
      <c r="K378" s="36" t="s">
        <v>495</v>
      </c>
      <c r="L378" t="s">
        <v>69</v>
      </c>
      <c r="M378" s="62" t="s">
        <v>70</v>
      </c>
      <c r="N378" t="s">
        <v>71</v>
      </c>
      <c r="O378" t="str">
        <f>IFERROR(IF(Tbla_actores[[#This Row],[codigo_proyecto]]="","",_xlfn.XLOOKUP(Tbla_actores[[#This Row],[codigo_proyecto]],Proyectos!$A:$A,Proyectos!$C:$C)),"")</f>
        <v>NULOS</v>
      </c>
    </row>
    <row r="379" spans="1:15" ht="14.25" customHeight="1">
      <c r="A379" s="10">
        <v>1071144226</v>
      </c>
      <c r="B379" s="64" t="s">
        <v>61</v>
      </c>
      <c r="C379" s="62" t="s">
        <v>634</v>
      </c>
      <c r="D379" t="s">
        <v>63</v>
      </c>
      <c r="E379" t="s">
        <v>1206</v>
      </c>
      <c r="F379" s="61">
        <v>35655</v>
      </c>
      <c r="G379" s="15" t="s">
        <v>73</v>
      </c>
      <c r="H379" t="s">
        <v>1207</v>
      </c>
      <c r="I379" s="62" t="s">
        <v>1208</v>
      </c>
      <c r="K379" s="36" t="s">
        <v>495</v>
      </c>
      <c r="L379" t="s">
        <v>69</v>
      </c>
      <c r="M379" s="62" t="s">
        <v>70</v>
      </c>
      <c r="N379" t="s">
        <v>71</v>
      </c>
      <c r="O379" t="str">
        <f>IFERROR(IF(Tbla_actores[[#This Row],[codigo_proyecto]]="","",_xlfn.XLOOKUP(Tbla_actores[[#This Row],[codigo_proyecto]],Proyectos!$A:$A,Proyectos!$C:$C)),"")</f>
        <v>NULOS</v>
      </c>
    </row>
    <row r="380" spans="1:15" ht="14.25" customHeight="1">
      <c r="A380" s="9">
        <v>1047498731</v>
      </c>
      <c r="B380" s="63" t="s">
        <v>61</v>
      </c>
      <c r="C380" s="62" t="s">
        <v>634</v>
      </c>
      <c r="D380" t="s">
        <v>63</v>
      </c>
      <c r="E380" t="s">
        <v>1209</v>
      </c>
      <c r="F380" s="61">
        <v>35761</v>
      </c>
      <c r="G380" s="15" t="s">
        <v>73</v>
      </c>
      <c r="H380" t="s">
        <v>1210</v>
      </c>
      <c r="I380" s="62" t="s">
        <v>1211</v>
      </c>
      <c r="K380" s="36" t="s">
        <v>495</v>
      </c>
      <c r="L380" t="s">
        <v>69</v>
      </c>
      <c r="M380" s="62" t="s">
        <v>70</v>
      </c>
      <c r="N380" t="s">
        <v>71</v>
      </c>
      <c r="O380" t="str">
        <f>IFERROR(IF(Tbla_actores[[#This Row],[codigo_proyecto]]="","",_xlfn.XLOOKUP(Tbla_actores[[#This Row],[codigo_proyecto]],Proyectos!$A:$A,Proyectos!$C:$C)),"")</f>
        <v>NULOS</v>
      </c>
    </row>
    <row r="381" spans="1:15" ht="14.25" customHeight="1">
      <c r="A381" s="10">
        <v>1032476521</v>
      </c>
      <c r="B381" s="64" t="s">
        <v>61</v>
      </c>
      <c r="C381" s="62" t="s">
        <v>634</v>
      </c>
      <c r="D381" t="s">
        <v>63</v>
      </c>
      <c r="E381" t="s">
        <v>1212</v>
      </c>
      <c r="F381" s="61">
        <v>35028</v>
      </c>
      <c r="G381" s="15" t="s">
        <v>73</v>
      </c>
      <c r="H381" t="s">
        <v>1213</v>
      </c>
      <c r="I381" s="62" t="s">
        <v>1214</v>
      </c>
      <c r="K381" s="36" t="s">
        <v>495</v>
      </c>
      <c r="L381" t="s">
        <v>69</v>
      </c>
      <c r="M381" s="62" t="s">
        <v>70</v>
      </c>
      <c r="N381" t="s">
        <v>71</v>
      </c>
      <c r="O381" t="str">
        <f>IFERROR(IF(Tbla_actores[[#This Row],[codigo_proyecto]]="","",_xlfn.XLOOKUP(Tbla_actores[[#This Row],[codigo_proyecto]],Proyectos!$A:$A,Proyectos!$C:$C)),"")</f>
        <v>NULOS</v>
      </c>
    </row>
    <row r="382" spans="1:15" ht="14.25" customHeight="1">
      <c r="A382" s="9">
        <v>1020824215</v>
      </c>
      <c r="B382" s="63" t="s">
        <v>61</v>
      </c>
      <c r="C382" s="62" t="s">
        <v>634</v>
      </c>
      <c r="D382" t="s">
        <v>63</v>
      </c>
      <c r="E382" t="s">
        <v>1215</v>
      </c>
      <c r="F382" s="61">
        <v>35468</v>
      </c>
      <c r="G382" s="15" t="s">
        <v>73</v>
      </c>
      <c r="H382" t="s">
        <v>1216</v>
      </c>
      <c r="I382" s="62" t="s">
        <v>1217</v>
      </c>
      <c r="K382" s="36" t="s">
        <v>495</v>
      </c>
      <c r="L382" t="s">
        <v>69</v>
      </c>
      <c r="M382" s="62" t="s">
        <v>70</v>
      </c>
      <c r="N382" t="s">
        <v>71</v>
      </c>
      <c r="O382" t="str">
        <f>IFERROR(IF(Tbla_actores[[#This Row],[codigo_proyecto]]="","",_xlfn.XLOOKUP(Tbla_actores[[#This Row],[codigo_proyecto]],Proyectos!$A:$A,Proyectos!$C:$C)),"")</f>
        <v>NULOS</v>
      </c>
    </row>
    <row r="383" spans="1:15" ht="14.25" customHeight="1">
      <c r="A383" s="10">
        <v>1032499644</v>
      </c>
      <c r="B383" s="64" t="s">
        <v>61</v>
      </c>
      <c r="C383" s="62" t="s">
        <v>634</v>
      </c>
      <c r="D383" t="s">
        <v>63</v>
      </c>
      <c r="E383" t="s">
        <v>1218</v>
      </c>
      <c r="F383" s="61">
        <v>36025</v>
      </c>
      <c r="G383" s="15" t="s">
        <v>65</v>
      </c>
      <c r="H383" t="s">
        <v>1219</v>
      </c>
      <c r="I383" s="62" t="s">
        <v>1220</v>
      </c>
      <c r="K383" s="36" t="s">
        <v>495</v>
      </c>
      <c r="L383" t="s">
        <v>69</v>
      </c>
      <c r="M383" s="62" t="s">
        <v>70</v>
      </c>
      <c r="N383" t="s">
        <v>71</v>
      </c>
      <c r="O383" t="str">
        <f>IFERROR(IF(Tbla_actores[[#This Row],[codigo_proyecto]]="","",_xlfn.XLOOKUP(Tbla_actores[[#This Row],[codigo_proyecto]],Proyectos!$A:$A,Proyectos!$C:$C)),"")</f>
        <v>NULOS</v>
      </c>
    </row>
    <row r="384" spans="1:15" ht="14.25" customHeight="1">
      <c r="A384" s="9">
        <v>1032497441</v>
      </c>
      <c r="B384" s="63" t="s">
        <v>61</v>
      </c>
      <c r="C384" s="62" t="s">
        <v>634</v>
      </c>
      <c r="D384" t="s">
        <v>63</v>
      </c>
      <c r="E384" t="s">
        <v>1221</v>
      </c>
      <c r="F384" s="61">
        <v>35841</v>
      </c>
      <c r="G384" s="15" t="s">
        <v>65</v>
      </c>
      <c r="H384" t="s">
        <v>1222</v>
      </c>
      <c r="I384" s="62" t="s">
        <v>1223</v>
      </c>
      <c r="K384" s="36" t="s">
        <v>495</v>
      </c>
      <c r="L384" t="s">
        <v>69</v>
      </c>
      <c r="M384" s="62" t="s">
        <v>70</v>
      </c>
      <c r="N384" t="s">
        <v>71</v>
      </c>
      <c r="O384" t="str">
        <f>IFERROR(IF(Tbla_actores[[#This Row],[codigo_proyecto]]="","",_xlfn.XLOOKUP(Tbla_actores[[#This Row],[codigo_proyecto]],Proyectos!$A:$A,Proyectos!$C:$C)),"")</f>
        <v>NULOS</v>
      </c>
    </row>
    <row r="385" spans="1:15" ht="14.25" customHeight="1">
      <c r="A385" s="10">
        <v>1020836052</v>
      </c>
      <c r="B385" s="64" t="s">
        <v>61</v>
      </c>
      <c r="C385" s="62" t="s">
        <v>634</v>
      </c>
      <c r="D385" t="s">
        <v>63</v>
      </c>
      <c r="E385" t="s">
        <v>1224</v>
      </c>
      <c r="F385" s="61">
        <v>36071</v>
      </c>
      <c r="G385" s="15" t="s">
        <v>73</v>
      </c>
      <c r="H385" t="s">
        <v>1225</v>
      </c>
      <c r="I385" s="62" t="s">
        <v>1226</v>
      </c>
      <c r="K385" s="36" t="s">
        <v>495</v>
      </c>
      <c r="L385" t="s">
        <v>69</v>
      </c>
      <c r="M385" s="62" t="s">
        <v>70</v>
      </c>
      <c r="N385" t="s">
        <v>71</v>
      </c>
      <c r="O385" t="str">
        <f>IFERROR(IF(Tbla_actores[[#This Row],[codigo_proyecto]]="","",_xlfn.XLOOKUP(Tbla_actores[[#This Row],[codigo_proyecto]],Proyectos!$A:$A,Proyectos!$C:$C)),"")</f>
        <v>NULOS</v>
      </c>
    </row>
    <row r="386" spans="1:15" ht="14.25" customHeight="1">
      <c r="A386" s="9">
        <v>1013665858</v>
      </c>
      <c r="B386" s="63" t="s">
        <v>61</v>
      </c>
      <c r="C386" s="62" t="s">
        <v>634</v>
      </c>
      <c r="D386" t="s">
        <v>63</v>
      </c>
      <c r="E386" t="s">
        <v>1227</v>
      </c>
      <c r="F386" s="61">
        <v>35153</v>
      </c>
      <c r="G386" s="15" t="s">
        <v>73</v>
      </c>
      <c r="H386" t="s">
        <v>1228</v>
      </c>
      <c r="I386" s="62" t="s">
        <v>1229</v>
      </c>
      <c r="K386" s="36" t="s">
        <v>495</v>
      </c>
      <c r="L386" t="s">
        <v>69</v>
      </c>
      <c r="M386" s="62" t="s">
        <v>70</v>
      </c>
      <c r="N386" t="s">
        <v>71</v>
      </c>
      <c r="O386" t="str">
        <f>IFERROR(IF(Tbla_actores[[#This Row],[codigo_proyecto]]="","",_xlfn.XLOOKUP(Tbla_actores[[#This Row],[codigo_proyecto]],Proyectos!$A:$A,Proyectos!$C:$C)),"")</f>
        <v>NULOS</v>
      </c>
    </row>
    <row r="387" spans="1:15" ht="14.25" customHeight="1">
      <c r="A387" s="10">
        <v>1032499497</v>
      </c>
      <c r="B387" s="64" t="s">
        <v>61</v>
      </c>
      <c r="C387" s="62" t="s">
        <v>634</v>
      </c>
      <c r="D387" t="s">
        <v>63</v>
      </c>
      <c r="E387" t="s">
        <v>1230</v>
      </c>
      <c r="F387" s="61">
        <v>36026</v>
      </c>
      <c r="G387" s="15" t="s">
        <v>73</v>
      </c>
      <c r="H387" t="s">
        <v>1231</v>
      </c>
      <c r="I387" s="62" t="s">
        <v>1232</v>
      </c>
      <c r="K387" s="36" t="s">
        <v>495</v>
      </c>
      <c r="L387" t="s">
        <v>69</v>
      </c>
      <c r="M387" s="62" t="s">
        <v>70</v>
      </c>
      <c r="N387" t="s">
        <v>71</v>
      </c>
      <c r="O387" t="str">
        <f>IFERROR(IF(Tbla_actores[[#This Row],[codigo_proyecto]]="","",_xlfn.XLOOKUP(Tbla_actores[[#This Row],[codigo_proyecto]],Proyectos!$A:$A,Proyectos!$C:$C)),"")</f>
        <v>NULOS</v>
      </c>
    </row>
    <row r="388" spans="1:15" ht="14.25" customHeight="1">
      <c r="A388" s="9">
        <v>1072712796</v>
      </c>
      <c r="B388" s="63" t="s">
        <v>61</v>
      </c>
      <c r="C388" s="62" t="s">
        <v>634</v>
      </c>
      <c r="D388" t="s">
        <v>63</v>
      </c>
      <c r="E388" t="s">
        <v>1233</v>
      </c>
      <c r="F388" s="61">
        <v>35447</v>
      </c>
      <c r="G388" s="15" t="s">
        <v>73</v>
      </c>
      <c r="H388" t="s">
        <v>1234</v>
      </c>
      <c r="I388" s="62" t="s">
        <v>1235</v>
      </c>
      <c r="K388" s="36" t="s">
        <v>1139</v>
      </c>
      <c r="L388" t="s">
        <v>69</v>
      </c>
      <c r="M388" s="62" t="s">
        <v>70</v>
      </c>
      <c r="N388" t="s">
        <v>71</v>
      </c>
      <c r="O388" t="str">
        <f>IFERROR(IF(Tbla_actores[[#This Row],[codigo_proyecto]]="","",_xlfn.XLOOKUP(Tbla_actores[[#This Row],[codigo_proyecto]],Proyectos!$A:$A,Proyectos!$C:$C)),"")</f>
        <v>NULOS</v>
      </c>
    </row>
    <row r="389" spans="1:15" ht="14.25" customHeight="1">
      <c r="A389" s="10">
        <v>1019123712</v>
      </c>
      <c r="B389" s="64" t="s">
        <v>61</v>
      </c>
      <c r="C389" s="62" t="s">
        <v>634</v>
      </c>
      <c r="D389" t="s">
        <v>63</v>
      </c>
      <c r="E389" t="s">
        <v>1236</v>
      </c>
      <c r="F389" s="61">
        <v>35333</v>
      </c>
      <c r="G389" s="15" t="s">
        <v>65</v>
      </c>
      <c r="H389" t="s">
        <v>1237</v>
      </c>
      <c r="I389" s="62" t="s">
        <v>1238</v>
      </c>
      <c r="K389" s="36" t="s">
        <v>169</v>
      </c>
      <c r="L389" t="s">
        <v>69</v>
      </c>
      <c r="M389" s="62" t="s">
        <v>170</v>
      </c>
      <c r="N389" t="s">
        <v>71</v>
      </c>
      <c r="O389" t="str">
        <f>IFERROR(IF(Tbla_actores[[#This Row],[codigo_proyecto]]="","",_xlfn.XLOOKUP(Tbla_actores[[#This Row],[codigo_proyecto]],Proyectos!$A:$A,Proyectos!$C:$C)),"")</f>
        <v>NULOS</v>
      </c>
    </row>
    <row r="390" spans="1:15" ht="14.25" customHeight="1">
      <c r="A390" s="9">
        <v>1019135324</v>
      </c>
      <c r="B390" s="63" t="s">
        <v>61</v>
      </c>
      <c r="C390" s="62" t="s">
        <v>634</v>
      </c>
      <c r="D390" t="s">
        <v>63</v>
      </c>
      <c r="E390" t="s">
        <v>1239</v>
      </c>
      <c r="F390" s="61">
        <v>35763</v>
      </c>
      <c r="G390" s="15" t="s">
        <v>73</v>
      </c>
      <c r="H390" t="s">
        <v>1240</v>
      </c>
      <c r="I390" s="62" t="s">
        <v>1241</v>
      </c>
      <c r="K390" s="36" t="s">
        <v>495</v>
      </c>
      <c r="L390" t="s">
        <v>69</v>
      </c>
      <c r="M390" s="62" t="s">
        <v>70</v>
      </c>
      <c r="N390" t="s">
        <v>71</v>
      </c>
      <c r="O390" t="str">
        <f>IFERROR(IF(Tbla_actores[[#This Row],[codigo_proyecto]]="","",_xlfn.XLOOKUP(Tbla_actores[[#This Row],[codigo_proyecto]],Proyectos!$A:$A,Proyectos!$C:$C)),"")</f>
        <v>NULOS</v>
      </c>
    </row>
    <row r="391" spans="1:15" ht="14.25" customHeight="1">
      <c r="A391" s="10">
        <v>1018501530</v>
      </c>
      <c r="B391" s="64" t="s">
        <v>61</v>
      </c>
      <c r="C391" s="62" t="s">
        <v>634</v>
      </c>
      <c r="D391" t="s">
        <v>63</v>
      </c>
      <c r="E391" t="s">
        <v>1242</v>
      </c>
      <c r="F391" s="61">
        <v>35831</v>
      </c>
      <c r="G391" s="15" t="s">
        <v>65</v>
      </c>
      <c r="H391" t="s">
        <v>1243</v>
      </c>
      <c r="I391" s="62" t="s">
        <v>1244</v>
      </c>
      <c r="K391" s="36" t="s">
        <v>495</v>
      </c>
      <c r="L391" t="s">
        <v>69</v>
      </c>
      <c r="M391" s="62" t="s">
        <v>70</v>
      </c>
      <c r="N391" t="s">
        <v>71</v>
      </c>
      <c r="O391" t="str">
        <f>IFERROR(IF(Tbla_actores[[#This Row],[codigo_proyecto]]="","",_xlfn.XLOOKUP(Tbla_actores[[#This Row],[codigo_proyecto]],Proyectos!$A:$A,Proyectos!$C:$C)),"")</f>
        <v>NULOS</v>
      </c>
    </row>
    <row r="392" spans="1:15" ht="14.25" customHeight="1">
      <c r="A392" s="9">
        <v>1015464633</v>
      </c>
      <c r="B392" s="63" t="s">
        <v>61</v>
      </c>
      <c r="C392" s="62" t="s">
        <v>634</v>
      </c>
      <c r="D392" t="s">
        <v>63</v>
      </c>
      <c r="E392" t="s">
        <v>1245</v>
      </c>
      <c r="F392" s="61">
        <v>35313</v>
      </c>
      <c r="G392" s="15" t="s">
        <v>73</v>
      </c>
      <c r="H392" t="s">
        <v>1246</v>
      </c>
      <c r="I392" s="62" t="s">
        <v>1247</v>
      </c>
      <c r="K392" s="36" t="s">
        <v>495</v>
      </c>
      <c r="L392" t="s">
        <v>69</v>
      </c>
      <c r="M392" s="62" t="s">
        <v>70</v>
      </c>
      <c r="N392" t="s">
        <v>71</v>
      </c>
      <c r="O392" t="str">
        <f>IFERROR(IF(Tbla_actores[[#This Row],[codigo_proyecto]]="","",_xlfn.XLOOKUP(Tbla_actores[[#This Row],[codigo_proyecto]],Proyectos!$A:$A,Proyectos!$C:$C)),"")</f>
        <v>NULOS</v>
      </c>
    </row>
    <row r="393" spans="1:15" ht="14.25" customHeight="1">
      <c r="A393" s="10">
        <v>1018508885</v>
      </c>
      <c r="B393" s="64" t="s">
        <v>61</v>
      </c>
      <c r="C393" s="62" t="s">
        <v>634</v>
      </c>
      <c r="D393" t="s">
        <v>63</v>
      </c>
      <c r="E393" t="s">
        <v>1248</v>
      </c>
      <c r="F393" s="61">
        <v>36202</v>
      </c>
      <c r="G393" s="15" t="s">
        <v>73</v>
      </c>
      <c r="H393" t="s">
        <v>1249</v>
      </c>
      <c r="I393" s="62" t="s">
        <v>1250</v>
      </c>
      <c r="K393" s="36" t="s">
        <v>495</v>
      </c>
      <c r="L393" t="s">
        <v>69</v>
      </c>
      <c r="M393" s="62" t="s">
        <v>70</v>
      </c>
      <c r="N393" t="s">
        <v>71</v>
      </c>
      <c r="O393" t="str">
        <f>IFERROR(IF(Tbla_actores[[#This Row],[codigo_proyecto]]="","",_xlfn.XLOOKUP(Tbla_actores[[#This Row],[codigo_proyecto]],Proyectos!$A:$A,Proyectos!$C:$C)),"")</f>
        <v>NULOS</v>
      </c>
    </row>
    <row r="394" spans="1:15" ht="14.25" customHeight="1">
      <c r="A394" s="9">
        <v>1012442233</v>
      </c>
      <c r="B394" s="63" t="s">
        <v>61</v>
      </c>
      <c r="C394" s="62" t="s">
        <v>634</v>
      </c>
      <c r="D394" t="s">
        <v>63</v>
      </c>
      <c r="E394" t="s">
        <v>1251</v>
      </c>
      <c r="F394" s="61">
        <v>35493</v>
      </c>
      <c r="G394" s="15" t="s">
        <v>73</v>
      </c>
      <c r="H394" t="s">
        <v>1252</v>
      </c>
      <c r="I394" s="62" t="s">
        <v>1253</v>
      </c>
      <c r="K394" s="36" t="s">
        <v>495</v>
      </c>
      <c r="L394" t="s">
        <v>69</v>
      </c>
      <c r="M394" s="62" t="s">
        <v>70</v>
      </c>
      <c r="N394" t="s">
        <v>71</v>
      </c>
      <c r="O394" t="str">
        <f>IFERROR(IF(Tbla_actores[[#This Row],[codigo_proyecto]]="","",_xlfn.XLOOKUP(Tbla_actores[[#This Row],[codigo_proyecto]],Proyectos!$A:$A,Proyectos!$C:$C)),"")</f>
        <v>NULOS</v>
      </c>
    </row>
    <row r="395" spans="1:15" ht="14.25" customHeight="1">
      <c r="A395" s="10">
        <v>1032492031</v>
      </c>
      <c r="B395" s="64" t="s">
        <v>61</v>
      </c>
      <c r="C395" s="62" t="s">
        <v>634</v>
      </c>
      <c r="D395" t="s">
        <v>63</v>
      </c>
      <c r="E395" t="s">
        <v>1254</v>
      </c>
      <c r="F395" s="61">
        <v>35625</v>
      </c>
      <c r="G395" s="15" t="s">
        <v>73</v>
      </c>
      <c r="H395" t="s">
        <v>1255</v>
      </c>
      <c r="I395" s="62" t="s">
        <v>1256</v>
      </c>
      <c r="K395" s="36" t="s">
        <v>495</v>
      </c>
      <c r="L395" t="s">
        <v>69</v>
      </c>
      <c r="M395" s="62" t="s">
        <v>70</v>
      </c>
      <c r="N395" t="s">
        <v>71</v>
      </c>
      <c r="O395" t="str">
        <f>IFERROR(IF(Tbla_actores[[#This Row],[codigo_proyecto]]="","",_xlfn.XLOOKUP(Tbla_actores[[#This Row],[codigo_proyecto]],Proyectos!$A:$A,Proyectos!$C:$C)),"")</f>
        <v>NULOS</v>
      </c>
    </row>
    <row r="396" spans="1:15" ht="14.25" customHeight="1">
      <c r="A396" s="9">
        <v>1075318688</v>
      </c>
      <c r="B396" s="63" t="s">
        <v>61</v>
      </c>
      <c r="C396" s="62" t="s">
        <v>634</v>
      </c>
      <c r="D396" t="s">
        <v>63</v>
      </c>
      <c r="E396" t="s">
        <v>1257</v>
      </c>
      <c r="F396" s="61">
        <v>36298</v>
      </c>
      <c r="G396" s="15" t="s">
        <v>73</v>
      </c>
      <c r="H396" t="s">
        <v>1258</v>
      </c>
      <c r="I396" s="62" t="s">
        <v>1259</v>
      </c>
      <c r="K396" s="36" t="s">
        <v>495</v>
      </c>
      <c r="L396" t="s">
        <v>69</v>
      </c>
      <c r="M396" s="62" t="s">
        <v>70</v>
      </c>
      <c r="N396" t="s">
        <v>71</v>
      </c>
      <c r="O396" t="str">
        <f>IFERROR(IF(Tbla_actores[[#This Row],[codigo_proyecto]]="","",_xlfn.XLOOKUP(Tbla_actores[[#This Row],[codigo_proyecto]],Proyectos!$A:$A,Proyectos!$C:$C)),"")</f>
        <v>NULOS</v>
      </c>
    </row>
    <row r="397" spans="1:15" ht="14.25" customHeight="1">
      <c r="A397" s="10">
        <v>1018508425</v>
      </c>
      <c r="B397" s="64" t="s">
        <v>61</v>
      </c>
      <c r="C397" s="62" t="s">
        <v>634</v>
      </c>
      <c r="D397" t="s">
        <v>63</v>
      </c>
      <c r="E397" t="s">
        <v>1260</v>
      </c>
      <c r="F397" s="61">
        <v>36183</v>
      </c>
      <c r="G397" s="15" t="s">
        <v>73</v>
      </c>
      <c r="H397" t="s">
        <v>1261</v>
      </c>
      <c r="I397" s="62" t="s">
        <v>1262</v>
      </c>
      <c r="K397" s="36" t="s">
        <v>495</v>
      </c>
      <c r="L397" t="s">
        <v>69</v>
      </c>
      <c r="M397" s="62" t="s">
        <v>70</v>
      </c>
      <c r="N397" t="s">
        <v>71</v>
      </c>
      <c r="O397" t="str">
        <f>IFERROR(IF(Tbla_actores[[#This Row],[codigo_proyecto]]="","",_xlfn.XLOOKUP(Tbla_actores[[#This Row],[codigo_proyecto]],Proyectos!$A:$A,Proyectos!$C:$C)),"")</f>
        <v>NULOS</v>
      </c>
    </row>
    <row r="398" spans="1:15" ht="14.25" customHeight="1">
      <c r="A398" s="9">
        <v>1072448002</v>
      </c>
      <c r="B398" s="63" t="s">
        <v>61</v>
      </c>
      <c r="C398" s="62" t="s">
        <v>634</v>
      </c>
      <c r="D398" t="s">
        <v>63</v>
      </c>
      <c r="E398" t="s">
        <v>1263</v>
      </c>
      <c r="F398" s="61">
        <v>36054</v>
      </c>
      <c r="G398" s="15" t="s">
        <v>65</v>
      </c>
      <c r="H398" t="s">
        <v>1264</v>
      </c>
      <c r="I398" s="62" t="s">
        <v>1265</v>
      </c>
      <c r="K398" s="36" t="s">
        <v>495</v>
      </c>
      <c r="L398" t="s">
        <v>69</v>
      </c>
      <c r="M398" s="62" t="s">
        <v>70</v>
      </c>
      <c r="N398" t="s">
        <v>71</v>
      </c>
      <c r="O398" t="str">
        <f>IFERROR(IF(Tbla_actores[[#This Row],[codigo_proyecto]]="","",_xlfn.XLOOKUP(Tbla_actores[[#This Row],[codigo_proyecto]],Proyectos!$A:$A,Proyectos!$C:$C)),"")</f>
        <v>NULOS</v>
      </c>
    </row>
    <row r="399" spans="1:15" ht="14.25" customHeight="1">
      <c r="A399" s="10">
        <v>1019138343</v>
      </c>
      <c r="B399" s="64" t="s">
        <v>61</v>
      </c>
      <c r="C399" s="62" t="s">
        <v>634</v>
      </c>
      <c r="D399" t="s">
        <v>63</v>
      </c>
      <c r="E399" t="s">
        <v>1266</v>
      </c>
      <c r="F399" s="61">
        <v>35865</v>
      </c>
      <c r="G399" s="15" t="s">
        <v>73</v>
      </c>
      <c r="H399" t="s">
        <v>1267</v>
      </c>
      <c r="I399" s="62" t="s">
        <v>1268</v>
      </c>
      <c r="K399" s="36" t="s">
        <v>495</v>
      </c>
      <c r="L399" t="s">
        <v>69</v>
      </c>
      <c r="M399" s="62" t="s">
        <v>70</v>
      </c>
      <c r="N399" t="s">
        <v>71</v>
      </c>
      <c r="O399" t="str">
        <f>IFERROR(IF(Tbla_actores[[#This Row],[codigo_proyecto]]="","",_xlfn.XLOOKUP(Tbla_actores[[#This Row],[codigo_proyecto]],Proyectos!$A:$A,Proyectos!$C:$C)),"")</f>
        <v>NULOS</v>
      </c>
    </row>
    <row r="400" spans="1:15" ht="14.25" customHeight="1">
      <c r="A400" s="9">
        <v>1018425447</v>
      </c>
      <c r="B400" s="63" t="s">
        <v>61</v>
      </c>
      <c r="C400" s="62" t="s">
        <v>634</v>
      </c>
      <c r="D400" t="s">
        <v>63</v>
      </c>
      <c r="E400" t="s">
        <v>1269</v>
      </c>
      <c r="F400" s="61">
        <v>32654</v>
      </c>
      <c r="G400" s="15" t="s">
        <v>73</v>
      </c>
      <c r="H400" t="s">
        <v>1270</v>
      </c>
      <c r="I400" s="62" t="s">
        <v>1271</v>
      </c>
      <c r="K400" s="36" t="s">
        <v>495</v>
      </c>
      <c r="L400" t="s">
        <v>69</v>
      </c>
      <c r="M400" s="62" t="s">
        <v>70</v>
      </c>
      <c r="N400" t="s">
        <v>71</v>
      </c>
      <c r="O400" t="str">
        <f>IFERROR(IF(Tbla_actores[[#This Row],[codigo_proyecto]]="","",_xlfn.XLOOKUP(Tbla_actores[[#This Row],[codigo_proyecto]],Proyectos!$A:$A,Proyectos!$C:$C)),"")</f>
        <v>NULOS</v>
      </c>
    </row>
    <row r="401" spans="1:15" ht="14.25" customHeight="1">
      <c r="A401" s="10">
        <v>1083019069</v>
      </c>
      <c r="B401" s="64" t="s">
        <v>61</v>
      </c>
      <c r="C401" s="62" t="s">
        <v>634</v>
      </c>
      <c r="D401" t="s">
        <v>63</v>
      </c>
      <c r="E401" t="s">
        <v>1272</v>
      </c>
      <c r="F401" s="61">
        <v>35382</v>
      </c>
      <c r="G401" s="15" t="s">
        <v>73</v>
      </c>
      <c r="H401" t="s">
        <v>1273</v>
      </c>
      <c r="I401" s="62" t="s">
        <v>1274</v>
      </c>
      <c r="K401" s="36" t="s">
        <v>495</v>
      </c>
      <c r="L401" t="s">
        <v>69</v>
      </c>
      <c r="M401" s="62" t="s">
        <v>70</v>
      </c>
      <c r="N401" t="s">
        <v>71</v>
      </c>
      <c r="O401" t="str">
        <f>IFERROR(IF(Tbla_actores[[#This Row],[codigo_proyecto]]="","",_xlfn.XLOOKUP(Tbla_actores[[#This Row],[codigo_proyecto]],Proyectos!$A:$A,Proyectos!$C:$C)),"")</f>
        <v>NULOS</v>
      </c>
    </row>
    <row r="402" spans="1:15" ht="14.25" customHeight="1">
      <c r="A402" s="9">
        <v>1013674890</v>
      </c>
      <c r="B402" s="63" t="s">
        <v>61</v>
      </c>
      <c r="C402" s="62" t="s">
        <v>634</v>
      </c>
      <c r="D402" t="s">
        <v>63</v>
      </c>
      <c r="E402" t="s">
        <v>1275</v>
      </c>
      <c r="F402" s="61">
        <v>35631</v>
      </c>
      <c r="G402" s="15" t="s">
        <v>73</v>
      </c>
      <c r="H402" t="s">
        <v>1276</v>
      </c>
      <c r="I402" s="62" t="s">
        <v>1277</v>
      </c>
      <c r="K402" s="36" t="s">
        <v>495</v>
      </c>
      <c r="L402" t="s">
        <v>69</v>
      </c>
      <c r="M402" s="62" t="s">
        <v>70</v>
      </c>
      <c r="N402" t="s">
        <v>71</v>
      </c>
      <c r="O402" t="str">
        <f>IFERROR(IF(Tbla_actores[[#This Row],[codigo_proyecto]]="","",_xlfn.XLOOKUP(Tbla_actores[[#This Row],[codigo_proyecto]],Proyectos!$A:$A,Proyectos!$C:$C)),"")</f>
        <v>NULOS</v>
      </c>
    </row>
    <row r="403" spans="1:15" ht="14.25" customHeight="1">
      <c r="A403" s="10">
        <v>1019100117</v>
      </c>
      <c r="B403" s="64" t="s">
        <v>61</v>
      </c>
      <c r="C403" s="62" t="s">
        <v>634</v>
      </c>
      <c r="D403" t="s">
        <v>63</v>
      </c>
      <c r="E403" t="s">
        <v>1278</v>
      </c>
      <c r="F403" s="61">
        <v>34608</v>
      </c>
      <c r="G403" s="15" t="s">
        <v>65</v>
      </c>
      <c r="H403" t="s">
        <v>1279</v>
      </c>
      <c r="I403" s="62" t="s">
        <v>1280</v>
      </c>
      <c r="K403" s="36" t="s">
        <v>495</v>
      </c>
      <c r="L403" t="s">
        <v>69</v>
      </c>
      <c r="M403" s="62" t="s">
        <v>70</v>
      </c>
      <c r="N403" t="s">
        <v>71</v>
      </c>
      <c r="O403" t="str">
        <f>IFERROR(IF(Tbla_actores[[#This Row],[codigo_proyecto]]="","",_xlfn.XLOOKUP(Tbla_actores[[#This Row],[codigo_proyecto]],Proyectos!$A:$A,Proyectos!$C:$C)),"")</f>
        <v>NULOS</v>
      </c>
    </row>
    <row r="404" spans="1:15" ht="14.25" customHeight="1">
      <c r="A404" s="9">
        <v>1018503485</v>
      </c>
      <c r="B404" s="63" t="s">
        <v>61</v>
      </c>
      <c r="C404" s="62" t="s">
        <v>634</v>
      </c>
      <c r="D404" t="s">
        <v>63</v>
      </c>
      <c r="E404" t="s">
        <v>1281</v>
      </c>
      <c r="F404" s="61">
        <v>35890</v>
      </c>
      <c r="G404" s="15" t="s">
        <v>73</v>
      </c>
      <c r="H404" t="s">
        <v>1282</v>
      </c>
      <c r="I404" s="62" t="s">
        <v>1283</v>
      </c>
      <c r="K404" s="36" t="s">
        <v>495</v>
      </c>
      <c r="L404" t="s">
        <v>69</v>
      </c>
      <c r="M404" s="62" t="s">
        <v>70</v>
      </c>
      <c r="N404" t="s">
        <v>71</v>
      </c>
      <c r="O404" t="str">
        <f>IFERROR(IF(Tbla_actores[[#This Row],[codigo_proyecto]]="","",_xlfn.XLOOKUP(Tbla_actores[[#This Row],[codigo_proyecto]],Proyectos!$A:$A,Proyectos!$C:$C)),"")</f>
        <v>NULOS</v>
      </c>
    </row>
    <row r="405" spans="1:15" ht="14.25" customHeight="1">
      <c r="A405" s="10">
        <v>1032474591</v>
      </c>
      <c r="B405" s="64" t="s">
        <v>61</v>
      </c>
      <c r="C405" s="62" t="s">
        <v>634</v>
      </c>
      <c r="D405" t="s">
        <v>63</v>
      </c>
      <c r="E405" t="s">
        <v>1284</v>
      </c>
      <c r="F405" s="61">
        <v>34937</v>
      </c>
      <c r="G405" s="15" t="s">
        <v>73</v>
      </c>
      <c r="H405" t="s">
        <v>1285</v>
      </c>
      <c r="I405" s="62" t="s">
        <v>1286</v>
      </c>
      <c r="K405" s="36" t="s">
        <v>495</v>
      </c>
      <c r="L405" t="s">
        <v>69</v>
      </c>
      <c r="M405" s="62" t="s">
        <v>70</v>
      </c>
      <c r="N405" t="s">
        <v>71</v>
      </c>
      <c r="O405" t="str">
        <f>IFERROR(IF(Tbla_actores[[#This Row],[codigo_proyecto]]="","",_xlfn.XLOOKUP(Tbla_actores[[#This Row],[codigo_proyecto]],Proyectos!$A:$A,Proyectos!$C:$C)),"")</f>
        <v>NULOS</v>
      </c>
    </row>
    <row r="406" spans="1:15" ht="14.25" customHeight="1">
      <c r="A406" s="9">
        <v>1032503247</v>
      </c>
      <c r="B406" s="63" t="s">
        <v>61</v>
      </c>
      <c r="C406" s="62" t="s">
        <v>634</v>
      </c>
      <c r="D406" t="s">
        <v>63</v>
      </c>
      <c r="E406" t="s">
        <v>1287</v>
      </c>
      <c r="F406" s="61">
        <v>36223</v>
      </c>
      <c r="G406" s="15" t="s">
        <v>73</v>
      </c>
      <c r="H406" t="s">
        <v>1288</v>
      </c>
      <c r="I406" s="62" t="s">
        <v>1289</v>
      </c>
      <c r="K406" s="36" t="s">
        <v>495</v>
      </c>
      <c r="L406" t="s">
        <v>69</v>
      </c>
      <c r="M406" s="62" t="s">
        <v>70</v>
      </c>
      <c r="N406" t="s">
        <v>71</v>
      </c>
      <c r="O406" t="str">
        <f>IFERROR(IF(Tbla_actores[[#This Row],[codigo_proyecto]]="","",_xlfn.XLOOKUP(Tbla_actores[[#This Row],[codigo_proyecto]],Proyectos!$A:$A,Proyectos!$C:$C)),"")</f>
        <v>NULOS</v>
      </c>
    </row>
    <row r="407" spans="1:15" ht="14.25" customHeight="1">
      <c r="A407" s="10">
        <v>1018502538</v>
      </c>
      <c r="B407" s="64" t="s">
        <v>61</v>
      </c>
      <c r="C407" s="62" t="s">
        <v>634</v>
      </c>
      <c r="D407" t="s">
        <v>63</v>
      </c>
      <c r="E407" t="s">
        <v>1290</v>
      </c>
      <c r="F407" s="61">
        <v>35897</v>
      </c>
      <c r="G407" s="15" t="s">
        <v>65</v>
      </c>
      <c r="H407" t="s">
        <v>1291</v>
      </c>
      <c r="I407" s="62" t="s">
        <v>1292</v>
      </c>
      <c r="K407" s="36" t="s">
        <v>495</v>
      </c>
      <c r="L407" t="s">
        <v>69</v>
      </c>
      <c r="M407" s="62" t="s">
        <v>70</v>
      </c>
      <c r="N407" t="s">
        <v>71</v>
      </c>
      <c r="O407" t="str">
        <f>IFERROR(IF(Tbla_actores[[#This Row],[codigo_proyecto]]="","",_xlfn.XLOOKUP(Tbla_actores[[#This Row],[codigo_proyecto]],Proyectos!$A:$A,Proyectos!$C:$C)),"")</f>
        <v>NULOS</v>
      </c>
    </row>
    <row r="408" spans="1:15" ht="14.25" customHeight="1">
      <c r="A408" s="9">
        <v>1019146747</v>
      </c>
      <c r="B408" s="63" t="s">
        <v>61</v>
      </c>
      <c r="C408" s="62" t="s">
        <v>634</v>
      </c>
      <c r="D408" t="s">
        <v>63</v>
      </c>
      <c r="E408" t="s">
        <v>1293</v>
      </c>
      <c r="F408" s="61">
        <v>36213</v>
      </c>
      <c r="G408" s="15" t="s">
        <v>65</v>
      </c>
      <c r="H408" t="s">
        <v>1294</v>
      </c>
      <c r="I408" s="62" t="s">
        <v>1295</v>
      </c>
      <c r="K408" s="36" t="s">
        <v>495</v>
      </c>
      <c r="L408" t="s">
        <v>69</v>
      </c>
      <c r="M408" s="62" t="s">
        <v>70</v>
      </c>
      <c r="N408" t="s">
        <v>71</v>
      </c>
      <c r="O408" t="str">
        <f>IFERROR(IF(Tbla_actores[[#This Row],[codigo_proyecto]]="","",_xlfn.XLOOKUP(Tbla_actores[[#This Row],[codigo_proyecto]],Proyectos!$A:$A,Proyectos!$C:$C)),"")</f>
        <v>NULOS</v>
      </c>
    </row>
    <row r="409" spans="1:15" ht="14.25" customHeight="1">
      <c r="A409" s="10">
        <v>1110577978</v>
      </c>
      <c r="B409" s="64" t="s">
        <v>61</v>
      </c>
      <c r="C409" s="62" t="s">
        <v>634</v>
      </c>
      <c r="D409" t="s">
        <v>63</v>
      </c>
      <c r="E409" t="s">
        <v>1296</v>
      </c>
      <c r="F409" s="61">
        <v>35397</v>
      </c>
      <c r="G409" s="15" t="s">
        <v>73</v>
      </c>
      <c r="H409" t="s">
        <v>1297</v>
      </c>
      <c r="I409" s="62" t="s">
        <v>1298</v>
      </c>
      <c r="K409" s="36" t="s">
        <v>169</v>
      </c>
      <c r="L409" t="s">
        <v>69</v>
      </c>
      <c r="M409" s="62" t="s">
        <v>170</v>
      </c>
      <c r="N409" t="s">
        <v>71</v>
      </c>
      <c r="O409" t="str">
        <f>IFERROR(IF(Tbla_actores[[#This Row],[codigo_proyecto]]="","",_xlfn.XLOOKUP(Tbla_actores[[#This Row],[codigo_proyecto]],Proyectos!$A:$A,Proyectos!$C:$C)),"")</f>
        <v>NULOS</v>
      </c>
    </row>
    <row r="410" spans="1:15" ht="14.25" customHeight="1">
      <c r="A410" s="9">
        <v>1110586712</v>
      </c>
      <c r="B410" s="63" t="s">
        <v>61</v>
      </c>
      <c r="C410" s="62" t="s">
        <v>634</v>
      </c>
      <c r="D410" t="s">
        <v>63</v>
      </c>
      <c r="E410" t="s">
        <v>1299</v>
      </c>
      <c r="F410" s="61">
        <v>35756</v>
      </c>
      <c r="G410" s="15" t="s">
        <v>65</v>
      </c>
      <c r="H410" t="s">
        <v>1300</v>
      </c>
      <c r="I410" s="62" t="s">
        <v>1301</v>
      </c>
      <c r="K410" s="36" t="s">
        <v>495</v>
      </c>
      <c r="L410" t="s">
        <v>69</v>
      </c>
      <c r="M410" s="62" t="s">
        <v>70</v>
      </c>
      <c r="N410" t="s">
        <v>71</v>
      </c>
      <c r="O410" t="str">
        <f>IFERROR(IF(Tbla_actores[[#This Row],[codigo_proyecto]]="","",_xlfn.XLOOKUP(Tbla_actores[[#This Row],[codigo_proyecto]],Proyectos!$A:$A,Proyectos!$C:$C)),"")</f>
        <v>NULOS</v>
      </c>
    </row>
    <row r="411" spans="1:15" ht="14.25" customHeight="1">
      <c r="A411" s="10">
        <v>1018500661</v>
      </c>
      <c r="B411" s="64" t="s">
        <v>61</v>
      </c>
      <c r="C411" s="62" t="s">
        <v>634</v>
      </c>
      <c r="D411" t="s">
        <v>63</v>
      </c>
      <c r="E411" t="s">
        <v>1302</v>
      </c>
      <c r="F411" s="61">
        <v>35825</v>
      </c>
      <c r="G411" s="15" t="s">
        <v>73</v>
      </c>
      <c r="H411" t="s">
        <v>1303</v>
      </c>
      <c r="I411" s="62" t="s">
        <v>1304</v>
      </c>
      <c r="K411" s="36" t="s">
        <v>495</v>
      </c>
      <c r="L411" t="s">
        <v>69</v>
      </c>
      <c r="M411" s="62" t="s">
        <v>70</v>
      </c>
      <c r="N411" t="s">
        <v>71</v>
      </c>
      <c r="O411" t="str">
        <f>IFERROR(IF(Tbla_actores[[#This Row],[codigo_proyecto]]="","",_xlfn.XLOOKUP(Tbla_actores[[#This Row],[codigo_proyecto]],Proyectos!$A:$A,Proyectos!$C:$C)),"")</f>
        <v>NULOS</v>
      </c>
    </row>
    <row r="412" spans="1:15" ht="14.25" customHeight="1">
      <c r="A412" s="9">
        <v>1053613919</v>
      </c>
      <c r="B412" s="63" t="s">
        <v>61</v>
      </c>
      <c r="C412" s="62" t="s">
        <v>634</v>
      </c>
      <c r="D412" t="s">
        <v>63</v>
      </c>
      <c r="E412" t="s">
        <v>1305</v>
      </c>
      <c r="F412" s="61">
        <v>35337</v>
      </c>
      <c r="G412" s="15" t="s">
        <v>73</v>
      </c>
      <c r="H412" t="s">
        <v>1306</v>
      </c>
      <c r="I412" s="62" t="s">
        <v>1307</v>
      </c>
      <c r="K412" s="36" t="s">
        <v>495</v>
      </c>
      <c r="L412" t="s">
        <v>69</v>
      </c>
      <c r="M412" s="62" t="s">
        <v>70</v>
      </c>
      <c r="N412" t="s">
        <v>71</v>
      </c>
      <c r="O412" t="str">
        <f>IFERROR(IF(Tbla_actores[[#This Row],[codigo_proyecto]]="","",_xlfn.XLOOKUP(Tbla_actores[[#This Row],[codigo_proyecto]],Proyectos!$A:$A,Proyectos!$C:$C)),"")</f>
        <v>NULOS</v>
      </c>
    </row>
    <row r="413" spans="1:15" ht="14.25" customHeight="1">
      <c r="A413" s="10">
        <v>1032477244</v>
      </c>
      <c r="B413" s="64" t="s">
        <v>61</v>
      </c>
      <c r="C413" s="62" t="s">
        <v>634</v>
      </c>
      <c r="D413" t="s">
        <v>63</v>
      </c>
      <c r="E413" t="s">
        <v>1308</v>
      </c>
      <c r="F413" s="61">
        <v>35062</v>
      </c>
      <c r="G413" s="15" t="s">
        <v>73</v>
      </c>
      <c r="H413" t="s">
        <v>1309</v>
      </c>
      <c r="I413" s="62" t="s">
        <v>1310</v>
      </c>
      <c r="K413" s="36" t="s">
        <v>495</v>
      </c>
      <c r="L413" t="s">
        <v>69</v>
      </c>
      <c r="M413" s="62" t="s">
        <v>70</v>
      </c>
      <c r="N413" t="s">
        <v>71</v>
      </c>
      <c r="O413" t="str">
        <f>IFERROR(IF(Tbla_actores[[#This Row],[codigo_proyecto]]="","",_xlfn.XLOOKUP(Tbla_actores[[#This Row],[codigo_proyecto]],Proyectos!$A:$A,Proyectos!$C:$C)),"")</f>
        <v>NULOS</v>
      </c>
    </row>
    <row r="414" spans="1:15" ht="14.25" customHeight="1">
      <c r="A414" s="9">
        <v>1069759356</v>
      </c>
      <c r="B414" s="63" t="s">
        <v>61</v>
      </c>
      <c r="C414" s="62" t="s">
        <v>634</v>
      </c>
      <c r="D414" t="s">
        <v>63</v>
      </c>
      <c r="E414" t="s">
        <v>1311</v>
      </c>
      <c r="F414" s="61">
        <v>35601</v>
      </c>
      <c r="G414" s="15" t="s">
        <v>65</v>
      </c>
      <c r="H414" t="s">
        <v>1312</v>
      </c>
      <c r="I414" s="62" t="s">
        <v>1313</v>
      </c>
      <c r="K414" s="36" t="s">
        <v>495</v>
      </c>
      <c r="L414" t="s">
        <v>69</v>
      </c>
      <c r="M414" s="62" t="s">
        <v>70</v>
      </c>
      <c r="N414" t="s">
        <v>71</v>
      </c>
      <c r="O414" t="str">
        <f>IFERROR(IF(Tbla_actores[[#This Row],[codigo_proyecto]]="","",_xlfn.XLOOKUP(Tbla_actores[[#This Row],[codigo_proyecto]],Proyectos!$A:$A,Proyectos!$C:$C)),"")</f>
        <v>NULOS</v>
      </c>
    </row>
    <row r="415" spans="1:15" ht="14.25" customHeight="1">
      <c r="A415" s="10">
        <v>1026599343</v>
      </c>
      <c r="B415" s="64" t="s">
        <v>61</v>
      </c>
      <c r="C415" s="62" t="s">
        <v>634</v>
      </c>
      <c r="D415" t="s">
        <v>63</v>
      </c>
      <c r="E415" t="s">
        <v>1314</v>
      </c>
      <c r="F415" s="61">
        <v>36448</v>
      </c>
      <c r="G415" s="15" t="s">
        <v>73</v>
      </c>
      <c r="H415" t="s">
        <v>1315</v>
      </c>
      <c r="I415" s="62" t="s">
        <v>1316</v>
      </c>
      <c r="K415" s="36" t="s">
        <v>495</v>
      </c>
      <c r="L415" t="s">
        <v>69</v>
      </c>
      <c r="M415" s="62" t="s">
        <v>70</v>
      </c>
      <c r="N415" t="s">
        <v>71</v>
      </c>
      <c r="O415" t="str">
        <f>IFERROR(IF(Tbla_actores[[#This Row],[codigo_proyecto]]="","",_xlfn.XLOOKUP(Tbla_actores[[#This Row],[codigo_proyecto]],Proyectos!$A:$A,Proyectos!$C:$C)),"")</f>
        <v>NULOS</v>
      </c>
    </row>
    <row r="416" spans="1:15" ht="14.25" customHeight="1">
      <c r="A416" s="9">
        <v>1032474071</v>
      </c>
      <c r="B416" s="63" t="s">
        <v>61</v>
      </c>
      <c r="C416" s="62" t="s">
        <v>634</v>
      </c>
      <c r="D416" t="s">
        <v>63</v>
      </c>
      <c r="E416" t="s">
        <v>1317</v>
      </c>
      <c r="F416" s="61">
        <v>34926</v>
      </c>
      <c r="G416" s="15" t="s">
        <v>65</v>
      </c>
      <c r="H416" t="s">
        <v>1318</v>
      </c>
      <c r="I416" s="62" t="s">
        <v>1319</v>
      </c>
      <c r="K416" s="36" t="s">
        <v>495</v>
      </c>
      <c r="L416" t="s">
        <v>69</v>
      </c>
      <c r="M416" s="62" t="s">
        <v>70</v>
      </c>
      <c r="N416" t="s">
        <v>71</v>
      </c>
      <c r="O416" t="str">
        <f>IFERROR(IF(Tbla_actores[[#This Row],[codigo_proyecto]]="","",_xlfn.XLOOKUP(Tbla_actores[[#This Row],[codigo_proyecto]],Proyectos!$A:$A,Proyectos!$C:$C)),"")</f>
        <v>NULOS</v>
      </c>
    </row>
    <row r="417" spans="1:15" ht="14.25" customHeight="1">
      <c r="A417" s="10">
        <v>1018507107</v>
      </c>
      <c r="B417" s="64" t="s">
        <v>61</v>
      </c>
      <c r="C417" s="62" t="s">
        <v>634</v>
      </c>
      <c r="D417" t="s">
        <v>63</v>
      </c>
      <c r="E417" t="s">
        <v>1320</v>
      </c>
      <c r="F417" s="61">
        <v>36118</v>
      </c>
      <c r="G417" s="15" t="s">
        <v>65</v>
      </c>
      <c r="H417" t="s">
        <v>1321</v>
      </c>
      <c r="I417" s="62" t="s">
        <v>1322</v>
      </c>
      <c r="K417" s="36" t="s">
        <v>495</v>
      </c>
      <c r="L417" t="s">
        <v>69</v>
      </c>
      <c r="M417" s="62" t="s">
        <v>70</v>
      </c>
      <c r="N417" t="s">
        <v>71</v>
      </c>
      <c r="O417" t="str">
        <f>IFERROR(IF(Tbla_actores[[#This Row],[codigo_proyecto]]="","",_xlfn.XLOOKUP(Tbla_actores[[#This Row],[codigo_proyecto]],Proyectos!$A:$A,Proyectos!$C:$C)),"")</f>
        <v>NULOS</v>
      </c>
    </row>
    <row r="418" spans="1:15" ht="14.25" customHeight="1">
      <c r="A418" s="9">
        <v>1083023412</v>
      </c>
      <c r="B418" s="63" t="s">
        <v>61</v>
      </c>
      <c r="C418" s="62" t="s">
        <v>634</v>
      </c>
      <c r="D418" t="s">
        <v>63</v>
      </c>
      <c r="E418" t="s">
        <v>1323</v>
      </c>
      <c r="F418" s="61">
        <v>35508</v>
      </c>
      <c r="G418" s="15" t="s">
        <v>73</v>
      </c>
      <c r="H418" t="s">
        <v>1324</v>
      </c>
      <c r="I418" s="62" t="s">
        <v>1325</v>
      </c>
      <c r="K418" s="36" t="s">
        <v>495</v>
      </c>
      <c r="L418" t="s">
        <v>69</v>
      </c>
      <c r="M418" s="62" t="s">
        <v>70</v>
      </c>
      <c r="N418" t="s">
        <v>71</v>
      </c>
      <c r="O418" t="str">
        <f>IFERROR(IF(Tbla_actores[[#This Row],[codigo_proyecto]]="","",_xlfn.XLOOKUP(Tbla_actores[[#This Row],[codigo_proyecto]],Proyectos!$A:$A,Proyectos!$C:$C)),"")</f>
        <v>NULOS</v>
      </c>
    </row>
    <row r="419" spans="1:15" ht="14.25" customHeight="1">
      <c r="A419" s="10">
        <v>1069306275</v>
      </c>
      <c r="B419" s="64" t="s">
        <v>61</v>
      </c>
      <c r="C419" s="62" t="s">
        <v>634</v>
      </c>
      <c r="D419" t="s">
        <v>63</v>
      </c>
      <c r="E419" t="s">
        <v>1326</v>
      </c>
      <c r="F419" s="61">
        <v>35958</v>
      </c>
      <c r="G419" s="15" t="s">
        <v>73</v>
      </c>
      <c r="H419" t="s">
        <v>1327</v>
      </c>
      <c r="I419" s="62" t="s">
        <v>1328</v>
      </c>
      <c r="K419" s="36" t="s">
        <v>495</v>
      </c>
      <c r="L419" t="s">
        <v>69</v>
      </c>
      <c r="M419" s="62" t="s">
        <v>70</v>
      </c>
      <c r="N419" t="s">
        <v>71</v>
      </c>
      <c r="O419" t="str">
        <f>IFERROR(IF(Tbla_actores[[#This Row],[codigo_proyecto]]="","",_xlfn.XLOOKUP(Tbla_actores[[#This Row],[codigo_proyecto]],Proyectos!$A:$A,Proyectos!$C:$C)),"")</f>
        <v>NULOS</v>
      </c>
    </row>
    <row r="420" spans="1:15" ht="14.25" customHeight="1">
      <c r="A420" s="9">
        <v>1018505287</v>
      </c>
      <c r="B420" s="63" t="s">
        <v>61</v>
      </c>
      <c r="C420" s="62" t="s">
        <v>634</v>
      </c>
      <c r="D420" t="s">
        <v>63</v>
      </c>
      <c r="E420" t="s">
        <v>1329</v>
      </c>
      <c r="F420" s="61">
        <v>36037</v>
      </c>
      <c r="G420" s="15" t="s">
        <v>73</v>
      </c>
      <c r="H420" t="s">
        <v>1330</v>
      </c>
      <c r="I420" s="62" t="s">
        <v>1331</v>
      </c>
      <c r="K420" s="36" t="s">
        <v>495</v>
      </c>
      <c r="L420" t="s">
        <v>69</v>
      </c>
      <c r="M420" s="62" t="s">
        <v>70</v>
      </c>
      <c r="N420" t="s">
        <v>71</v>
      </c>
      <c r="O420" t="str">
        <f>IFERROR(IF(Tbla_actores[[#This Row],[codigo_proyecto]]="","",_xlfn.XLOOKUP(Tbla_actores[[#This Row],[codigo_proyecto]],Proyectos!$A:$A,Proyectos!$C:$C)),"")</f>
        <v>NULOS</v>
      </c>
    </row>
    <row r="421" spans="1:15" ht="14.25" customHeight="1">
      <c r="A421" s="10">
        <v>1018463640</v>
      </c>
      <c r="B421" s="64" t="s">
        <v>61</v>
      </c>
      <c r="C421" s="62" t="s">
        <v>634</v>
      </c>
      <c r="D421" t="s">
        <v>63</v>
      </c>
      <c r="E421" t="s">
        <v>1332</v>
      </c>
      <c r="F421" s="61">
        <v>34273</v>
      </c>
      <c r="G421" s="15" t="s">
        <v>73</v>
      </c>
      <c r="H421" t="s">
        <v>1333</v>
      </c>
      <c r="I421" s="62" t="s">
        <v>1334</v>
      </c>
      <c r="K421" s="36" t="s">
        <v>495</v>
      </c>
      <c r="L421" t="s">
        <v>69</v>
      </c>
      <c r="M421" s="62" t="s">
        <v>70</v>
      </c>
      <c r="N421" t="s">
        <v>71</v>
      </c>
      <c r="O421" t="str">
        <f>IFERROR(IF(Tbla_actores[[#This Row],[codigo_proyecto]]="","",_xlfn.XLOOKUP(Tbla_actores[[#This Row],[codigo_proyecto]],Proyectos!$A:$A,Proyectos!$C:$C)),"")</f>
        <v>NULOS</v>
      </c>
    </row>
    <row r="422" spans="1:15" ht="14.25" customHeight="1">
      <c r="A422" s="9">
        <v>1018492535</v>
      </c>
      <c r="B422" s="63" t="s">
        <v>61</v>
      </c>
      <c r="C422" s="62" t="s">
        <v>634</v>
      </c>
      <c r="D422" t="s">
        <v>63</v>
      </c>
      <c r="E422" t="s">
        <v>1335</v>
      </c>
      <c r="F422" s="61">
        <v>35460</v>
      </c>
      <c r="G422" s="15" t="s">
        <v>65</v>
      </c>
      <c r="H422" t="s">
        <v>1336</v>
      </c>
      <c r="I422" s="62" t="s">
        <v>1337</v>
      </c>
      <c r="K422" s="36" t="s">
        <v>495</v>
      </c>
      <c r="L422" t="s">
        <v>69</v>
      </c>
      <c r="M422" s="62" t="s">
        <v>70</v>
      </c>
      <c r="N422" t="s">
        <v>71</v>
      </c>
      <c r="O422" t="str">
        <f>IFERROR(IF(Tbla_actores[[#This Row],[codigo_proyecto]]="","",_xlfn.XLOOKUP(Tbla_actores[[#This Row],[codigo_proyecto]],Proyectos!$A:$A,Proyectos!$C:$C)),"")</f>
        <v>NULOS</v>
      </c>
    </row>
    <row r="423" spans="1:15" ht="14.25" customHeight="1">
      <c r="A423" s="10">
        <v>1018506958</v>
      </c>
      <c r="B423" s="64" t="s">
        <v>61</v>
      </c>
      <c r="C423" s="62" t="s">
        <v>634</v>
      </c>
      <c r="D423" t="s">
        <v>63</v>
      </c>
      <c r="E423" t="s">
        <v>1338</v>
      </c>
      <c r="F423" s="61">
        <v>36111</v>
      </c>
      <c r="G423" s="15" t="s">
        <v>73</v>
      </c>
      <c r="H423" t="s">
        <v>1339</v>
      </c>
      <c r="I423" s="62" t="s">
        <v>1340</v>
      </c>
      <c r="K423" s="36" t="s">
        <v>495</v>
      </c>
      <c r="L423" t="s">
        <v>69</v>
      </c>
      <c r="M423" s="62" t="s">
        <v>70</v>
      </c>
      <c r="N423" t="s">
        <v>71</v>
      </c>
      <c r="O423" t="str">
        <f>IFERROR(IF(Tbla_actores[[#This Row],[codigo_proyecto]]="","",_xlfn.XLOOKUP(Tbla_actores[[#This Row],[codigo_proyecto]],Proyectos!$A:$A,Proyectos!$C:$C)),"")</f>
        <v>NULOS</v>
      </c>
    </row>
    <row r="424" spans="1:15" ht="14.25" customHeight="1">
      <c r="A424" s="9">
        <v>1016071926</v>
      </c>
      <c r="B424" s="63" t="s">
        <v>61</v>
      </c>
      <c r="C424" s="62" t="s">
        <v>634</v>
      </c>
      <c r="D424" t="s">
        <v>63</v>
      </c>
      <c r="E424" t="s">
        <v>1341</v>
      </c>
      <c r="F424" s="61">
        <v>34680</v>
      </c>
      <c r="G424" s="15" t="s">
        <v>73</v>
      </c>
      <c r="H424" t="s">
        <v>1342</v>
      </c>
      <c r="I424" s="62" t="s">
        <v>1343</v>
      </c>
      <c r="K424" s="36" t="s">
        <v>495</v>
      </c>
      <c r="L424" t="s">
        <v>69</v>
      </c>
      <c r="M424" s="62" t="s">
        <v>70</v>
      </c>
      <c r="N424" t="s">
        <v>71</v>
      </c>
      <c r="O424" t="str">
        <f>IFERROR(IF(Tbla_actores[[#This Row],[codigo_proyecto]]="","",_xlfn.XLOOKUP(Tbla_actores[[#This Row],[codigo_proyecto]],Proyectos!$A:$A,Proyectos!$C:$C)),"")</f>
        <v>NULOS</v>
      </c>
    </row>
    <row r="425" spans="1:15" ht="14.25" customHeight="1">
      <c r="A425" s="10">
        <v>1077878105</v>
      </c>
      <c r="B425" s="64" t="s">
        <v>61</v>
      </c>
      <c r="C425" s="62" t="s">
        <v>634</v>
      </c>
      <c r="D425" t="s">
        <v>63</v>
      </c>
      <c r="E425" t="s">
        <v>1344</v>
      </c>
      <c r="F425" s="61">
        <v>36409</v>
      </c>
      <c r="G425" s="15" t="s">
        <v>73</v>
      </c>
      <c r="H425" t="s">
        <v>1345</v>
      </c>
      <c r="I425" s="62" t="s">
        <v>1346</v>
      </c>
      <c r="K425" s="36" t="s">
        <v>495</v>
      </c>
      <c r="L425" t="s">
        <v>69</v>
      </c>
      <c r="M425" s="62" t="s">
        <v>70</v>
      </c>
      <c r="N425" t="s">
        <v>71</v>
      </c>
      <c r="O425" t="str">
        <f>IFERROR(IF(Tbla_actores[[#This Row],[codigo_proyecto]]="","",_xlfn.XLOOKUP(Tbla_actores[[#This Row],[codigo_proyecto]],Proyectos!$A:$A,Proyectos!$C:$C)),"")</f>
        <v>NULOS</v>
      </c>
    </row>
    <row r="426" spans="1:15" ht="14.25" customHeight="1">
      <c r="A426" s="9">
        <v>1032496910</v>
      </c>
      <c r="B426" s="63" t="s">
        <v>61</v>
      </c>
      <c r="C426" s="62" t="s">
        <v>634</v>
      </c>
      <c r="D426" t="s">
        <v>63</v>
      </c>
      <c r="E426" t="s">
        <v>1347</v>
      </c>
      <c r="F426" s="61">
        <v>35879</v>
      </c>
      <c r="G426" s="15" t="s">
        <v>73</v>
      </c>
      <c r="H426" t="s">
        <v>1348</v>
      </c>
      <c r="I426" s="62" t="s">
        <v>1349</v>
      </c>
      <c r="K426" s="36" t="s">
        <v>495</v>
      </c>
      <c r="L426" t="s">
        <v>69</v>
      </c>
      <c r="M426" s="62" t="s">
        <v>70</v>
      </c>
      <c r="N426" t="s">
        <v>71</v>
      </c>
      <c r="O426" t="str">
        <f>IFERROR(IF(Tbla_actores[[#This Row],[codigo_proyecto]]="","",_xlfn.XLOOKUP(Tbla_actores[[#This Row],[codigo_proyecto]],Proyectos!$A:$A,Proyectos!$C:$C)),"")</f>
        <v>NULOS</v>
      </c>
    </row>
    <row r="427" spans="1:15" ht="14.25" customHeight="1">
      <c r="A427" s="10">
        <v>1019097429</v>
      </c>
      <c r="B427" s="64" t="s">
        <v>61</v>
      </c>
      <c r="C427" s="62" t="s">
        <v>634</v>
      </c>
      <c r="D427" t="s">
        <v>63</v>
      </c>
      <c r="E427" t="s">
        <v>1350</v>
      </c>
      <c r="F427" s="61">
        <v>34526</v>
      </c>
      <c r="G427" s="15" t="s">
        <v>65</v>
      </c>
      <c r="H427" t="s">
        <v>1351</v>
      </c>
      <c r="I427" s="62" t="s">
        <v>1352</v>
      </c>
      <c r="K427" s="36" t="s">
        <v>495</v>
      </c>
      <c r="L427" t="s">
        <v>69</v>
      </c>
      <c r="M427" s="62" t="s">
        <v>70</v>
      </c>
      <c r="N427" t="s">
        <v>71</v>
      </c>
      <c r="O427" t="str">
        <f>IFERROR(IF(Tbla_actores[[#This Row],[codigo_proyecto]]="","",_xlfn.XLOOKUP(Tbla_actores[[#This Row],[codigo_proyecto]],Proyectos!$A:$A,Proyectos!$C:$C)),"")</f>
        <v>NULOS</v>
      </c>
    </row>
    <row r="428" spans="1:15" ht="14.25" customHeight="1">
      <c r="A428" s="9">
        <v>1032497870</v>
      </c>
      <c r="B428" s="63" t="s">
        <v>61</v>
      </c>
      <c r="C428" s="62" t="s">
        <v>634</v>
      </c>
      <c r="D428" t="s">
        <v>63</v>
      </c>
      <c r="E428" t="s">
        <v>1353</v>
      </c>
      <c r="F428" s="61">
        <v>35932</v>
      </c>
      <c r="G428" s="15" t="s">
        <v>73</v>
      </c>
      <c r="H428" t="s">
        <v>1354</v>
      </c>
      <c r="I428" s="62" t="s">
        <v>1355</v>
      </c>
      <c r="K428" s="36" t="s">
        <v>495</v>
      </c>
      <c r="L428" t="s">
        <v>69</v>
      </c>
      <c r="M428" s="62" t="s">
        <v>70</v>
      </c>
      <c r="N428" t="s">
        <v>71</v>
      </c>
      <c r="O428" t="str">
        <f>IFERROR(IF(Tbla_actores[[#This Row],[codigo_proyecto]]="","",_xlfn.XLOOKUP(Tbla_actores[[#This Row],[codigo_proyecto]],Proyectos!$A:$A,Proyectos!$C:$C)),"")</f>
        <v>NULOS</v>
      </c>
    </row>
    <row r="429" spans="1:15" ht="14.25" customHeight="1">
      <c r="A429" s="10">
        <v>1018500357</v>
      </c>
      <c r="B429" s="64" t="s">
        <v>61</v>
      </c>
      <c r="C429" s="62" t="s">
        <v>634</v>
      </c>
      <c r="D429" t="s">
        <v>63</v>
      </c>
      <c r="E429" t="s">
        <v>1356</v>
      </c>
      <c r="F429" s="61">
        <v>35794</v>
      </c>
      <c r="G429" s="15" t="s">
        <v>65</v>
      </c>
      <c r="H429" t="s">
        <v>1357</v>
      </c>
      <c r="I429" s="62" t="s">
        <v>1358</v>
      </c>
      <c r="K429" s="36" t="s">
        <v>495</v>
      </c>
      <c r="L429" t="s">
        <v>69</v>
      </c>
      <c r="M429" s="62" t="s">
        <v>70</v>
      </c>
      <c r="N429" t="s">
        <v>71</v>
      </c>
      <c r="O429" t="str">
        <f>IFERROR(IF(Tbla_actores[[#This Row],[codigo_proyecto]]="","",_xlfn.XLOOKUP(Tbla_actores[[#This Row],[codigo_proyecto]],Proyectos!$A:$A,Proyectos!$C:$C)),"")</f>
        <v>NULOS</v>
      </c>
    </row>
    <row r="430" spans="1:15" ht="14.25" customHeight="1">
      <c r="A430" s="9">
        <v>1014294785</v>
      </c>
      <c r="B430" s="63" t="s">
        <v>61</v>
      </c>
      <c r="C430" s="62" t="s">
        <v>634</v>
      </c>
      <c r="D430" t="s">
        <v>63</v>
      </c>
      <c r="E430" t="s">
        <v>1359</v>
      </c>
      <c r="F430" s="61">
        <v>35811</v>
      </c>
      <c r="G430" s="15" t="s">
        <v>73</v>
      </c>
      <c r="H430" t="s">
        <v>1360</v>
      </c>
      <c r="I430" s="62" t="s">
        <v>1361</v>
      </c>
      <c r="K430" s="36" t="s">
        <v>495</v>
      </c>
      <c r="L430" t="s">
        <v>69</v>
      </c>
      <c r="M430" s="62" t="s">
        <v>70</v>
      </c>
      <c r="N430" t="s">
        <v>71</v>
      </c>
      <c r="O430" t="str">
        <f>IFERROR(IF(Tbla_actores[[#This Row],[codigo_proyecto]]="","",_xlfn.XLOOKUP(Tbla_actores[[#This Row],[codigo_proyecto]],Proyectos!$A:$A,Proyectos!$C:$C)),"")</f>
        <v>NULOS</v>
      </c>
    </row>
    <row r="431" spans="1:15" ht="14.25" customHeight="1">
      <c r="A431" s="10">
        <v>1032503873</v>
      </c>
      <c r="B431" s="64" t="s">
        <v>61</v>
      </c>
      <c r="C431" s="62" t="s">
        <v>634</v>
      </c>
      <c r="D431" t="s">
        <v>63</v>
      </c>
      <c r="E431" t="s">
        <v>1362</v>
      </c>
      <c r="F431" s="61">
        <v>36256</v>
      </c>
      <c r="G431" s="15" t="s">
        <v>73</v>
      </c>
      <c r="H431" t="s">
        <v>1363</v>
      </c>
      <c r="I431" s="62" t="s">
        <v>1364</v>
      </c>
      <c r="K431" s="36" t="s">
        <v>495</v>
      </c>
      <c r="L431" t="s">
        <v>69</v>
      </c>
      <c r="M431" s="62" t="s">
        <v>70</v>
      </c>
      <c r="N431" t="s">
        <v>71</v>
      </c>
      <c r="O431" t="str">
        <f>IFERROR(IF(Tbla_actores[[#This Row],[codigo_proyecto]]="","",_xlfn.XLOOKUP(Tbla_actores[[#This Row],[codigo_proyecto]],Proyectos!$A:$A,Proyectos!$C:$C)),"")</f>
        <v>NULOS</v>
      </c>
    </row>
    <row r="432" spans="1:15" ht="14.25" customHeight="1">
      <c r="A432" s="9">
        <v>1018508393</v>
      </c>
      <c r="B432" s="63" t="s">
        <v>61</v>
      </c>
      <c r="C432" s="62" t="s">
        <v>634</v>
      </c>
      <c r="D432" t="s">
        <v>63</v>
      </c>
      <c r="E432" t="s">
        <v>1365</v>
      </c>
      <c r="F432" s="61">
        <v>36179</v>
      </c>
      <c r="G432" s="15" t="s">
        <v>73</v>
      </c>
      <c r="H432" t="s">
        <v>1366</v>
      </c>
      <c r="I432" s="62" t="s">
        <v>1367</v>
      </c>
      <c r="K432" s="36" t="s">
        <v>495</v>
      </c>
      <c r="L432" t="s">
        <v>69</v>
      </c>
      <c r="M432" s="62" t="s">
        <v>70</v>
      </c>
      <c r="N432" t="s">
        <v>71</v>
      </c>
      <c r="O432" t="str">
        <f>IFERROR(IF(Tbla_actores[[#This Row],[codigo_proyecto]]="","",_xlfn.XLOOKUP(Tbla_actores[[#This Row],[codigo_proyecto]],Proyectos!$A:$A,Proyectos!$C:$C)),"")</f>
        <v>NULOS</v>
      </c>
    </row>
    <row r="433" spans="1:15" ht="14.25" customHeight="1">
      <c r="A433" s="10">
        <v>1032498673</v>
      </c>
      <c r="B433" s="64" t="s">
        <v>61</v>
      </c>
      <c r="C433" s="62" t="s">
        <v>634</v>
      </c>
      <c r="D433" t="s">
        <v>63</v>
      </c>
      <c r="E433" t="s">
        <v>1368</v>
      </c>
      <c r="F433" s="61">
        <v>35976</v>
      </c>
      <c r="G433" s="15" t="s">
        <v>73</v>
      </c>
      <c r="H433" t="s">
        <v>1369</v>
      </c>
      <c r="I433" s="62" t="s">
        <v>1370</v>
      </c>
      <c r="K433" s="36" t="s">
        <v>495</v>
      </c>
      <c r="L433" t="s">
        <v>69</v>
      </c>
      <c r="M433" s="62" t="s">
        <v>70</v>
      </c>
      <c r="N433" t="s">
        <v>71</v>
      </c>
      <c r="O433" t="str">
        <f>IFERROR(IF(Tbla_actores[[#This Row],[codigo_proyecto]]="","",_xlfn.XLOOKUP(Tbla_actores[[#This Row],[codigo_proyecto]],Proyectos!$A:$A,Proyectos!$C:$C)),"")</f>
        <v>NULOS</v>
      </c>
    </row>
    <row r="434" spans="1:15" ht="14.25" customHeight="1">
      <c r="A434" s="9">
        <v>1020807193</v>
      </c>
      <c r="B434" s="63" t="s">
        <v>61</v>
      </c>
      <c r="C434" s="62" t="s">
        <v>634</v>
      </c>
      <c r="D434" t="s">
        <v>63</v>
      </c>
      <c r="E434" t="s">
        <v>1371</v>
      </c>
      <c r="F434" s="61">
        <v>34913</v>
      </c>
      <c r="G434" s="15" t="s">
        <v>65</v>
      </c>
      <c r="H434" t="s">
        <v>1372</v>
      </c>
      <c r="I434" s="62" t="s">
        <v>1373</v>
      </c>
      <c r="K434" s="36" t="s">
        <v>495</v>
      </c>
      <c r="L434" t="s">
        <v>69</v>
      </c>
      <c r="M434" s="62" t="s">
        <v>70</v>
      </c>
      <c r="N434" t="s">
        <v>71</v>
      </c>
      <c r="O434" t="str">
        <f>IFERROR(IF(Tbla_actores[[#This Row],[codigo_proyecto]]="","",_xlfn.XLOOKUP(Tbla_actores[[#This Row],[codigo_proyecto]],Proyectos!$A:$A,Proyectos!$C:$C)),"")</f>
        <v>NULOS</v>
      </c>
    </row>
    <row r="435" spans="1:15" ht="14.25" customHeight="1">
      <c r="A435" s="10">
        <v>1030685601</v>
      </c>
      <c r="B435" s="64" t="s">
        <v>61</v>
      </c>
      <c r="C435" s="62" t="s">
        <v>634</v>
      </c>
      <c r="D435" t="s">
        <v>63</v>
      </c>
      <c r="E435" t="s">
        <v>1374</v>
      </c>
      <c r="F435" s="61">
        <v>35863</v>
      </c>
      <c r="G435" s="15" t="s">
        <v>73</v>
      </c>
      <c r="H435" t="s">
        <v>1375</v>
      </c>
      <c r="I435" s="62" t="s">
        <v>1376</v>
      </c>
      <c r="K435" s="36" t="s">
        <v>495</v>
      </c>
      <c r="L435" t="s">
        <v>69</v>
      </c>
      <c r="M435" s="62" t="s">
        <v>70</v>
      </c>
      <c r="N435" t="s">
        <v>71</v>
      </c>
      <c r="O435" t="str">
        <f>IFERROR(IF(Tbla_actores[[#This Row],[codigo_proyecto]]="","",_xlfn.XLOOKUP(Tbla_actores[[#This Row],[codigo_proyecto]],Proyectos!$A:$A,Proyectos!$C:$C)),"")</f>
        <v>NULOS</v>
      </c>
    </row>
    <row r="436" spans="1:15" ht="14.25" customHeight="1">
      <c r="A436" s="9">
        <v>1019131814</v>
      </c>
      <c r="B436" s="63" t="s">
        <v>61</v>
      </c>
      <c r="C436" s="62" t="s">
        <v>634</v>
      </c>
      <c r="D436" t="s">
        <v>63</v>
      </c>
      <c r="E436" t="s">
        <v>1377</v>
      </c>
      <c r="F436" s="61">
        <v>35586</v>
      </c>
      <c r="G436" s="15" t="s">
        <v>65</v>
      </c>
      <c r="H436" t="s">
        <v>1378</v>
      </c>
      <c r="I436" s="62" t="s">
        <v>1379</v>
      </c>
      <c r="K436" s="36" t="s">
        <v>495</v>
      </c>
      <c r="L436" t="s">
        <v>69</v>
      </c>
      <c r="M436" s="62" t="s">
        <v>70</v>
      </c>
      <c r="N436" t="s">
        <v>71</v>
      </c>
      <c r="O436" t="str">
        <f>IFERROR(IF(Tbla_actores[[#This Row],[codigo_proyecto]]="","",_xlfn.XLOOKUP(Tbla_actores[[#This Row],[codigo_proyecto]],Proyectos!$A:$A,Proyectos!$C:$C)),"")</f>
        <v>NULOS</v>
      </c>
    </row>
    <row r="437" spans="1:15" ht="14.25" customHeight="1">
      <c r="A437" s="10">
        <v>1014305463</v>
      </c>
      <c r="B437" s="64" t="s">
        <v>61</v>
      </c>
      <c r="C437" s="62" t="s">
        <v>634</v>
      </c>
      <c r="D437" t="s">
        <v>63</v>
      </c>
      <c r="E437" t="s">
        <v>1380</v>
      </c>
      <c r="F437" s="61">
        <v>36283</v>
      </c>
      <c r="G437" s="15" t="s">
        <v>73</v>
      </c>
      <c r="H437" t="s">
        <v>1381</v>
      </c>
      <c r="I437" s="62" t="s">
        <v>1382</v>
      </c>
      <c r="K437" s="36" t="s">
        <v>495</v>
      </c>
      <c r="L437" t="s">
        <v>69</v>
      </c>
      <c r="M437" s="62" t="s">
        <v>70</v>
      </c>
      <c r="N437" t="s">
        <v>71</v>
      </c>
      <c r="O437" t="str">
        <f>IFERROR(IF(Tbla_actores[[#This Row],[codigo_proyecto]]="","",_xlfn.XLOOKUP(Tbla_actores[[#This Row],[codigo_proyecto]],Proyectos!$A:$A,Proyectos!$C:$C)),"")</f>
        <v>NULOS</v>
      </c>
    </row>
    <row r="438" spans="1:15" ht="14.25" customHeight="1">
      <c r="A438" s="9">
        <v>1020818701</v>
      </c>
      <c r="B438" s="63" t="s">
        <v>61</v>
      </c>
      <c r="C438" s="62" t="s">
        <v>634</v>
      </c>
      <c r="D438" t="s">
        <v>63</v>
      </c>
      <c r="E438" t="s">
        <v>1383</v>
      </c>
      <c r="F438" s="61">
        <v>35319</v>
      </c>
      <c r="G438" s="15" t="s">
        <v>73</v>
      </c>
      <c r="H438" t="s">
        <v>1384</v>
      </c>
      <c r="I438" s="62" t="s">
        <v>1385</v>
      </c>
      <c r="K438" s="36" t="s">
        <v>495</v>
      </c>
      <c r="L438" t="s">
        <v>69</v>
      </c>
      <c r="M438" s="62" t="s">
        <v>70</v>
      </c>
      <c r="N438" t="s">
        <v>71</v>
      </c>
      <c r="O438" t="str">
        <f>IFERROR(IF(Tbla_actores[[#This Row],[codigo_proyecto]]="","",_xlfn.XLOOKUP(Tbla_actores[[#This Row],[codigo_proyecto]],Proyectos!$A:$A,Proyectos!$C:$C)),"")</f>
        <v>NULOS</v>
      </c>
    </row>
    <row r="439" spans="1:15" ht="14.25" customHeight="1">
      <c r="A439" s="10">
        <v>1032502817</v>
      </c>
      <c r="B439" s="64" t="s">
        <v>61</v>
      </c>
      <c r="C439" s="62" t="s">
        <v>634</v>
      </c>
      <c r="D439" t="s">
        <v>63</v>
      </c>
      <c r="E439" t="s">
        <v>1386</v>
      </c>
      <c r="F439" s="61">
        <v>36200</v>
      </c>
      <c r="G439" s="15" t="s">
        <v>73</v>
      </c>
      <c r="H439" t="s">
        <v>1387</v>
      </c>
      <c r="I439" s="62" t="s">
        <v>1388</v>
      </c>
      <c r="K439" s="36" t="s">
        <v>495</v>
      </c>
      <c r="L439" t="s">
        <v>69</v>
      </c>
      <c r="M439" s="62" t="s">
        <v>70</v>
      </c>
      <c r="N439" t="s">
        <v>71</v>
      </c>
      <c r="O439" t="str">
        <f>IFERROR(IF(Tbla_actores[[#This Row],[codigo_proyecto]]="","",_xlfn.XLOOKUP(Tbla_actores[[#This Row],[codigo_proyecto]],Proyectos!$A:$A,Proyectos!$C:$C)),"")</f>
        <v>NULOS</v>
      </c>
    </row>
    <row r="440" spans="1:15" ht="14.25" customHeight="1">
      <c r="A440" s="9">
        <v>1015468261</v>
      </c>
      <c r="B440" s="63" t="s">
        <v>61</v>
      </c>
      <c r="C440" s="62" t="s">
        <v>634</v>
      </c>
      <c r="D440" t="s">
        <v>63</v>
      </c>
      <c r="E440" t="s">
        <v>1389</v>
      </c>
      <c r="F440" s="61">
        <v>35534</v>
      </c>
      <c r="G440" s="15" t="s">
        <v>73</v>
      </c>
      <c r="H440" t="s">
        <v>1390</v>
      </c>
      <c r="I440" s="62" t="s">
        <v>1391</v>
      </c>
      <c r="K440" s="36" t="s">
        <v>495</v>
      </c>
      <c r="L440" t="s">
        <v>69</v>
      </c>
      <c r="M440" s="62" t="s">
        <v>70</v>
      </c>
      <c r="N440" t="s">
        <v>71</v>
      </c>
      <c r="O440" t="str">
        <f>IFERROR(IF(Tbla_actores[[#This Row],[codigo_proyecto]]="","",_xlfn.XLOOKUP(Tbla_actores[[#This Row],[codigo_proyecto]],Proyectos!$A:$A,Proyectos!$C:$C)),"")</f>
        <v>NULOS</v>
      </c>
    </row>
    <row r="441" spans="1:15" ht="14.25" customHeight="1">
      <c r="A441" s="10">
        <v>1090509842</v>
      </c>
      <c r="B441" s="64" t="s">
        <v>61</v>
      </c>
      <c r="C441" s="62" t="s">
        <v>634</v>
      </c>
      <c r="D441" t="s">
        <v>63</v>
      </c>
      <c r="E441" t="s">
        <v>1392</v>
      </c>
      <c r="F441" s="61">
        <v>35704</v>
      </c>
      <c r="G441" s="15" t="s">
        <v>65</v>
      </c>
      <c r="H441" t="s">
        <v>1393</v>
      </c>
      <c r="I441" s="62" t="s">
        <v>1394</v>
      </c>
      <c r="K441" s="36" t="s">
        <v>495</v>
      </c>
      <c r="L441" t="s">
        <v>69</v>
      </c>
      <c r="M441" s="62" t="s">
        <v>70</v>
      </c>
      <c r="N441" t="s">
        <v>71</v>
      </c>
      <c r="O441" t="str">
        <f>IFERROR(IF(Tbla_actores[[#This Row],[codigo_proyecto]]="","",_xlfn.XLOOKUP(Tbla_actores[[#This Row],[codigo_proyecto]],Proyectos!$A:$A,Proyectos!$C:$C)),"")</f>
        <v>NULOS</v>
      </c>
    </row>
    <row r="442" spans="1:15" ht="14.25" customHeight="1">
      <c r="A442" s="9">
        <v>1019138100</v>
      </c>
      <c r="B442" s="63" t="s">
        <v>61</v>
      </c>
      <c r="C442" s="62" t="s">
        <v>634</v>
      </c>
      <c r="D442" t="s">
        <v>63</v>
      </c>
      <c r="E442" t="s">
        <v>1395</v>
      </c>
      <c r="F442" s="61">
        <v>35853</v>
      </c>
      <c r="G442" s="15" t="s">
        <v>65</v>
      </c>
      <c r="H442" t="s">
        <v>1396</v>
      </c>
      <c r="I442" s="62" t="s">
        <v>1397</v>
      </c>
      <c r="K442" s="36" t="s">
        <v>495</v>
      </c>
      <c r="L442" t="s">
        <v>69</v>
      </c>
      <c r="M442" s="62" t="s">
        <v>70</v>
      </c>
      <c r="N442" t="s">
        <v>71</v>
      </c>
      <c r="O442" t="str">
        <f>IFERROR(IF(Tbla_actores[[#This Row],[codigo_proyecto]]="","",_xlfn.XLOOKUP(Tbla_actores[[#This Row],[codigo_proyecto]],Proyectos!$A:$A,Proyectos!$C:$C)),"")</f>
        <v>NULOS</v>
      </c>
    </row>
    <row r="443" spans="1:15" ht="14.25" customHeight="1">
      <c r="A443" s="10">
        <v>1098762602</v>
      </c>
      <c r="B443" s="64" t="s">
        <v>61</v>
      </c>
      <c r="C443" s="62" t="s">
        <v>634</v>
      </c>
      <c r="D443" t="s">
        <v>63</v>
      </c>
      <c r="E443" t="s">
        <v>1398</v>
      </c>
      <c r="F443" s="61">
        <v>34657</v>
      </c>
      <c r="G443" s="15" t="s">
        <v>73</v>
      </c>
      <c r="H443" t="s">
        <v>1399</v>
      </c>
      <c r="I443" s="62" t="s">
        <v>1400</v>
      </c>
      <c r="K443" s="36" t="s">
        <v>495</v>
      </c>
      <c r="L443" t="s">
        <v>69</v>
      </c>
      <c r="M443" s="62" t="s">
        <v>70</v>
      </c>
      <c r="N443" t="s">
        <v>71</v>
      </c>
      <c r="O443" t="str">
        <f>IFERROR(IF(Tbla_actores[[#This Row],[codigo_proyecto]]="","",_xlfn.XLOOKUP(Tbla_actores[[#This Row],[codigo_proyecto]],Proyectos!$A:$A,Proyectos!$C:$C)),"")</f>
        <v>NULOS</v>
      </c>
    </row>
    <row r="444" spans="1:15" ht="14.25" customHeight="1">
      <c r="A444" s="9">
        <v>1020822805</v>
      </c>
      <c r="B444" s="63" t="s">
        <v>61</v>
      </c>
      <c r="C444" s="62" t="s">
        <v>634</v>
      </c>
      <c r="D444" t="s">
        <v>63</v>
      </c>
      <c r="E444" t="s">
        <v>1401</v>
      </c>
      <c r="F444" s="61">
        <v>35466</v>
      </c>
      <c r="G444" s="15" t="s">
        <v>73</v>
      </c>
      <c r="H444" t="s">
        <v>1402</v>
      </c>
      <c r="I444" s="62" t="s">
        <v>1403</v>
      </c>
      <c r="K444" s="36" t="s">
        <v>495</v>
      </c>
      <c r="L444" t="s">
        <v>69</v>
      </c>
      <c r="M444" s="62" t="s">
        <v>70</v>
      </c>
      <c r="N444" t="s">
        <v>71</v>
      </c>
      <c r="O444" t="str">
        <f>IFERROR(IF(Tbla_actores[[#This Row],[codigo_proyecto]]="","",_xlfn.XLOOKUP(Tbla_actores[[#This Row],[codigo_proyecto]],Proyectos!$A:$A,Proyectos!$C:$C)),"")</f>
        <v>NULOS</v>
      </c>
    </row>
    <row r="445" spans="1:15" ht="14.25" customHeight="1">
      <c r="A445" s="10">
        <v>1020824892</v>
      </c>
      <c r="B445" s="64" t="s">
        <v>61</v>
      </c>
      <c r="C445" s="62" t="s">
        <v>634</v>
      </c>
      <c r="D445" t="s">
        <v>63</v>
      </c>
      <c r="E445" t="s">
        <v>1404</v>
      </c>
      <c r="F445" s="61">
        <v>35520</v>
      </c>
      <c r="G445" s="15" t="s">
        <v>73</v>
      </c>
      <c r="H445" t="s">
        <v>1405</v>
      </c>
      <c r="I445" s="62" t="s">
        <v>1406</v>
      </c>
      <c r="K445" s="36" t="s">
        <v>495</v>
      </c>
      <c r="L445" t="s">
        <v>69</v>
      </c>
      <c r="M445" s="62" t="s">
        <v>70</v>
      </c>
      <c r="N445" t="s">
        <v>71</v>
      </c>
      <c r="O445" t="str">
        <f>IFERROR(IF(Tbla_actores[[#This Row],[codigo_proyecto]]="","",_xlfn.XLOOKUP(Tbla_actores[[#This Row],[codigo_proyecto]],Proyectos!$A:$A,Proyectos!$C:$C)),"")</f>
        <v>NULOS</v>
      </c>
    </row>
    <row r="446" spans="1:15" ht="14.25" customHeight="1">
      <c r="A446" s="9">
        <v>1018510718</v>
      </c>
      <c r="B446" s="63" t="s">
        <v>61</v>
      </c>
      <c r="C446" s="62" t="s">
        <v>634</v>
      </c>
      <c r="D446" t="s">
        <v>63</v>
      </c>
      <c r="E446" t="s">
        <v>1407</v>
      </c>
      <c r="F446" s="61">
        <v>36269</v>
      </c>
      <c r="G446" s="15" t="s">
        <v>73</v>
      </c>
      <c r="H446" t="s">
        <v>1408</v>
      </c>
      <c r="I446" s="62" t="s">
        <v>1409</v>
      </c>
      <c r="K446" s="36" t="s">
        <v>495</v>
      </c>
      <c r="L446" t="s">
        <v>69</v>
      </c>
      <c r="M446" s="62" t="s">
        <v>70</v>
      </c>
      <c r="N446" t="s">
        <v>71</v>
      </c>
      <c r="O446" t="str">
        <f>IFERROR(IF(Tbla_actores[[#This Row],[codigo_proyecto]]="","",_xlfn.XLOOKUP(Tbla_actores[[#This Row],[codigo_proyecto]],Proyectos!$A:$A,Proyectos!$C:$C)),"")</f>
        <v>NULOS</v>
      </c>
    </row>
    <row r="447" spans="1:15" ht="14.25" customHeight="1">
      <c r="A447" s="10">
        <v>1019108083</v>
      </c>
      <c r="B447" s="64" t="s">
        <v>61</v>
      </c>
      <c r="C447" s="62" t="s">
        <v>634</v>
      </c>
      <c r="D447" t="s">
        <v>63</v>
      </c>
      <c r="E447" t="s">
        <v>1410</v>
      </c>
      <c r="F447" s="61">
        <v>34786</v>
      </c>
      <c r="G447" s="15" t="s">
        <v>65</v>
      </c>
      <c r="H447" t="s">
        <v>1411</v>
      </c>
      <c r="I447" s="62" t="s">
        <v>1412</v>
      </c>
      <c r="K447" s="36" t="s">
        <v>495</v>
      </c>
      <c r="L447" t="s">
        <v>69</v>
      </c>
      <c r="M447" s="62" t="s">
        <v>70</v>
      </c>
      <c r="N447" t="s">
        <v>71</v>
      </c>
      <c r="O447" t="str">
        <f>IFERROR(IF(Tbla_actores[[#This Row],[codigo_proyecto]]="","",_xlfn.XLOOKUP(Tbla_actores[[#This Row],[codigo_proyecto]],Proyectos!$A:$A,Proyectos!$C:$C)),"")</f>
        <v>NULOS</v>
      </c>
    </row>
    <row r="448" spans="1:15" ht="14.25" customHeight="1">
      <c r="A448" s="9">
        <v>1015469135</v>
      </c>
      <c r="B448" s="63" t="s">
        <v>61</v>
      </c>
      <c r="C448" s="62" t="s">
        <v>634</v>
      </c>
      <c r="D448" t="s">
        <v>63</v>
      </c>
      <c r="E448" t="s">
        <v>1413</v>
      </c>
      <c r="F448" s="61">
        <v>35545</v>
      </c>
      <c r="G448" s="15" t="s">
        <v>73</v>
      </c>
      <c r="H448" t="s">
        <v>1414</v>
      </c>
      <c r="I448" s="62" t="s">
        <v>1415</v>
      </c>
      <c r="K448" s="36" t="s">
        <v>495</v>
      </c>
      <c r="L448" t="s">
        <v>69</v>
      </c>
      <c r="M448" s="62" t="s">
        <v>70</v>
      </c>
      <c r="N448" t="s">
        <v>71</v>
      </c>
      <c r="O448" t="str">
        <f>IFERROR(IF(Tbla_actores[[#This Row],[codigo_proyecto]]="","",_xlfn.XLOOKUP(Tbla_actores[[#This Row],[codigo_proyecto]],Proyectos!$A:$A,Proyectos!$C:$C)),"")</f>
        <v>NULOS</v>
      </c>
    </row>
    <row r="449" spans="1:15" ht="14.25" customHeight="1">
      <c r="A449" s="10">
        <v>1018509698</v>
      </c>
      <c r="B449" s="64" t="s">
        <v>61</v>
      </c>
      <c r="C449" s="62" t="s">
        <v>634</v>
      </c>
      <c r="D449" t="s">
        <v>63</v>
      </c>
      <c r="E449" t="s">
        <v>1416</v>
      </c>
      <c r="F449" s="61">
        <v>36229</v>
      </c>
      <c r="G449" s="15" t="s">
        <v>73</v>
      </c>
      <c r="H449" t="s">
        <v>1417</v>
      </c>
      <c r="I449" s="62" t="s">
        <v>1418</v>
      </c>
      <c r="K449" s="36" t="s">
        <v>495</v>
      </c>
      <c r="L449" t="s">
        <v>69</v>
      </c>
      <c r="M449" s="62" t="s">
        <v>70</v>
      </c>
      <c r="N449" t="s">
        <v>71</v>
      </c>
      <c r="O449" t="str">
        <f>IFERROR(IF(Tbla_actores[[#This Row],[codigo_proyecto]]="","",_xlfn.XLOOKUP(Tbla_actores[[#This Row],[codigo_proyecto]],Proyectos!$A:$A,Proyectos!$C:$C)),"")</f>
        <v>NULOS</v>
      </c>
    </row>
    <row r="450" spans="1:15" ht="14.25" customHeight="1">
      <c r="A450" s="9">
        <v>1010234340</v>
      </c>
      <c r="B450" s="63" t="s">
        <v>61</v>
      </c>
      <c r="C450" s="62" t="s">
        <v>634</v>
      </c>
      <c r="D450" t="s">
        <v>63</v>
      </c>
      <c r="E450" t="s">
        <v>1419</v>
      </c>
      <c r="F450" s="61">
        <v>35619</v>
      </c>
      <c r="G450" s="15" t="s">
        <v>73</v>
      </c>
      <c r="H450" t="s">
        <v>1420</v>
      </c>
      <c r="I450" s="62" t="s">
        <v>1421</v>
      </c>
      <c r="K450" s="36" t="s">
        <v>495</v>
      </c>
      <c r="L450" t="s">
        <v>69</v>
      </c>
      <c r="M450" s="62" t="s">
        <v>70</v>
      </c>
      <c r="N450" t="s">
        <v>71</v>
      </c>
      <c r="O450" t="str">
        <f>IFERROR(IF(Tbla_actores[[#This Row],[codigo_proyecto]]="","",_xlfn.XLOOKUP(Tbla_actores[[#This Row],[codigo_proyecto]],Proyectos!$A:$A,Proyectos!$C:$C)),"")</f>
        <v>NULOS</v>
      </c>
    </row>
    <row r="451" spans="1:15" ht="14.25" customHeight="1">
      <c r="A451" s="10">
        <v>1018452375</v>
      </c>
      <c r="B451" s="64" t="s">
        <v>61</v>
      </c>
      <c r="C451" s="62" t="s">
        <v>634</v>
      </c>
      <c r="D451" t="s">
        <v>63</v>
      </c>
      <c r="E451" t="s">
        <v>1422</v>
      </c>
      <c r="F451" s="61">
        <v>33745</v>
      </c>
      <c r="G451" s="15" t="s">
        <v>73</v>
      </c>
      <c r="H451" t="s">
        <v>1423</v>
      </c>
      <c r="I451" s="62" t="s">
        <v>1424</v>
      </c>
      <c r="K451" s="36" t="s">
        <v>495</v>
      </c>
      <c r="L451" t="s">
        <v>69</v>
      </c>
      <c r="M451" s="62" t="s">
        <v>70</v>
      </c>
      <c r="N451" t="s">
        <v>71</v>
      </c>
      <c r="O451" t="str">
        <f>IFERROR(IF(Tbla_actores[[#This Row],[codigo_proyecto]]="","",_xlfn.XLOOKUP(Tbla_actores[[#This Row],[codigo_proyecto]],Proyectos!$A:$A,Proyectos!$C:$C)),"")</f>
        <v>NULOS</v>
      </c>
    </row>
    <row r="452" spans="1:15" ht="14.25" customHeight="1">
      <c r="A452" s="9">
        <v>1022438409</v>
      </c>
      <c r="B452" s="63" t="s">
        <v>61</v>
      </c>
      <c r="C452" s="62" t="s">
        <v>634</v>
      </c>
      <c r="D452" t="s">
        <v>63</v>
      </c>
      <c r="E452" t="s">
        <v>1425</v>
      </c>
      <c r="F452" s="61">
        <v>36066</v>
      </c>
      <c r="G452" s="15" t="s">
        <v>73</v>
      </c>
      <c r="H452" t="s">
        <v>1426</v>
      </c>
      <c r="I452" s="62" t="s">
        <v>1427</v>
      </c>
      <c r="K452" s="36" t="s">
        <v>495</v>
      </c>
      <c r="L452" t="s">
        <v>69</v>
      </c>
      <c r="M452" s="62" t="s">
        <v>70</v>
      </c>
      <c r="N452" t="s">
        <v>71</v>
      </c>
      <c r="O452" t="str">
        <f>IFERROR(IF(Tbla_actores[[#This Row],[codigo_proyecto]]="","",_xlfn.XLOOKUP(Tbla_actores[[#This Row],[codigo_proyecto]],Proyectos!$A:$A,Proyectos!$C:$C)),"")</f>
        <v>NULOS</v>
      </c>
    </row>
    <row r="453" spans="1:15" ht="14.25" customHeight="1">
      <c r="A453" s="10">
        <v>1010237594</v>
      </c>
      <c r="B453" s="64" t="s">
        <v>61</v>
      </c>
      <c r="C453" s="62" t="s">
        <v>634</v>
      </c>
      <c r="D453" t="s">
        <v>63</v>
      </c>
      <c r="E453" t="s">
        <v>1428</v>
      </c>
      <c r="F453" s="61">
        <v>35816</v>
      </c>
      <c r="G453" s="15" t="s">
        <v>73</v>
      </c>
      <c r="H453" t="s">
        <v>1429</v>
      </c>
      <c r="I453" s="62" t="s">
        <v>1430</v>
      </c>
      <c r="K453" s="36" t="s">
        <v>495</v>
      </c>
      <c r="L453" t="s">
        <v>69</v>
      </c>
      <c r="M453" s="62" t="s">
        <v>70</v>
      </c>
      <c r="N453" t="s">
        <v>71</v>
      </c>
      <c r="O453" t="str">
        <f>IFERROR(IF(Tbla_actores[[#This Row],[codigo_proyecto]]="","",_xlfn.XLOOKUP(Tbla_actores[[#This Row],[codigo_proyecto]],Proyectos!$A:$A,Proyectos!$C:$C)),"")</f>
        <v>NULOS</v>
      </c>
    </row>
    <row r="454" spans="1:15" ht="14.25" customHeight="1">
      <c r="A454" s="9">
        <v>1026594289</v>
      </c>
      <c r="B454" s="63" t="s">
        <v>61</v>
      </c>
      <c r="C454" s="62" t="s">
        <v>1431</v>
      </c>
      <c r="D454" t="s">
        <v>63</v>
      </c>
      <c r="E454" t="s">
        <v>1432</v>
      </c>
      <c r="F454" s="61" t="s">
        <v>1433</v>
      </c>
      <c r="G454" s="15" t="s">
        <v>1433</v>
      </c>
      <c r="H454" t="s">
        <v>1433</v>
      </c>
      <c r="I454" s="62" t="s">
        <v>1433</v>
      </c>
      <c r="K454" s="36" t="s">
        <v>68</v>
      </c>
      <c r="L454" t="s">
        <v>69</v>
      </c>
      <c r="M454" s="62" t="s">
        <v>1433</v>
      </c>
      <c r="N454" t="s">
        <v>71</v>
      </c>
      <c r="O454" t="str">
        <f>IFERROR(IF(Tbla_actores[[#This Row],[codigo_proyecto]]="","",_xlfn.XLOOKUP(Tbla_actores[[#This Row],[codigo_proyecto]],Proyectos!$A:$A,Proyectos!$C:$C)),"")</f>
        <v>NULOS</v>
      </c>
    </row>
    <row r="455" spans="1:15" ht="14.25" customHeight="1">
      <c r="A455" s="10">
        <v>1020810281</v>
      </c>
      <c r="B455" s="64" t="s">
        <v>61</v>
      </c>
      <c r="C455" s="62" t="s">
        <v>1431</v>
      </c>
      <c r="D455" t="s">
        <v>63</v>
      </c>
      <c r="E455" t="s">
        <v>1434</v>
      </c>
      <c r="F455" s="61">
        <v>34999</v>
      </c>
      <c r="G455" s="15" t="s">
        <v>73</v>
      </c>
      <c r="H455" t="s">
        <v>1435</v>
      </c>
      <c r="I455" s="62" t="s">
        <v>1436</v>
      </c>
      <c r="K455" s="36" t="s">
        <v>68</v>
      </c>
      <c r="L455" t="s">
        <v>69</v>
      </c>
      <c r="M455" s="62" t="s">
        <v>70</v>
      </c>
      <c r="N455" t="s">
        <v>71</v>
      </c>
      <c r="O455" t="str">
        <f>IFERROR(IF(Tbla_actores[[#This Row],[codigo_proyecto]]="","",_xlfn.XLOOKUP(Tbla_actores[[#This Row],[codigo_proyecto]],Proyectos!$A:$A,Proyectos!$C:$C)),"")</f>
        <v>NULOS</v>
      </c>
    </row>
    <row r="456" spans="1:15" ht="14.25" customHeight="1">
      <c r="A456" s="9">
        <v>1072715070</v>
      </c>
      <c r="B456" s="63" t="s">
        <v>61</v>
      </c>
      <c r="C456" s="62" t="s">
        <v>1431</v>
      </c>
      <c r="D456" t="s">
        <v>63</v>
      </c>
      <c r="E456" t="s">
        <v>1437</v>
      </c>
      <c r="F456" s="61">
        <v>35699</v>
      </c>
      <c r="G456" s="15" t="s">
        <v>73</v>
      </c>
      <c r="H456" t="s">
        <v>1438</v>
      </c>
      <c r="I456" s="62" t="s">
        <v>1439</v>
      </c>
      <c r="K456" s="36" t="s">
        <v>68</v>
      </c>
      <c r="L456" t="s">
        <v>69</v>
      </c>
      <c r="M456" s="62" t="s">
        <v>70</v>
      </c>
      <c r="N456" t="s">
        <v>71</v>
      </c>
      <c r="O456" t="str">
        <f>IFERROR(IF(Tbla_actores[[#This Row],[codigo_proyecto]]="","",_xlfn.XLOOKUP(Tbla_actores[[#This Row],[codigo_proyecto]],Proyectos!$A:$A,Proyectos!$C:$C)),"")</f>
        <v>NULOS</v>
      </c>
    </row>
    <row r="457" spans="1:15" ht="14.25" customHeight="1">
      <c r="A457" s="10">
        <v>1116448237</v>
      </c>
      <c r="B457" s="64" t="s">
        <v>61</v>
      </c>
      <c r="C457" s="62" t="s">
        <v>1431</v>
      </c>
      <c r="D457" t="s">
        <v>63</v>
      </c>
      <c r="E457" t="s">
        <v>1440</v>
      </c>
      <c r="F457" s="61">
        <v>35960</v>
      </c>
      <c r="G457" s="15" t="s">
        <v>65</v>
      </c>
      <c r="H457" t="s">
        <v>1441</v>
      </c>
      <c r="I457" s="62" t="s">
        <v>1442</v>
      </c>
      <c r="K457" s="36" t="s">
        <v>68</v>
      </c>
      <c r="L457" t="s">
        <v>69</v>
      </c>
      <c r="M457" s="62" t="s">
        <v>70</v>
      </c>
      <c r="N457" t="s">
        <v>71</v>
      </c>
      <c r="O457" t="str">
        <f>IFERROR(IF(Tbla_actores[[#This Row],[codigo_proyecto]]="","",_xlfn.XLOOKUP(Tbla_actores[[#This Row],[codigo_proyecto]],Proyectos!$A:$A,Proyectos!$C:$C)),"")</f>
        <v>NULOS</v>
      </c>
    </row>
    <row r="458" spans="1:15" ht="14.25" customHeight="1">
      <c r="A458" s="9">
        <v>1018484838</v>
      </c>
      <c r="B458" s="63" t="s">
        <v>61</v>
      </c>
      <c r="C458" s="62" t="s">
        <v>1431</v>
      </c>
      <c r="D458" t="s">
        <v>63</v>
      </c>
      <c r="E458" t="s">
        <v>1443</v>
      </c>
      <c r="F458" s="61">
        <v>35170</v>
      </c>
      <c r="G458" s="15" t="s">
        <v>73</v>
      </c>
      <c r="H458" t="s">
        <v>1444</v>
      </c>
      <c r="I458" s="62" t="s">
        <v>1445</v>
      </c>
      <c r="K458" s="36" t="s">
        <v>68</v>
      </c>
      <c r="L458" t="s">
        <v>69</v>
      </c>
      <c r="M458" s="62" t="s">
        <v>70</v>
      </c>
      <c r="N458" t="s">
        <v>71</v>
      </c>
      <c r="O458" t="str">
        <f>IFERROR(IF(Tbla_actores[[#This Row],[codigo_proyecto]]="","",_xlfn.XLOOKUP(Tbla_actores[[#This Row],[codigo_proyecto]],Proyectos!$A:$A,Proyectos!$C:$C)),"")</f>
        <v>NULOS</v>
      </c>
    </row>
    <row r="459" spans="1:15" ht="14.25" customHeight="1">
      <c r="A459" s="10">
        <v>1019142697</v>
      </c>
      <c r="B459" s="64" t="s">
        <v>61</v>
      </c>
      <c r="C459" s="62" t="s">
        <v>1431</v>
      </c>
      <c r="D459" t="s">
        <v>63</v>
      </c>
      <c r="E459" t="s">
        <v>1446</v>
      </c>
      <c r="F459" s="61">
        <v>35914</v>
      </c>
      <c r="G459" s="15" t="s">
        <v>73</v>
      </c>
      <c r="H459" t="s">
        <v>1447</v>
      </c>
      <c r="I459" s="62" t="s">
        <v>1448</v>
      </c>
      <c r="K459" s="36" t="s">
        <v>68</v>
      </c>
      <c r="L459" t="s">
        <v>69</v>
      </c>
      <c r="M459" s="62" t="s">
        <v>70</v>
      </c>
      <c r="N459" t="s">
        <v>71</v>
      </c>
      <c r="O459" t="str">
        <f>IFERROR(IF(Tbla_actores[[#This Row],[codigo_proyecto]]="","",_xlfn.XLOOKUP(Tbla_actores[[#This Row],[codigo_proyecto]],Proyectos!$A:$A,Proyectos!$C:$C)),"")</f>
        <v>NULOS</v>
      </c>
    </row>
    <row r="460" spans="1:15" ht="14.25" customHeight="1">
      <c r="A460" s="9">
        <v>1030682895</v>
      </c>
      <c r="B460" s="63" t="s">
        <v>61</v>
      </c>
      <c r="C460" s="62" t="s">
        <v>1431</v>
      </c>
      <c r="D460" t="s">
        <v>63</v>
      </c>
      <c r="E460" t="s">
        <v>1449</v>
      </c>
      <c r="F460" s="61">
        <v>35733</v>
      </c>
      <c r="G460" s="15" t="s">
        <v>73</v>
      </c>
      <c r="H460" t="s">
        <v>1450</v>
      </c>
      <c r="I460" s="62" t="s">
        <v>1451</v>
      </c>
      <c r="K460" s="36" t="s">
        <v>68</v>
      </c>
      <c r="L460" t="s">
        <v>69</v>
      </c>
      <c r="M460" s="62" t="s">
        <v>70</v>
      </c>
      <c r="N460" t="s">
        <v>71</v>
      </c>
      <c r="O460" t="str">
        <f>IFERROR(IF(Tbla_actores[[#This Row],[codigo_proyecto]]="","",_xlfn.XLOOKUP(Tbla_actores[[#This Row],[codigo_proyecto]],Proyectos!$A:$A,Proyectos!$C:$C)),"")</f>
        <v>NULOS</v>
      </c>
    </row>
    <row r="461" spans="1:15" ht="14.25" customHeight="1">
      <c r="A461" s="10">
        <v>1098815582</v>
      </c>
      <c r="B461" s="64" t="s">
        <v>61</v>
      </c>
      <c r="C461" s="62" t="s">
        <v>1431</v>
      </c>
      <c r="D461" t="s">
        <v>63</v>
      </c>
      <c r="E461" t="s">
        <v>1452</v>
      </c>
      <c r="F461" s="61">
        <v>36181</v>
      </c>
      <c r="G461" s="15" t="s">
        <v>65</v>
      </c>
      <c r="H461" t="s">
        <v>1453</v>
      </c>
      <c r="I461" s="62" t="s">
        <v>1454</v>
      </c>
      <c r="K461" s="36" t="s">
        <v>68</v>
      </c>
      <c r="L461" t="s">
        <v>69</v>
      </c>
      <c r="M461" s="62" t="s">
        <v>70</v>
      </c>
      <c r="N461" t="s">
        <v>71</v>
      </c>
      <c r="O461" t="str">
        <f>IFERROR(IF(Tbla_actores[[#This Row],[codigo_proyecto]]="","",_xlfn.XLOOKUP(Tbla_actores[[#This Row],[codigo_proyecto]],Proyectos!$A:$A,Proyectos!$C:$C)),"")</f>
        <v>NULOS</v>
      </c>
    </row>
    <row r="462" spans="1:15" ht="14.25" customHeight="1">
      <c r="A462" s="9">
        <v>1032498978</v>
      </c>
      <c r="B462" s="63" t="s">
        <v>61</v>
      </c>
      <c r="C462" s="62" t="s">
        <v>1431</v>
      </c>
      <c r="D462" t="s">
        <v>63</v>
      </c>
      <c r="E462" t="s">
        <v>1455</v>
      </c>
      <c r="F462" s="61">
        <v>35989</v>
      </c>
      <c r="G462" s="15" t="s">
        <v>73</v>
      </c>
      <c r="H462" t="s">
        <v>1456</v>
      </c>
      <c r="I462" s="62" t="s">
        <v>1457</v>
      </c>
      <c r="K462" s="36" t="s">
        <v>68</v>
      </c>
      <c r="L462" t="s">
        <v>69</v>
      </c>
      <c r="M462" s="62" t="s">
        <v>70</v>
      </c>
      <c r="N462" t="s">
        <v>71</v>
      </c>
      <c r="O462" t="str">
        <f>IFERROR(IF(Tbla_actores[[#This Row],[codigo_proyecto]]="","",_xlfn.XLOOKUP(Tbla_actores[[#This Row],[codigo_proyecto]],Proyectos!$A:$A,Proyectos!$C:$C)),"")</f>
        <v>NULOS</v>
      </c>
    </row>
    <row r="463" spans="1:15" ht="14.25" customHeight="1">
      <c r="A463" s="10">
        <v>1001171919</v>
      </c>
      <c r="B463" s="64" t="s">
        <v>61</v>
      </c>
      <c r="C463" s="62" t="s">
        <v>1431</v>
      </c>
      <c r="D463" t="s">
        <v>63</v>
      </c>
      <c r="E463" t="s">
        <v>1458</v>
      </c>
      <c r="F463" s="61">
        <v>35986</v>
      </c>
      <c r="G463" s="15" t="s">
        <v>73</v>
      </c>
      <c r="H463" t="s">
        <v>1459</v>
      </c>
      <c r="I463" s="62" t="s">
        <v>1460</v>
      </c>
      <c r="K463" s="36" t="s">
        <v>68</v>
      </c>
      <c r="L463" t="s">
        <v>69</v>
      </c>
      <c r="M463" s="62" t="s">
        <v>70</v>
      </c>
      <c r="N463" t="s">
        <v>71</v>
      </c>
      <c r="O463" t="str">
        <f>IFERROR(IF(Tbla_actores[[#This Row],[codigo_proyecto]]="","",_xlfn.XLOOKUP(Tbla_actores[[#This Row],[codigo_proyecto]],Proyectos!$A:$A,Proyectos!$C:$C)),"")</f>
        <v>NULOS</v>
      </c>
    </row>
    <row r="464" spans="1:15" ht="14.25" customHeight="1">
      <c r="A464" s="9">
        <v>1033815546</v>
      </c>
      <c r="B464" s="63" t="s">
        <v>61</v>
      </c>
      <c r="C464" s="62" t="s">
        <v>1431</v>
      </c>
      <c r="D464" t="s">
        <v>63</v>
      </c>
      <c r="E464" t="s">
        <v>1461</v>
      </c>
      <c r="F464" s="61">
        <v>36271</v>
      </c>
      <c r="G464" s="15" t="s">
        <v>73</v>
      </c>
      <c r="H464" t="s">
        <v>1462</v>
      </c>
      <c r="I464" s="62" t="s">
        <v>1463</v>
      </c>
      <c r="K464" s="36" t="s">
        <v>68</v>
      </c>
      <c r="L464" t="s">
        <v>69</v>
      </c>
      <c r="M464" s="62" t="s">
        <v>70</v>
      </c>
      <c r="N464" t="s">
        <v>71</v>
      </c>
      <c r="O464" t="str">
        <f>IFERROR(IF(Tbla_actores[[#This Row],[codigo_proyecto]]="","",_xlfn.XLOOKUP(Tbla_actores[[#This Row],[codigo_proyecto]],Proyectos!$A:$A,Proyectos!$C:$C)),"")</f>
        <v>NULOS</v>
      </c>
    </row>
    <row r="465" spans="1:15" ht="14.25" customHeight="1">
      <c r="A465" s="10">
        <v>1010065358</v>
      </c>
      <c r="B465" s="64" t="s">
        <v>61</v>
      </c>
      <c r="C465" s="62" t="s">
        <v>1431</v>
      </c>
      <c r="D465" t="s">
        <v>63</v>
      </c>
      <c r="E465" t="s">
        <v>1464</v>
      </c>
      <c r="F465" s="61">
        <v>36312</v>
      </c>
      <c r="G465" s="15" t="s">
        <v>73</v>
      </c>
      <c r="H465" t="s">
        <v>1465</v>
      </c>
      <c r="I465" s="62" t="s">
        <v>1466</v>
      </c>
      <c r="K465" s="36" t="s">
        <v>68</v>
      </c>
      <c r="L465" t="s">
        <v>69</v>
      </c>
      <c r="M465" s="62" t="s">
        <v>70</v>
      </c>
      <c r="N465" t="s">
        <v>71</v>
      </c>
      <c r="O465" t="str">
        <f>IFERROR(IF(Tbla_actores[[#This Row],[codigo_proyecto]]="","",_xlfn.XLOOKUP(Tbla_actores[[#This Row],[codigo_proyecto]],Proyectos!$A:$A,Proyectos!$C:$C)),"")</f>
        <v>NULOS</v>
      </c>
    </row>
    <row r="466" spans="1:15" ht="14.25" customHeight="1">
      <c r="A466" s="9">
        <v>1019147850</v>
      </c>
      <c r="B466" s="63" t="s">
        <v>61</v>
      </c>
      <c r="C466" s="62" t="s">
        <v>1431</v>
      </c>
      <c r="D466" t="s">
        <v>63</v>
      </c>
      <c r="E466" t="s">
        <v>1467</v>
      </c>
      <c r="F466" s="61">
        <v>36256</v>
      </c>
      <c r="G466" s="15" t="s">
        <v>73</v>
      </c>
      <c r="H466" t="s">
        <v>1468</v>
      </c>
      <c r="I466" s="62" t="s">
        <v>1469</v>
      </c>
      <c r="K466" s="36" t="s">
        <v>68</v>
      </c>
      <c r="L466" t="s">
        <v>69</v>
      </c>
      <c r="M466" s="62" t="s">
        <v>70</v>
      </c>
      <c r="N466" t="s">
        <v>71</v>
      </c>
      <c r="O466" t="str">
        <f>IFERROR(IF(Tbla_actores[[#This Row],[codigo_proyecto]]="","",_xlfn.XLOOKUP(Tbla_actores[[#This Row],[codigo_proyecto]],Proyectos!$A:$A,Proyectos!$C:$C)),"")</f>
        <v>NULOS</v>
      </c>
    </row>
    <row r="467" spans="1:15" ht="14.25" customHeight="1">
      <c r="A467" s="10">
        <v>1018506457</v>
      </c>
      <c r="B467" s="64" t="s">
        <v>61</v>
      </c>
      <c r="C467" s="62" t="s">
        <v>1431</v>
      </c>
      <c r="D467" t="s">
        <v>63</v>
      </c>
      <c r="E467" t="s">
        <v>1470</v>
      </c>
      <c r="F467" s="61">
        <v>36018</v>
      </c>
      <c r="G467" s="15" t="s">
        <v>73</v>
      </c>
      <c r="H467" t="s">
        <v>1471</v>
      </c>
      <c r="I467" s="62" t="s">
        <v>1472</v>
      </c>
      <c r="K467" s="36" t="s">
        <v>68</v>
      </c>
      <c r="L467" t="s">
        <v>69</v>
      </c>
      <c r="M467" s="62" t="s">
        <v>70</v>
      </c>
      <c r="N467" t="s">
        <v>71</v>
      </c>
      <c r="O467" t="str">
        <f>IFERROR(IF(Tbla_actores[[#This Row],[codigo_proyecto]]="","",_xlfn.XLOOKUP(Tbla_actores[[#This Row],[codigo_proyecto]],Proyectos!$A:$A,Proyectos!$C:$C)),"")</f>
        <v>NULOS</v>
      </c>
    </row>
    <row r="468" spans="1:15" ht="14.25" customHeight="1">
      <c r="A468" s="9">
        <v>1016107741</v>
      </c>
      <c r="B468" s="63" t="s">
        <v>61</v>
      </c>
      <c r="C468" s="62" t="s">
        <v>1431</v>
      </c>
      <c r="D468" t="s">
        <v>63</v>
      </c>
      <c r="E468" t="s">
        <v>1473</v>
      </c>
      <c r="F468" s="61">
        <v>36179</v>
      </c>
      <c r="G468" s="15" t="s">
        <v>65</v>
      </c>
      <c r="H468" t="s">
        <v>1474</v>
      </c>
      <c r="I468" s="62" t="s">
        <v>1475</v>
      </c>
      <c r="K468" s="36" t="s">
        <v>68</v>
      </c>
      <c r="L468" t="s">
        <v>69</v>
      </c>
      <c r="M468" s="62" t="s">
        <v>70</v>
      </c>
      <c r="N468" t="s">
        <v>71</v>
      </c>
      <c r="O468" t="str">
        <f>IFERROR(IF(Tbla_actores[[#This Row],[codigo_proyecto]]="","",_xlfn.XLOOKUP(Tbla_actores[[#This Row],[codigo_proyecto]],Proyectos!$A:$A,Proyectos!$C:$C)),"")</f>
        <v>NULOS</v>
      </c>
    </row>
    <row r="469" spans="1:15" ht="14.25" customHeight="1">
      <c r="A469" s="10">
        <v>1023970683</v>
      </c>
      <c r="B469" s="64" t="s">
        <v>61</v>
      </c>
      <c r="C469" s="62" t="s">
        <v>1431</v>
      </c>
      <c r="D469" t="s">
        <v>63</v>
      </c>
      <c r="E469" t="s">
        <v>1476</v>
      </c>
      <c r="F469" s="61">
        <v>36006</v>
      </c>
      <c r="G469" s="15" t="s">
        <v>73</v>
      </c>
      <c r="H469" t="s">
        <v>1477</v>
      </c>
      <c r="I469" s="62" t="s">
        <v>1478</v>
      </c>
      <c r="K469" s="36" t="s">
        <v>68</v>
      </c>
      <c r="L469" t="s">
        <v>69</v>
      </c>
      <c r="M469" s="62" t="s">
        <v>70</v>
      </c>
      <c r="N469" t="s">
        <v>71</v>
      </c>
      <c r="O469" t="str">
        <f>IFERROR(IF(Tbla_actores[[#This Row],[codigo_proyecto]]="","",_xlfn.XLOOKUP(Tbla_actores[[#This Row],[codigo_proyecto]],Proyectos!$A:$A,Proyectos!$C:$C)),"")</f>
        <v>NULOS</v>
      </c>
    </row>
    <row r="470" spans="1:15" ht="14.25" customHeight="1">
      <c r="A470" s="9">
        <v>1006956287</v>
      </c>
      <c r="B470" s="63" t="s">
        <v>61</v>
      </c>
      <c r="C470" s="62" t="s">
        <v>1431</v>
      </c>
      <c r="D470" t="s">
        <v>63</v>
      </c>
      <c r="E470" t="s">
        <v>1479</v>
      </c>
      <c r="F470" s="61" t="s">
        <v>1433</v>
      </c>
      <c r="G470" s="15" t="s">
        <v>1433</v>
      </c>
      <c r="H470" t="s">
        <v>1433</v>
      </c>
      <c r="I470" s="62" t="s">
        <v>1433</v>
      </c>
      <c r="K470" s="36" t="s">
        <v>68</v>
      </c>
      <c r="L470" t="s">
        <v>69</v>
      </c>
      <c r="M470" s="62" t="s">
        <v>1433</v>
      </c>
      <c r="N470" t="s">
        <v>71</v>
      </c>
      <c r="O470" t="str">
        <f>IFERROR(IF(Tbla_actores[[#This Row],[codigo_proyecto]]="","",_xlfn.XLOOKUP(Tbla_actores[[#This Row],[codigo_proyecto]],Proyectos!$A:$A,Proyectos!$C:$C)),"")</f>
        <v>NULOS</v>
      </c>
    </row>
    <row r="471" spans="1:15" ht="14.25" customHeight="1">
      <c r="A471" s="10">
        <v>1013684063</v>
      </c>
      <c r="B471" s="64" t="s">
        <v>61</v>
      </c>
      <c r="C471" s="62" t="s">
        <v>1431</v>
      </c>
      <c r="D471" t="s">
        <v>63</v>
      </c>
      <c r="E471" t="s">
        <v>1480</v>
      </c>
      <c r="F471" s="61">
        <v>36055</v>
      </c>
      <c r="G471" s="15" t="s">
        <v>73</v>
      </c>
      <c r="H471" t="s">
        <v>1481</v>
      </c>
      <c r="I471" s="62" t="s">
        <v>1482</v>
      </c>
      <c r="K471" s="36" t="s">
        <v>68</v>
      </c>
      <c r="L471" t="s">
        <v>69</v>
      </c>
      <c r="M471" s="62" t="s">
        <v>70</v>
      </c>
      <c r="N471" t="s">
        <v>71</v>
      </c>
      <c r="O471" t="str">
        <f>IFERROR(IF(Tbla_actores[[#This Row],[codigo_proyecto]]="","",_xlfn.XLOOKUP(Tbla_actores[[#This Row],[codigo_proyecto]],Proyectos!$A:$A,Proyectos!$C:$C)),"")</f>
        <v>NULOS</v>
      </c>
    </row>
    <row r="472" spans="1:15" ht="14.25" customHeight="1">
      <c r="A472" s="9">
        <v>1000061573</v>
      </c>
      <c r="B472" s="63" t="s">
        <v>61</v>
      </c>
      <c r="C472" s="62" t="s">
        <v>1431</v>
      </c>
      <c r="D472" t="s">
        <v>63</v>
      </c>
      <c r="E472" t="s">
        <v>1483</v>
      </c>
      <c r="F472" s="61">
        <v>36776</v>
      </c>
      <c r="G472" s="15" t="s">
        <v>65</v>
      </c>
      <c r="H472" t="s">
        <v>1484</v>
      </c>
      <c r="I472" s="62" t="s">
        <v>1485</v>
      </c>
      <c r="K472" s="36" t="s">
        <v>68</v>
      </c>
      <c r="L472" t="s">
        <v>69</v>
      </c>
      <c r="M472" s="62" t="s">
        <v>70</v>
      </c>
      <c r="N472" t="s">
        <v>71</v>
      </c>
      <c r="O472" t="str">
        <f>IFERROR(IF(Tbla_actores[[#This Row],[codigo_proyecto]]="","",_xlfn.XLOOKUP(Tbla_actores[[#This Row],[codigo_proyecto]],Proyectos!$A:$A,Proyectos!$C:$C)),"")</f>
        <v>NULOS</v>
      </c>
    </row>
    <row r="473" spans="1:15" ht="14.25" customHeight="1">
      <c r="A473" s="10">
        <v>1018482319</v>
      </c>
      <c r="B473" s="64" t="s">
        <v>61</v>
      </c>
      <c r="C473" s="62" t="s">
        <v>1431</v>
      </c>
      <c r="D473" t="s">
        <v>63</v>
      </c>
      <c r="E473" t="s">
        <v>1486</v>
      </c>
      <c r="F473" s="61">
        <v>35086</v>
      </c>
      <c r="G473" s="15" t="s">
        <v>73</v>
      </c>
      <c r="H473" t="s">
        <v>1487</v>
      </c>
      <c r="I473" s="62" t="s">
        <v>1488</v>
      </c>
      <c r="K473" s="36" t="s">
        <v>1489</v>
      </c>
      <c r="L473" t="s">
        <v>69</v>
      </c>
      <c r="M473" s="62" t="s">
        <v>70</v>
      </c>
      <c r="N473" t="s">
        <v>71</v>
      </c>
      <c r="O473" t="str">
        <f>IFERROR(IF(Tbla_actores[[#This Row],[codigo_proyecto]]="","",_xlfn.XLOOKUP(Tbla_actores[[#This Row],[codigo_proyecto]],Proyectos!$A:$A,Proyectos!$C:$C)),"")</f>
        <v>NULOS</v>
      </c>
    </row>
    <row r="474" spans="1:15" ht="14.25" customHeight="1">
      <c r="A474" s="9">
        <v>1020832382</v>
      </c>
      <c r="B474" s="63" t="s">
        <v>61</v>
      </c>
      <c r="C474" s="62" t="s">
        <v>1431</v>
      </c>
      <c r="D474" t="s">
        <v>63</v>
      </c>
      <c r="E474" t="s">
        <v>1490</v>
      </c>
      <c r="F474" s="61">
        <v>35882</v>
      </c>
      <c r="G474" s="15" t="s">
        <v>73</v>
      </c>
      <c r="H474" t="s">
        <v>1491</v>
      </c>
      <c r="I474" s="62" t="s">
        <v>1492</v>
      </c>
      <c r="K474" s="36" t="s">
        <v>68</v>
      </c>
      <c r="L474" t="s">
        <v>69</v>
      </c>
      <c r="M474" s="62" t="s">
        <v>70</v>
      </c>
      <c r="N474" t="s">
        <v>71</v>
      </c>
      <c r="O474" t="str">
        <f>IFERROR(IF(Tbla_actores[[#This Row],[codigo_proyecto]]="","",_xlfn.XLOOKUP(Tbla_actores[[#This Row],[codigo_proyecto]],Proyectos!$A:$A,Proyectos!$C:$C)),"")</f>
        <v>NULOS</v>
      </c>
    </row>
    <row r="475" spans="1:15" ht="14.25" customHeight="1">
      <c r="A475" s="10">
        <v>1098808861</v>
      </c>
      <c r="B475" s="64" t="s">
        <v>61</v>
      </c>
      <c r="C475" s="62" t="s">
        <v>1431</v>
      </c>
      <c r="D475" t="s">
        <v>63</v>
      </c>
      <c r="E475" t="s">
        <v>1493</v>
      </c>
      <c r="F475" s="61">
        <v>35968</v>
      </c>
      <c r="G475" s="15" t="s">
        <v>73</v>
      </c>
      <c r="H475" t="s">
        <v>1494</v>
      </c>
      <c r="I475" s="62" t="s">
        <v>1495</v>
      </c>
      <c r="K475" s="36" t="s">
        <v>68</v>
      </c>
      <c r="L475" t="s">
        <v>69</v>
      </c>
      <c r="M475" s="62" t="s">
        <v>70</v>
      </c>
      <c r="N475" t="s">
        <v>71</v>
      </c>
      <c r="O475" t="str">
        <f>IFERROR(IF(Tbla_actores[[#This Row],[codigo_proyecto]]="","",_xlfn.XLOOKUP(Tbla_actores[[#This Row],[codigo_proyecto]],Proyectos!$A:$A,Proyectos!$C:$C)),"")</f>
        <v>NULOS</v>
      </c>
    </row>
    <row r="476" spans="1:15" ht="14.25" customHeight="1">
      <c r="A476" s="9">
        <v>1020811084</v>
      </c>
      <c r="B476" s="63" t="s">
        <v>61</v>
      </c>
      <c r="C476" s="62" t="s">
        <v>1431</v>
      </c>
      <c r="D476" t="s">
        <v>63</v>
      </c>
      <c r="E476" t="s">
        <v>1496</v>
      </c>
      <c r="F476" s="61">
        <v>35030</v>
      </c>
      <c r="G476" s="15" t="s">
        <v>73</v>
      </c>
      <c r="H476" t="s">
        <v>1497</v>
      </c>
      <c r="I476" s="62" t="s">
        <v>1498</v>
      </c>
      <c r="K476" s="36" t="s">
        <v>68</v>
      </c>
      <c r="L476" t="s">
        <v>69</v>
      </c>
      <c r="M476" s="62" t="s">
        <v>70</v>
      </c>
      <c r="N476" t="s">
        <v>71</v>
      </c>
      <c r="O476" t="str">
        <f>IFERROR(IF(Tbla_actores[[#This Row],[codigo_proyecto]]="","",_xlfn.XLOOKUP(Tbla_actores[[#This Row],[codigo_proyecto]],Proyectos!$A:$A,Proyectos!$C:$C)),"")</f>
        <v>NULOS</v>
      </c>
    </row>
    <row r="477" spans="1:15" ht="14.25" customHeight="1">
      <c r="A477" s="10">
        <v>1018510763</v>
      </c>
      <c r="B477" s="64" t="s">
        <v>61</v>
      </c>
      <c r="C477" s="62" t="s">
        <v>1431</v>
      </c>
      <c r="D477" t="s">
        <v>63</v>
      </c>
      <c r="E477" t="s">
        <v>1499</v>
      </c>
      <c r="F477" s="61">
        <v>36284</v>
      </c>
      <c r="G477" s="15" t="s">
        <v>73</v>
      </c>
      <c r="H477" t="s">
        <v>1500</v>
      </c>
      <c r="I477" s="62" t="s">
        <v>1501</v>
      </c>
      <c r="K477" s="36" t="s">
        <v>68</v>
      </c>
      <c r="L477" t="s">
        <v>69</v>
      </c>
      <c r="M477" s="62" t="s">
        <v>70</v>
      </c>
      <c r="N477" t="s">
        <v>71</v>
      </c>
      <c r="O477" t="str">
        <f>IFERROR(IF(Tbla_actores[[#This Row],[codigo_proyecto]]="","",_xlfn.XLOOKUP(Tbla_actores[[#This Row],[codigo_proyecto]],Proyectos!$A:$A,Proyectos!$C:$C)),"")</f>
        <v>NULOS</v>
      </c>
    </row>
    <row r="478" spans="1:15" ht="14.25" customHeight="1">
      <c r="A478" s="9">
        <v>1019143905</v>
      </c>
      <c r="B478" s="63" t="s">
        <v>61</v>
      </c>
      <c r="C478" s="62" t="s">
        <v>1431</v>
      </c>
      <c r="D478" t="s">
        <v>63</v>
      </c>
      <c r="E478" t="s">
        <v>1502</v>
      </c>
      <c r="F478" s="61">
        <v>36073</v>
      </c>
      <c r="G478" s="15" t="s">
        <v>65</v>
      </c>
      <c r="H478" t="s">
        <v>1503</v>
      </c>
      <c r="I478" s="62" t="s">
        <v>1504</v>
      </c>
      <c r="K478" s="36" t="s">
        <v>68</v>
      </c>
      <c r="L478" t="s">
        <v>69</v>
      </c>
      <c r="M478" s="62" t="s">
        <v>70</v>
      </c>
      <c r="N478" t="s">
        <v>71</v>
      </c>
      <c r="O478" t="str">
        <f>IFERROR(IF(Tbla_actores[[#This Row],[codigo_proyecto]]="","",_xlfn.XLOOKUP(Tbla_actores[[#This Row],[codigo_proyecto]],Proyectos!$A:$A,Proyectos!$C:$C)),"")</f>
        <v>NULOS</v>
      </c>
    </row>
    <row r="479" spans="1:15" ht="14.25" customHeight="1">
      <c r="A479" s="10">
        <v>1019142423</v>
      </c>
      <c r="B479" s="64" t="s">
        <v>61</v>
      </c>
      <c r="C479" s="62" t="s">
        <v>1431</v>
      </c>
      <c r="D479" t="s">
        <v>63</v>
      </c>
      <c r="E479" t="s">
        <v>1505</v>
      </c>
      <c r="F479" s="61">
        <v>36032</v>
      </c>
      <c r="G479" s="15" t="s">
        <v>73</v>
      </c>
      <c r="H479" t="s">
        <v>1506</v>
      </c>
      <c r="I479" s="62" t="s">
        <v>1507</v>
      </c>
      <c r="K479" s="36" t="s">
        <v>169</v>
      </c>
      <c r="L479" t="s">
        <v>69</v>
      </c>
      <c r="M479" s="62" t="s">
        <v>170</v>
      </c>
      <c r="N479" t="s">
        <v>71</v>
      </c>
      <c r="O479" t="str">
        <f>IFERROR(IF(Tbla_actores[[#This Row],[codigo_proyecto]]="","",_xlfn.XLOOKUP(Tbla_actores[[#This Row],[codigo_proyecto]],Proyectos!$A:$A,Proyectos!$C:$C)),"")</f>
        <v>NULOS</v>
      </c>
    </row>
    <row r="480" spans="1:15" ht="14.25" customHeight="1">
      <c r="A480" s="9">
        <v>1023082150</v>
      </c>
      <c r="B480" s="63" t="s">
        <v>61</v>
      </c>
      <c r="C480" s="62" t="s">
        <v>1431</v>
      </c>
      <c r="D480" t="s">
        <v>63</v>
      </c>
      <c r="E480" t="s">
        <v>1508</v>
      </c>
      <c r="F480" s="61">
        <v>36043</v>
      </c>
      <c r="G480" s="15" t="s">
        <v>65</v>
      </c>
      <c r="H480" t="s">
        <v>1509</v>
      </c>
      <c r="I480" s="62" t="s">
        <v>1510</v>
      </c>
      <c r="K480" s="36" t="s">
        <v>169</v>
      </c>
      <c r="L480" t="s">
        <v>69</v>
      </c>
      <c r="M480" s="62" t="s">
        <v>170</v>
      </c>
      <c r="N480" t="s">
        <v>71</v>
      </c>
      <c r="O480" t="str">
        <f>IFERROR(IF(Tbla_actores[[#This Row],[codigo_proyecto]]="","",_xlfn.XLOOKUP(Tbla_actores[[#This Row],[codigo_proyecto]],Proyectos!$A:$A,Proyectos!$C:$C)),"")</f>
        <v>NULOS</v>
      </c>
    </row>
    <row r="481" spans="1:15" ht="14.25" customHeight="1">
      <c r="A481" s="10">
        <v>1072714201</v>
      </c>
      <c r="B481" s="64" t="s">
        <v>61</v>
      </c>
      <c r="C481" s="62" t="s">
        <v>1431</v>
      </c>
      <c r="D481" t="s">
        <v>63</v>
      </c>
      <c r="E481" t="s">
        <v>1511</v>
      </c>
      <c r="F481" s="61">
        <v>35562</v>
      </c>
      <c r="G481" s="15" t="s">
        <v>73</v>
      </c>
      <c r="H481" t="s">
        <v>1512</v>
      </c>
      <c r="I481" s="62" t="s">
        <v>1513</v>
      </c>
      <c r="K481" s="36" t="s">
        <v>169</v>
      </c>
      <c r="L481" t="s">
        <v>69</v>
      </c>
      <c r="M481" s="62" t="s">
        <v>170</v>
      </c>
      <c r="N481" t="s">
        <v>71</v>
      </c>
      <c r="O481" t="str">
        <f>IFERROR(IF(Tbla_actores[[#This Row],[codigo_proyecto]]="","",_xlfn.XLOOKUP(Tbla_actores[[#This Row],[codigo_proyecto]],Proyectos!$A:$A,Proyectos!$C:$C)),"")</f>
        <v>NULOS</v>
      </c>
    </row>
    <row r="482" spans="1:15" ht="14.25" customHeight="1">
      <c r="A482" s="9">
        <v>1032490379</v>
      </c>
      <c r="B482" s="63" t="s">
        <v>61</v>
      </c>
      <c r="C482" s="62" t="s">
        <v>1431</v>
      </c>
      <c r="D482" t="s">
        <v>63</v>
      </c>
      <c r="E482" t="s">
        <v>1514</v>
      </c>
      <c r="F482" s="61">
        <v>35548</v>
      </c>
      <c r="G482" s="15" t="s">
        <v>73</v>
      </c>
      <c r="H482" t="s">
        <v>1515</v>
      </c>
      <c r="I482" s="62" t="s">
        <v>1516</v>
      </c>
      <c r="K482" s="36" t="s">
        <v>169</v>
      </c>
      <c r="L482" t="s">
        <v>69</v>
      </c>
      <c r="M482" s="62" t="s">
        <v>170</v>
      </c>
      <c r="N482" t="s">
        <v>71</v>
      </c>
      <c r="O482" t="str">
        <f>IFERROR(IF(Tbla_actores[[#This Row],[codigo_proyecto]]="","",_xlfn.XLOOKUP(Tbla_actores[[#This Row],[codigo_proyecto]],Proyectos!$A:$A,Proyectos!$C:$C)),"")</f>
        <v>NULOS</v>
      </c>
    </row>
    <row r="483" spans="1:15" ht="14.25" customHeight="1">
      <c r="A483" s="10">
        <v>1026589094</v>
      </c>
      <c r="B483" s="64" t="s">
        <v>61</v>
      </c>
      <c r="C483" s="62" t="s">
        <v>1431</v>
      </c>
      <c r="D483" t="s">
        <v>63</v>
      </c>
      <c r="E483" t="s">
        <v>1517</v>
      </c>
      <c r="F483" s="61">
        <v>35337</v>
      </c>
      <c r="G483" s="15" t="s">
        <v>73</v>
      </c>
      <c r="H483" t="s">
        <v>1518</v>
      </c>
      <c r="I483" s="62" t="s">
        <v>1519</v>
      </c>
      <c r="K483" s="36" t="s">
        <v>169</v>
      </c>
      <c r="L483" t="s">
        <v>69</v>
      </c>
      <c r="M483" s="62" t="s">
        <v>170</v>
      </c>
      <c r="N483" t="s">
        <v>71</v>
      </c>
      <c r="O483" t="str">
        <f>IFERROR(IF(Tbla_actores[[#This Row],[codigo_proyecto]]="","",_xlfn.XLOOKUP(Tbla_actores[[#This Row],[codigo_proyecto]],Proyectos!$A:$A,Proyectos!$C:$C)),"")</f>
        <v>NULOS</v>
      </c>
    </row>
    <row r="484" spans="1:15" ht="14.25" customHeight="1">
      <c r="A484" s="9">
        <v>1022415857</v>
      </c>
      <c r="B484" s="63" t="s">
        <v>61</v>
      </c>
      <c r="C484" s="62" t="s">
        <v>1431</v>
      </c>
      <c r="D484" t="s">
        <v>63</v>
      </c>
      <c r="E484" t="s">
        <v>1520</v>
      </c>
      <c r="F484" s="61">
        <v>35192</v>
      </c>
      <c r="G484" s="15" t="s">
        <v>73</v>
      </c>
      <c r="H484" t="s">
        <v>1521</v>
      </c>
      <c r="I484" s="62" t="s">
        <v>1522</v>
      </c>
      <c r="K484" s="36" t="s">
        <v>169</v>
      </c>
      <c r="L484" t="s">
        <v>69</v>
      </c>
      <c r="M484" s="62" t="s">
        <v>170</v>
      </c>
      <c r="N484" t="s">
        <v>71</v>
      </c>
      <c r="O484" t="str">
        <f>IFERROR(IF(Tbla_actores[[#This Row],[codigo_proyecto]]="","",_xlfn.XLOOKUP(Tbla_actores[[#This Row],[codigo_proyecto]],Proyectos!$A:$A,Proyectos!$C:$C)),"")</f>
        <v>NULOS</v>
      </c>
    </row>
    <row r="485" spans="1:15" ht="14.25" customHeight="1">
      <c r="A485" s="10">
        <v>1020824477</v>
      </c>
      <c r="B485" s="64" t="s">
        <v>61</v>
      </c>
      <c r="C485" s="62" t="s">
        <v>1431</v>
      </c>
      <c r="D485" t="s">
        <v>63</v>
      </c>
      <c r="E485" t="s">
        <v>1523</v>
      </c>
      <c r="F485" s="61">
        <v>35520</v>
      </c>
      <c r="G485" s="15" t="s">
        <v>65</v>
      </c>
      <c r="H485" t="s">
        <v>1524</v>
      </c>
      <c r="I485" s="62" t="s">
        <v>1525</v>
      </c>
      <c r="K485" s="36" t="s">
        <v>169</v>
      </c>
      <c r="L485" t="s">
        <v>69</v>
      </c>
      <c r="M485" s="62" t="s">
        <v>170</v>
      </c>
      <c r="N485" t="s">
        <v>71</v>
      </c>
      <c r="O485" t="str">
        <f>IFERROR(IF(Tbla_actores[[#This Row],[codigo_proyecto]]="","",_xlfn.XLOOKUP(Tbla_actores[[#This Row],[codigo_proyecto]],Proyectos!$A:$A,Proyectos!$C:$C)),"")</f>
        <v>NULOS</v>
      </c>
    </row>
    <row r="486" spans="1:15" ht="14.25" customHeight="1">
      <c r="A486" s="9">
        <v>1019129492</v>
      </c>
      <c r="B486" s="63" t="s">
        <v>61</v>
      </c>
      <c r="C486" s="62" t="s">
        <v>1431</v>
      </c>
      <c r="D486" t="s">
        <v>63</v>
      </c>
      <c r="E486" t="s">
        <v>1526</v>
      </c>
      <c r="F486" s="61">
        <v>35532</v>
      </c>
      <c r="G486" s="15" t="s">
        <v>73</v>
      </c>
      <c r="H486" t="s">
        <v>1527</v>
      </c>
      <c r="I486" s="62" t="s">
        <v>1528</v>
      </c>
      <c r="K486" s="36" t="s">
        <v>169</v>
      </c>
      <c r="L486" t="s">
        <v>69</v>
      </c>
      <c r="M486" s="62" t="s">
        <v>170</v>
      </c>
      <c r="N486" t="s">
        <v>71</v>
      </c>
      <c r="O486" t="str">
        <f>IFERROR(IF(Tbla_actores[[#This Row],[codigo_proyecto]]="","",_xlfn.XLOOKUP(Tbla_actores[[#This Row],[codigo_proyecto]],Proyectos!$A:$A,Proyectos!$C:$C)),"")</f>
        <v>NULOS</v>
      </c>
    </row>
    <row r="487" spans="1:15" ht="14.25" customHeight="1">
      <c r="A487" s="10">
        <v>1015474120</v>
      </c>
      <c r="B487" s="64" t="s">
        <v>61</v>
      </c>
      <c r="C487" s="62" t="s">
        <v>1431</v>
      </c>
      <c r="D487" t="s">
        <v>63</v>
      </c>
      <c r="E487" t="s">
        <v>1529</v>
      </c>
      <c r="F487" s="61">
        <v>35885</v>
      </c>
      <c r="G487" s="15" t="s">
        <v>65</v>
      </c>
      <c r="H487" t="s">
        <v>1530</v>
      </c>
      <c r="I487" s="62" t="s">
        <v>1531</v>
      </c>
      <c r="K487" s="36" t="s">
        <v>169</v>
      </c>
      <c r="L487" t="s">
        <v>69</v>
      </c>
      <c r="M487" s="62" t="s">
        <v>170</v>
      </c>
      <c r="N487" t="s">
        <v>71</v>
      </c>
      <c r="O487" t="str">
        <f>IFERROR(IF(Tbla_actores[[#This Row],[codigo_proyecto]]="","",_xlfn.XLOOKUP(Tbla_actores[[#This Row],[codigo_proyecto]],Proyectos!$A:$A,Proyectos!$C:$C)),"")</f>
        <v>NULOS</v>
      </c>
    </row>
    <row r="488" spans="1:15" ht="14.25" customHeight="1">
      <c r="A488" s="9">
        <v>1000180225</v>
      </c>
      <c r="B488" s="63" t="s">
        <v>61</v>
      </c>
      <c r="C488" s="62" t="s">
        <v>1431</v>
      </c>
      <c r="D488" t="s">
        <v>63</v>
      </c>
      <c r="E488" t="s">
        <v>1532</v>
      </c>
      <c r="F488" s="61">
        <v>37002</v>
      </c>
      <c r="G488" s="15" t="s">
        <v>65</v>
      </c>
      <c r="H488" t="s">
        <v>1533</v>
      </c>
      <c r="I488" s="62" t="s">
        <v>1534</v>
      </c>
      <c r="K488" s="36" t="s">
        <v>169</v>
      </c>
      <c r="L488" t="s">
        <v>69</v>
      </c>
      <c r="M488" s="62" t="s">
        <v>170</v>
      </c>
      <c r="N488" t="s">
        <v>71</v>
      </c>
      <c r="O488" t="str">
        <f>IFERROR(IF(Tbla_actores[[#This Row],[codigo_proyecto]]="","",_xlfn.XLOOKUP(Tbla_actores[[#This Row],[codigo_proyecto]],Proyectos!$A:$A,Proyectos!$C:$C)),"")</f>
        <v>NULOS</v>
      </c>
    </row>
    <row r="489" spans="1:15" ht="14.25" customHeight="1">
      <c r="A489" s="10">
        <v>1233889111</v>
      </c>
      <c r="B489" s="64" t="s">
        <v>61</v>
      </c>
      <c r="C489" s="62" t="s">
        <v>1431</v>
      </c>
      <c r="D489" t="s">
        <v>63</v>
      </c>
      <c r="E489" t="s">
        <v>1535</v>
      </c>
      <c r="F489" s="61">
        <v>35472</v>
      </c>
      <c r="G489" s="15" t="s">
        <v>65</v>
      </c>
      <c r="H489" t="s">
        <v>1536</v>
      </c>
      <c r="I489" s="62" t="s">
        <v>1537</v>
      </c>
      <c r="K489" s="36" t="s">
        <v>169</v>
      </c>
      <c r="L489" t="s">
        <v>69</v>
      </c>
      <c r="M489" s="62" t="s">
        <v>170</v>
      </c>
      <c r="N489" t="s">
        <v>71</v>
      </c>
      <c r="O489" t="str">
        <f>IFERROR(IF(Tbla_actores[[#This Row],[codigo_proyecto]]="","",_xlfn.XLOOKUP(Tbla_actores[[#This Row],[codigo_proyecto]],Proyectos!$A:$A,Proyectos!$C:$C)),"")</f>
        <v>NULOS</v>
      </c>
    </row>
    <row r="490" spans="1:15" ht="14.25" customHeight="1">
      <c r="A490" s="9">
        <v>1013665452</v>
      </c>
      <c r="B490" s="63" t="s">
        <v>61</v>
      </c>
      <c r="C490" s="62" t="s">
        <v>1431</v>
      </c>
      <c r="D490" t="s">
        <v>63</v>
      </c>
      <c r="E490" t="s">
        <v>1538</v>
      </c>
      <c r="F490" s="61">
        <v>35129</v>
      </c>
      <c r="G490" s="15" t="s">
        <v>65</v>
      </c>
      <c r="H490" t="s">
        <v>1539</v>
      </c>
      <c r="I490" s="62" t="s">
        <v>1540</v>
      </c>
      <c r="K490" s="36" t="s">
        <v>169</v>
      </c>
      <c r="L490" t="s">
        <v>69</v>
      </c>
      <c r="M490" s="62" t="s">
        <v>170</v>
      </c>
      <c r="N490" t="s">
        <v>71</v>
      </c>
      <c r="O490" t="str">
        <f>IFERROR(IF(Tbla_actores[[#This Row],[codigo_proyecto]]="","",_xlfn.XLOOKUP(Tbla_actores[[#This Row],[codigo_proyecto]],Proyectos!$A:$A,Proyectos!$C:$C)),"")</f>
        <v>NULOS</v>
      </c>
    </row>
    <row r="491" spans="1:15" ht="14.25" customHeight="1">
      <c r="A491" s="10">
        <v>1032499132</v>
      </c>
      <c r="B491" s="64" t="s">
        <v>61</v>
      </c>
      <c r="C491" s="62" t="s">
        <v>1431</v>
      </c>
      <c r="D491" t="s">
        <v>63</v>
      </c>
      <c r="E491" t="s">
        <v>1541</v>
      </c>
      <c r="F491" s="61">
        <v>36003</v>
      </c>
      <c r="G491" s="15" t="s">
        <v>73</v>
      </c>
      <c r="H491" t="s">
        <v>1542</v>
      </c>
      <c r="I491" s="62" t="s">
        <v>1543</v>
      </c>
      <c r="K491" s="36" t="s">
        <v>169</v>
      </c>
      <c r="L491" t="s">
        <v>69</v>
      </c>
      <c r="M491" s="62" t="s">
        <v>170</v>
      </c>
      <c r="N491" t="s">
        <v>71</v>
      </c>
      <c r="O491" t="str">
        <f>IFERROR(IF(Tbla_actores[[#This Row],[codigo_proyecto]]="","",_xlfn.XLOOKUP(Tbla_actores[[#This Row],[codigo_proyecto]],Proyectos!$A:$A,Proyectos!$C:$C)),"")</f>
        <v>NULOS</v>
      </c>
    </row>
    <row r="492" spans="1:15" ht="14.25" customHeight="1">
      <c r="A492" s="9">
        <v>1032502216</v>
      </c>
      <c r="B492" s="63" t="s">
        <v>61</v>
      </c>
      <c r="C492" s="62" t="s">
        <v>1431</v>
      </c>
      <c r="D492" t="s">
        <v>63</v>
      </c>
      <c r="E492" t="s">
        <v>1544</v>
      </c>
      <c r="F492" s="61">
        <v>36172</v>
      </c>
      <c r="G492" s="15" t="s">
        <v>73</v>
      </c>
      <c r="H492" t="s">
        <v>1545</v>
      </c>
      <c r="I492" s="62" t="s">
        <v>1546</v>
      </c>
      <c r="K492" s="36" t="s">
        <v>169</v>
      </c>
      <c r="L492" t="s">
        <v>69</v>
      </c>
      <c r="M492" s="62" t="s">
        <v>170</v>
      </c>
      <c r="N492" t="s">
        <v>71</v>
      </c>
      <c r="O492" t="str">
        <f>IFERROR(IF(Tbla_actores[[#This Row],[codigo_proyecto]]="","",_xlfn.XLOOKUP(Tbla_actores[[#This Row],[codigo_proyecto]],Proyectos!$A:$A,Proyectos!$C:$C)),"")</f>
        <v>NULOS</v>
      </c>
    </row>
    <row r="493" spans="1:15" ht="14.25" customHeight="1">
      <c r="A493" s="10">
        <v>1018500484</v>
      </c>
      <c r="B493" s="64" t="s">
        <v>61</v>
      </c>
      <c r="C493" s="62" t="s">
        <v>62</v>
      </c>
      <c r="D493" t="s">
        <v>63</v>
      </c>
      <c r="E493" t="s">
        <v>1547</v>
      </c>
      <c r="F493" s="61">
        <v>35807</v>
      </c>
      <c r="G493" s="15" t="s">
        <v>73</v>
      </c>
      <c r="H493" t="s">
        <v>1548</v>
      </c>
      <c r="I493" s="62" t="s">
        <v>1549</v>
      </c>
      <c r="K493" s="36" t="s">
        <v>169</v>
      </c>
      <c r="L493" t="s">
        <v>69</v>
      </c>
      <c r="M493" s="62" t="s">
        <v>170</v>
      </c>
      <c r="N493" t="s">
        <v>71</v>
      </c>
      <c r="O493" t="str">
        <f>IFERROR(IF(Tbla_actores[[#This Row],[codigo_proyecto]]="","",_xlfn.XLOOKUP(Tbla_actores[[#This Row],[codigo_proyecto]],Proyectos!$A:$A,Proyectos!$C:$C)),"")</f>
        <v>NULOS</v>
      </c>
    </row>
    <row r="494" spans="1:15" ht="14.25" customHeight="1">
      <c r="A494" s="9">
        <v>1020825769</v>
      </c>
      <c r="B494" s="63" t="s">
        <v>61</v>
      </c>
      <c r="C494" s="62" t="s">
        <v>1431</v>
      </c>
      <c r="D494" t="s">
        <v>63</v>
      </c>
      <c r="E494" t="s">
        <v>1550</v>
      </c>
      <c r="F494" s="61">
        <v>35559</v>
      </c>
      <c r="G494" s="15" t="s">
        <v>65</v>
      </c>
      <c r="H494" t="s">
        <v>1551</v>
      </c>
      <c r="I494" s="62" t="s">
        <v>1552</v>
      </c>
      <c r="K494" s="36" t="s">
        <v>169</v>
      </c>
      <c r="L494" t="s">
        <v>69</v>
      </c>
      <c r="M494" s="62" t="s">
        <v>170</v>
      </c>
      <c r="N494" t="s">
        <v>71</v>
      </c>
      <c r="O494" t="str">
        <f>IFERROR(IF(Tbla_actores[[#This Row],[codigo_proyecto]]="","",_xlfn.XLOOKUP(Tbla_actores[[#This Row],[codigo_proyecto]],Proyectos!$A:$A,Proyectos!$C:$C)),"")</f>
        <v>NULOS</v>
      </c>
    </row>
    <row r="495" spans="1:15" ht="14.25" customHeight="1">
      <c r="A495" s="10">
        <v>1014300133</v>
      </c>
      <c r="B495" s="64" t="s">
        <v>61</v>
      </c>
      <c r="C495" s="62" t="s">
        <v>1431</v>
      </c>
      <c r="D495" t="s">
        <v>63</v>
      </c>
      <c r="E495" t="s">
        <v>1553</v>
      </c>
      <c r="F495" s="61">
        <v>36050</v>
      </c>
      <c r="G495" s="15" t="s">
        <v>65</v>
      </c>
      <c r="H495" t="s">
        <v>1554</v>
      </c>
      <c r="I495" s="62" t="s">
        <v>1555</v>
      </c>
      <c r="K495" s="36" t="s">
        <v>169</v>
      </c>
      <c r="L495" t="s">
        <v>69</v>
      </c>
      <c r="M495" s="62" t="s">
        <v>170</v>
      </c>
      <c r="N495" t="s">
        <v>71</v>
      </c>
      <c r="O495" t="str">
        <f>IFERROR(IF(Tbla_actores[[#This Row],[codigo_proyecto]]="","",_xlfn.XLOOKUP(Tbla_actores[[#This Row],[codigo_proyecto]],Proyectos!$A:$A,Proyectos!$C:$C)),"")</f>
        <v>NULOS</v>
      </c>
    </row>
    <row r="496" spans="1:15" ht="14.25" customHeight="1">
      <c r="A496" s="9">
        <v>1127512250</v>
      </c>
      <c r="B496" s="63" t="s">
        <v>61</v>
      </c>
      <c r="C496" s="62" t="s">
        <v>1431</v>
      </c>
      <c r="D496" t="s">
        <v>63</v>
      </c>
      <c r="E496" t="s">
        <v>1556</v>
      </c>
      <c r="F496" s="61">
        <v>35230</v>
      </c>
      <c r="G496" s="15" t="s">
        <v>73</v>
      </c>
      <c r="H496" t="s">
        <v>1557</v>
      </c>
      <c r="I496" s="62" t="s">
        <v>1558</v>
      </c>
      <c r="K496" s="36" t="s">
        <v>169</v>
      </c>
      <c r="L496" t="s">
        <v>69</v>
      </c>
      <c r="M496" s="62" t="s">
        <v>170</v>
      </c>
      <c r="N496" t="s">
        <v>71</v>
      </c>
      <c r="O496" t="str">
        <f>IFERROR(IF(Tbla_actores[[#This Row],[codigo_proyecto]]="","",_xlfn.XLOOKUP(Tbla_actores[[#This Row],[codigo_proyecto]],Proyectos!$A:$A,Proyectos!$C:$C)),"")</f>
        <v>NULOS</v>
      </c>
    </row>
    <row r="497" spans="1:15" ht="14.25" customHeight="1">
      <c r="A497" s="10">
        <v>1013673528</v>
      </c>
      <c r="B497" s="64" t="s">
        <v>61</v>
      </c>
      <c r="C497" s="62" t="s">
        <v>1431</v>
      </c>
      <c r="D497" t="s">
        <v>63</v>
      </c>
      <c r="E497" t="s">
        <v>1559</v>
      </c>
      <c r="F497" s="61">
        <v>35544</v>
      </c>
      <c r="G497" s="15" t="s">
        <v>65</v>
      </c>
      <c r="H497" t="s">
        <v>1560</v>
      </c>
      <c r="I497" s="62" t="s">
        <v>1561</v>
      </c>
      <c r="K497" s="36" t="s">
        <v>169</v>
      </c>
      <c r="L497" t="s">
        <v>69</v>
      </c>
      <c r="M497" s="62" t="s">
        <v>70</v>
      </c>
      <c r="N497" t="s">
        <v>71</v>
      </c>
      <c r="O497" t="str">
        <f>IFERROR(IF(Tbla_actores[[#This Row],[codigo_proyecto]]="","",_xlfn.XLOOKUP(Tbla_actores[[#This Row],[codigo_proyecto]],Proyectos!$A:$A,Proyectos!$C:$C)),"")</f>
        <v>NULOS</v>
      </c>
    </row>
    <row r="498" spans="1:15" ht="14.25" customHeight="1">
      <c r="A498" s="9">
        <v>1018495151</v>
      </c>
      <c r="B498" s="63" t="s">
        <v>61</v>
      </c>
      <c r="C498" s="62" t="s">
        <v>1431</v>
      </c>
      <c r="D498" t="s">
        <v>63</v>
      </c>
      <c r="E498" t="s">
        <v>1562</v>
      </c>
      <c r="F498" s="61">
        <v>35400</v>
      </c>
      <c r="G498" s="15" t="s">
        <v>65</v>
      </c>
      <c r="H498" t="s">
        <v>1563</v>
      </c>
      <c r="I498" s="62" t="s">
        <v>1564</v>
      </c>
      <c r="K498" s="36" t="s">
        <v>169</v>
      </c>
      <c r="L498" t="s">
        <v>69</v>
      </c>
      <c r="M498" s="62" t="s">
        <v>170</v>
      </c>
      <c r="N498" t="s">
        <v>71</v>
      </c>
      <c r="O498" t="str">
        <f>IFERROR(IF(Tbla_actores[[#This Row],[codigo_proyecto]]="","",_xlfn.XLOOKUP(Tbla_actores[[#This Row],[codigo_proyecto]],Proyectos!$A:$A,Proyectos!$C:$C)),"")</f>
        <v>NULOS</v>
      </c>
    </row>
    <row r="499" spans="1:15" ht="14.25" customHeight="1">
      <c r="A499" s="10">
        <v>1020806964</v>
      </c>
      <c r="B499" s="64" t="s">
        <v>61</v>
      </c>
      <c r="C499" s="62" t="s">
        <v>1431</v>
      </c>
      <c r="D499" t="s">
        <v>63</v>
      </c>
      <c r="E499" t="s">
        <v>1565</v>
      </c>
      <c r="F499" s="61">
        <v>34911</v>
      </c>
      <c r="G499" s="15" t="s">
        <v>73</v>
      </c>
      <c r="H499" t="s">
        <v>1566</v>
      </c>
      <c r="I499" s="62" t="s">
        <v>1567</v>
      </c>
      <c r="K499" s="36" t="s">
        <v>169</v>
      </c>
      <c r="L499" t="s">
        <v>69</v>
      </c>
      <c r="M499" s="62" t="s">
        <v>170</v>
      </c>
      <c r="N499" t="s">
        <v>71</v>
      </c>
      <c r="O499" t="str">
        <f>IFERROR(IF(Tbla_actores[[#This Row],[codigo_proyecto]]="","",_xlfn.XLOOKUP(Tbla_actores[[#This Row],[codigo_proyecto]],Proyectos!$A:$A,Proyectos!$C:$C)),"")</f>
        <v>NULOS</v>
      </c>
    </row>
    <row r="500" spans="1:15" ht="14.25" customHeight="1">
      <c r="A500" s="9">
        <v>1020830710</v>
      </c>
      <c r="B500" s="63" t="s">
        <v>61</v>
      </c>
      <c r="C500" s="62" t="s">
        <v>1431</v>
      </c>
      <c r="D500" t="s">
        <v>63</v>
      </c>
      <c r="E500" t="s">
        <v>1568</v>
      </c>
      <c r="F500" s="61">
        <v>35832</v>
      </c>
      <c r="G500" s="15" t="s">
        <v>65</v>
      </c>
      <c r="H500" t="s">
        <v>1569</v>
      </c>
      <c r="I500" s="62" t="s">
        <v>1570</v>
      </c>
      <c r="K500" s="36" t="s">
        <v>169</v>
      </c>
      <c r="L500" t="s">
        <v>69</v>
      </c>
      <c r="M500" s="62" t="s">
        <v>170</v>
      </c>
      <c r="N500" t="s">
        <v>71</v>
      </c>
      <c r="O500" t="str">
        <f>IFERROR(IF(Tbla_actores[[#This Row],[codigo_proyecto]]="","",_xlfn.XLOOKUP(Tbla_actores[[#This Row],[codigo_proyecto]],Proyectos!$A:$A,Proyectos!$C:$C)),"")</f>
        <v>NULOS</v>
      </c>
    </row>
    <row r="501" spans="1:15" ht="14.25" customHeight="1">
      <c r="A501" s="10">
        <v>1020825908</v>
      </c>
      <c r="B501" s="64" t="s">
        <v>61</v>
      </c>
      <c r="C501" s="62" t="s">
        <v>1431</v>
      </c>
      <c r="D501" t="s">
        <v>63</v>
      </c>
      <c r="E501" t="s">
        <v>1571</v>
      </c>
      <c r="F501" s="61">
        <v>35426</v>
      </c>
      <c r="G501" s="15" t="s">
        <v>65</v>
      </c>
      <c r="H501" t="s">
        <v>1572</v>
      </c>
      <c r="I501" s="62" t="s">
        <v>1573</v>
      </c>
      <c r="K501" s="36" t="s">
        <v>169</v>
      </c>
      <c r="L501" t="s">
        <v>69</v>
      </c>
      <c r="M501" s="62" t="s">
        <v>170</v>
      </c>
      <c r="N501" t="s">
        <v>71</v>
      </c>
      <c r="O501" t="str">
        <f>IFERROR(IF(Tbla_actores[[#This Row],[codigo_proyecto]]="","",_xlfn.XLOOKUP(Tbla_actores[[#This Row],[codigo_proyecto]],Proyectos!$A:$A,Proyectos!$C:$C)),"")</f>
        <v>NULOS</v>
      </c>
    </row>
    <row r="502" spans="1:15" ht="14.25" customHeight="1">
      <c r="A502" s="9">
        <v>1032501435</v>
      </c>
      <c r="B502" s="63" t="s">
        <v>61</v>
      </c>
      <c r="C502" s="62" t="s">
        <v>1431</v>
      </c>
      <c r="D502" t="s">
        <v>63</v>
      </c>
      <c r="E502" t="s">
        <v>1574</v>
      </c>
      <c r="F502" s="61">
        <v>35898</v>
      </c>
      <c r="G502" s="15" t="s">
        <v>65</v>
      </c>
      <c r="H502" t="s">
        <v>1575</v>
      </c>
      <c r="I502" s="62" t="s">
        <v>1576</v>
      </c>
      <c r="K502" s="36" t="s">
        <v>169</v>
      </c>
      <c r="L502" t="s">
        <v>69</v>
      </c>
      <c r="M502" s="62" t="s">
        <v>170</v>
      </c>
      <c r="N502" t="s">
        <v>71</v>
      </c>
      <c r="O502" t="str">
        <f>IFERROR(IF(Tbla_actores[[#This Row],[codigo_proyecto]]="","",_xlfn.XLOOKUP(Tbla_actores[[#This Row],[codigo_proyecto]],Proyectos!$A:$A,Proyectos!$C:$C)),"")</f>
        <v>NULOS</v>
      </c>
    </row>
    <row r="503" spans="1:15" ht="14.25" customHeight="1">
      <c r="A503" s="10">
        <v>1136887626</v>
      </c>
      <c r="B503" s="64" t="s">
        <v>61</v>
      </c>
      <c r="C503" s="62" t="s">
        <v>1431</v>
      </c>
      <c r="D503" t="s">
        <v>63</v>
      </c>
      <c r="E503" t="s">
        <v>1577</v>
      </c>
      <c r="F503" s="61">
        <v>35130</v>
      </c>
      <c r="G503" s="15" t="s">
        <v>65</v>
      </c>
      <c r="H503" t="s">
        <v>1578</v>
      </c>
      <c r="I503" s="62" t="s">
        <v>1579</v>
      </c>
      <c r="K503" s="36" t="s">
        <v>169</v>
      </c>
      <c r="L503" t="s">
        <v>69</v>
      </c>
      <c r="M503" s="62" t="s">
        <v>170</v>
      </c>
      <c r="N503" t="s">
        <v>71</v>
      </c>
      <c r="O503" t="str">
        <f>IFERROR(IF(Tbla_actores[[#This Row],[codigo_proyecto]]="","",_xlfn.XLOOKUP(Tbla_actores[[#This Row],[codigo_proyecto]],Proyectos!$A:$A,Proyectos!$C:$C)),"")</f>
        <v>NULOS</v>
      </c>
    </row>
    <row r="504" spans="1:15" ht="14.25" customHeight="1">
      <c r="A504" s="9">
        <v>1018507732</v>
      </c>
      <c r="B504" s="63" t="s">
        <v>61</v>
      </c>
      <c r="C504" s="62" t="s">
        <v>1431</v>
      </c>
      <c r="D504" t="s">
        <v>63</v>
      </c>
      <c r="E504" t="s">
        <v>1580</v>
      </c>
      <c r="F504" s="61">
        <v>36149</v>
      </c>
      <c r="G504" s="15" t="s">
        <v>65</v>
      </c>
      <c r="H504" t="s">
        <v>1581</v>
      </c>
      <c r="I504" s="62" t="s">
        <v>1582</v>
      </c>
      <c r="K504" s="36" t="s">
        <v>169</v>
      </c>
      <c r="L504" t="s">
        <v>69</v>
      </c>
      <c r="M504" s="62" t="s">
        <v>170</v>
      </c>
      <c r="N504" t="s">
        <v>71</v>
      </c>
      <c r="O504" t="str">
        <f>IFERROR(IF(Tbla_actores[[#This Row],[codigo_proyecto]]="","",_xlfn.XLOOKUP(Tbla_actores[[#This Row],[codigo_proyecto]],Proyectos!$A:$A,Proyectos!$C:$C)),"")</f>
        <v>NULOS</v>
      </c>
    </row>
    <row r="505" spans="1:15" ht="14.25" customHeight="1">
      <c r="A505" s="10">
        <v>1020841310</v>
      </c>
      <c r="B505" s="64" t="s">
        <v>61</v>
      </c>
      <c r="C505" s="62" t="s">
        <v>1431</v>
      </c>
      <c r="D505" t="s">
        <v>63</v>
      </c>
      <c r="E505" t="s">
        <v>1583</v>
      </c>
      <c r="F505" s="61">
        <v>36309</v>
      </c>
      <c r="G505" s="15" t="s">
        <v>65</v>
      </c>
      <c r="H505" t="s">
        <v>1584</v>
      </c>
      <c r="I505" s="62" t="s">
        <v>1585</v>
      </c>
      <c r="K505" s="36" t="s">
        <v>169</v>
      </c>
      <c r="L505" t="s">
        <v>69</v>
      </c>
      <c r="M505" s="62" t="s">
        <v>170</v>
      </c>
      <c r="N505" t="s">
        <v>71</v>
      </c>
      <c r="O505" t="str">
        <f>IFERROR(IF(Tbla_actores[[#This Row],[codigo_proyecto]]="","",_xlfn.XLOOKUP(Tbla_actores[[#This Row],[codigo_proyecto]],Proyectos!$A:$A,Proyectos!$C:$C)),"")</f>
        <v>NULOS</v>
      </c>
    </row>
    <row r="506" spans="1:15" ht="14.25" customHeight="1">
      <c r="A506" s="9">
        <v>1020832719</v>
      </c>
      <c r="B506" s="63" t="s">
        <v>61</v>
      </c>
      <c r="C506" s="62" t="s">
        <v>1431</v>
      </c>
      <c r="D506" t="s">
        <v>63</v>
      </c>
      <c r="E506" t="s">
        <v>1586</v>
      </c>
      <c r="F506" s="61">
        <v>35931</v>
      </c>
      <c r="G506" s="15" t="s">
        <v>65</v>
      </c>
      <c r="H506" t="s">
        <v>1587</v>
      </c>
      <c r="I506" s="62" t="s">
        <v>1588</v>
      </c>
      <c r="K506" s="36" t="s">
        <v>169</v>
      </c>
      <c r="L506" t="s">
        <v>69</v>
      </c>
      <c r="M506" s="62" t="s">
        <v>170</v>
      </c>
      <c r="N506" t="s">
        <v>71</v>
      </c>
      <c r="O506" t="str">
        <f>IFERROR(IF(Tbla_actores[[#This Row],[codigo_proyecto]]="","",_xlfn.XLOOKUP(Tbla_actores[[#This Row],[codigo_proyecto]],Proyectos!$A:$A,Proyectos!$C:$C)),"")</f>
        <v>NULOS</v>
      </c>
    </row>
    <row r="507" spans="1:15" ht="14.25" customHeight="1">
      <c r="A507" s="10">
        <v>1032497915</v>
      </c>
      <c r="B507" s="64" t="s">
        <v>61</v>
      </c>
      <c r="C507" s="62" t="s">
        <v>1431</v>
      </c>
      <c r="D507" t="s">
        <v>63</v>
      </c>
      <c r="E507" t="s">
        <v>1589</v>
      </c>
      <c r="F507" s="61">
        <v>35937</v>
      </c>
      <c r="G507" s="15" t="s">
        <v>73</v>
      </c>
      <c r="H507" t="s">
        <v>1590</v>
      </c>
      <c r="I507" s="62" t="s">
        <v>1591</v>
      </c>
      <c r="K507" s="36" t="s">
        <v>169</v>
      </c>
      <c r="L507" t="s">
        <v>69</v>
      </c>
      <c r="M507" s="62" t="s">
        <v>170</v>
      </c>
      <c r="N507" t="s">
        <v>71</v>
      </c>
      <c r="O507" t="str">
        <f>IFERROR(IF(Tbla_actores[[#This Row],[codigo_proyecto]]="","",_xlfn.XLOOKUP(Tbla_actores[[#This Row],[codigo_proyecto]],Proyectos!$A:$A,Proyectos!$C:$C)),"")</f>
        <v>NULOS</v>
      </c>
    </row>
    <row r="508" spans="1:15" ht="14.25" customHeight="1">
      <c r="A508" s="9">
        <v>1019140720</v>
      </c>
      <c r="B508" s="63" t="s">
        <v>61</v>
      </c>
      <c r="C508" s="62" t="s">
        <v>1431</v>
      </c>
      <c r="D508" t="s">
        <v>63</v>
      </c>
      <c r="E508" t="s">
        <v>1592</v>
      </c>
      <c r="F508" s="61">
        <v>35958</v>
      </c>
      <c r="G508" s="15" t="s">
        <v>65</v>
      </c>
      <c r="H508" t="s">
        <v>1593</v>
      </c>
      <c r="I508" s="62" t="s">
        <v>1594</v>
      </c>
      <c r="K508" s="36" t="s">
        <v>169</v>
      </c>
      <c r="L508" t="s">
        <v>69</v>
      </c>
      <c r="M508" s="62" t="s">
        <v>170</v>
      </c>
      <c r="N508" t="s">
        <v>71</v>
      </c>
      <c r="O508" t="str">
        <f>IFERROR(IF(Tbla_actores[[#This Row],[codigo_proyecto]]="","",_xlfn.XLOOKUP(Tbla_actores[[#This Row],[codigo_proyecto]],Proyectos!$A:$A,Proyectos!$C:$C)),"")</f>
        <v>NULOS</v>
      </c>
    </row>
    <row r="509" spans="1:15" ht="14.25" customHeight="1">
      <c r="A509" s="10">
        <v>1020829954</v>
      </c>
      <c r="B509" s="64" t="s">
        <v>61</v>
      </c>
      <c r="C509" s="62" t="s">
        <v>1431</v>
      </c>
      <c r="D509" t="s">
        <v>63</v>
      </c>
      <c r="E509" t="s">
        <v>1595</v>
      </c>
      <c r="F509" s="61">
        <v>35812</v>
      </c>
      <c r="G509" s="15" t="s">
        <v>65</v>
      </c>
      <c r="H509" t="s">
        <v>1596</v>
      </c>
      <c r="I509" s="62" t="s">
        <v>1597</v>
      </c>
      <c r="K509" s="36" t="s">
        <v>169</v>
      </c>
      <c r="L509" t="s">
        <v>69</v>
      </c>
      <c r="M509" s="62" t="s">
        <v>170</v>
      </c>
      <c r="N509" t="s">
        <v>71</v>
      </c>
      <c r="O509" t="str">
        <f>IFERROR(IF(Tbla_actores[[#This Row],[codigo_proyecto]]="","",_xlfn.XLOOKUP(Tbla_actores[[#This Row],[codigo_proyecto]],Proyectos!$A:$A,Proyectos!$C:$C)),"")</f>
        <v>NULOS</v>
      </c>
    </row>
    <row r="510" spans="1:15" ht="14.25" customHeight="1">
      <c r="A510" s="9">
        <v>1018498221</v>
      </c>
      <c r="B510" s="63" t="s">
        <v>61</v>
      </c>
      <c r="C510" s="62" t="s">
        <v>1431</v>
      </c>
      <c r="D510" t="s">
        <v>63</v>
      </c>
      <c r="E510" t="s">
        <v>1598</v>
      </c>
      <c r="F510" s="61">
        <v>35720</v>
      </c>
      <c r="G510" s="15" t="s">
        <v>73</v>
      </c>
      <c r="H510" t="s">
        <v>1599</v>
      </c>
      <c r="I510" s="62" t="s">
        <v>1600</v>
      </c>
      <c r="K510" s="36" t="s">
        <v>169</v>
      </c>
      <c r="L510" t="s">
        <v>69</v>
      </c>
      <c r="M510" s="62" t="s">
        <v>170</v>
      </c>
      <c r="N510" t="s">
        <v>71</v>
      </c>
      <c r="O510" t="str">
        <f>IFERROR(IF(Tbla_actores[[#This Row],[codigo_proyecto]]="","",_xlfn.XLOOKUP(Tbla_actores[[#This Row],[codigo_proyecto]],Proyectos!$A:$A,Proyectos!$C:$C)),"")</f>
        <v>NULOS</v>
      </c>
    </row>
    <row r="511" spans="1:15" ht="14.25" customHeight="1">
      <c r="A511" s="10">
        <v>1020811120</v>
      </c>
      <c r="B511" s="64" t="s">
        <v>61</v>
      </c>
      <c r="C511" s="62" t="s">
        <v>1431</v>
      </c>
      <c r="D511" t="s">
        <v>63</v>
      </c>
      <c r="E511" t="s">
        <v>1601</v>
      </c>
      <c r="F511" s="61">
        <v>35045</v>
      </c>
      <c r="G511" s="15" t="s">
        <v>73</v>
      </c>
      <c r="H511" t="s">
        <v>1602</v>
      </c>
      <c r="I511" s="62" t="s">
        <v>1603</v>
      </c>
      <c r="K511" s="36" t="s">
        <v>169</v>
      </c>
      <c r="L511" t="s">
        <v>69</v>
      </c>
      <c r="M511" s="62" t="s">
        <v>170</v>
      </c>
      <c r="N511" t="s">
        <v>71</v>
      </c>
      <c r="O511" t="str">
        <f>IFERROR(IF(Tbla_actores[[#This Row],[codigo_proyecto]]="","",_xlfn.XLOOKUP(Tbla_actores[[#This Row],[codigo_proyecto]],Proyectos!$A:$A,Proyectos!$C:$C)),"")</f>
        <v>NULOS</v>
      </c>
    </row>
    <row r="512" spans="1:15" ht="14.25" customHeight="1">
      <c r="A512" s="9">
        <v>1075318664</v>
      </c>
      <c r="B512" s="63" t="s">
        <v>61</v>
      </c>
      <c r="C512" s="62" t="s">
        <v>1431</v>
      </c>
      <c r="D512" t="s">
        <v>63</v>
      </c>
      <c r="E512" t="s">
        <v>1604</v>
      </c>
      <c r="F512" s="61">
        <v>36290</v>
      </c>
      <c r="G512" s="15" t="s">
        <v>65</v>
      </c>
      <c r="H512" t="s">
        <v>1605</v>
      </c>
      <c r="I512" s="62" t="s">
        <v>1606</v>
      </c>
      <c r="K512" s="36" t="s">
        <v>169</v>
      </c>
      <c r="L512" t="s">
        <v>69</v>
      </c>
      <c r="M512" s="62" t="s">
        <v>170</v>
      </c>
      <c r="N512" t="s">
        <v>71</v>
      </c>
      <c r="O512" t="str">
        <f>IFERROR(IF(Tbla_actores[[#This Row],[codigo_proyecto]]="","",_xlfn.XLOOKUP(Tbla_actores[[#This Row],[codigo_proyecto]],Proyectos!$A:$A,Proyectos!$C:$C)),"")</f>
        <v>NULOS</v>
      </c>
    </row>
    <row r="513" spans="1:15" ht="14.25" customHeight="1">
      <c r="A513" s="10">
        <v>1136889137</v>
      </c>
      <c r="B513" s="64" t="s">
        <v>61</v>
      </c>
      <c r="C513" s="62" t="s">
        <v>1431</v>
      </c>
      <c r="D513" t="s">
        <v>63</v>
      </c>
      <c r="E513" t="s">
        <v>1607</v>
      </c>
      <c r="F513" s="61">
        <v>36014</v>
      </c>
      <c r="G513" s="15" t="s">
        <v>65</v>
      </c>
      <c r="H513" t="s">
        <v>1608</v>
      </c>
      <c r="I513" s="62" t="s">
        <v>1609</v>
      </c>
      <c r="K513" s="36" t="s">
        <v>169</v>
      </c>
      <c r="L513" t="s">
        <v>69</v>
      </c>
      <c r="M513" s="62" t="s">
        <v>170</v>
      </c>
      <c r="N513" t="s">
        <v>71</v>
      </c>
      <c r="O513" t="str">
        <f>IFERROR(IF(Tbla_actores[[#This Row],[codigo_proyecto]]="","",_xlfn.XLOOKUP(Tbla_actores[[#This Row],[codigo_proyecto]],Proyectos!$A:$A,Proyectos!$C:$C)),"")</f>
        <v>NULOS</v>
      </c>
    </row>
    <row r="514" spans="1:15" ht="14.25" customHeight="1">
      <c r="A514" s="9">
        <v>1016108871</v>
      </c>
      <c r="B514" s="63" t="s">
        <v>61</v>
      </c>
      <c r="C514" s="62" t="s">
        <v>1431</v>
      </c>
      <c r="D514" t="s">
        <v>63</v>
      </c>
      <c r="E514" t="s">
        <v>1610</v>
      </c>
      <c r="F514" s="61">
        <v>36234</v>
      </c>
      <c r="G514" s="15" t="s">
        <v>73</v>
      </c>
      <c r="H514" t="s">
        <v>1611</v>
      </c>
      <c r="I514" s="62" t="s">
        <v>1612</v>
      </c>
      <c r="K514" s="36" t="s">
        <v>169</v>
      </c>
      <c r="L514" t="s">
        <v>69</v>
      </c>
      <c r="M514" s="62" t="s">
        <v>170</v>
      </c>
      <c r="N514" t="s">
        <v>71</v>
      </c>
      <c r="O514" t="str">
        <f>IFERROR(IF(Tbla_actores[[#This Row],[codigo_proyecto]]="","",_xlfn.XLOOKUP(Tbla_actores[[#This Row],[codigo_proyecto]],Proyectos!$A:$A,Proyectos!$C:$C)),"")</f>
        <v>NULOS</v>
      </c>
    </row>
    <row r="515" spans="1:15" ht="14.25" customHeight="1">
      <c r="A515" s="10">
        <v>1026305216</v>
      </c>
      <c r="B515" s="64" t="s">
        <v>61</v>
      </c>
      <c r="C515" s="62" t="s">
        <v>1431</v>
      </c>
      <c r="D515" t="s">
        <v>63</v>
      </c>
      <c r="E515" t="s">
        <v>1613</v>
      </c>
      <c r="F515" s="61">
        <v>36249</v>
      </c>
      <c r="G515" s="15" t="s">
        <v>73</v>
      </c>
      <c r="H515" t="s">
        <v>1614</v>
      </c>
      <c r="I515" s="62" t="s">
        <v>1615</v>
      </c>
      <c r="K515" s="36" t="s">
        <v>169</v>
      </c>
      <c r="L515" t="s">
        <v>69</v>
      </c>
      <c r="M515" s="62" t="s">
        <v>170</v>
      </c>
      <c r="N515" t="s">
        <v>71</v>
      </c>
      <c r="O515" t="str">
        <f>IFERROR(IF(Tbla_actores[[#This Row],[codigo_proyecto]]="","",_xlfn.XLOOKUP(Tbla_actores[[#This Row],[codigo_proyecto]],Proyectos!$A:$A,Proyectos!$C:$C)),"")</f>
        <v>NULOS</v>
      </c>
    </row>
    <row r="516" spans="1:15" ht="14.25" customHeight="1">
      <c r="A516" s="9">
        <v>1032505891</v>
      </c>
      <c r="B516" s="63" t="s">
        <v>61</v>
      </c>
      <c r="C516" s="62" t="s">
        <v>1431</v>
      </c>
      <c r="D516" t="s">
        <v>63</v>
      </c>
      <c r="E516" t="s">
        <v>1616</v>
      </c>
      <c r="F516" s="61">
        <v>36358</v>
      </c>
      <c r="G516" s="15" t="s">
        <v>73</v>
      </c>
      <c r="H516" t="s">
        <v>1617</v>
      </c>
      <c r="I516" s="62" t="s">
        <v>1618</v>
      </c>
      <c r="K516" s="36" t="s">
        <v>169</v>
      </c>
      <c r="L516" t="s">
        <v>69</v>
      </c>
      <c r="M516" s="62" t="s">
        <v>170</v>
      </c>
      <c r="N516" t="s">
        <v>71</v>
      </c>
      <c r="O516" t="str">
        <f>IFERROR(IF(Tbla_actores[[#This Row],[codigo_proyecto]]="","",_xlfn.XLOOKUP(Tbla_actores[[#This Row],[codigo_proyecto]],Proyectos!$A:$A,Proyectos!$C:$C)),"")</f>
        <v>NULOS</v>
      </c>
    </row>
    <row r="517" spans="1:15" ht="14.25" customHeight="1">
      <c r="A517" s="10">
        <v>1020809806</v>
      </c>
      <c r="B517" s="64" t="s">
        <v>61</v>
      </c>
      <c r="C517" s="62" t="s">
        <v>1431</v>
      </c>
      <c r="D517" t="s">
        <v>63</v>
      </c>
      <c r="E517" t="s">
        <v>1619</v>
      </c>
      <c r="F517" s="61">
        <v>35000</v>
      </c>
      <c r="G517" s="15" t="s">
        <v>65</v>
      </c>
      <c r="H517" t="s">
        <v>1620</v>
      </c>
      <c r="I517" s="62" t="s">
        <v>1621</v>
      </c>
      <c r="K517" s="36" t="s">
        <v>169</v>
      </c>
      <c r="L517" t="s">
        <v>69</v>
      </c>
      <c r="M517" s="62" t="s">
        <v>170</v>
      </c>
      <c r="N517" t="s">
        <v>71</v>
      </c>
      <c r="O517" t="str">
        <f>IFERROR(IF(Tbla_actores[[#This Row],[codigo_proyecto]]="","",_xlfn.XLOOKUP(Tbla_actores[[#This Row],[codigo_proyecto]],Proyectos!$A:$A,Proyectos!$C:$C)),"")</f>
        <v>NULOS</v>
      </c>
    </row>
    <row r="518" spans="1:15" ht="14.25" customHeight="1">
      <c r="A518" s="9">
        <v>1020809445</v>
      </c>
      <c r="B518" s="63" t="s">
        <v>61</v>
      </c>
      <c r="C518" s="62" t="s">
        <v>1431</v>
      </c>
      <c r="D518" t="s">
        <v>63</v>
      </c>
      <c r="E518" t="s">
        <v>1622</v>
      </c>
      <c r="F518" s="61">
        <v>34988</v>
      </c>
      <c r="G518" s="15" t="s">
        <v>65</v>
      </c>
      <c r="H518" t="s">
        <v>1623</v>
      </c>
      <c r="I518" s="62" t="s">
        <v>1624</v>
      </c>
      <c r="K518" s="36" t="s">
        <v>169</v>
      </c>
      <c r="L518" t="s">
        <v>69</v>
      </c>
      <c r="M518" s="62" t="s">
        <v>170</v>
      </c>
      <c r="N518" t="s">
        <v>71</v>
      </c>
      <c r="O518" t="str">
        <f>IFERROR(IF(Tbla_actores[[#This Row],[codigo_proyecto]]="","",_xlfn.XLOOKUP(Tbla_actores[[#This Row],[codigo_proyecto]],Proyectos!$A:$A,Proyectos!$C:$C)),"")</f>
        <v>NULOS</v>
      </c>
    </row>
    <row r="519" spans="1:15" ht="14.25" customHeight="1">
      <c r="A519" s="10">
        <v>1018499482</v>
      </c>
      <c r="B519" s="64" t="s">
        <v>61</v>
      </c>
      <c r="C519" s="62" t="s">
        <v>1431</v>
      </c>
      <c r="D519" t="s">
        <v>63</v>
      </c>
      <c r="E519" t="s">
        <v>1625</v>
      </c>
      <c r="F519" s="61">
        <v>35767</v>
      </c>
      <c r="G519" s="15" t="s">
        <v>65</v>
      </c>
      <c r="H519" t="s">
        <v>1626</v>
      </c>
      <c r="I519" s="62" t="s">
        <v>1627</v>
      </c>
      <c r="K519" s="36" t="s">
        <v>169</v>
      </c>
      <c r="L519" t="s">
        <v>69</v>
      </c>
      <c r="M519" s="62" t="s">
        <v>170</v>
      </c>
      <c r="N519" t="s">
        <v>71</v>
      </c>
      <c r="O519" t="str">
        <f>IFERROR(IF(Tbla_actores[[#This Row],[codigo_proyecto]]="","",_xlfn.XLOOKUP(Tbla_actores[[#This Row],[codigo_proyecto]],Proyectos!$A:$A,Proyectos!$C:$C)),"")</f>
        <v>NULOS</v>
      </c>
    </row>
    <row r="520" spans="1:15" ht="14.25" customHeight="1">
      <c r="A520" s="9">
        <v>1033810485</v>
      </c>
      <c r="B520" s="63" t="s">
        <v>61</v>
      </c>
      <c r="C520" s="62" t="s">
        <v>1431</v>
      </c>
      <c r="D520" t="s">
        <v>63</v>
      </c>
      <c r="E520" t="s">
        <v>1628</v>
      </c>
      <c r="F520" s="61">
        <v>36069</v>
      </c>
      <c r="G520" s="15" t="s">
        <v>65</v>
      </c>
      <c r="H520" t="s">
        <v>1629</v>
      </c>
      <c r="I520" s="62" t="s">
        <v>1630</v>
      </c>
      <c r="K520" s="36" t="s">
        <v>169</v>
      </c>
      <c r="L520" t="s">
        <v>69</v>
      </c>
      <c r="M520" s="62" t="s">
        <v>170</v>
      </c>
      <c r="N520" t="s">
        <v>71</v>
      </c>
      <c r="O520" t="str">
        <f>IFERROR(IF(Tbla_actores[[#This Row],[codigo_proyecto]]="","",_xlfn.XLOOKUP(Tbla_actores[[#This Row],[codigo_proyecto]],Proyectos!$A:$A,Proyectos!$C:$C)),"")</f>
        <v>NULOS</v>
      </c>
    </row>
    <row r="521" spans="1:15" ht="14.25" customHeight="1">
      <c r="A521" s="10">
        <v>1032498273</v>
      </c>
      <c r="B521" s="64" t="s">
        <v>61</v>
      </c>
      <c r="C521" s="62" t="s">
        <v>1431</v>
      </c>
      <c r="D521" t="s">
        <v>63</v>
      </c>
      <c r="E521" t="s">
        <v>1631</v>
      </c>
      <c r="F521" s="61">
        <v>35938</v>
      </c>
      <c r="G521" s="15" t="s">
        <v>73</v>
      </c>
      <c r="H521" t="s">
        <v>1632</v>
      </c>
      <c r="I521" s="62" t="s">
        <v>1633</v>
      </c>
      <c r="K521" s="36" t="s">
        <v>169</v>
      </c>
      <c r="L521" t="s">
        <v>69</v>
      </c>
      <c r="M521" s="62" t="s">
        <v>170</v>
      </c>
      <c r="N521" t="s">
        <v>71</v>
      </c>
      <c r="O521" t="str">
        <f>IFERROR(IF(Tbla_actores[[#This Row],[codigo_proyecto]]="","",_xlfn.XLOOKUP(Tbla_actores[[#This Row],[codigo_proyecto]],Proyectos!$A:$A,Proyectos!$C:$C)),"")</f>
        <v>NULOS</v>
      </c>
    </row>
    <row r="522" spans="1:15" ht="14.25" customHeight="1">
      <c r="A522" s="9">
        <v>1020791673</v>
      </c>
      <c r="B522" s="63" t="s">
        <v>61</v>
      </c>
      <c r="C522" s="62" t="s">
        <v>1431</v>
      </c>
      <c r="D522" t="s">
        <v>63</v>
      </c>
      <c r="E522" t="s">
        <v>1634</v>
      </c>
      <c r="F522" s="61">
        <v>34418</v>
      </c>
      <c r="G522" s="15" t="s">
        <v>73</v>
      </c>
      <c r="H522" t="s">
        <v>1635</v>
      </c>
      <c r="I522" s="62" t="s">
        <v>1636</v>
      </c>
      <c r="K522" s="36" t="s">
        <v>169</v>
      </c>
      <c r="L522" t="s">
        <v>69</v>
      </c>
      <c r="M522" s="62" t="s">
        <v>170</v>
      </c>
      <c r="N522" t="s">
        <v>71</v>
      </c>
      <c r="O522" t="str">
        <f>IFERROR(IF(Tbla_actores[[#This Row],[codigo_proyecto]]="","",_xlfn.XLOOKUP(Tbla_actores[[#This Row],[codigo_proyecto]],Proyectos!$A:$A,Proyectos!$C:$C)),"")</f>
        <v>NULOS</v>
      </c>
    </row>
    <row r="523" spans="1:15" ht="14.25" customHeight="1">
      <c r="A523" s="10">
        <v>1019127231</v>
      </c>
      <c r="B523" s="64" t="s">
        <v>61</v>
      </c>
      <c r="C523" s="62" t="s">
        <v>1431</v>
      </c>
      <c r="D523" t="s">
        <v>63</v>
      </c>
      <c r="E523" t="s">
        <v>1637</v>
      </c>
      <c r="F523" s="61">
        <v>35449</v>
      </c>
      <c r="G523" s="15" t="s">
        <v>65</v>
      </c>
      <c r="H523" t="s">
        <v>1638</v>
      </c>
      <c r="I523" s="62" t="s">
        <v>1639</v>
      </c>
      <c r="K523" s="36" t="s">
        <v>169</v>
      </c>
      <c r="L523" t="s">
        <v>69</v>
      </c>
      <c r="M523" s="62" t="s">
        <v>170</v>
      </c>
      <c r="N523" t="s">
        <v>71</v>
      </c>
      <c r="O523" t="str">
        <f>IFERROR(IF(Tbla_actores[[#This Row],[codigo_proyecto]]="","",_xlfn.XLOOKUP(Tbla_actores[[#This Row],[codigo_proyecto]],Proyectos!$A:$A,Proyectos!$C:$C)),"")</f>
        <v>NULOS</v>
      </c>
    </row>
    <row r="524" spans="1:15" ht="14.25" customHeight="1">
      <c r="A524" s="9">
        <v>1015472564</v>
      </c>
      <c r="B524" s="63" t="s">
        <v>61</v>
      </c>
      <c r="C524" s="62" t="s">
        <v>1431</v>
      </c>
      <c r="D524" t="s">
        <v>63</v>
      </c>
      <c r="E524" t="s">
        <v>1640</v>
      </c>
      <c r="F524" s="61">
        <v>35775</v>
      </c>
      <c r="G524" s="15" t="s">
        <v>73</v>
      </c>
      <c r="H524" t="s">
        <v>1641</v>
      </c>
      <c r="I524" s="62" t="s">
        <v>1642</v>
      </c>
      <c r="K524" s="36" t="s">
        <v>169</v>
      </c>
      <c r="L524" t="s">
        <v>69</v>
      </c>
      <c r="M524" s="62" t="s">
        <v>170</v>
      </c>
      <c r="N524" t="s">
        <v>71</v>
      </c>
      <c r="O524" t="str">
        <f>IFERROR(IF(Tbla_actores[[#This Row],[codigo_proyecto]]="","",_xlfn.XLOOKUP(Tbla_actores[[#This Row],[codigo_proyecto]],Proyectos!$A:$A,Proyectos!$C:$C)),"")</f>
        <v>NULOS</v>
      </c>
    </row>
    <row r="525" spans="1:15" ht="14.25" customHeight="1">
      <c r="A525" s="10">
        <v>1018496946</v>
      </c>
      <c r="B525" s="64" t="s">
        <v>61</v>
      </c>
      <c r="C525" s="62" t="s">
        <v>1431</v>
      </c>
      <c r="D525" t="s">
        <v>63</v>
      </c>
      <c r="E525" t="s">
        <v>1643</v>
      </c>
      <c r="F525" s="61">
        <v>35681</v>
      </c>
      <c r="G525" s="15" t="s">
        <v>73</v>
      </c>
      <c r="H525" t="s">
        <v>1644</v>
      </c>
      <c r="I525" s="62" t="s">
        <v>1645</v>
      </c>
      <c r="K525" s="36" t="s">
        <v>169</v>
      </c>
      <c r="L525" t="s">
        <v>69</v>
      </c>
      <c r="M525" s="62" t="s">
        <v>170</v>
      </c>
      <c r="N525" t="s">
        <v>71</v>
      </c>
      <c r="O525" t="str">
        <f>IFERROR(IF(Tbla_actores[[#This Row],[codigo_proyecto]]="","",_xlfn.XLOOKUP(Tbla_actores[[#This Row],[codigo_proyecto]],Proyectos!$A:$A,Proyectos!$C:$C)),"")</f>
        <v>NULOS</v>
      </c>
    </row>
    <row r="526" spans="1:15" ht="14.25" customHeight="1">
      <c r="A526" s="9">
        <v>1015467986</v>
      </c>
      <c r="B526" s="63" t="s">
        <v>61</v>
      </c>
      <c r="C526" s="62" t="s">
        <v>1431</v>
      </c>
      <c r="D526" t="s">
        <v>63</v>
      </c>
      <c r="E526" t="s">
        <v>1646</v>
      </c>
      <c r="F526" s="61">
        <v>35518</v>
      </c>
      <c r="G526" s="15" t="s">
        <v>73</v>
      </c>
      <c r="H526" t="s">
        <v>1647</v>
      </c>
      <c r="I526" s="62" t="s">
        <v>1648</v>
      </c>
      <c r="K526" s="36" t="s">
        <v>169</v>
      </c>
      <c r="L526" t="s">
        <v>69</v>
      </c>
      <c r="M526" s="62" t="s">
        <v>170</v>
      </c>
      <c r="N526" t="s">
        <v>71</v>
      </c>
      <c r="O526" t="str">
        <f>IFERROR(IF(Tbla_actores[[#This Row],[codigo_proyecto]]="","",_xlfn.XLOOKUP(Tbla_actores[[#This Row],[codigo_proyecto]],Proyectos!$A:$A,Proyectos!$C:$C)),"")</f>
        <v>NULOS</v>
      </c>
    </row>
    <row r="527" spans="1:15" ht="14.25" customHeight="1">
      <c r="A527" s="10">
        <v>1018478388</v>
      </c>
      <c r="B527" s="64" t="s">
        <v>61</v>
      </c>
      <c r="C527" s="62" t="s">
        <v>1431</v>
      </c>
      <c r="D527" t="s">
        <v>63</v>
      </c>
      <c r="E527" t="s">
        <v>1649</v>
      </c>
      <c r="F527" s="61">
        <v>34939</v>
      </c>
      <c r="G527" s="15" t="s">
        <v>73</v>
      </c>
      <c r="H527" t="s">
        <v>1650</v>
      </c>
      <c r="I527" s="62" t="s">
        <v>1651</v>
      </c>
      <c r="K527" s="36" t="s">
        <v>169</v>
      </c>
      <c r="L527" t="s">
        <v>69</v>
      </c>
      <c r="M527" s="62" t="s">
        <v>170</v>
      </c>
      <c r="N527" t="s">
        <v>71</v>
      </c>
      <c r="O527" t="str">
        <f>IFERROR(IF(Tbla_actores[[#This Row],[codigo_proyecto]]="","",_xlfn.XLOOKUP(Tbla_actores[[#This Row],[codigo_proyecto]],Proyectos!$A:$A,Proyectos!$C:$C)),"")</f>
        <v>NULOS</v>
      </c>
    </row>
    <row r="528" spans="1:15" ht="14.25" customHeight="1">
      <c r="A528" s="9">
        <v>1013683708</v>
      </c>
      <c r="B528" s="63" t="s">
        <v>61</v>
      </c>
      <c r="C528" s="62" t="s">
        <v>1431</v>
      </c>
      <c r="D528" t="s">
        <v>63</v>
      </c>
      <c r="E528" t="s">
        <v>1652</v>
      </c>
      <c r="F528" s="61">
        <v>36039</v>
      </c>
      <c r="G528" s="15" t="s">
        <v>65</v>
      </c>
      <c r="H528" t="s">
        <v>1653</v>
      </c>
      <c r="I528" s="62" t="s">
        <v>1654</v>
      </c>
      <c r="K528" s="36" t="s">
        <v>169</v>
      </c>
      <c r="L528" t="s">
        <v>69</v>
      </c>
      <c r="M528" s="62" t="s">
        <v>170</v>
      </c>
      <c r="N528" t="s">
        <v>71</v>
      </c>
      <c r="O528" t="str">
        <f>IFERROR(IF(Tbla_actores[[#This Row],[codigo_proyecto]]="","",_xlfn.XLOOKUP(Tbla_actores[[#This Row],[codigo_proyecto]],Proyectos!$A:$A,Proyectos!$C:$C)),"")</f>
        <v>NULOS</v>
      </c>
    </row>
    <row r="529" spans="1:15" ht="14.25" customHeight="1">
      <c r="A529" s="10">
        <v>1019125343</v>
      </c>
      <c r="B529" s="64" t="s">
        <v>61</v>
      </c>
      <c r="C529" s="62" t="s">
        <v>1431</v>
      </c>
      <c r="D529" t="s">
        <v>63</v>
      </c>
      <c r="E529" t="s">
        <v>1655</v>
      </c>
      <c r="F529" s="61">
        <v>35390</v>
      </c>
      <c r="G529" s="15" t="s">
        <v>73</v>
      </c>
      <c r="H529" t="s">
        <v>1656</v>
      </c>
      <c r="I529" s="62" t="s">
        <v>1657</v>
      </c>
      <c r="K529" s="36" t="s">
        <v>169</v>
      </c>
      <c r="L529" t="s">
        <v>69</v>
      </c>
      <c r="M529" s="62" t="s">
        <v>170</v>
      </c>
      <c r="N529" t="s">
        <v>71</v>
      </c>
      <c r="O529" t="str">
        <f>IFERROR(IF(Tbla_actores[[#This Row],[codigo_proyecto]]="","",_xlfn.XLOOKUP(Tbla_actores[[#This Row],[codigo_proyecto]],Proyectos!$A:$A,Proyectos!$C:$C)),"")</f>
        <v>NULOS</v>
      </c>
    </row>
    <row r="530" spans="1:15" ht="14.25" customHeight="1">
      <c r="A530" s="9">
        <v>1144100659</v>
      </c>
      <c r="B530" s="63" t="s">
        <v>61</v>
      </c>
      <c r="C530" s="62" t="s">
        <v>1431</v>
      </c>
      <c r="D530" t="s">
        <v>63</v>
      </c>
      <c r="E530" t="s">
        <v>1658</v>
      </c>
      <c r="F530" s="61">
        <v>35845</v>
      </c>
      <c r="G530" s="15" t="s">
        <v>65</v>
      </c>
      <c r="H530" t="s">
        <v>1659</v>
      </c>
      <c r="I530" s="62" t="s">
        <v>1660</v>
      </c>
      <c r="K530" s="36" t="s">
        <v>169</v>
      </c>
      <c r="L530" t="s">
        <v>69</v>
      </c>
      <c r="M530" s="62" t="s">
        <v>170</v>
      </c>
      <c r="N530" t="s">
        <v>71</v>
      </c>
      <c r="O530" t="str">
        <f>IFERROR(IF(Tbla_actores[[#This Row],[codigo_proyecto]]="","",_xlfn.XLOOKUP(Tbla_actores[[#This Row],[codigo_proyecto]],Proyectos!$A:$A,Proyectos!$C:$C)),"")</f>
        <v>NULOS</v>
      </c>
    </row>
    <row r="531" spans="1:15" ht="14.25" customHeight="1">
      <c r="A531" s="10">
        <v>1121963560</v>
      </c>
      <c r="B531" s="64" t="s">
        <v>61</v>
      </c>
      <c r="C531" s="62" t="s">
        <v>1431</v>
      </c>
      <c r="D531" t="s">
        <v>63</v>
      </c>
      <c r="E531" t="s">
        <v>1661</v>
      </c>
      <c r="F531" s="61">
        <v>36301</v>
      </c>
      <c r="G531" s="15" t="s">
        <v>65</v>
      </c>
      <c r="H531" t="s">
        <v>1662</v>
      </c>
      <c r="I531" s="62" t="s">
        <v>1663</v>
      </c>
      <c r="K531" s="36" t="s">
        <v>169</v>
      </c>
      <c r="L531" t="s">
        <v>69</v>
      </c>
      <c r="M531" s="62" t="s">
        <v>170</v>
      </c>
      <c r="N531" t="s">
        <v>71</v>
      </c>
      <c r="O531" t="str">
        <f>IFERROR(IF(Tbla_actores[[#This Row],[codigo_proyecto]]="","",_xlfn.XLOOKUP(Tbla_actores[[#This Row],[codigo_proyecto]],Proyectos!$A:$A,Proyectos!$C:$C)),"")</f>
        <v>NULOS</v>
      </c>
    </row>
    <row r="532" spans="1:15" ht="14.25" customHeight="1">
      <c r="A532" s="9">
        <v>1032484300</v>
      </c>
      <c r="B532" s="63" t="s">
        <v>61</v>
      </c>
      <c r="C532" s="62" t="s">
        <v>1431</v>
      </c>
      <c r="D532" t="s">
        <v>63</v>
      </c>
      <c r="E532" t="s">
        <v>1664</v>
      </c>
      <c r="F532" s="61">
        <v>35285</v>
      </c>
      <c r="G532" s="15" t="s">
        <v>65</v>
      </c>
      <c r="H532" t="s">
        <v>1665</v>
      </c>
      <c r="I532" s="62" t="s">
        <v>1666</v>
      </c>
      <c r="K532" s="36" t="s">
        <v>169</v>
      </c>
      <c r="L532" t="s">
        <v>69</v>
      </c>
      <c r="M532" s="62" t="s">
        <v>170</v>
      </c>
      <c r="N532" t="s">
        <v>71</v>
      </c>
      <c r="O532" t="str">
        <f>IFERROR(IF(Tbla_actores[[#This Row],[codigo_proyecto]]="","",_xlfn.XLOOKUP(Tbla_actores[[#This Row],[codigo_proyecto]],Proyectos!$A:$A,Proyectos!$C:$C)),"")</f>
        <v>NULOS</v>
      </c>
    </row>
    <row r="533" spans="1:15" ht="14.25" customHeight="1">
      <c r="A533" s="10">
        <v>1026594750</v>
      </c>
      <c r="B533" s="64" t="s">
        <v>61</v>
      </c>
      <c r="C533" s="62" t="s">
        <v>1431</v>
      </c>
      <c r="D533" t="s">
        <v>63</v>
      </c>
      <c r="E533" t="s">
        <v>1667</v>
      </c>
      <c r="F533" s="61">
        <v>35937</v>
      </c>
      <c r="G533" s="15" t="s">
        <v>73</v>
      </c>
      <c r="H533" t="s">
        <v>1668</v>
      </c>
      <c r="I533" s="62" t="s">
        <v>1669</v>
      </c>
      <c r="K533" s="36" t="s">
        <v>169</v>
      </c>
      <c r="L533" t="s">
        <v>69</v>
      </c>
      <c r="M533" s="62" t="s">
        <v>170</v>
      </c>
      <c r="N533" t="s">
        <v>71</v>
      </c>
      <c r="O533" t="str">
        <f>IFERROR(IF(Tbla_actores[[#This Row],[codigo_proyecto]]="","",_xlfn.XLOOKUP(Tbla_actores[[#This Row],[codigo_proyecto]],Proyectos!$A:$A,Proyectos!$C:$C)),"")</f>
        <v>NULOS</v>
      </c>
    </row>
    <row r="534" spans="1:15" ht="14.25" customHeight="1">
      <c r="A534" s="9">
        <v>1016097061</v>
      </c>
      <c r="B534" s="63" t="s">
        <v>61</v>
      </c>
      <c r="C534" s="62" t="s">
        <v>1431</v>
      </c>
      <c r="D534" t="s">
        <v>63</v>
      </c>
      <c r="E534" t="s">
        <v>1670</v>
      </c>
      <c r="F534" s="61">
        <v>35692</v>
      </c>
      <c r="G534" s="15" t="s">
        <v>65</v>
      </c>
      <c r="H534" t="s">
        <v>1671</v>
      </c>
      <c r="I534" s="62" t="s">
        <v>1672</v>
      </c>
      <c r="K534" s="36" t="s">
        <v>169</v>
      </c>
      <c r="L534" t="s">
        <v>69</v>
      </c>
      <c r="M534" s="62" t="s">
        <v>170</v>
      </c>
      <c r="N534" t="s">
        <v>71</v>
      </c>
      <c r="O534" t="str">
        <f>IFERROR(IF(Tbla_actores[[#This Row],[codigo_proyecto]]="","",_xlfn.XLOOKUP(Tbla_actores[[#This Row],[codigo_proyecto]],Proyectos!$A:$A,Proyectos!$C:$C)),"")</f>
        <v>NULOS</v>
      </c>
    </row>
    <row r="535" spans="1:15" ht="14.25" customHeight="1">
      <c r="A535" s="10">
        <v>1018501071</v>
      </c>
      <c r="B535" s="64" t="s">
        <v>61</v>
      </c>
      <c r="C535" s="62" t="s">
        <v>1431</v>
      </c>
      <c r="D535" t="s">
        <v>63</v>
      </c>
      <c r="E535" t="s">
        <v>1673</v>
      </c>
      <c r="F535" s="61">
        <v>35821</v>
      </c>
      <c r="G535" s="15" t="s">
        <v>65</v>
      </c>
      <c r="H535" t="s">
        <v>1674</v>
      </c>
      <c r="I535" s="62" t="s">
        <v>1675</v>
      </c>
      <c r="K535" s="36" t="s">
        <v>169</v>
      </c>
      <c r="L535" t="s">
        <v>69</v>
      </c>
      <c r="M535" s="62" t="s">
        <v>170</v>
      </c>
      <c r="N535" t="s">
        <v>71</v>
      </c>
      <c r="O535" t="str">
        <f>IFERROR(IF(Tbla_actores[[#This Row],[codigo_proyecto]]="","",_xlfn.XLOOKUP(Tbla_actores[[#This Row],[codigo_proyecto]],Proyectos!$A:$A,Proyectos!$C:$C)),"")</f>
        <v>NULOS</v>
      </c>
    </row>
    <row r="536" spans="1:15" ht="14.25" customHeight="1">
      <c r="A536" s="9">
        <v>1007196078</v>
      </c>
      <c r="B536" s="63" t="s">
        <v>61</v>
      </c>
      <c r="C536" s="62" t="s">
        <v>1431</v>
      </c>
      <c r="D536" t="s">
        <v>63</v>
      </c>
      <c r="E536" t="s">
        <v>1676</v>
      </c>
      <c r="F536" s="61">
        <v>36238</v>
      </c>
      <c r="G536" s="15" t="s">
        <v>65</v>
      </c>
      <c r="H536" t="s">
        <v>1677</v>
      </c>
      <c r="I536" s="62" t="s">
        <v>1678</v>
      </c>
      <c r="K536" s="36" t="s">
        <v>169</v>
      </c>
      <c r="L536" t="s">
        <v>69</v>
      </c>
      <c r="M536" s="62" t="s">
        <v>170</v>
      </c>
      <c r="N536" t="s">
        <v>71</v>
      </c>
      <c r="O536" t="str">
        <f>IFERROR(IF(Tbla_actores[[#This Row],[codigo_proyecto]]="","",_xlfn.XLOOKUP(Tbla_actores[[#This Row],[codigo_proyecto]],Proyectos!$A:$A,Proyectos!$C:$C)),"")</f>
        <v>NULOS</v>
      </c>
    </row>
    <row r="537" spans="1:15" ht="14.25" customHeight="1">
      <c r="A537" s="10">
        <v>1016086424</v>
      </c>
      <c r="B537" s="64" t="s">
        <v>61</v>
      </c>
      <c r="C537" s="62" t="s">
        <v>1431</v>
      </c>
      <c r="D537" t="s">
        <v>63</v>
      </c>
      <c r="E537" t="s">
        <v>1679</v>
      </c>
      <c r="F537" s="61">
        <v>35224</v>
      </c>
      <c r="G537" s="15" t="s">
        <v>73</v>
      </c>
      <c r="H537" t="s">
        <v>1680</v>
      </c>
      <c r="I537" s="62" t="s">
        <v>1681</v>
      </c>
      <c r="K537" s="36" t="s">
        <v>169</v>
      </c>
      <c r="L537" t="s">
        <v>69</v>
      </c>
      <c r="M537" s="62" t="s">
        <v>170</v>
      </c>
      <c r="N537" t="s">
        <v>71</v>
      </c>
      <c r="O537" t="str">
        <f>IFERROR(IF(Tbla_actores[[#This Row],[codigo_proyecto]]="","",_xlfn.XLOOKUP(Tbla_actores[[#This Row],[codigo_proyecto]],Proyectos!$A:$A,Proyectos!$C:$C)),"")</f>
        <v>NULOS</v>
      </c>
    </row>
    <row r="538" spans="1:15" ht="14.25" customHeight="1">
      <c r="A538" s="9">
        <v>1088348867</v>
      </c>
      <c r="B538" s="63" t="s">
        <v>61</v>
      </c>
      <c r="C538" s="62" t="s">
        <v>1431</v>
      </c>
      <c r="D538" t="s">
        <v>63</v>
      </c>
      <c r="E538" t="s">
        <v>1682</v>
      </c>
      <c r="F538" s="61">
        <v>35931</v>
      </c>
      <c r="G538" s="15" t="s">
        <v>65</v>
      </c>
      <c r="H538" t="s">
        <v>1683</v>
      </c>
      <c r="I538" s="62" t="s">
        <v>1684</v>
      </c>
      <c r="K538" s="36" t="s">
        <v>169</v>
      </c>
      <c r="L538" t="s">
        <v>69</v>
      </c>
      <c r="M538" s="62" t="s">
        <v>170</v>
      </c>
      <c r="N538" t="s">
        <v>71</v>
      </c>
      <c r="O538" t="str">
        <f>IFERROR(IF(Tbla_actores[[#This Row],[codigo_proyecto]]="","",_xlfn.XLOOKUP(Tbla_actores[[#This Row],[codigo_proyecto]],Proyectos!$A:$A,Proyectos!$C:$C)),"")</f>
        <v>NULOS</v>
      </c>
    </row>
    <row r="539" spans="1:15" ht="14.25" customHeight="1">
      <c r="A539" s="10">
        <v>1020836695</v>
      </c>
      <c r="B539" s="64" t="s">
        <v>61</v>
      </c>
      <c r="C539" s="62" t="s">
        <v>1431</v>
      </c>
      <c r="D539" t="s">
        <v>63</v>
      </c>
      <c r="E539" t="s">
        <v>1685</v>
      </c>
      <c r="F539" s="61">
        <v>36102</v>
      </c>
      <c r="G539" s="15" t="s">
        <v>65</v>
      </c>
      <c r="H539" t="s">
        <v>1686</v>
      </c>
      <c r="I539" s="62" t="s">
        <v>1687</v>
      </c>
      <c r="K539" s="36" t="s">
        <v>169</v>
      </c>
      <c r="L539" t="s">
        <v>69</v>
      </c>
      <c r="M539" s="62" t="s">
        <v>170</v>
      </c>
      <c r="N539" t="s">
        <v>71</v>
      </c>
      <c r="O539" t="str">
        <f>IFERROR(IF(Tbla_actores[[#This Row],[codigo_proyecto]]="","",_xlfn.XLOOKUP(Tbla_actores[[#This Row],[codigo_proyecto]],Proyectos!$A:$A,Proyectos!$C:$C)),"")</f>
        <v>NULOS</v>
      </c>
    </row>
    <row r="540" spans="1:15" ht="14.25" customHeight="1">
      <c r="A540" s="9">
        <v>1014257470</v>
      </c>
      <c r="B540" s="63" t="s">
        <v>61</v>
      </c>
      <c r="C540" s="62" t="s">
        <v>1431</v>
      </c>
      <c r="D540" t="s">
        <v>63</v>
      </c>
      <c r="E540" t="s">
        <v>1688</v>
      </c>
      <c r="F540" s="61">
        <v>34576</v>
      </c>
      <c r="G540" s="15" t="s">
        <v>65</v>
      </c>
      <c r="H540" t="s">
        <v>1689</v>
      </c>
      <c r="I540" s="62" t="s">
        <v>1690</v>
      </c>
      <c r="K540" s="36" t="s">
        <v>169</v>
      </c>
      <c r="L540" t="s">
        <v>69</v>
      </c>
      <c r="M540" s="62" t="s">
        <v>170</v>
      </c>
      <c r="N540" t="s">
        <v>71</v>
      </c>
      <c r="O540" t="str">
        <f>IFERROR(IF(Tbla_actores[[#This Row],[codigo_proyecto]]="","",_xlfn.XLOOKUP(Tbla_actores[[#This Row],[codigo_proyecto]],Proyectos!$A:$A,Proyectos!$C:$C)),"")</f>
        <v>NULOS</v>
      </c>
    </row>
    <row r="541" spans="1:15" ht="14.25" customHeight="1">
      <c r="A541" s="10">
        <v>1010238621</v>
      </c>
      <c r="B541" s="64" t="s">
        <v>61</v>
      </c>
      <c r="C541" s="62" t="s">
        <v>1431</v>
      </c>
      <c r="D541" t="s">
        <v>63</v>
      </c>
      <c r="E541" t="s">
        <v>1691</v>
      </c>
      <c r="F541" s="61">
        <v>35862</v>
      </c>
      <c r="G541" s="15" t="s">
        <v>65</v>
      </c>
      <c r="H541" t="s">
        <v>1692</v>
      </c>
      <c r="I541" s="62" t="s">
        <v>1693</v>
      </c>
      <c r="K541" s="36" t="s">
        <v>169</v>
      </c>
      <c r="L541" t="s">
        <v>69</v>
      </c>
      <c r="M541" s="62" t="s">
        <v>170</v>
      </c>
      <c r="N541" t="s">
        <v>71</v>
      </c>
      <c r="O541" t="str">
        <f>IFERROR(IF(Tbla_actores[[#This Row],[codigo_proyecto]]="","",_xlfn.XLOOKUP(Tbla_actores[[#This Row],[codigo_proyecto]],Proyectos!$A:$A,Proyectos!$C:$C)),"")</f>
        <v>NULOS</v>
      </c>
    </row>
    <row r="542" spans="1:15" ht="14.25" customHeight="1">
      <c r="A542" s="9">
        <v>1032479387</v>
      </c>
      <c r="B542" s="63" t="s">
        <v>61</v>
      </c>
      <c r="C542" s="62" t="s">
        <v>1431</v>
      </c>
      <c r="D542" t="s">
        <v>63</v>
      </c>
      <c r="E542" t="s">
        <v>1694</v>
      </c>
      <c r="F542" s="61">
        <v>35136</v>
      </c>
      <c r="G542" s="15" t="s">
        <v>73</v>
      </c>
      <c r="H542" t="s">
        <v>1695</v>
      </c>
      <c r="I542" s="62" t="s">
        <v>1696</v>
      </c>
      <c r="K542" s="36" t="s">
        <v>169</v>
      </c>
      <c r="L542" t="s">
        <v>69</v>
      </c>
      <c r="M542" s="62" t="s">
        <v>170</v>
      </c>
      <c r="N542" t="s">
        <v>71</v>
      </c>
      <c r="O542" t="str">
        <f>IFERROR(IF(Tbla_actores[[#This Row],[codigo_proyecto]]="","",_xlfn.XLOOKUP(Tbla_actores[[#This Row],[codigo_proyecto]],Proyectos!$A:$A,Proyectos!$C:$C)),"")</f>
        <v>NULOS</v>
      </c>
    </row>
    <row r="543" spans="1:15" ht="14.25" customHeight="1">
      <c r="A543" s="10">
        <v>1023976895</v>
      </c>
      <c r="B543" s="64" t="s">
        <v>61</v>
      </c>
      <c r="C543" s="62" t="s">
        <v>1431</v>
      </c>
      <c r="D543" t="s">
        <v>63</v>
      </c>
      <c r="E543" t="s">
        <v>1697</v>
      </c>
      <c r="F543" s="61">
        <v>36339</v>
      </c>
      <c r="G543" s="15" t="s">
        <v>73</v>
      </c>
      <c r="H543" t="s">
        <v>1698</v>
      </c>
      <c r="I543" s="62" t="s">
        <v>1699</v>
      </c>
      <c r="K543" s="36" t="s">
        <v>169</v>
      </c>
      <c r="L543" t="s">
        <v>69</v>
      </c>
      <c r="M543" s="62" t="s">
        <v>170</v>
      </c>
      <c r="N543" t="s">
        <v>71</v>
      </c>
      <c r="O543" t="str">
        <f>IFERROR(IF(Tbla_actores[[#This Row],[codigo_proyecto]]="","",_xlfn.XLOOKUP(Tbla_actores[[#This Row],[codigo_proyecto]],Proyectos!$A:$A,Proyectos!$C:$C)),"")</f>
        <v>NULOS</v>
      </c>
    </row>
    <row r="544" spans="1:15" ht="14.25" customHeight="1">
      <c r="A544" s="9">
        <v>1030702311</v>
      </c>
      <c r="B544" s="63" t="s">
        <v>61</v>
      </c>
      <c r="C544" s="62" t="s">
        <v>1431</v>
      </c>
      <c r="D544" t="s">
        <v>63</v>
      </c>
      <c r="E544" t="s">
        <v>1700</v>
      </c>
      <c r="F544" s="61">
        <v>36531</v>
      </c>
      <c r="G544" s="15" t="s">
        <v>73</v>
      </c>
      <c r="H544" t="s">
        <v>1701</v>
      </c>
      <c r="I544" s="62" t="s">
        <v>1702</v>
      </c>
      <c r="K544" s="36" t="s">
        <v>169</v>
      </c>
      <c r="L544" t="s">
        <v>69</v>
      </c>
      <c r="M544" s="62" t="s">
        <v>170</v>
      </c>
      <c r="N544" t="s">
        <v>71</v>
      </c>
      <c r="O544" t="str">
        <f>IFERROR(IF(Tbla_actores[[#This Row],[codigo_proyecto]]="","",_xlfn.XLOOKUP(Tbla_actores[[#This Row],[codigo_proyecto]],Proyectos!$A:$A,Proyectos!$C:$C)),"")</f>
        <v>NULOS</v>
      </c>
    </row>
    <row r="545" spans="1:15" ht="14.25" customHeight="1">
      <c r="A545" s="10">
        <v>1018498500</v>
      </c>
      <c r="B545" s="64" t="s">
        <v>61</v>
      </c>
      <c r="C545" s="62" t="s">
        <v>1431</v>
      </c>
      <c r="D545" t="s">
        <v>63</v>
      </c>
      <c r="E545" t="s">
        <v>1703</v>
      </c>
      <c r="F545" s="61">
        <v>35737</v>
      </c>
      <c r="G545" s="15" t="s">
        <v>65</v>
      </c>
      <c r="H545" t="s">
        <v>1704</v>
      </c>
      <c r="I545" s="62" t="s">
        <v>1705</v>
      </c>
      <c r="K545" s="36" t="s">
        <v>169</v>
      </c>
      <c r="L545" t="s">
        <v>69</v>
      </c>
      <c r="M545" s="62" t="s">
        <v>170</v>
      </c>
      <c r="N545" t="s">
        <v>71</v>
      </c>
      <c r="O545" t="str">
        <f>IFERROR(IF(Tbla_actores[[#This Row],[codigo_proyecto]]="","",_xlfn.XLOOKUP(Tbla_actores[[#This Row],[codigo_proyecto]],Proyectos!$A:$A,Proyectos!$C:$C)),"")</f>
        <v>NULOS</v>
      </c>
    </row>
    <row r="546" spans="1:15" ht="14.25" customHeight="1">
      <c r="A546" s="9">
        <v>1019130198</v>
      </c>
      <c r="B546" s="63" t="s">
        <v>61</v>
      </c>
      <c r="C546" s="62" t="s">
        <v>1431</v>
      </c>
      <c r="D546" t="s">
        <v>63</v>
      </c>
      <c r="E546" t="s">
        <v>1706</v>
      </c>
      <c r="F546" s="61">
        <v>35569</v>
      </c>
      <c r="G546" s="15" t="s">
        <v>73</v>
      </c>
      <c r="H546" t="s">
        <v>1707</v>
      </c>
      <c r="I546" s="62" t="s">
        <v>1708</v>
      </c>
      <c r="K546" s="36" t="s">
        <v>169</v>
      </c>
      <c r="L546" t="s">
        <v>69</v>
      </c>
      <c r="M546" s="62" t="s">
        <v>170</v>
      </c>
      <c r="N546" t="s">
        <v>71</v>
      </c>
      <c r="O546" t="str">
        <f>IFERROR(IF(Tbla_actores[[#This Row],[codigo_proyecto]]="","",_xlfn.XLOOKUP(Tbla_actores[[#This Row],[codigo_proyecto]],Proyectos!$A:$A,Proyectos!$C:$C)),"")</f>
        <v>NULOS</v>
      </c>
    </row>
    <row r="547" spans="1:15" ht="14.25" customHeight="1">
      <c r="A547" s="10">
        <v>1077035391</v>
      </c>
      <c r="B547" s="64" t="s">
        <v>61</v>
      </c>
      <c r="C547" s="62" t="s">
        <v>1431</v>
      </c>
      <c r="D547" t="s">
        <v>63</v>
      </c>
      <c r="E547" t="s">
        <v>1709</v>
      </c>
      <c r="F547" s="61">
        <v>35272</v>
      </c>
      <c r="G547" s="15" t="s">
        <v>73</v>
      </c>
      <c r="H547" t="s">
        <v>1710</v>
      </c>
      <c r="I547" s="62" t="s">
        <v>1711</v>
      </c>
      <c r="K547" s="36" t="s">
        <v>169</v>
      </c>
      <c r="L547" t="s">
        <v>69</v>
      </c>
      <c r="M547" s="62" t="s">
        <v>170</v>
      </c>
      <c r="N547" t="s">
        <v>71</v>
      </c>
      <c r="O547" t="str">
        <f>IFERROR(IF(Tbla_actores[[#This Row],[codigo_proyecto]]="","",_xlfn.XLOOKUP(Tbla_actores[[#This Row],[codigo_proyecto]],Proyectos!$A:$A,Proyectos!$C:$C)),"")</f>
        <v>NULOS</v>
      </c>
    </row>
    <row r="548" spans="1:15" ht="14.25" customHeight="1">
      <c r="A548" s="9">
        <v>1071170999</v>
      </c>
      <c r="B548" s="63" t="s">
        <v>61</v>
      </c>
      <c r="C548" s="62" t="s">
        <v>1431</v>
      </c>
      <c r="D548" t="s">
        <v>63</v>
      </c>
      <c r="E548" t="s">
        <v>1712</v>
      </c>
      <c r="F548" s="61">
        <v>35893</v>
      </c>
      <c r="G548" s="15" t="s">
        <v>65</v>
      </c>
      <c r="H548" t="s">
        <v>1713</v>
      </c>
      <c r="I548" s="62" t="s">
        <v>1714</v>
      </c>
      <c r="K548" s="36" t="s">
        <v>169</v>
      </c>
      <c r="L548" t="s">
        <v>69</v>
      </c>
      <c r="M548" s="62" t="s">
        <v>170</v>
      </c>
      <c r="N548" t="s">
        <v>71</v>
      </c>
      <c r="O548" t="str">
        <f>IFERROR(IF(Tbla_actores[[#This Row],[codigo_proyecto]]="","",_xlfn.XLOOKUP(Tbla_actores[[#This Row],[codigo_proyecto]],Proyectos!$A:$A,Proyectos!$C:$C)),"")</f>
        <v>NULOS</v>
      </c>
    </row>
    <row r="549" spans="1:15" ht="14.25" customHeight="1">
      <c r="A549" s="10">
        <v>1045743000</v>
      </c>
      <c r="B549" s="64" t="s">
        <v>61</v>
      </c>
      <c r="C549" s="62" t="s">
        <v>1431</v>
      </c>
      <c r="D549" t="s">
        <v>63</v>
      </c>
      <c r="E549" t="s">
        <v>1715</v>
      </c>
      <c r="F549" s="61">
        <v>35390</v>
      </c>
      <c r="G549" s="15" t="s">
        <v>65</v>
      </c>
      <c r="H549" t="s">
        <v>1716</v>
      </c>
      <c r="I549" s="62" t="s">
        <v>1717</v>
      </c>
      <c r="K549" s="36" t="s">
        <v>169</v>
      </c>
      <c r="L549" t="s">
        <v>69</v>
      </c>
      <c r="M549" s="62" t="s">
        <v>170</v>
      </c>
      <c r="N549" t="s">
        <v>71</v>
      </c>
      <c r="O549" t="str">
        <f>IFERROR(IF(Tbla_actores[[#This Row],[codigo_proyecto]]="","",_xlfn.XLOOKUP(Tbla_actores[[#This Row],[codigo_proyecto]],Proyectos!$A:$A,Proyectos!$C:$C)),"")</f>
        <v>NULOS</v>
      </c>
    </row>
    <row r="550" spans="1:15" ht="14.25" customHeight="1">
      <c r="A550" s="9">
        <v>1015473451</v>
      </c>
      <c r="B550" s="63" t="s">
        <v>61</v>
      </c>
      <c r="C550" s="62" t="s">
        <v>1431</v>
      </c>
      <c r="D550" t="s">
        <v>63</v>
      </c>
      <c r="E550" t="s">
        <v>1718</v>
      </c>
      <c r="F550" s="61">
        <v>35836</v>
      </c>
      <c r="G550" s="15" t="s">
        <v>65</v>
      </c>
      <c r="H550" t="s">
        <v>1719</v>
      </c>
      <c r="I550" s="62" t="s">
        <v>1720</v>
      </c>
      <c r="K550" s="36" t="s">
        <v>169</v>
      </c>
      <c r="L550" t="s">
        <v>69</v>
      </c>
      <c r="M550" s="62" t="s">
        <v>170</v>
      </c>
      <c r="N550" t="s">
        <v>71</v>
      </c>
      <c r="O550" t="str">
        <f>IFERROR(IF(Tbla_actores[[#This Row],[codigo_proyecto]]="","",_xlfn.XLOOKUP(Tbla_actores[[#This Row],[codigo_proyecto]],Proyectos!$A:$A,Proyectos!$C:$C)),"")</f>
        <v>NULOS</v>
      </c>
    </row>
    <row r="551" spans="1:15" ht="14.25" customHeight="1">
      <c r="A551" s="10">
        <v>1014287941</v>
      </c>
      <c r="B551" s="64" t="s">
        <v>61</v>
      </c>
      <c r="C551" s="62" t="s">
        <v>1431</v>
      </c>
      <c r="D551" t="s">
        <v>63</v>
      </c>
      <c r="E551" t="s">
        <v>1721</v>
      </c>
      <c r="F551" s="61">
        <v>35545</v>
      </c>
      <c r="G551" s="15" t="s">
        <v>65</v>
      </c>
      <c r="H551" t="s">
        <v>1722</v>
      </c>
      <c r="I551" s="62" t="s">
        <v>1723</v>
      </c>
      <c r="K551" s="36" t="s">
        <v>169</v>
      </c>
      <c r="L551" t="s">
        <v>69</v>
      </c>
      <c r="M551" s="62" t="s">
        <v>170</v>
      </c>
      <c r="N551" t="s">
        <v>71</v>
      </c>
      <c r="O551" t="str">
        <f>IFERROR(IF(Tbla_actores[[#This Row],[codigo_proyecto]]="","",_xlfn.XLOOKUP(Tbla_actores[[#This Row],[codigo_proyecto]],Proyectos!$A:$A,Proyectos!$C:$C)),"")</f>
        <v>NULOS</v>
      </c>
    </row>
    <row r="552" spans="1:15" ht="14.25" customHeight="1">
      <c r="A552" s="9">
        <v>1020837235</v>
      </c>
      <c r="B552" s="63" t="s">
        <v>61</v>
      </c>
      <c r="C552" s="62" t="s">
        <v>1431</v>
      </c>
      <c r="D552" t="s">
        <v>63</v>
      </c>
      <c r="E552" t="s">
        <v>1724</v>
      </c>
      <c r="F552" s="61">
        <v>36124</v>
      </c>
      <c r="G552" s="15" t="s">
        <v>73</v>
      </c>
      <c r="H552" t="s">
        <v>1725</v>
      </c>
      <c r="I552" s="62" t="s">
        <v>1726</v>
      </c>
      <c r="K552" s="36" t="s">
        <v>169</v>
      </c>
      <c r="L552" t="s">
        <v>69</v>
      </c>
      <c r="M552" s="62" t="s">
        <v>170</v>
      </c>
      <c r="N552" t="s">
        <v>71</v>
      </c>
      <c r="O552" t="str">
        <f>IFERROR(IF(Tbla_actores[[#This Row],[codigo_proyecto]]="","",_xlfn.XLOOKUP(Tbla_actores[[#This Row],[codigo_proyecto]],Proyectos!$A:$A,Proyectos!$C:$C)),"")</f>
        <v>NULOS</v>
      </c>
    </row>
    <row r="553" spans="1:15" ht="14.25" customHeight="1">
      <c r="A553" s="10">
        <v>1119696111</v>
      </c>
      <c r="B553" s="64" t="s">
        <v>61</v>
      </c>
      <c r="C553" s="62" t="s">
        <v>1431</v>
      </c>
      <c r="D553" t="s">
        <v>63</v>
      </c>
      <c r="E553" t="s">
        <v>1727</v>
      </c>
      <c r="F553" s="61">
        <v>35715</v>
      </c>
      <c r="G553" s="15" t="s">
        <v>65</v>
      </c>
      <c r="H553" t="s">
        <v>1728</v>
      </c>
      <c r="I553" s="62" t="s">
        <v>1729</v>
      </c>
      <c r="K553" s="36" t="s">
        <v>169</v>
      </c>
      <c r="L553" t="s">
        <v>69</v>
      </c>
      <c r="M553" s="62" t="s">
        <v>170</v>
      </c>
      <c r="N553" t="s">
        <v>71</v>
      </c>
      <c r="O553" t="str">
        <f>IFERROR(IF(Tbla_actores[[#This Row],[codigo_proyecto]]="","",_xlfn.XLOOKUP(Tbla_actores[[#This Row],[codigo_proyecto]],Proyectos!$A:$A,Proyectos!$C:$C)),"")</f>
        <v>NULOS</v>
      </c>
    </row>
    <row r="554" spans="1:15" ht="14.25" customHeight="1">
      <c r="A554" s="9">
        <v>1016099727</v>
      </c>
      <c r="B554" s="63" t="s">
        <v>61</v>
      </c>
      <c r="C554" s="62" t="s">
        <v>1431</v>
      </c>
      <c r="D554" t="s">
        <v>63</v>
      </c>
      <c r="E554" t="s">
        <v>1730</v>
      </c>
      <c r="F554" s="61">
        <v>35818</v>
      </c>
      <c r="G554" s="15" t="s">
        <v>65</v>
      </c>
      <c r="H554" t="s">
        <v>1731</v>
      </c>
      <c r="I554" s="62" t="s">
        <v>1732</v>
      </c>
      <c r="K554" s="36" t="s">
        <v>169</v>
      </c>
      <c r="L554" t="s">
        <v>69</v>
      </c>
      <c r="M554" s="62" t="s">
        <v>170</v>
      </c>
      <c r="N554" t="s">
        <v>71</v>
      </c>
      <c r="O554" t="str">
        <f>IFERROR(IF(Tbla_actores[[#This Row],[codigo_proyecto]]="","",_xlfn.XLOOKUP(Tbla_actores[[#This Row],[codigo_proyecto]],Proyectos!$A:$A,Proyectos!$C:$C)),"")</f>
        <v>NULOS</v>
      </c>
    </row>
    <row r="555" spans="1:15" ht="14.25" customHeight="1">
      <c r="A555" s="10">
        <v>1032502514</v>
      </c>
      <c r="B555" s="64" t="s">
        <v>61</v>
      </c>
      <c r="C555" s="62" t="s">
        <v>1431</v>
      </c>
      <c r="D555" t="s">
        <v>63</v>
      </c>
      <c r="E555" t="s">
        <v>1733</v>
      </c>
      <c r="F555" s="61">
        <v>36137</v>
      </c>
      <c r="G555" s="15" t="s">
        <v>65</v>
      </c>
      <c r="H555" t="s">
        <v>1734</v>
      </c>
      <c r="I555" s="62" t="s">
        <v>1735</v>
      </c>
      <c r="K555" s="36" t="s">
        <v>169</v>
      </c>
      <c r="L555" t="s">
        <v>69</v>
      </c>
      <c r="M555" s="62" t="s">
        <v>170</v>
      </c>
      <c r="N555" t="s">
        <v>71</v>
      </c>
      <c r="O555" t="str">
        <f>IFERROR(IF(Tbla_actores[[#This Row],[codigo_proyecto]]="","",_xlfn.XLOOKUP(Tbla_actores[[#This Row],[codigo_proyecto]],Proyectos!$A:$A,Proyectos!$C:$C)),"")</f>
        <v>NULOS</v>
      </c>
    </row>
    <row r="556" spans="1:15" ht="14.25" customHeight="1">
      <c r="A556" s="9">
        <v>1019144405</v>
      </c>
      <c r="B556" s="63" t="s">
        <v>61</v>
      </c>
      <c r="C556" s="62" t="s">
        <v>1431</v>
      </c>
      <c r="D556" t="s">
        <v>63</v>
      </c>
      <c r="E556" t="s">
        <v>1736</v>
      </c>
      <c r="F556" s="61">
        <v>36116</v>
      </c>
      <c r="G556" s="15" t="s">
        <v>65</v>
      </c>
      <c r="H556" t="s">
        <v>1737</v>
      </c>
      <c r="I556" s="62" t="s">
        <v>1738</v>
      </c>
      <c r="K556" s="36" t="s">
        <v>169</v>
      </c>
      <c r="L556" t="s">
        <v>69</v>
      </c>
      <c r="M556" s="62" t="s">
        <v>170</v>
      </c>
      <c r="N556" t="s">
        <v>71</v>
      </c>
      <c r="O556" t="str">
        <f>IFERROR(IF(Tbla_actores[[#This Row],[codigo_proyecto]]="","",_xlfn.XLOOKUP(Tbla_actores[[#This Row],[codigo_proyecto]],Proyectos!$A:$A,Proyectos!$C:$C)),"")</f>
        <v>NULOS</v>
      </c>
    </row>
    <row r="557" spans="1:15" ht="14.25" customHeight="1">
      <c r="A557" s="10">
        <v>1026593844</v>
      </c>
      <c r="B557" s="64" t="s">
        <v>61</v>
      </c>
      <c r="C557" s="62" t="s">
        <v>1431</v>
      </c>
      <c r="D557" t="s">
        <v>63</v>
      </c>
      <c r="E557" t="s">
        <v>1739</v>
      </c>
      <c r="F557" s="61">
        <v>35856</v>
      </c>
      <c r="G557" s="15" t="s">
        <v>65</v>
      </c>
      <c r="H557" t="s">
        <v>1740</v>
      </c>
      <c r="I557" s="62" t="s">
        <v>1741</v>
      </c>
      <c r="K557" s="36" t="s">
        <v>169</v>
      </c>
      <c r="L557" t="s">
        <v>69</v>
      </c>
      <c r="M557" s="62" t="s">
        <v>170</v>
      </c>
      <c r="N557" t="s">
        <v>71</v>
      </c>
      <c r="O557" t="str">
        <f>IFERROR(IF(Tbla_actores[[#This Row],[codigo_proyecto]]="","",_xlfn.XLOOKUP(Tbla_actores[[#This Row],[codigo_proyecto]],Proyectos!$A:$A,Proyectos!$C:$C)),"")</f>
        <v>NULOS</v>
      </c>
    </row>
    <row r="558" spans="1:15" ht="14.25" customHeight="1">
      <c r="A558" s="9">
        <v>1016098975</v>
      </c>
      <c r="B558" s="63" t="s">
        <v>61</v>
      </c>
      <c r="C558" s="62" t="s">
        <v>1431</v>
      </c>
      <c r="D558" t="s">
        <v>63</v>
      </c>
      <c r="E558" t="s">
        <v>1742</v>
      </c>
      <c r="F558" s="61">
        <v>35782</v>
      </c>
      <c r="G558" s="15" t="s">
        <v>65</v>
      </c>
      <c r="H558" t="s">
        <v>1743</v>
      </c>
      <c r="I558" s="62" t="s">
        <v>1744</v>
      </c>
      <c r="K558" s="36" t="s">
        <v>169</v>
      </c>
      <c r="L558" t="s">
        <v>69</v>
      </c>
      <c r="M558" s="62" t="s">
        <v>170</v>
      </c>
      <c r="N558" t="s">
        <v>71</v>
      </c>
      <c r="O558" t="str">
        <f>IFERROR(IF(Tbla_actores[[#This Row],[codigo_proyecto]]="","",_xlfn.XLOOKUP(Tbla_actores[[#This Row],[codigo_proyecto]],Proyectos!$A:$A,Proyectos!$C:$C)),"")</f>
        <v>NULOS</v>
      </c>
    </row>
    <row r="559" spans="1:15" ht="14.25" customHeight="1">
      <c r="A559" s="10">
        <v>1026301898</v>
      </c>
      <c r="B559" s="64" t="s">
        <v>61</v>
      </c>
      <c r="C559" s="62" t="s">
        <v>1431</v>
      </c>
      <c r="D559" t="s">
        <v>63</v>
      </c>
      <c r="E559" t="s">
        <v>1745</v>
      </c>
      <c r="F559" s="61">
        <v>35943</v>
      </c>
      <c r="G559" s="15" t="s">
        <v>65</v>
      </c>
      <c r="H559" t="s">
        <v>1746</v>
      </c>
      <c r="I559" s="62" t="s">
        <v>1747</v>
      </c>
      <c r="K559" s="36" t="s">
        <v>169</v>
      </c>
      <c r="L559" t="s">
        <v>69</v>
      </c>
      <c r="M559" s="62" t="s">
        <v>170</v>
      </c>
      <c r="N559" t="s">
        <v>71</v>
      </c>
      <c r="O559" t="str">
        <f>IFERROR(IF(Tbla_actores[[#This Row],[codigo_proyecto]]="","",_xlfn.XLOOKUP(Tbla_actores[[#This Row],[codigo_proyecto]],Proyectos!$A:$A,Proyectos!$C:$C)),"")</f>
        <v>NULOS</v>
      </c>
    </row>
    <row r="560" spans="1:15" ht="14.25" customHeight="1">
      <c r="A560" s="9">
        <v>1018492719</v>
      </c>
      <c r="B560" s="63" t="s">
        <v>61</v>
      </c>
      <c r="C560" s="62" t="s">
        <v>1431</v>
      </c>
      <c r="D560" t="s">
        <v>63</v>
      </c>
      <c r="E560" t="s">
        <v>1748</v>
      </c>
      <c r="F560" s="61">
        <v>35482</v>
      </c>
      <c r="G560" s="15" t="s">
        <v>73</v>
      </c>
      <c r="H560" t="s">
        <v>1749</v>
      </c>
      <c r="I560" s="62" t="s">
        <v>1750</v>
      </c>
      <c r="K560" s="36" t="s">
        <v>169</v>
      </c>
      <c r="L560" t="s">
        <v>69</v>
      </c>
      <c r="M560" s="62" t="s">
        <v>170</v>
      </c>
      <c r="N560" t="s">
        <v>71</v>
      </c>
      <c r="O560" t="str">
        <f>IFERROR(IF(Tbla_actores[[#This Row],[codigo_proyecto]]="","",_xlfn.XLOOKUP(Tbla_actores[[#This Row],[codigo_proyecto]],Proyectos!$A:$A,Proyectos!$C:$C)),"")</f>
        <v>NULOS</v>
      </c>
    </row>
    <row r="561" spans="1:15" ht="14.25" customHeight="1">
      <c r="A561" s="10">
        <v>1019134678</v>
      </c>
      <c r="B561" s="64" t="s">
        <v>61</v>
      </c>
      <c r="C561" s="62" t="s">
        <v>1431</v>
      </c>
      <c r="D561" t="s">
        <v>63</v>
      </c>
      <c r="E561" t="s">
        <v>1751</v>
      </c>
      <c r="F561" s="61">
        <v>35743</v>
      </c>
      <c r="G561" s="15" t="s">
        <v>73</v>
      </c>
      <c r="H561" t="s">
        <v>1752</v>
      </c>
      <c r="I561" s="62" t="s">
        <v>1753</v>
      </c>
      <c r="K561" s="36" t="s">
        <v>169</v>
      </c>
      <c r="L561" t="s">
        <v>69</v>
      </c>
      <c r="M561" s="62" t="s">
        <v>170</v>
      </c>
      <c r="N561" t="s">
        <v>71</v>
      </c>
      <c r="O561" t="str">
        <f>IFERROR(IF(Tbla_actores[[#This Row],[codigo_proyecto]]="","",_xlfn.XLOOKUP(Tbla_actores[[#This Row],[codigo_proyecto]],Proyectos!$A:$A,Proyectos!$C:$C)),"")</f>
        <v>NULOS</v>
      </c>
    </row>
    <row r="562" spans="1:15" ht="14.25" customHeight="1">
      <c r="A562" s="9">
        <v>1015463023</v>
      </c>
      <c r="B562" s="63" t="s">
        <v>61</v>
      </c>
      <c r="C562" s="62" t="s">
        <v>1431</v>
      </c>
      <c r="D562" t="s">
        <v>63</v>
      </c>
      <c r="E562" t="s">
        <v>1754</v>
      </c>
      <c r="F562" s="61">
        <v>35251</v>
      </c>
      <c r="G562" s="15" t="s">
        <v>73</v>
      </c>
      <c r="H562" t="s">
        <v>1755</v>
      </c>
      <c r="I562" s="62" t="s">
        <v>1756</v>
      </c>
      <c r="K562" s="36" t="s">
        <v>169</v>
      </c>
      <c r="L562" t="s">
        <v>69</v>
      </c>
      <c r="M562" s="62" t="s">
        <v>170</v>
      </c>
      <c r="N562" t="s">
        <v>71</v>
      </c>
      <c r="O562" t="str">
        <f>IFERROR(IF(Tbla_actores[[#This Row],[codigo_proyecto]]="","",_xlfn.XLOOKUP(Tbla_actores[[#This Row],[codigo_proyecto]],Proyectos!$A:$A,Proyectos!$C:$C)),"")</f>
        <v>NULOS</v>
      </c>
    </row>
    <row r="563" spans="1:15" ht="14.25" customHeight="1">
      <c r="A563" s="10">
        <v>656600</v>
      </c>
      <c r="B563" s="64" t="s">
        <v>61</v>
      </c>
      <c r="C563" s="62" t="s">
        <v>1431</v>
      </c>
      <c r="D563" t="s">
        <v>63</v>
      </c>
      <c r="E563" t="s">
        <v>1757</v>
      </c>
      <c r="F563" s="61">
        <v>35019</v>
      </c>
      <c r="G563" s="15" t="s">
        <v>73</v>
      </c>
      <c r="H563" t="s">
        <v>1758</v>
      </c>
      <c r="I563" s="62" t="s">
        <v>1759</v>
      </c>
      <c r="K563" s="36" t="s">
        <v>169</v>
      </c>
      <c r="L563" t="s">
        <v>69</v>
      </c>
      <c r="M563" s="62" t="s">
        <v>170</v>
      </c>
      <c r="N563" t="s">
        <v>71</v>
      </c>
      <c r="O563" t="str">
        <f>IFERROR(IF(Tbla_actores[[#This Row],[codigo_proyecto]]="","",_xlfn.XLOOKUP(Tbla_actores[[#This Row],[codigo_proyecto]],Proyectos!$A:$A,Proyectos!$C:$C)),"")</f>
        <v>NULOS</v>
      </c>
    </row>
    <row r="564" spans="1:15" ht="14.25" customHeight="1">
      <c r="A564" s="9">
        <v>1018494862</v>
      </c>
      <c r="B564" s="63" t="s">
        <v>61</v>
      </c>
      <c r="C564" s="62" t="s">
        <v>1431</v>
      </c>
      <c r="D564" t="s">
        <v>63</v>
      </c>
      <c r="E564" t="s">
        <v>1760</v>
      </c>
      <c r="F564" s="61">
        <v>35585</v>
      </c>
      <c r="G564" s="15" t="s">
        <v>65</v>
      </c>
      <c r="H564" t="s">
        <v>1761</v>
      </c>
      <c r="I564" s="62" t="s">
        <v>1762</v>
      </c>
      <c r="K564" s="36" t="s">
        <v>169</v>
      </c>
      <c r="L564" t="s">
        <v>69</v>
      </c>
      <c r="M564" s="62" t="s">
        <v>170</v>
      </c>
      <c r="N564" t="s">
        <v>71</v>
      </c>
      <c r="O564" t="str">
        <f>IFERROR(IF(Tbla_actores[[#This Row],[codigo_proyecto]]="","",_xlfn.XLOOKUP(Tbla_actores[[#This Row],[codigo_proyecto]],Proyectos!$A:$A,Proyectos!$C:$C)),"")</f>
        <v>NULOS</v>
      </c>
    </row>
    <row r="565" spans="1:15" ht="14.25" customHeight="1">
      <c r="A565" s="10">
        <v>1019147337</v>
      </c>
      <c r="B565" s="64" t="s">
        <v>61</v>
      </c>
      <c r="C565" s="62" t="s">
        <v>1431</v>
      </c>
      <c r="D565" t="s">
        <v>63</v>
      </c>
      <c r="E565" t="s">
        <v>1763</v>
      </c>
      <c r="F565" s="61">
        <v>36235</v>
      </c>
      <c r="G565" s="15" t="s">
        <v>65</v>
      </c>
      <c r="H565" t="s">
        <v>1764</v>
      </c>
      <c r="I565" s="62" t="s">
        <v>1765</v>
      </c>
      <c r="K565" s="36" t="s">
        <v>169</v>
      </c>
      <c r="L565" t="s">
        <v>69</v>
      </c>
      <c r="M565" s="62" t="s">
        <v>170</v>
      </c>
      <c r="N565" t="s">
        <v>71</v>
      </c>
      <c r="O565" t="str">
        <f>IFERROR(IF(Tbla_actores[[#This Row],[codigo_proyecto]]="","",_xlfn.XLOOKUP(Tbla_actores[[#This Row],[codigo_proyecto]],Proyectos!$A:$A,Proyectos!$C:$C)),"")</f>
        <v>NULOS</v>
      </c>
    </row>
    <row r="566" spans="1:15" ht="14.25" customHeight="1">
      <c r="A566" s="9">
        <v>1018505445</v>
      </c>
      <c r="B566" s="63" t="s">
        <v>61</v>
      </c>
      <c r="C566" s="62" t="s">
        <v>1431</v>
      </c>
      <c r="D566" t="s">
        <v>63</v>
      </c>
      <c r="E566" t="s">
        <v>1766</v>
      </c>
      <c r="F566" s="61">
        <v>36046</v>
      </c>
      <c r="G566" s="15" t="s">
        <v>65</v>
      </c>
      <c r="H566" t="s">
        <v>1767</v>
      </c>
      <c r="I566" s="62" t="s">
        <v>1768</v>
      </c>
      <c r="K566" s="36" t="s">
        <v>169</v>
      </c>
      <c r="L566" t="s">
        <v>69</v>
      </c>
      <c r="M566" s="62" t="s">
        <v>170</v>
      </c>
      <c r="N566" t="s">
        <v>71</v>
      </c>
      <c r="O566" t="str">
        <f>IFERROR(IF(Tbla_actores[[#This Row],[codigo_proyecto]]="","",_xlfn.XLOOKUP(Tbla_actores[[#This Row],[codigo_proyecto]],Proyectos!$A:$A,Proyectos!$C:$C)),"")</f>
        <v>NULOS</v>
      </c>
    </row>
    <row r="567" spans="1:15" ht="14.25" customHeight="1">
      <c r="A567" s="10">
        <v>1016090665</v>
      </c>
      <c r="B567" s="64" t="s">
        <v>61</v>
      </c>
      <c r="C567" s="62" t="s">
        <v>1431</v>
      </c>
      <c r="D567" t="s">
        <v>63</v>
      </c>
      <c r="E567" t="s">
        <v>1769</v>
      </c>
      <c r="F567" s="61">
        <v>35392</v>
      </c>
      <c r="G567" s="15" t="s">
        <v>65</v>
      </c>
      <c r="H567" t="s">
        <v>1770</v>
      </c>
      <c r="I567" s="62" t="s">
        <v>1771</v>
      </c>
      <c r="K567" s="36" t="s">
        <v>169</v>
      </c>
      <c r="L567" t="s">
        <v>69</v>
      </c>
      <c r="M567" s="62" t="s">
        <v>170</v>
      </c>
      <c r="N567" t="s">
        <v>71</v>
      </c>
      <c r="O567" t="str">
        <f>IFERROR(IF(Tbla_actores[[#This Row],[codigo_proyecto]]="","",_xlfn.XLOOKUP(Tbla_actores[[#This Row],[codigo_proyecto]],Proyectos!$A:$A,Proyectos!$C:$C)),"")</f>
        <v>NULOS</v>
      </c>
    </row>
    <row r="568" spans="1:15" ht="14.25" customHeight="1">
      <c r="A568" s="9">
        <v>1032495398</v>
      </c>
      <c r="B568" s="63" t="s">
        <v>61</v>
      </c>
      <c r="C568" s="62" t="s">
        <v>1431</v>
      </c>
      <c r="D568" t="s">
        <v>63</v>
      </c>
      <c r="E568" t="s">
        <v>1772</v>
      </c>
      <c r="F568" s="61">
        <v>35760</v>
      </c>
      <c r="G568" s="15" t="s">
        <v>65</v>
      </c>
      <c r="H568" t="s">
        <v>1773</v>
      </c>
      <c r="I568" s="62" t="s">
        <v>1774</v>
      </c>
      <c r="K568" s="36" t="s">
        <v>169</v>
      </c>
      <c r="L568" t="s">
        <v>69</v>
      </c>
      <c r="M568" s="62" t="s">
        <v>170</v>
      </c>
      <c r="N568" t="s">
        <v>71</v>
      </c>
      <c r="O568" t="str">
        <f>IFERROR(IF(Tbla_actores[[#This Row],[codigo_proyecto]]="","",_xlfn.XLOOKUP(Tbla_actores[[#This Row],[codigo_proyecto]],Proyectos!$A:$A,Proyectos!$C:$C)),"")</f>
        <v>NULOS</v>
      </c>
    </row>
    <row r="569" spans="1:15" ht="14.25" customHeight="1">
      <c r="A569" s="10">
        <v>1098798137</v>
      </c>
      <c r="B569" s="64" t="s">
        <v>61</v>
      </c>
      <c r="C569" s="62" t="s">
        <v>1431</v>
      </c>
      <c r="D569" t="s">
        <v>63</v>
      </c>
      <c r="E569" t="s">
        <v>1775</v>
      </c>
      <c r="F569" s="61">
        <v>35504</v>
      </c>
      <c r="G569" s="15" t="s">
        <v>73</v>
      </c>
      <c r="H569" t="s">
        <v>1776</v>
      </c>
      <c r="I569" s="62" t="s">
        <v>1777</v>
      </c>
      <c r="K569" s="36" t="s">
        <v>169</v>
      </c>
      <c r="L569" t="s">
        <v>69</v>
      </c>
      <c r="M569" s="62" t="s">
        <v>170</v>
      </c>
      <c r="N569" t="s">
        <v>71</v>
      </c>
      <c r="O569" t="str">
        <f>IFERROR(IF(Tbla_actores[[#This Row],[codigo_proyecto]]="","",_xlfn.XLOOKUP(Tbla_actores[[#This Row],[codigo_proyecto]],Proyectos!$A:$A,Proyectos!$C:$C)),"")</f>
        <v>NULOS</v>
      </c>
    </row>
    <row r="570" spans="1:15" ht="14.25" customHeight="1">
      <c r="A570" s="9">
        <v>1053003243</v>
      </c>
      <c r="B570" s="63" t="s">
        <v>61</v>
      </c>
      <c r="C570" s="62" t="s">
        <v>1431</v>
      </c>
      <c r="D570" t="s">
        <v>63</v>
      </c>
      <c r="E570" t="s">
        <v>1778</v>
      </c>
      <c r="F570" s="61">
        <v>35803</v>
      </c>
      <c r="G570" s="15" t="s">
        <v>65</v>
      </c>
      <c r="H570" t="s">
        <v>1779</v>
      </c>
      <c r="I570" s="62" t="s">
        <v>1780</v>
      </c>
      <c r="K570" s="36" t="s">
        <v>169</v>
      </c>
      <c r="L570" t="s">
        <v>69</v>
      </c>
      <c r="M570" s="62" t="s">
        <v>170</v>
      </c>
      <c r="N570" t="s">
        <v>71</v>
      </c>
      <c r="O570" t="str">
        <f>IFERROR(IF(Tbla_actores[[#This Row],[codigo_proyecto]]="","",_xlfn.XLOOKUP(Tbla_actores[[#This Row],[codigo_proyecto]],Proyectos!$A:$A,Proyectos!$C:$C)),"")</f>
        <v>NULOS</v>
      </c>
    </row>
    <row r="571" spans="1:15" ht="14.25" customHeight="1">
      <c r="A571" s="10">
        <v>1020826326</v>
      </c>
      <c r="B571" s="64" t="s">
        <v>61</v>
      </c>
      <c r="C571" s="62" t="s">
        <v>1431</v>
      </c>
      <c r="D571" t="s">
        <v>63</v>
      </c>
      <c r="E571" t="s">
        <v>1781</v>
      </c>
      <c r="F571" s="61">
        <v>35551</v>
      </c>
      <c r="G571" s="15" t="s">
        <v>73</v>
      </c>
      <c r="H571" t="s">
        <v>1782</v>
      </c>
      <c r="I571" s="62" t="s">
        <v>1783</v>
      </c>
      <c r="K571" s="36" t="s">
        <v>169</v>
      </c>
      <c r="L571" t="s">
        <v>69</v>
      </c>
      <c r="M571" s="62" t="s">
        <v>170</v>
      </c>
      <c r="N571" t="s">
        <v>71</v>
      </c>
      <c r="O571" t="str">
        <f>IFERROR(IF(Tbla_actores[[#This Row],[codigo_proyecto]]="","",_xlfn.XLOOKUP(Tbla_actores[[#This Row],[codigo_proyecto]],Proyectos!$A:$A,Proyectos!$C:$C)),"")</f>
        <v>NULOS</v>
      </c>
    </row>
    <row r="572" spans="1:15" ht="14.25" customHeight="1">
      <c r="A572" s="9">
        <v>1022430161</v>
      </c>
      <c r="B572" s="63" t="s">
        <v>61</v>
      </c>
      <c r="C572" s="62" t="s">
        <v>1431</v>
      </c>
      <c r="D572" t="s">
        <v>63</v>
      </c>
      <c r="E572" t="s">
        <v>1784</v>
      </c>
      <c r="F572" s="61">
        <v>35662</v>
      </c>
      <c r="G572" s="15" t="s">
        <v>65</v>
      </c>
      <c r="H572" t="s">
        <v>1785</v>
      </c>
      <c r="I572" s="62" t="s">
        <v>1786</v>
      </c>
      <c r="K572" s="36" t="s">
        <v>169</v>
      </c>
      <c r="L572" t="s">
        <v>69</v>
      </c>
      <c r="M572" s="62" t="s">
        <v>170</v>
      </c>
      <c r="N572" t="s">
        <v>71</v>
      </c>
      <c r="O572" t="str">
        <f>IFERROR(IF(Tbla_actores[[#This Row],[codigo_proyecto]]="","",_xlfn.XLOOKUP(Tbla_actores[[#This Row],[codigo_proyecto]],Proyectos!$A:$A,Proyectos!$C:$C)),"")</f>
        <v>NULOS</v>
      </c>
    </row>
    <row r="573" spans="1:15" ht="14.25" customHeight="1">
      <c r="A573" s="10">
        <v>1019151578</v>
      </c>
      <c r="B573" s="64" t="s">
        <v>61</v>
      </c>
      <c r="C573" s="62" t="s">
        <v>1431</v>
      </c>
      <c r="D573" t="s">
        <v>63</v>
      </c>
      <c r="E573" t="s">
        <v>1787</v>
      </c>
      <c r="F573" s="61">
        <v>36424</v>
      </c>
      <c r="G573" s="15" t="s">
        <v>73</v>
      </c>
      <c r="H573" t="s">
        <v>1788</v>
      </c>
      <c r="I573" s="62" t="s">
        <v>1789</v>
      </c>
      <c r="K573" s="36" t="s">
        <v>169</v>
      </c>
      <c r="L573" t="s">
        <v>69</v>
      </c>
      <c r="M573" s="62" t="s">
        <v>170</v>
      </c>
      <c r="N573" t="s">
        <v>71</v>
      </c>
      <c r="O573" t="str">
        <f>IFERROR(IF(Tbla_actores[[#This Row],[codigo_proyecto]]="","",_xlfn.XLOOKUP(Tbla_actores[[#This Row],[codigo_proyecto]],Proyectos!$A:$A,Proyectos!$C:$C)),"")</f>
        <v>NULOS</v>
      </c>
    </row>
    <row r="574" spans="1:15" ht="14.25" customHeight="1">
      <c r="A574" s="9">
        <v>1083003193</v>
      </c>
      <c r="B574" s="63" t="s">
        <v>61</v>
      </c>
      <c r="C574" s="62" t="s">
        <v>1431</v>
      </c>
      <c r="D574" t="s">
        <v>63</v>
      </c>
      <c r="E574" t="s">
        <v>1790</v>
      </c>
      <c r="F574" s="61">
        <v>34953</v>
      </c>
      <c r="G574" s="15" t="s">
        <v>65</v>
      </c>
      <c r="H574" t="s">
        <v>1791</v>
      </c>
      <c r="I574" s="62" t="s">
        <v>1792</v>
      </c>
      <c r="K574" s="36" t="s">
        <v>169</v>
      </c>
      <c r="L574" t="s">
        <v>69</v>
      </c>
      <c r="M574" s="62" t="s">
        <v>170</v>
      </c>
      <c r="N574" t="s">
        <v>71</v>
      </c>
      <c r="O574" t="str">
        <f>IFERROR(IF(Tbla_actores[[#This Row],[codigo_proyecto]]="","",_xlfn.XLOOKUP(Tbla_actores[[#This Row],[codigo_proyecto]],Proyectos!$A:$A,Proyectos!$C:$C)),"")</f>
        <v>NULOS</v>
      </c>
    </row>
    <row r="575" spans="1:15" ht="14.25" customHeight="1">
      <c r="A575" s="10">
        <v>1140877909</v>
      </c>
      <c r="B575" s="64" t="s">
        <v>61</v>
      </c>
      <c r="C575" s="62" t="s">
        <v>1431</v>
      </c>
      <c r="D575" t="s">
        <v>63</v>
      </c>
      <c r="E575" t="s">
        <v>1793</v>
      </c>
      <c r="F575" s="61">
        <v>34869</v>
      </c>
      <c r="G575" s="15" t="s">
        <v>65</v>
      </c>
      <c r="H575" t="s">
        <v>1794</v>
      </c>
      <c r="I575" s="62" t="s">
        <v>1795</v>
      </c>
      <c r="K575" s="36" t="s">
        <v>169</v>
      </c>
      <c r="L575" t="s">
        <v>69</v>
      </c>
      <c r="M575" s="62" t="s">
        <v>170</v>
      </c>
      <c r="N575" t="s">
        <v>71</v>
      </c>
      <c r="O575" t="str">
        <f>IFERROR(IF(Tbla_actores[[#This Row],[codigo_proyecto]]="","",_xlfn.XLOOKUP(Tbla_actores[[#This Row],[codigo_proyecto]],Proyectos!$A:$A,Proyectos!$C:$C)),"")</f>
        <v>NULOS</v>
      </c>
    </row>
    <row r="576" spans="1:15" ht="14.25" customHeight="1">
      <c r="A576" s="9">
        <v>1019143430</v>
      </c>
      <c r="B576" s="63" t="s">
        <v>61</v>
      </c>
      <c r="C576" s="62" t="s">
        <v>1431</v>
      </c>
      <c r="D576" t="s">
        <v>63</v>
      </c>
      <c r="E576" t="s">
        <v>1796</v>
      </c>
      <c r="F576" s="61">
        <v>36075</v>
      </c>
      <c r="G576" s="15" t="s">
        <v>73</v>
      </c>
      <c r="H576" t="s">
        <v>1797</v>
      </c>
      <c r="I576" s="62" t="s">
        <v>1798</v>
      </c>
      <c r="K576" s="36" t="s">
        <v>68</v>
      </c>
      <c r="L576" t="s">
        <v>69</v>
      </c>
      <c r="M576" s="62" t="s">
        <v>70</v>
      </c>
      <c r="N576" t="s">
        <v>71</v>
      </c>
      <c r="O576" t="str">
        <f>IFERROR(IF(Tbla_actores[[#This Row],[codigo_proyecto]]="","",_xlfn.XLOOKUP(Tbla_actores[[#This Row],[codigo_proyecto]],Proyectos!$A:$A,Proyectos!$C:$C)),"")</f>
        <v>NULOS</v>
      </c>
    </row>
    <row r="577" spans="1:15" ht="14.25" customHeight="1">
      <c r="A577" s="10">
        <v>1015479406</v>
      </c>
      <c r="B577" s="64" t="s">
        <v>61</v>
      </c>
      <c r="C577" s="62" t="s">
        <v>1431</v>
      </c>
      <c r="D577" t="s">
        <v>63</v>
      </c>
      <c r="E577" t="s">
        <v>1799</v>
      </c>
      <c r="F577" s="61">
        <v>36190</v>
      </c>
      <c r="G577" s="15" t="s">
        <v>73</v>
      </c>
      <c r="H577" t="s">
        <v>1800</v>
      </c>
      <c r="I577" s="62" t="s">
        <v>1801</v>
      </c>
      <c r="K577" s="36" t="s">
        <v>68</v>
      </c>
      <c r="L577" t="s">
        <v>69</v>
      </c>
      <c r="M577" s="62" t="s">
        <v>70</v>
      </c>
      <c r="N577" t="s">
        <v>71</v>
      </c>
      <c r="O577" t="str">
        <f>IFERROR(IF(Tbla_actores[[#This Row],[codigo_proyecto]]="","",_xlfn.XLOOKUP(Tbla_actores[[#This Row],[codigo_proyecto]],Proyectos!$A:$A,Proyectos!$C:$C)),"")</f>
        <v>NULOS</v>
      </c>
    </row>
    <row r="578" spans="1:15" ht="14.25" customHeight="1">
      <c r="A578" s="9">
        <v>1026594288</v>
      </c>
      <c r="B578" s="63" t="s">
        <v>61</v>
      </c>
      <c r="C578" s="62" t="s">
        <v>1431</v>
      </c>
      <c r="D578" t="s">
        <v>63</v>
      </c>
      <c r="E578" t="s">
        <v>1802</v>
      </c>
      <c r="F578" s="61">
        <v>35926</v>
      </c>
      <c r="G578" s="15" t="s">
        <v>73</v>
      </c>
      <c r="H578" t="s">
        <v>1803</v>
      </c>
      <c r="I578" s="62" t="s">
        <v>1804</v>
      </c>
      <c r="K578" s="36" t="s">
        <v>68</v>
      </c>
      <c r="L578" t="s">
        <v>69</v>
      </c>
      <c r="M578" s="62" t="s">
        <v>70</v>
      </c>
      <c r="N578" t="s">
        <v>71</v>
      </c>
      <c r="O578" t="str">
        <f>IFERROR(IF(Tbla_actores[[#This Row],[codigo_proyecto]]="","",_xlfn.XLOOKUP(Tbla_actores[[#This Row],[codigo_proyecto]],Proyectos!$A:$A,Proyectos!$C:$C)),"")</f>
        <v>NULOS</v>
      </c>
    </row>
    <row r="579" spans="1:15" ht="14.25" customHeight="1">
      <c r="A579" s="10">
        <v>1015477655</v>
      </c>
      <c r="B579" s="64" t="s">
        <v>61</v>
      </c>
      <c r="C579" s="62" t="s">
        <v>1431</v>
      </c>
      <c r="D579" t="s">
        <v>63</v>
      </c>
      <c r="E579" t="s">
        <v>1805</v>
      </c>
      <c r="F579" s="61">
        <v>36084</v>
      </c>
      <c r="G579" s="15" t="s">
        <v>65</v>
      </c>
      <c r="H579" t="s">
        <v>1806</v>
      </c>
      <c r="I579" s="62" t="s">
        <v>1807</v>
      </c>
      <c r="K579" s="36" t="s">
        <v>68</v>
      </c>
      <c r="L579" t="s">
        <v>69</v>
      </c>
      <c r="M579" s="62" t="s">
        <v>70</v>
      </c>
      <c r="N579" t="s">
        <v>71</v>
      </c>
      <c r="O579" t="str">
        <f>IFERROR(IF(Tbla_actores[[#This Row],[codigo_proyecto]]="","",_xlfn.XLOOKUP(Tbla_actores[[#This Row],[codigo_proyecto]],Proyectos!$A:$A,Proyectos!$C:$C)),"")</f>
        <v>NULOS</v>
      </c>
    </row>
    <row r="580" spans="1:15" ht="14.25" customHeight="1">
      <c r="A580" s="9">
        <v>1006856287</v>
      </c>
      <c r="B580" s="63" t="s">
        <v>61</v>
      </c>
      <c r="C580" s="62" t="s">
        <v>1431</v>
      </c>
      <c r="D580" t="s">
        <v>63</v>
      </c>
      <c r="E580" t="s">
        <v>1808</v>
      </c>
      <c r="F580" s="61">
        <v>36473</v>
      </c>
      <c r="G580" s="15" t="s">
        <v>73</v>
      </c>
      <c r="H580" t="s">
        <v>1809</v>
      </c>
      <c r="I580" s="62" t="s">
        <v>1810</v>
      </c>
      <c r="K580" s="36" t="s">
        <v>68</v>
      </c>
      <c r="L580" t="s">
        <v>69</v>
      </c>
      <c r="M580" s="62" t="s">
        <v>70</v>
      </c>
      <c r="N580" t="s">
        <v>71</v>
      </c>
      <c r="O580" t="str">
        <f>IFERROR(IF(Tbla_actores[[#This Row],[codigo_proyecto]]="","",_xlfn.XLOOKUP(Tbla_actores[[#This Row],[codigo_proyecto]],Proyectos!$A:$A,Proyectos!$C:$C)),"")</f>
        <v>NULOS</v>
      </c>
    </row>
    <row r="581" spans="1:15" ht="14.25" customHeight="1">
      <c r="A581" s="10">
        <v>1018502057</v>
      </c>
      <c r="B581" s="64" t="s">
        <v>61</v>
      </c>
      <c r="C581" s="62" t="s">
        <v>1431</v>
      </c>
      <c r="D581" t="s">
        <v>63</v>
      </c>
      <c r="E581" t="s">
        <v>1811</v>
      </c>
      <c r="F581" s="61">
        <v>35884</v>
      </c>
      <c r="G581" s="15" t="s">
        <v>73</v>
      </c>
      <c r="H581" t="s">
        <v>1812</v>
      </c>
      <c r="I581" s="62" t="s">
        <v>1813</v>
      </c>
      <c r="K581" s="36" t="s">
        <v>495</v>
      </c>
      <c r="L581" t="s">
        <v>69</v>
      </c>
      <c r="M581" s="62" t="s">
        <v>70</v>
      </c>
      <c r="N581" t="s">
        <v>71</v>
      </c>
      <c r="O581" t="str">
        <f>IFERROR(IF(Tbla_actores[[#This Row],[codigo_proyecto]]="","",_xlfn.XLOOKUP(Tbla_actores[[#This Row],[codigo_proyecto]],Proyectos!$A:$A,Proyectos!$C:$C)),"")</f>
        <v>NULOS</v>
      </c>
    </row>
    <row r="582" spans="1:15" ht="14.25" customHeight="1">
      <c r="A582" s="9">
        <v>1020834360</v>
      </c>
      <c r="B582" s="63" t="s">
        <v>61</v>
      </c>
      <c r="C582" s="62" t="s">
        <v>1431</v>
      </c>
      <c r="D582" t="s">
        <v>63</v>
      </c>
      <c r="E582" t="s">
        <v>1814</v>
      </c>
      <c r="F582" s="61">
        <v>35991</v>
      </c>
      <c r="G582" s="15" t="s">
        <v>73</v>
      </c>
      <c r="H582" t="s">
        <v>1815</v>
      </c>
      <c r="I582" s="62" t="s">
        <v>1816</v>
      </c>
      <c r="K582" s="36" t="s">
        <v>495</v>
      </c>
      <c r="L582" t="s">
        <v>69</v>
      </c>
      <c r="M582" s="62" t="s">
        <v>70</v>
      </c>
      <c r="N582" t="s">
        <v>71</v>
      </c>
      <c r="O582" t="str">
        <f>IFERROR(IF(Tbla_actores[[#This Row],[codigo_proyecto]]="","",_xlfn.XLOOKUP(Tbla_actores[[#This Row],[codigo_proyecto]],Proyectos!$A:$A,Proyectos!$C:$C)),"")</f>
        <v>NULOS</v>
      </c>
    </row>
    <row r="583" spans="1:15" ht="14.25" customHeight="1">
      <c r="A583" s="10">
        <v>1020824419</v>
      </c>
      <c r="B583" s="64" t="s">
        <v>61</v>
      </c>
      <c r="C583" s="62" t="s">
        <v>1431</v>
      </c>
      <c r="D583" t="s">
        <v>63</v>
      </c>
      <c r="E583" t="s">
        <v>1817</v>
      </c>
      <c r="F583" s="61">
        <v>35522</v>
      </c>
      <c r="G583" s="15" t="s">
        <v>73</v>
      </c>
      <c r="H583" t="s">
        <v>1818</v>
      </c>
      <c r="I583" s="62" t="s">
        <v>1819</v>
      </c>
      <c r="K583" s="36" t="s">
        <v>495</v>
      </c>
      <c r="L583" t="s">
        <v>69</v>
      </c>
      <c r="M583" s="62" t="s">
        <v>70</v>
      </c>
      <c r="N583" t="s">
        <v>71</v>
      </c>
      <c r="O583" t="str">
        <f>IFERROR(IF(Tbla_actores[[#This Row],[codigo_proyecto]]="","",_xlfn.XLOOKUP(Tbla_actores[[#This Row],[codigo_proyecto]],Proyectos!$A:$A,Proyectos!$C:$C)),"")</f>
        <v>NULOS</v>
      </c>
    </row>
    <row r="584" spans="1:15" ht="14.25" customHeight="1">
      <c r="A584" s="9">
        <v>1020821468</v>
      </c>
      <c r="B584" s="63" t="s">
        <v>61</v>
      </c>
      <c r="C584" s="62" t="s">
        <v>1431</v>
      </c>
      <c r="D584" t="s">
        <v>63</v>
      </c>
      <c r="E584" t="s">
        <v>1820</v>
      </c>
      <c r="F584" s="61">
        <v>35411</v>
      </c>
      <c r="G584" s="15" t="s">
        <v>65</v>
      </c>
      <c r="H584" t="s">
        <v>1821</v>
      </c>
      <c r="I584" s="62" t="s">
        <v>1822</v>
      </c>
      <c r="K584" s="36" t="s">
        <v>495</v>
      </c>
      <c r="L584" t="s">
        <v>69</v>
      </c>
      <c r="M584" s="62" t="s">
        <v>70</v>
      </c>
      <c r="N584" t="s">
        <v>71</v>
      </c>
      <c r="O584" t="str">
        <f>IFERROR(IF(Tbla_actores[[#This Row],[codigo_proyecto]]="","",_xlfn.XLOOKUP(Tbla_actores[[#This Row],[codigo_proyecto]],Proyectos!$A:$A,Proyectos!$C:$C)),"")</f>
        <v>NULOS</v>
      </c>
    </row>
    <row r="585" spans="1:15" ht="14.25" customHeight="1">
      <c r="A585" s="10">
        <v>1032480384</v>
      </c>
      <c r="B585" s="64" t="s">
        <v>61</v>
      </c>
      <c r="C585" s="62" t="s">
        <v>1431</v>
      </c>
      <c r="D585" t="s">
        <v>63</v>
      </c>
      <c r="E585" t="s">
        <v>1823</v>
      </c>
      <c r="F585" s="61">
        <v>35157</v>
      </c>
      <c r="G585" s="15" t="s">
        <v>73</v>
      </c>
      <c r="H585" t="s">
        <v>1824</v>
      </c>
      <c r="I585" s="62" t="s">
        <v>1825</v>
      </c>
      <c r="K585" s="36" t="s">
        <v>495</v>
      </c>
      <c r="L585" t="s">
        <v>69</v>
      </c>
      <c r="M585" s="62" t="s">
        <v>70</v>
      </c>
      <c r="N585" t="s">
        <v>71</v>
      </c>
      <c r="O585" t="str">
        <f>IFERROR(IF(Tbla_actores[[#This Row],[codigo_proyecto]]="","",_xlfn.XLOOKUP(Tbla_actores[[#This Row],[codigo_proyecto]],Proyectos!$A:$A,Proyectos!$C:$C)),"")</f>
        <v>NULOS</v>
      </c>
    </row>
    <row r="586" spans="1:15" ht="14.25" customHeight="1">
      <c r="A586" s="9">
        <v>1077975757</v>
      </c>
      <c r="B586" s="63" t="s">
        <v>61</v>
      </c>
      <c r="C586" s="62" t="s">
        <v>1431</v>
      </c>
      <c r="D586" t="s">
        <v>63</v>
      </c>
      <c r="E586" t="s">
        <v>1826</v>
      </c>
      <c r="F586" s="61">
        <v>35912</v>
      </c>
      <c r="G586" s="15" t="s">
        <v>65</v>
      </c>
      <c r="H586" t="s">
        <v>1827</v>
      </c>
      <c r="I586" s="62" t="s">
        <v>1828</v>
      </c>
      <c r="K586" s="36" t="s">
        <v>495</v>
      </c>
      <c r="L586" t="s">
        <v>69</v>
      </c>
      <c r="M586" s="62" t="s">
        <v>70</v>
      </c>
      <c r="N586" t="s">
        <v>71</v>
      </c>
      <c r="O586" t="str">
        <f>IFERROR(IF(Tbla_actores[[#This Row],[codigo_proyecto]]="","",_xlfn.XLOOKUP(Tbla_actores[[#This Row],[codigo_proyecto]],Proyectos!$A:$A,Proyectos!$C:$C)),"")</f>
        <v>NULOS</v>
      </c>
    </row>
    <row r="587" spans="1:15" ht="14.25" customHeight="1">
      <c r="A587" s="10">
        <v>1015460538</v>
      </c>
      <c r="B587" s="64" t="s">
        <v>61</v>
      </c>
      <c r="C587" s="62" t="s">
        <v>1431</v>
      </c>
      <c r="D587" t="s">
        <v>63</v>
      </c>
      <c r="E587" t="s">
        <v>1829</v>
      </c>
      <c r="F587" s="61">
        <v>35129</v>
      </c>
      <c r="G587" s="15" t="s">
        <v>73</v>
      </c>
      <c r="H587" t="s">
        <v>1830</v>
      </c>
      <c r="I587" s="62" t="s">
        <v>1831</v>
      </c>
      <c r="K587" s="36" t="s">
        <v>495</v>
      </c>
      <c r="L587" t="s">
        <v>69</v>
      </c>
      <c r="M587" s="62" t="s">
        <v>70</v>
      </c>
      <c r="N587" t="s">
        <v>71</v>
      </c>
      <c r="O587" t="str">
        <f>IFERROR(IF(Tbla_actores[[#This Row],[codigo_proyecto]]="","",_xlfn.XLOOKUP(Tbla_actores[[#This Row],[codigo_proyecto]],Proyectos!$A:$A,Proyectos!$C:$C)),"")</f>
        <v>NULOS</v>
      </c>
    </row>
    <row r="588" spans="1:15" ht="14.25" customHeight="1">
      <c r="A588" s="9">
        <v>1005051168</v>
      </c>
      <c r="B588" s="63" t="s">
        <v>61</v>
      </c>
      <c r="C588" s="62" t="s">
        <v>1431</v>
      </c>
      <c r="D588" t="s">
        <v>63</v>
      </c>
      <c r="E588" t="s">
        <v>1832</v>
      </c>
      <c r="F588" s="61">
        <v>36537</v>
      </c>
      <c r="G588" s="15" t="s">
        <v>73</v>
      </c>
      <c r="H588" t="s">
        <v>1833</v>
      </c>
      <c r="I588" s="62" t="s">
        <v>1834</v>
      </c>
      <c r="K588" s="36" t="s">
        <v>495</v>
      </c>
      <c r="L588" t="s">
        <v>69</v>
      </c>
      <c r="M588" s="62" t="s">
        <v>70</v>
      </c>
      <c r="N588" t="s">
        <v>71</v>
      </c>
      <c r="O588" t="str">
        <f>IFERROR(IF(Tbla_actores[[#This Row],[codigo_proyecto]]="","",_xlfn.XLOOKUP(Tbla_actores[[#This Row],[codigo_proyecto]],Proyectos!$A:$A,Proyectos!$C:$C)),"")</f>
        <v>NULOS</v>
      </c>
    </row>
    <row r="589" spans="1:15" ht="14.25" customHeight="1">
      <c r="A589" s="10">
        <v>1019140236</v>
      </c>
      <c r="B589" s="64" t="s">
        <v>61</v>
      </c>
      <c r="C589" s="62" t="s">
        <v>1431</v>
      </c>
      <c r="D589" t="s">
        <v>63</v>
      </c>
      <c r="E589" t="s">
        <v>1835</v>
      </c>
      <c r="F589" s="61">
        <v>35938</v>
      </c>
      <c r="G589" s="15" t="s">
        <v>73</v>
      </c>
      <c r="H589" t="s">
        <v>1836</v>
      </c>
      <c r="I589" s="62" t="s">
        <v>1837</v>
      </c>
      <c r="K589" s="36" t="s">
        <v>495</v>
      </c>
      <c r="L589" t="s">
        <v>69</v>
      </c>
      <c r="M589" s="62" t="s">
        <v>70</v>
      </c>
      <c r="N589" t="s">
        <v>71</v>
      </c>
      <c r="O589" t="str">
        <f>IFERROR(IF(Tbla_actores[[#This Row],[codigo_proyecto]]="","",_xlfn.XLOOKUP(Tbla_actores[[#This Row],[codigo_proyecto]],Proyectos!$A:$A,Proyectos!$C:$C)),"")</f>
        <v>NULOS</v>
      </c>
    </row>
    <row r="590" spans="1:15" ht="14.25" customHeight="1">
      <c r="A590" s="9">
        <v>1014307526</v>
      </c>
      <c r="B590" s="63" t="s">
        <v>61</v>
      </c>
      <c r="C590" s="62" t="s">
        <v>1431</v>
      </c>
      <c r="D590" t="s">
        <v>63</v>
      </c>
      <c r="E590" t="s">
        <v>1838</v>
      </c>
      <c r="F590" s="61">
        <v>36390</v>
      </c>
      <c r="G590" s="15" t="s">
        <v>73</v>
      </c>
      <c r="H590" t="s">
        <v>1839</v>
      </c>
      <c r="I590" s="62" t="s">
        <v>1840</v>
      </c>
      <c r="K590" s="36" t="s">
        <v>495</v>
      </c>
      <c r="L590" t="s">
        <v>69</v>
      </c>
      <c r="M590" s="62" t="s">
        <v>70</v>
      </c>
      <c r="N590" t="s">
        <v>71</v>
      </c>
      <c r="O590" t="str">
        <f>IFERROR(IF(Tbla_actores[[#This Row],[codigo_proyecto]]="","",_xlfn.XLOOKUP(Tbla_actores[[#This Row],[codigo_proyecto]],Proyectos!$A:$A,Proyectos!$C:$C)),"")</f>
        <v>NULOS</v>
      </c>
    </row>
    <row r="591" spans="1:15" ht="14.25" customHeight="1">
      <c r="A591" s="10">
        <v>1018491675</v>
      </c>
      <c r="B591" s="64" t="s">
        <v>61</v>
      </c>
      <c r="C591" s="62" t="s">
        <v>1431</v>
      </c>
      <c r="D591" t="s">
        <v>63</v>
      </c>
      <c r="E591" t="s">
        <v>1841</v>
      </c>
      <c r="F591" s="61">
        <v>35438</v>
      </c>
      <c r="G591" s="15" t="s">
        <v>65</v>
      </c>
      <c r="H591" t="s">
        <v>1842</v>
      </c>
      <c r="I591" s="62" t="s">
        <v>1843</v>
      </c>
      <c r="K591" s="36" t="s">
        <v>495</v>
      </c>
      <c r="L591" t="s">
        <v>69</v>
      </c>
      <c r="M591" s="62" t="s">
        <v>70</v>
      </c>
      <c r="N591" t="s">
        <v>71</v>
      </c>
      <c r="O591" t="str">
        <f>IFERROR(IF(Tbla_actores[[#This Row],[codigo_proyecto]]="","",_xlfn.XLOOKUP(Tbla_actores[[#This Row],[codigo_proyecto]],Proyectos!$A:$A,Proyectos!$C:$C)),"")</f>
        <v>NULOS</v>
      </c>
    </row>
    <row r="592" spans="1:15" ht="14.25" customHeight="1">
      <c r="A592" s="9">
        <v>1020812782</v>
      </c>
      <c r="B592" s="63" t="s">
        <v>61</v>
      </c>
      <c r="C592" s="62" t="s">
        <v>1431</v>
      </c>
      <c r="D592" t="s">
        <v>63</v>
      </c>
      <c r="E592" t="s">
        <v>1844</v>
      </c>
      <c r="F592" s="61">
        <v>35108</v>
      </c>
      <c r="G592" s="15" t="s">
        <v>65</v>
      </c>
      <c r="H592" t="s">
        <v>1845</v>
      </c>
      <c r="I592" s="62" t="s">
        <v>1846</v>
      </c>
      <c r="K592" s="36" t="s">
        <v>495</v>
      </c>
      <c r="L592" t="s">
        <v>69</v>
      </c>
      <c r="M592" s="62" t="s">
        <v>70</v>
      </c>
      <c r="N592" t="s">
        <v>71</v>
      </c>
      <c r="O592" t="str">
        <f>IFERROR(IF(Tbla_actores[[#This Row],[codigo_proyecto]]="","",_xlfn.XLOOKUP(Tbla_actores[[#This Row],[codigo_proyecto]],Proyectos!$A:$A,Proyectos!$C:$C)),"")</f>
        <v>NULOS</v>
      </c>
    </row>
    <row r="593" spans="1:15" ht="14.25" customHeight="1">
      <c r="A593" s="10">
        <v>1019130786</v>
      </c>
      <c r="B593" s="64" t="s">
        <v>61</v>
      </c>
      <c r="C593" s="62" t="s">
        <v>1431</v>
      </c>
      <c r="D593" t="s">
        <v>63</v>
      </c>
      <c r="E593" t="s">
        <v>1847</v>
      </c>
      <c r="F593" s="61">
        <v>35597</v>
      </c>
      <c r="G593" s="15" t="s">
        <v>73</v>
      </c>
      <c r="H593" t="s">
        <v>1848</v>
      </c>
      <c r="I593" s="62" t="s">
        <v>1849</v>
      </c>
      <c r="K593" s="36" t="s">
        <v>495</v>
      </c>
      <c r="L593" t="s">
        <v>69</v>
      </c>
      <c r="M593" s="62" t="s">
        <v>70</v>
      </c>
      <c r="N593" t="s">
        <v>71</v>
      </c>
      <c r="O593" t="str">
        <f>IFERROR(IF(Tbla_actores[[#This Row],[codigo_proyecto]]="","",_xlfn.XLOOKUP(Tbla_actores[[#This Row],[codigo_proyecto]],Proyectos!$A:$A,Proyectos!$C:$C)),"")</f>
        <v>NULOS</v>
      </c>
    </row>
    <row r="594" spans="1:15" ht="14.25" customHeight="1">
      <c r="A594" s="9">
        <v>1016096216</v>
      </c>
      <c r="B594" s="63" t="s">
        <v>61</v>
      </c>
      <c r="C594" s="62" t="s">
        <v>1431</v>
      </c>
      <c r="D594" t="s">
        <v>63</v>
      </c>
      <c r="E594" t="s">
        <v>1850</v>
      </c>
      <c r="F594" s="61">
        <v>35649</v>
      </c>
      <c r="G594" s="15" t="s">
        <v>73</v>
      </c>
      <c r="H594" t="s">
        <v>1851</v>
      </c>
      <c r="I594" s="62" t="s">
        <v>1852</v>
      </c>
      <c r="K594" s="36" t="s">
        <v>495</v>
      </c>
      <c r="L594" t="s">
        <v>69</v>
      </c>
      <c r="M594" s="62" t="s">
        <v>70</v>
      </c>
      <c r="N594" t="s">
        <v>71</v>
      </c>
      <c r="O594" t="str">
        <f>IFERROR(IF(Tbla_actores[[#This Row],[codigo_proyecto]]="","",_xlfn.XLOOKUP(Tbla_actores[[#This Row],[codigo_proyecto]],Proyectos!$A:$A,Proyectos!$C:$C)),"")</f>
        <v>NULOS</v>
      </c>
    </row>
    <row r="595" spans="1:15" ht="14.25" customHeight="1">
      <c r="A595" s="10">
        <v>1020817450</v>
      </c>
      <c r="B595" s="64" t="s">
        <v>61</v>
      </c>
      <c r="C595" s="62" t="s">
        <v>1431</v>
      </c>
      <c r="D595" t="s">
        <v>63</v>
      </c>
      <c r="E595" t="s">
        <v>1853</v>
      </c>
      <c r="F595" s="61">
        <v>35266</v>
      </c>
      <c r="G595" s="15" t="s">
        <v>73</v>
      </c>
      <c r="H595" t="s">
        <v>1854</v>
      </c>
      <c r="I595" s="62" t="s">
        <v>1855</v>
      </c>
      <c r="K595" s="36" t="s">
        <v>495</v>
      </c>
      <c r="L595" t="s">
        <v>69</v>
      </c>
      <c r="M595" s="62" t="s">
        <v>70</v>
      </c>
      <c r="N595" t="s">
        <v>71</v>
      </c>
      <c r="O595" t="str">
        <f>IFERROR(IF(Tbla_actores[[#This Row],[codigo_proyecto]]="","",_xlfn.XLOOKUP(Tbla_actores[[#This Row],[codigo_proyecto]],Proyectos!$A:$A,Proyectos!$C:$C)),"")</f>
        <v>NULOS</v>
      </c>
    </row>
    <row r="596" spans="1:15" ht="14.25" customHeight="1">
      <c r="A596" s="9">
        <v>1032498242</v>
      </c>
      <c r="B596" s="63" t="s">
        <v>61</v>
      </c>
      <c r="C596" s="62" t="s">
        <v>1431</v>
      </c>
      <c r="D596" t="s">
        <v>63</v>
      </c>
      <c r="E596" t="s">
        <v>1856</v>
      </c>
      <c r="F596" s="61">
        <v>35952</v>
      </c>
      <c r="G596" s="15" t="s">
        <v>73</v>
      </c>
      <c r="H596" t="s">
        <v>1857</v>
      </c>
      <c r="I596" s="62" t="s">
        <v>1858</v>
      </c>
      <c r="K596" s="36" t="s">
        <v>495</v>
      </c>
      <c r="L596" t="s">
        <v>69</v>
      </c>
      <c r="M596" s="62" t="s">
        <v>70</v>
      </c>
      <c r="N596" t="s">
        <v>71</v>
      </c>
      <c r="O596" t="str">
        <f>IFERROR(IF(Tbla_actores[[#This Row],[codigo_proyecto]]="","",_xlfn.XLOOKUP(Tbla_actores[[#This Row],[codigo_proyecto]],Proyectos!$A:$A,Proyectos!$C:$C)),"")</f>
        <v>NULOS</v>
      </c>
    </row>
    <row r="597" spans="1:15" ht="14.25" customHeight="1">
      <c r="A597" s="10">
        <v>1065837093</v>
      </c>
      <c r="B597" s="64" t="s">
        <v>61</v>
      </c>
      <c r="C597" s="62" t="s">
        <v>1431</v>
      </c>
      <c r="D597" t="s">
        <v>63</v>
      </c>
      <c r="E597" t="s">
        <v>1859</v>
      </c>
      <c r="F597" s="61">
        <v>35774</v>
      </c>
      <c r="G597" s="15" t="s">
        <v>73</v>
      </c>
      <c r="H597" t="s">
        <v>1860</v>
      </c>
      <c r="I597" s="62" t="s">
        <v>1861</v>
      </c>
      <c r="K597" s="36" t="s">
        <v>495</v>
      </c>
      <c r="L597" t="s">
        <v>69</v>
      </c>
      <c r="M597" s="62" t="s">
        <v>70</v>
      </c>
      <c r="N597" t="s">
        <v>71</v>
      </c>
      <c r="O597" t="str">
        <f>IFERROR(IF(Tbla_actores[[#This Row],[codigo_proyecto]]="","",_xlfn.XLOOKUP(Tbla_actores[[#This Row],[codigo_proyecto]],Proyectos!$A:$A,Proyectos!$C:$C)),"")</f>
        <v>NULOS</v>
      </c>
    </row>
    <row r="598" spans="1:15" ht="14.25" customHeight="1">
      <c r="A598" s="9">
        <v>1083006885</v>
      </c>
      <c r="B598" s="63" t="s">
        <v>61</v>
      </c>
      <c r="C598" s="62" t="s">
        <v>1431</v>
      </c>
      <c r="D598" t="s">
        <v>63</v>
      </c>
      <c r="E598" t="s">
        <v>1862</v>
      </c>
      <c r="F598" s="61">
        <v>35010</v>
      </c>
      <c r="G598" s="15" t="s">
        <v>73</v>
      </c>
      <c r="H598" t="s">
        <v>1863</v>
      </c>
      <c r="I598" s="62" t="s">
        <v>1864</v>
      </c>
      <c r="K598" s="36" t="s">
        <v>495</v>
      </c>
      <c r="L598" t="s">
        <v>69</v>
      </c>
      <c r="M598" s="62" t="s">
        <v>70</v>
      </c>
      <c r="N598" t="s">
        <v>71</v>
      </c>
      <c r="O598" t="str">
        <f>IFERROR(IF(Tbla_actores[[#This Row],[codigo_proyecto]]="","",_xlfn.XLOOKUP(Tbla_actores[[#This Row],[codigo_proyecto]],Proyectos!$A:$A,Proyectos!$C:$C)),"")</f>
        <v>NULOS</v>
      </c>
    </row>
    <row r="599" spans="1:15" ht="14.25" customHeight="1">
      <c r="A599" s="10">
        <v>537055</v>
      </c>
      <c r="B599" s="64" t="s">
        <v>61</v>
      </c>
      <c r="C599" s="62" t="s">
        <v>1431</v>
      </c>
      <c r="D599" t="s">
        <v>63</v>
      </c>
      <c r="E599" t="s">
        <v>1865</v>
      </c>
      <c r="F599" s="61">
        <v>35818</v>
      </c>
      <c r="G599" s="15" t="s">
        <v>73</v>
      </c>
      <c r="H599" t="s">
        <v>1866</v>
      </c>
      <c r="I599" s="62" t="s">
        <v>1867</v>
      </c>
      <c r="K599" s="36" t="s">
        <v>495</v>
      </c>
      <c r="L599" t="s">
        <v>69</v>
      </c>
      <c r="M599" s="62" t="s">
        <v>70</v>
      </c>
      <c r="N599" t="s">
        <v>71</v>
      </c>
      <c r="O599" t="str">
        <f>IFERROR(IF(Tbla_actores[[#This Row],[codigo_proyecto]]="","",_xlfn.XLOOKUP(Tbla_actores[[#This Row],[codigo_proyecto]],Proyectos!$A:$A,Proyectos!$C:$C)),"")</f>
        <v>NULOS</v>
      </c>
    </row>
    <row r="600" spans="1:15" ht="14.25" customHeight="1">
      <c r="A600" s="9">
        <v>1010237190</v>
      </c>
      <c r="B600" s="63" t="s">
        <v>61</v>
      </c>
      <c r="C600" s="62" t="s">
        <v>1431</v>
      </c>
      <c r="D600" t="s">
        <v>63</v>
      </c>
      <c r="E600" t="s">
        <v>1868</v>
      </c>
      <c r="F600" s="61">
        <v>35779</v>
      </c>
      <c r="G600" s="15" t="s">
        <v>65</v>
      </c>
      <c r="H600" t="s">
        <v>1869</v>
      </c>
      <c r="I600" s="62" t="s">
        <v>1870</v>
      </c>
      <c r="K600" s="36" t="s">
        <v>495</v>
      </c>
      <c r="L600" t="s">
        <v>69</v>
      </c>
      <c r="M600" s="62" t="s">
        <v>70</v>
      </c>
      <c r="N600" t="s">
        <v>71</v>
      </c>
      <c r="O600" t="str">
        <f>IFERROR(IF(Tbla_actores[[#This Row],[codigo_proyecto]]="","",_xlfn.XLOOKUP(Tbla_actores[[#This Row],[codigo_proyecto]],Proyectos!$A:$A,Proyectos!$C:$C)),"")</f>
        <v>NULOS</v>
      </c>
    </row>
    <row r="601" spans="1:15" ht="14.25" customHeight="1">
      <c r="A601" s="10">
        <v>1020826830</v>
      </c>
      <c r="B601" s="64" t="s">
        <v>61</v>
      </c>
      <c r="C601" s="62" t="s">
        <v>1431</v>
      </c>
      <c r="D601" t="s">
        <v>63</v>
      </c>
      <c r="E601" t="s">
        <v>1871</v>
      </c>
      <c r="F601" s="61">
        <v>35526</v>
      </c>
      <c r="G601" s="15" t="s">
        <v>65</v>
      </c>
      <c r="H601" t="s">
        <v>1872</v>
      </c>
      <c r="I601" s="62" t="s">
        <v>1873</v>
      </c>
      <c r="K601" s="36" t="s">
        <v>495</v>
      </c>
      <c r="L601" t="s">
        <v>69</v>
      </c>
      <c r="M601" s="62" t="s">
        <v>70</v>
      </c>
      <c r="N601" t="s">
        <v>71</v>
      </c>
      <c r="O601" t="str">
        <f>IFERROR(IF(Tbla_actores[[#This Row],[codigo_proyecto]]="","",_xlfn.XLOOKUP(Tbla_actores[[#This Row],[codigo_proyecto]],Proyectos!$A:$A,Proyectos!$C:$C)),"")</f>
        <v>NULOS</v>
      </c>
    </row>
    <row r="602" spans="1:15" ht="14.25" customHeight="1">
      <c r="A602" s="9">
        <v>1032497667</v>
      </c>
      <c r="B602" s="63" t="s">
        <v>61</v>
      </c>
      <c r="C602" s="62" t="s">
        <v>1431</v>
      </c>
      <c r="D602" t="s">
        <v>63</v>
      </c>
      <c r="E602" t="s">
        <v>1874</v>
      </c>
      <c r="F602" s="61">
        <v>35921</v>
      </c>
      <c r="G602" s="15" t="s">
        <v>73</v>
      </c>
      <c r="H602" t="s">
        <v>1875</v>
      </c>
      <c r="I602" s="62" t="s">
        <v>1876</v>
      </c>
      <c r="K602" s="36" t="s">
        <v>495</v>
      </c>
      <c r="L602" t="s">
        <v>69</v>
      </c>
      <c r="M602" s="62" t="s">
        <v>70</v>
      </c>
      <c r="N602" t="s">
        <v>71</v>
      </c>
      <c r="O602" t="str">
        <f>IFERROR(IF(Tbla_actores[[#This Row],[codigo_proyecto]]="","",_xlfn.XLOOKUP(Tbla_actores[[#This Row],[codigo_proyecto]],Proyectos!$A:$A,Proyectos!$C:$C)),"")</f>
        <v>NULOS</v>
      </c>
    </row>
    <row r="603" spans="1:15" ht="14.25" customHeight="1">
      <c r="A603" s="10">
        <v>1032504194</v>
      </c>
      <c r="B603" s="64" t="s">
        <v>61</v>
      </c>
      <c r="C603" s="62" t="s">
        <v>1431</v>
      </c>
      <c r="D603" t="s">
        <v>63</v>
      </c>
      <c r="E603" t="s">
        <v>1877</v>
      </c>
      <c r="F603" s="61">
        <v>36272</v>
      </c>
      <c r="G603" s="15" t="s">
        <v>65</v>
      </c>
      <c r="H603" t="s">
        <v>1878</v>
      </c>
      <c r="I603" s="62" t="s">
        <v>1879</v>
      </c>
      <c r="K603" s="36" t="s">
        <v>495</v>
      </c>
      <c r="L603" t="s">
        <v>69</v>
      </c>
      <c r="M603" s="62" t="s">
        <v>70</v>
      </c>
      <c r="N603" t="s">
        <v>71</v>
      </c>
      <c r="O603" t="str">
        <f>IFERROR(IF(Tbla_actores[[#This Row],[codigo_proyecto]]="","",_xlfn.XLOOKUP(Tbla_actores[[#This Row],[codigo_proyecto]],Proyectos!$A:$A,Proyectos!$C:$C)),"")</f>
        <v>NULOS</v>
      </c>
    </row>
    <row r="604" spans="1:15" ht="14.25" customHeight="1">
      <c r="A604" s="9">
        <v>1015468665</v>
      </c>
      <c r="B604" s="63" t="s">
        <v>61</v>
      </c>
      <c r="C604" s="62" t="s">
        <v>1431</v>
      </c>
      <c r="D604" t="s">
        <v>63</v>
      </c>
      <c r="E604" t="s">
        <v>1880</v>
      </c>
      <c r="F604" s="61">
        <v>35526</v>
      </c>
      <c r="G604" s="15" t="s">
        <v>65</v>
      </c>
      <c r="H604" t="s">
        <v>1881</v>
      </c>
      <c r="I604" s="62" t="s">
        <v>1882</v>
      </c>
      <c r="K604" s="36" t="s">
        <v>495</v>
      </c>
      <c r="L604" t="s">
        <v>69</v>
      </c>
      <c r="M604" s="62" t="s">
        <v>70</v>
      </c>
      <c r="N604" t="s">
        <v>71</v>
      </c>
      <c r="O604" t="str">
        <f>IFERROR(IF(Tbla_actores[[#This Row],[codigo_proyecto]]="","",_xlfn.XLOOKUP(Tbla_actores[[#This Row],[codigo_proyecto]],Proyectos!$A:$A,Proyectos!$C:$C)),"")</f>
        <v>NULOS</v>
      </c>
    </row>
    <row r="605" spans="1:15" ht="14.25" customHeight="1">
      <c r="A605" s="10">
        <v>1015478996</v>
      </c>
      <c r="B605" s="64" t="s">
        <v>61</v>
      </c>
      <c r="C605" s="62" t="s">
        <v>1431</v>
      </c>
      <c r="D605" t="s">
        <v>63</v>
      </c>
      <c r="E605" t="s">
        <v>1883</v>
      </c>
      <c r="F605" s="61">
        <v>36172</v>
      </c>
      <c r="G605" s="15" t="s">
        <v>65</v>
      </c>
      <c r="H605" t="s">
        <v>1884</v>
      </c>
      <c r="I605" s="62" t="s">
        <v>1885</v>
      </c>
      <c r="K605" s="36" t="s">
        <v>495</v>
      </c>
      <c r="L605" t="s">
        <v>69</v>
      </c>
      <c r="M605" s="62" t="s">
        <v>70</v>
      </c>
      <c r="N605" t="s">
        <v>71</v>
      </c>
      <c r="O605" t="str">
        <f>IFERROR(IF(Tbla_actores[[#This Row],[codigo_proyecto]]="","",_xlfn.XLOOKUP(Tbla_actores[[#This Row],[codigo_proyecto]],Proyectos!$A:$A,Proyectos!$C:$C)),"")</f>
        <v>NULOS</v>
      </c>
    </row>
    <row r="606" spans="1:15" ht="14.25" customHeight="1">
      <c r="A606" s="9">
        <v>1015458468</v>
      </c>
      <c r="B606" s="63" t="s">
        <v>61</v>
      </c>
      <c r="C606" s="62" t="s">
        <v>1431</v>
      </c>
      <c r="D606" t="s">
        <v>63</v>
      </c>
      <c r="E606" t="s">
        <v>1886</v>
      </c>
      <c r="F606" s="61">
        <v>35034</v>
      </c>
      <c r="G606" s="15" t="s">
        <v>65</v>
      </c>
      <c r="H606" t="s">
        <v>1887</v>
      </c>
      <c r="I606" s="62" t="s">
        <v>1888</v>
      </c>
      <c r="K606" s="36" t="s">
        <v>495</v>
      </c>
      <c r="L606" t="s">
        <v>69</v>
      </c>
      <c r="M606" s="62" t="s">
        <v>70</v>
      </c>
      <c r="N606" t="s">
        <v>71</v>
      </c>
      <c r="O606" t="str">
        <f>IFERROR(IF(Tbla_actores[[#This Row],[codigo_proyecto]]="","",_xlfn.XLOOKUP(Tbla_actores[[#This Row],[codigo_proyecto]],Proyectos!$A:$A,Proyectos!$C:$C)),"")</f>
        <v>NULOS</v>
      </c>
    </row>
    <row r="607" spans="1:15" ht="14.25" customHeight="1">
      <c r="A607" s="10">
        <v>1022424814</v>
      </c>
      <c r="B607" s="64" t="s">
        <v>61</v>
      </c>
      <c r="C607" s="62" t="s">
        <v>1431</v>
      </c>
      <c r="D607" t="s">
        <v>63</v>
      </c>
      <c r="E607" t="s">
        <v>1889</v>
      </c>
      <c r="F607" s="61">
        <v>35495</v>
      </c>
      <c r="G607" s="15" t="s">
        <v>73</v>
      </c>
      <c r="H607" t="s">
        <v>1890</v>
      </c>
      <c r="I607" s="62" t="s">
        <v>1891</v>
      </c>
      <c r="K607" s="36" t="s">
        <v>495</v>
      </c>
      <c r="L607" t="s">
        <v>69</v>
      </c>
      <c r="M607" s="62" t="s">
        <v>70</v>
      </c>
      <c r="N607" t="s">
        <v>71</v>
      </c>
      <c r="O607" t="str">
        <f>IFERROR(IF(Tbla_actores[[#This Row],[codigo_proyecto]]="","",_xlfn.XLOOKUP(Tbla_actores[[#This Row],[codigo_proyecto]],Proyectos!$A:$A,Proyectos!$C:$C)),"")</f>
        <v>NULOS</v>
      </c>
    </row>
    <row r="608" spans="1:15" ht="14.25" customHeight="1">
      <c r="A608" s="9">
        <v>1018512708</v>
      </c>
      <c r="B608" s="63" t="s">
        <v>61</v>
      </c>
      <c r="C608" s="62" t="s">
        <v>1431</v>
      </c>
      <c r="D608" t="s">
        <v>63</v>
      </c>
      <c r="E608" t="s">
        <v>1892</v>
      </c>
      <c r="F608" s="61">
        <v>36382</v>
      </c>
      <c r="G608" s="15" t="s">
        <v>73</v>
      </c>
      <c r="H608" t="s">
        <v>1893</v>
      </c>
      <c r="I608" s="62" t="s">
        <v>1894</v>
      </c>
      <c r="K608" s="36" t="s">
        <v>495</v>
      </c>
      <c r="L608" t="s">
        <v>69</v>
      </c>
      <c r="M608" s="62" t="s">
        <v>70</v>
      </c>
      <c r="N608" t="s">
        <v>71</v>
      </c>
      <c r="O608" t="str">
        <f>IFERROR(IF(Tbla_actores[[#This Row],[codigo_proyecto]]="","",_xlfn.XLOOKUP(Tbla_actores[[#This Row],[codigo_proyecto]],Proyectos!$A:$A,Proyectos!$C:$C)),"")</f>
        <v>NULOS</v>
      </c>
    </row>
    <row r="609" spans="1:15" ht="14.25" customHeight="1">
      <c r="A609" s="10">
        <v>1020820669</v>
      </c>
      <c r="B609" s="64" t="s">
        <v>61</v>
      </c>
      <c r="C609" s="62" t="s">
        <v>1431</v>
      </c>
      <c r="D609" t="s">
        <v>63</v>
      </c>
      <c r="E609" t="s">
        <v>1895</v>
      </c>
      <c r="F609" s="61">
        <v>35326</v>
      </c>
      <c r="G609" s="15" t="s">
        <v>65</v>
      </c>
      <c r="H609" t="s">
        <v>1896</v>
      </c>
      <c r="I609" s="62" t="s">
        <v>1897</v>
      </c>
      <c r="K609" s="36" t="s">
        <v>495</v>
      </c>
      <c r="L609" t="s">
        <v>69</v>
      </c>
      <c r="M609" s="62" t="s">
        <v>70</v>
      </c>
      <c r="N609" t="s">
        <v>71</v>
      </c>
      <c r="O609" t="str">
        <f>IFERROR(IF(Tbla_actores[[#This Row],[codigo_proyecto]]="","",_xlfn.XLOOKUP(Tbla_actores[[#This Row],[codigo_proyecto]],Proyectos!$A:$A,Proyectos!$C:$C)),"")</f>
        <v>NULOS</v>
      </c>
    </row>
    <row r="610" spans="1:15" ht="14.25" customHeight="1">
      <c r="A610" s="9">
        <v>1018482274</v>
      </c>
      <c r="B610" s="63" t="s">
        <v>61</v>
      </c>
      <c r="C610" s="62" t="s">
        <v>1431</v>
      </c>
      <c r="D610" t="s">
        <v>63</v>
      </c>
      <c r="E610" t="s">
        <v>1898</v>
      </c>
      <c r="F610" s="61">
        <v>35085</v>
      </c>
      <c r="G610" s="15" t="s">
        <v>73</v>
      </c>
      <c r="H610" t="s">
        <v>1899</v>
      </c>
      <c r="I610" s="62" t="s">
        <v>1900</v>
      </c>
      <c r="K610" s="36" t="s">
        <v>495</v>
      </c>
      <c r="L610" t="s">
        <v>69</v>
      </c>
      <c r="M610" s="62" t="s">
        <v>70</v>
      </c>
      <c r="N610" t="s">
        <v>71</v>
      </c>
      <c r="O610" t="str">
        <f>IFERROR(IF(Tbla_actores[[#This Row],[codigo_proyecto]]="","",_xlfn.XLOOKUP(Tbla_actores[[#This Row],[codigo_proyecto]],Proyectos!$A:$A,Proyectos!$C:$C)),"")</f>
        <v>NULOS</v>
      </c>
    </row>
    <row r="611" spans="1:15" ht="14.25" customHeight="1">
      <c r="A611" s="10">
        <v>1010238692</v>
      </c>
      <c r="B611" s="64" t="s">
        <v>61</v>
      </c>
      <c r="C611" s="62" t="s">
        <v>1431</v>
      </c>
      <c r="D611" t="s">
        <v>63</v>
      </c>
      <c r="E611" t="s">
        <v>1901</v>
      </c>
      <c r="F611" s="61">
        <v>35882</v>
      </c>
      <c r="G611" s="15" t="s">
        <v>73</v>
      </c>
      <c r="H611" t="s">
        <v>1902</v>
      </c>
      <c r="I611" s="62" t="s">
        <v>1903</v>
      </c>
      <c r="K611" s="36" t="s">
        <v>495</v>
      </c>
      <c r="L611" t="s">
        <v>69</v>
      </c>
      <c r="M611" s="62" t="s">
        <v>70</v>
      </c>
      <c r="N611" t="s">
        <v>71</v>
      </c>
      <c r="O611" t="str">
        <f>IFERROR(IF(Tbla_actores[[#This Row],[codigo_proyecto]]="","",_xlfn.XLOOKUP(Tbla_actores[[#This Row],[codigo_proyecto]],Proyectos!$A:$A,Proyectos!$C:$C)),"")</f>
        <v>NULOS</v>
      </c>
    </row>
    <row r="612" spans="1:15" ht="14.25" customHeight="1">
      <c r="A612" s="9">
        <v>1018490418</v>
      </c>
      <c r="B612" s="63" t="s">
        <v>61</v>
      </c>
      <c r="C612" s="62" t="s">
        <v>1431</v>
      </c>
      <c r="D612" t="s">
        <v>63</v>
      </c>
      <c r="E612" t="s">
        <v>1904</v>
      </c>
      <c r="F612" s="61">
        <v>35376</v>
      </c>
      <c r="G612" s="15" t="s">
        <v>73</v>
      </c>
      <c r="H612" t="s">
        <v>1905</v>
      </c>
      <c r="I612" s="62" t="s">
        <v>1906</v>
      </c>
      <c r="K612" s="36" t="s">
        <v>495</v>
      </c>
      <c r="L612" t="s">
        <v>69</v>
      </c>
      <c r="M612" s="62" t="s">
        <v>70</v>
      </c>
      <c r="N612" t="s">
        <v>71</v>
      </c>
      <c r="O612" t="str">
        <f>IFERROR(IF(Tbla_actores[[#This Row],[codigo_proyecto]]="","",_xlfn.XLOOKUP(Tbla_actores[[#This Row],[codigo_proyecto]],Proyectos!$A:$A,Proyectos!$C:$C)),"")</f>
        <v>NULOS</v>
      </c>
    </row>
    <row r="613" spans="1:15" ht="14.25" customHeight="1">
      <c r="A613" s="10">
        <v>1020828388</v>
      </c>
      <c r="B613" s="64" t="s">
        <v>61</v>
      </c>
      <c r="C613" s="62" t="s">
        <v>1431</v>
      </c>
      <c r="D613" t="s">
        <v>63</v>
      </c>
      <c r="E613" t="s">
        <v>1907</v>
      </c>
      <c r="F613" s="61">
        <v>35696</v>
      </c>
      <c r="G613" s="15" t="s">
        <v>73</v>
      </c>
      <c r="H613" t="s">
        <v>1908</v>
      </c>
      <c r="I613" s="62" t="s">
        <v>1909</v>
      </c>
      <c r="K613" s="36" t="s">
        <v>495</v>
      </c>
      <c r="L613" t="s">
        <v>69</v>
      </c>
      <c r="M613" s="62" t="s">
        <v>70</v>
      </c>
      <c r="N613" t="s">
        <v>71</v>
      </c>
      <c r="O613" t="str">
        <f>IFERROR(IF(Tbla_actores[[#This Row],[codigo_proyecto]]="","",_xlfn.XLOOKUP(Tbla_actores[[#This Row],[codigo_proyecto]],Proyectos!$A:$A,Proyectos!$C:$C)),"")</f>
        <v>NULOS</v>
      </c>
    </row>
    <row r="614" spans="1:15" ht="14.25" customHeight="1">
      <c r="A614" s="9">
        <v>1019139265</v>
      </c>
      <c r="B614" s="63" t="s">
        <v>61</v>
      </c>
      <c r="C614" s="62" t="s">
        <v>1431</v>
      </c>
      <c r="D614" t="s">
        <v>63</v>
      </c>
      <c r="E614" t="s">
        <v>1910</v>
      </c>
      <c r="F614" s="61">
        <v>35904</v>
      </c>
      <c r="G614" s="15" t="s">
        <v>73</v>
      </c>
      <c r="H614" t="s">
        <v>1911</v>
      </c>
      <c r="I614" s="62" t="s">
        <v>1912</v>
      </c>
      <c r="K614" s="36" t="s">
        <v>495</v>
      </c>
      <c r="L614" t="s">
        <v>69</v>
      </c>
      <c r="M614" s="62" t="s">
        <v>70</v>
      </c>
      <c r="N614" t="s">
        <v>71</v>
      </c>
      <c r="O614" t="str">
        <f>IFERROR(IF(Tbla_actores[[#This Row],[codigo_proyecto]]="","",_xlfn.XLOOKUP(Tbla_actores[[#This Row],[codigo_proyecto]],Proyectos!$A:$A,Proyectos!$C:$C)),"")</f>
        <v>NULOS</v>
      </c>
    </row>
    <row r="615" spans="1:15" ht="14.25" customHeight="1">
      <c r="A615" s="10">
        <v>1118566199</v>
      </c>
      <c r="B615" s="64" t="s">
        <v>61</v>
      </c>
      <c r="C615" s="62" t="s">
        <v>1431</v>
      </c>
      <c r="D615" t="s">
        <v>63</v>
      </c>
      <c r="E615" t="s">
        <v>1913</v>
      </c>
      <c r="F615" s="61">
        <v>35341</v>
      </c>
      <c r="G615" s="15" t="s">
        <v>65</v>
      </c>
      <c r="H615" t="s">
        <v>1914</v>
      </c>
      <c r="I615" s="62" t="s">
        <v>1915</v>
      </c>
      <c r="K615" s="36" t="s">
        <v>495</v>
      </c>
      <c r="L615" t="s">
        <v>69</v>
      </c>
      <c r="M615" s="62" t="s">
        <v>70</v>
      </c>
      <c r="N615" t="s">
        <v>71</v>
      </c>
      <c r="O615" t="str">
        <f>IFERROR(IF(Tbla_actores[[#This Row],[codigo_proyecto]]="","",_xlfn.XLOOKUP(Tbla_actores[[#This Row],[codigo_proyecto]],Proyectos!$A:$A,Proyectos!$C:$C)),"")</f>
        <v>NULOS</v>
      </c>
    </row>
    <row r="616" spans="1:15" ht="14.25" customHeight="1">
      <c r="A616" s="9">
        <v>1073609750</v>
      </c>
      <c r="B616" s="63" t="s">
        <v>61</v>
      </c>
      <c r="C616" s="62" t="s">
        <v>1431</v>
      </c>
      <c r="D616" t="s">
        <v>63</v>
      </c>
      <c r="E616" t="s">
        <v>1916</v>
      </c>
      <c r="F616" s="61">
        <v>36232</v>
      </c>
      <c r="G616" s="15" t="s">
        <v>73</v>
      </c>
      <c r="H616" t="s">
        <v>1917</v>
      </c>
      <c r="I616" s="62" t="s">
        <v>1918</v>
      </c>
      <c r="K616" s="36" t="s">
        <v>495</v>
      </c>
      <c r="L616" t="s">
        <v>69</v>
      </c>
      <c r="M616" s="62" t="s">
        <v>70</v>
      </c>
      <c r="N616" t="s">
        <v>71</v>
      </c>
      <c r="O616" t="str">
        <f>IFERROR(IF(Tbla_actores[[#This Row],[codigo_proyecto]]="","",_xlfn.XLOOKUP(Tbla_actores[[#This Row],[codigo_proyecto]],Proyectos!$A:$A,Proyectos!$C:$C)),"")</f>
        <v>NULOS</v>
      </c>
    </row>
    <row r="617" spans="1:15" ht="14.25" customHeight="1">
      <c r="A617" s="10">
        <v>1020831459</v>
      </c>
      <c r="B617" s="64" t="s">
        <v>61</v>
      </c>
      <c r="C617" s="62" t="s">
        <v>1431</v>
      </c>
      <c r="D617" t="s">
        <v>63</v>
      </c>
      <c r="E617" t="s">
        <v>1919</v>
      </c>
      <c r="F617" s="61">
        <v>35878</v>
      </c>
      <c r="G617" s="15" t="s">
        <v>65</v>
      </c>
      <c r="H617" t="s">
        <v>1920</v>
      </c>
      <c r="I617" s="62" t="s">
        <v>1921</v>
      </c>
      <c r="K617" s="36" t="s">
        <v>495</v>
      </c>
      <c r="L617" t="s">
        <v>69</v>
      </c>
      <c r="M617" s="62" t="s">
        <v>70</v>
      </c>
      <c r="N617" t="s">
        <v>71</v>
      </c>
      <c r="O617" t="str">
        <f>IFERROR(IF(Tbla_actores[[#This Row],[codigo_proyecto]]="","",_xlfn.XLOOKUP(Tbla_actores[[#This Row],[codigo_proyecto]],Proyectos!$A:$A,Proyectos!$C:$C)),"")</f>
        <v>NULOS</v>
      </c>
    </row>
    <row r="618" spans="1:15" ht="14.25" customHeight="1">
      <c r="A618" s="9">
        <v>1019141495</v>
      </c>
      <c r="B618" s="63" t="s">
        <v>61</v>
      </c>
      <c r="C618" s="62" t="s">
        <v>1431</v>
      </c>
      <c r="D618" t="s">
        <v>63</v>
      </c>
      <c r="E618" t="s">
        <v>1922</v>
      </c>
      <c r="F618" s="61">
        <v>35769</v>
      </c>
      <c r="G618" s="15" t="s">
        <v>73</v>
      </c>
      <c r="H618" t="s">
        <v>1923</v>
      </c>
      <c r="I618" s="62" t="s">
        <v>1924</v>
      </c>
      <c r="K618" s="36" t="s">
        <v>495</v>
      </c>
      <c r="L618" t="s">
        <v>69</v>
      </c>
      <c r="M618" s="62" t="s">
        <v>70</v>
      </c>
      <c r="N618" t="s">
        <v>71</v>
      </c>
      <c r="O618" t="str">
        <f>IFERROR(IF(Tbla_actores[[#This Row],[codigo_proyecto]]="","",_xlfn.XLOOKUP(Tbla_actores[[#This Row],[codigo_proyecto]],Proyectos!$A:$A,Proyectos!$C:$C)),"")</f>
        <v>NULOS</v>
      </c>
    </row>
    <row r="619" spans="1:15" ht="14.25" customHeight="1">
      <c r="A619" s="10">
        <v>1098773923</v>
      </c>
      <c r="B619" s="64" t="s">
        <v>61</v>
      </c>
      <c r="C619" s="62" t="s">
        <v>62</v>
      </c>
      <c r="D619" t="s">
        <v>63</v>
      </c>
      <c r="E619" t="s">
        <v>1925</v>
      </c>
      <c r="F619" s="61">
        <v>34943</v>
      </c>
      <c r="G619" s="15" t="s">
        <v>73</v>
      </c>
      <c r="H619" t="s">
        <v>1926</v>
      </c>
      <c r="I619" s="62" t="s">
        <v>1927</v>
      </c>
      <c r="K619" s="36" t="s">
        <v>495</v>
      </c>
      <c r="L619" t="s">
        <v>69</v>
      </c>
      <c r="M619" s="62" t="s">
        <v>70</v>
      </c>
      <c r="N619" t="s">
        <v>71</v>
      </c>
      <c r="O619" t="str">
        <f>IFERROR(IF(Tbla_actores[[#This Row],[codigo_proyecto]]="","",_xlfn.XLOOKUP(Tbla_actores[[#This Row],[codigo_proyecto]],Proyectos!$A:$A,Proyectos!$C:$C)),"")</f>
        <v>NULOS</v>
      </c>
    </row>
    <row r="620" spans="1:15" ht="14.25" customHeight="1">
      <c r="A620" s="9">
        <v>1030684261</v>
      </c>
      <c r="B620" s="63" t="s">
        <v>61</v>
      </c>
      <c r="C620" s="62" t="s">
        <v>1431</v>
      </c>
      <c r="D620" t="s">
        <v>63</v>
      </c>
      <c r="E620" t="s">
        <v>1928</v>
      </c>
      <c r="F620" s="61">
        <v>35811</v>
      </c>
      <c r="G620" s="15" t="s">
        <v>65</v>
      </c>
      <c r="H620" t="s">
        <v>1929</v>
      </c>
      <c r="I620" s="62" t="s">
        <v>1930</v>
      </c>
      <c r="K620" s="36" t="s">
        <v>495</v>
      </c>
      <c r="L620" t="s">
        <v>69</v>
      </c>
      <c r="M620" s="62" t="s">
        <v>70</v>
      </c>
      <c r="N620" t="s">
        <v>71</v>
      </c>
      <c r="O620" t="str">
        <f>IFERROR(IF(Tbla_actores[[#This Row],[codigo_proyecto]]="","",_xlfn.XLOOKUP(Tbla_actores[[#This Row],[codigo_proyecto]],Proyectos!$A:$A,Proyectos!$C:$C)),"")</f>
        <v>NULOS</v>
      </c>
    </row>
    <row r="621" spans="1:15" ht="14.25" customHeight="1">
      <c r="A621" s="10">
        <v>1093782535</v>
      </c>
      <c r="B621" s="64" t="s">
        <v>61</v>
      </c>
      <c r="C621" s="62" t="s">
        <v>1431</v>
      </c>
      <c r="D621" t="s">
        <v>63</v>
      </c>
      <c r="E621" t="s">
        <v>1931</v>
      </c>
      <c r="F621" s="61">
        <v>35033</v>
      </c>
      <c r="G621" s="15" t="s">
        <v>73</v>
      </c>
      <c r="H621" t="s">
        <v>1932</v>
      </c>
      <c r="I621" s="62" t="s">
        <v>1933</v>
      </c>
      <c r="K621" s="36" t="s">
        <v>495</v>
      </c>
      <c r="L621" t="s">
        <v>69</v>
      </c>
      <c r="M621" s="62" t="s">
        <v>70</v>
      </c>
      <c r="N621" t="s">
        <v>71</v>
      </c>
      <c r="O621" t="str">
        <f>IFERROR(IF(Tbla_actores[[#This Row],[codigo_proyecto]]="","",_xlfn.XLOOKUP(Tbla_actores[[#This Row],[codigo_proyecto]],Proyectos!$A:$A,Proyectos!$C:$C)),"")</f>
        <v>NULOS</v>
      </c>
    </row>
    <row r="622" spans="1:15" ht="14.25" customHeight="1">
      <c r="A622" s="9">
        <v>1020823673</v>
      </c>
      <c r="B622" s="63" t="s">
        <v>61</v>
      </c>
      <c r="C622" s="62" t="s">
        <v>1431</v>
      </c>
      <c r="D622" t="s">
        <v>63</v>
      </c>
      <c r="E622" t="s">
        <v>1934</v>
      </c>
      <c r="F622" s="61">
        <v>35489</v>
      </c>
      <c r="G622" s="15" t="s">
        <v>73</v>
      </c>
      <c r="H622" t="s">
        <v>1935</v>
      </c>
      <c r="I622" s="62" t="s">
        <v>1936</v>
      </c>
      <c r="K622" s="36" t="s">
        <v>495</v>
      </c>
      <c r="L622" t="s">
        <v>69</v>
      </c>
      <c r="M622" s="62" t="s">
        <v>70</v>
      </c>
      <c r="N622" t="s">
        <v>71</v>
      </c>
      <c r="O622" t="str">
        <f>IFERROR(IF(Tbla_actores[[#This Row],[codigo_proyecto]]="","",_xlfn.XLOOKUP(Tbla_actores[[#This Row],[codigo_proyecto]],Proyectos!$A:$A,Proyectos!$C:$C)),"")</f>
        <v>NULOS</v>
      </c>
    </row>
    <row r="623" spans="1:15" ht="14.25" customHeight="1">
      <c r="A623" s="10">
        <v>1026304515</v>
      </c>
      <c r="B623" s="64" t="s">
        <v>61</v>
      </c>
      <c r="C623" s="62" t="s">
        <v>1431</v>
      </c>
      <c r="D623" t="s">
        <v>63</v>
      </c>
      <c r="E623" t="s">
        <v>1937</v>
      </c>
      <c r="F623" s="61">
        <v>36150</v>
      </c>
      <c r="G623" s="15" t="s">
        <v>73</v>
      </c>
      <c r="H623" t="s">
        <v>1938</v>
      </c>
      <c r="I623" s="62" t="s">
        <v>1939</v>
      </c>
      <c r="K623" s="36" t="s">
        <v>495</v>
      </c>
      <c r="L623" t="s">
        <v>69</v>
      </c>
      <c r="M623" s="62" t="s">
        <v>70</v>
      </c>
      <c r="N623" t="s">
        <v>71</v>
      </c>
      <c r="O623" t="str">
        <f>IFERROR(IF(Tbla_actores[[#This Row],[codigo_proyecto]]="","",_xlfn.XLOOKUP(Tbla_actores[[#This Row],[codigo_proyecto]],Proyectos!$A:$A,Proyectos!$C:$C)),"")</f>
        <v>NULOS</v>
      </c>
    </row>
    <row r="624" spans="1:15" ht="14.25" customHeight="1">
      <c r="A624" s="9">
        <v>1032496916</v>
      </c>
      <c r="B624" s="63" t="s">
        <v>61</v>
      </c>
      <c r="C624" s="62" t="s">
        <v>1431</v>
      </c>
      <c r="D624" t="s">
        <v>63</v>
      </c>
      <c r="E624" t="s">
        <v>1940</v>
      </c>
      <c r="F624" s="61">
        <v>35881</v>
      </c>
      <c r="G624" s="15" t="s">
        <v>73</v>
      </c>
      <c r="H624" t="s">
        <v>1941</v>
      </c>
      <c r="I624" s="62" t="s">
        <v>1942</v>
      </c>
      <c r="K624" s="36" t="s">
        <v>495</v>
      </c>
      <c r="L624" t="s">
        <v>69</v>
      </c>
      <c r="M624" s="62" t="s">
        <v>70</v>
      </c>
      <c r="N624" t="s">
        <v>71</v>
      </c>
      <c r="O624" t="str">
        <f>IFERROR(IF(Tbla_actores[[#This Row],[codigo_proyecto]]="","",_xlfn.XLOOKUP(Tbla_actores[[#This Row],[codigo_proyecto]],Proyectos!$A:$A,Proyectos!$C:$C)),"")</f>
        <v>NULOS</v>
      </c>
    </row>
    <row r="625" spans="1:15" ht="14.25" customHeight="1">
      <c r="A625" s="10">
        <v>1020827535</v>
      </c>
      <c r="B625" s="64" t="s">
        <v>61</v>
      </c>
      <c r="C625" s="62" t="s">
        <v>1431</v>
      </c>
      <c r="D625" t="s">
        <v>63</v>
      </c>
      <c r="E625" t="s">
        <v>1943</v>
      </c>
      <c r="F625" s="61">
        <v>35664</v>
      </c>
      <c r="G625" s="15" t="s">
        <v>73</v>
      </c>
      <c r="H625" t="s">
        <v>1944</v>
      </c>
      <c r="I625" s="62" t="s">
        <v>1945</v>
      </c>
      <c r="K625" s="36" t="s">
        <v>495</v>
      </c>
      <c r="L625" t="s">
        <v>69</v>
      </c>
      <c r="M625" s="62" t="s">
        <v>70</v>
      </c>
      <c r="N625" t="s">
        <v>71</v>
      </c>
      <c r="O625" t="str">
        <f>IFERROR(IF(Tbla_actores[[#This Row],[codigo_proyecto]]="","",_xlfn.XLOOKUP(Tbla_actores[[#This Row],[codigo_proyecto]],Proyectos!$A:$A,Proyectos!$C:$C)),"")</f>
        <v>NULOS</v>
      </c>
    </row>
    <row r="626" spans="1:15" ht="14.25" customHeight="1">
      <c r="A626" s="9">
        <v>1015464710</v>
      </c>
      <c r="B626" s="63" t="s">
        <v>61</v>
      </c>
      <c r="C626" s="62" t="s">
        <v>1431</v>
      </c>
      <c r="D626" t="s">
        <v>63</v>
      </c>
      <c r="E626" t="s">
        <v>1946</v>
      </c>
      <c r="F626" s="61">
        <v>35304</v>
      </c>
      <c r="G626" s="15" t="s">
        <v>73</v>
      </c>
      <c r="H626" t="s">
        <v>1947</v>
      </c>
      <c r="I626" s="62" t="s">
        <v>1948</v>
      </c>
      <c r="K626" s="36" t="s">
        <v>495</v>
      </c>
      <c r="L626" t="s">
        <v>69</v>
      </c>
      <c r="M626" s="62" t="s">
        <v>70</v>
      </c>
      <c r="N626" t="s">
        <v>71</v>
      </c>
      <c r="O626" t="str">
        <f>IFERROR(IF(Tbla_actores[[#This Row],[codigo_proyecto]]="","",_xlfn.XLOOKUP(Tbla_actores[[#This Row],[codigo_proyecto]],Proyectos!$A:$A,Proyectos!$C:$C)),"")</f>
        <v>NULOS</v>
      </c>
    </row>
    <row r="627" spans="1:15" ht="14.25" customHeight="1">
      <c r="A627" s="10">
        <v>1013680351</v>
      </c>
      <c r="B627" s="64" t="s">
        <v>61</v>
      </c>
      <c r="C627" s="62" t="s">
        <v>1431</v>
      </c>
      <c r="D627" t="s">
        <v>63</v>
      </c>
      <c r="E627" t="s">
        <v>1949</v>
      </c>
      <c r="F627" s="61">
        <v>35876</v>
      </c>
      <c r="G627" s="15" t="s">
        <v>73</v>
      </c>
      <c r="H627" t="s">
        <v>1950</v>
      </c>
      <c r="I627" s="62" t="s">
        <v>1951</v>
      </c>
      <c r="K627" s="36" t="s">
        <v>495</v>
      </c>
      <c r="L627" t="s">
        <v>69</v>
      </c>
      <c r="M627" s="62" t="s">
        <v>70</v>
      </c>
      <c r="N627" t="s">
        <v>71</v>
      </c>
      <c r="O627" t="str">
        <f>IFERROR(IF(Tbla_actores[[#This Row],[codigo_proyecto]]="","",_xlfn.XLOOKUP(Tbla_actores[[#This Row],[codigo_proyecto]],Proyectos!$A:$A,Proyectos!$C:$C)),"")</f>
        <v>NULOS</v>
      </c>
    </row>
    <row r="628" spans="1:15" ht="14.25" customHeight="1">
      <c r="A628" s="9">
        <v>1020792738</v>
      </c>
      <c r="B628" s="63" t="s">
        <v>61</v>
      </c>
      <c r="C628" s="62" t="s">
        <v>1431</v>
      </c>
      <c r="D628" t="s">
        <v>63</v>
      </c>
      <c r="E628" t="s">
        <v>1952</v>
      </c>
      <c r="F628" s="61">
        <v>34440</v>
      </c>
      <c r="G628" s="15" t="s">
        <v>73</v>
      </c>
      <c r="H628" t="s">
        <v>1953</v>
      </c>
      <c r="I628" s="62" t="s">
        <v>1954</v>
      </c>
      <c r="K628" s="36" t="s">
        <v>495</v>
      </c>
      <c r="L628" t="s">
        <v>69</v>
      </c>
      <c r="M628" s="62" t="s">
        <v>70</v>
      </c>
      <c r="N628" t="s">
        <v>71</v>
      </c>
      <c r="O628" t="str">
        <f>IFERROR(IF(Tbla_actores[[#This Row],[codigo_proyecto]]="","",_xlfn.XLOOKUP(Tbla_actores[[#This Row],[codigo_proyecto]],Proyectos!$A:$A,Proyectos!$C:$C)),"")</f>
        <v>NULOS</v>
      </c>
    </row>
    <row r="629" spans="1:15" ht="14.25" customHeight="1">
      <c r="A629" s="10">
        <v>1118866828</v>
      </c>
      <c r="B629" s="64" t="s">
        <v>61</v>
      </c>
      <c r="C629" s="62" t="s">
        <v>1431</v>
      </c>
      <c r="D629" t="s">
        <v>63</v>
      </c>
      <c r="E629" t="s">
        <v>1955</v>
      </c>
      <c r="F629" s="61">
        <v>35786</v>
      </c>
      <c r="G629" s="15" t="s">
        <v>73</v>
      </c>
      <c r="H629" t="s">
        <v>1956</v>
      </c>
      <c r="I629" s="62" t="s">
        <v>1957</v>
      </c>
      <c r="K629" s="36" t="s">
        <v>495</v>
      </c>
      <c r="L629" t="s">
        <v>69</v>
      </c>
      <c r="M629" s="62" t="s">
        <v>70</v>
      </c>
      <c r="N629" t="s">
        <v>71</v>
      </c>
      <c r="O629" t="str">
        <f>IFERROR(IF(Tbla_actores[[#This Row],[codigo_proyecto]]="","",_xlfn.XLOOKUP(Tbla_actores[[#This Row],[codigo_proyecto]],Proyectos!$A:$A,Proyectos!$C:$C)),"")</f>
        <v>NULOS</v>
      </c>
    </row>
    <row r="630" spans="1:15" ht="14.25" customHeight="1">
      <c r="A630" s="9">
        <v>1019111270</v>
      </c>
      <c r="B630" s="63" t="s">
        <v>61</v>
      </c>
      <c r="C630" s="62" t="s">
        <v>1431</v>
      </c>
      <c r="D630" t="s">
        <v>63</v>
      </c>
      <c r="E630" t="s">
        <v>1958</v>
      </c>
      <c r="F630" s="61">
        <v>34945</v>
      </c>
      <c r="G630" s="15" t="s">
        <v>73</v>
      </c>
      <c r="H630" t="s">
        <v>1959</v>
      </c>
      <c r="I630" s="62" t="s">
        <v>1960</v>
      </c>
      <c r="K630" s="36" t="s">
        <v>495</v>
      </c>
      <c r="L630" t="s">
        <v>69</v>
      </c>
      <c r="M630" s="62" t="s">
        <v>70</v>
      </c>
      <c r="N630" t="s">
        <v>71</v>
      </c>
      <c r="O630" t="str">
        <f>IFERROR(IF(Tbla_actores[[#This Row],[codigo_proyecto]]="","",_xlfn.XLOOKUP(Tbla_actores[[#This Row],[codigo_proyecto]],Proyectos!$A:$A,Proyectos!$C:$C)),"")</f>
        <v>NULOS</v>
      </c>
    </row>
    <row r="631" spans="1:15" ht="14.25" customHeight="1">
      <c r="A631" s="10">
        <v>1105692904</v>
      </c>
      <c r="B631" s="64" t="s">
        <v>61</v>
      </c>
      <c r="C631" s="62" t="s">
        <v>1431</v>
      </c>
      <c r="D631" t="s">
        <v>63</v>
      </c>
      <c r="E631" t="s">
        <v>1961</v>
      </c>
      <c r="F631" s="61">
        <v>36314</v>
      </c>
      <c r="G631" s="15" t="s">
        <v>73</v>
      </c>
      <c r="H631" t="s">
        <v>1962</v>
      </c>
      <c r="I631" s="62" t="s">
        <v>1963</v>
      </c>
      <c r="K631" s="36" t="s">
        <v>495</v>
      </c>
      <c r="L631" t="s">
        <v>69</v>
      </c>
      <c r="M631" s="62" t="s">
        <v>70</v>
      </c>
      <c r="N631" t="s">
        <v>71</v>
      </c>
      <c r="O631" t="str">
        <f>IFERROR(IF(Tbla_actores[[#This Row],[codigo_proyecto]]="","",_xlfn.XLOOKUP(Tbla_actores[[#This Row],[codigo_proyecto]],Proyectos!$A:$A,Proyectos!$C:$C)),"")</f>
        <v>NULOS</v>
      </c>
    </row>
    <row r="632" spans="1:15" ht="14.25" customHeight="1">
      <c r="A632" s="9">
        <v>1018483539</v>
      </c>
      <c r="B632" s="63" t="s">
        <v>61</v>
      </c>
      <c r="C632" s="62" t="s">
        <v>1431</v>
      </c>
      <c r="D632" t="s">
        <v>63</v>
      </c>
      <c r="E632" t="s">
        <v>1964</v>
      </c>
      <c r="F632" s="61">
        <v>35123</v>
      </c>
      <c r="G632" s="15" t="s">
        <v>73</v>
      </c>
      <c r="H632" t="s">
        <v>1965</v>
      </c>
      <c r="I632" s="62" t="s">
        <v>1966</v>
      </c>
      <c r="K632" s="36" t="s">
        <v>495</v>
      </c>
      <c r="L632" t="s">
        <v>69</v>
      </c>
      <c r="M632" s="62" t="s">
        <v>70</v>
      </c>
      <c r="N632" t="s">
        <v>71</v>
      </c>
      <c r="O632" t="str">
        <f>IFERROR(IF(Tbla_actores[[#This Row],[codigo_proyecto]]="","",_xlfn.XLOOKUP(Tbla_actores[[#This Row],[codigo_proyecto]],Proyectos!$A:$A,Proyectos!$C:$C)),"")</f>
        <v>NULOS</v>
      </c>
    </row>
    <row r="633" spans="1:15" ht="14.25" customHeight="1">
      <c r="A633" s="10">
        <v>1032487630</v>
      </c>
      <c r="B633" s="64" t="s">
        <v>61</v>
      </c>
      <c r="C633" s="62" t="s">
        <v>634</v>
      </c>
      <c r="D633" t="s">
        <v>63</v>
      </c>
      <c r="E633" t="s">
        <v>1967</v>
      </c>
      <c r="F633" s="61">
        <v>35400</v>
      </c>
      <c r="G633" s="15" t="s">
        <v>73</v>
      </c>
      <c r="H633" t="s">
        <v>1968</v>
      </c>
      <c r="I633" s="62" t="s">
        <v>1969</v>
      </c>
      <c r="K633" s="36" t="s">
        <v>495</v>
      </c>
      <c r="L633" t="s">
        <v>69</v>
      </c>
      <c r="M633" s="62" t="s">
        <v>70</v>
      </c>
      <c r="N633" t="s">
        <v>71</v>
      </c>
      <c r="O633" t="str">
        <f>IFERROR(IF(Tbla_actores[[#This Row],[codigo_proyecto]]="","",_xlfn.XLOOKUP(Tbla_actores[[#This Row],[codigo_proyecto]],Proyectos!$A:$A,Proyectos!$C:$C)),"")</f>
        <v>NULOS</v>
      </c>
    </row>
    <row r="634" spans="1:15" ht="14.25" customHeight="1">
      <c r="A634" s="9">
        <v>1032500306</v>
      </c>
      <c r="B634" s="63" t="s">
        <v>61</v>
      </c>
      <c r="C634" s="62" t="s">
        <v>1431</v>
      </c>
      <c r="D634" t="s">
        <v>63</v>
      </c>
      <c r="E634" t="s">
        <v>1970</v>
      </c>
      <c r="F634" s="61">
        <v>36062</v>
      </c>
      <c r="G634" s="15" t="s">
        <v>73</v>
      </c>
      <c r="H634" t="s">
        <v>1971</v>
      </c>
      <c r="I634" s="62" t="s">
        <v>1972</v>
      </c>
      <c r="K634" s="36" t="s">
        <v>495</v>
      </c>
      <c r="L634" t="s">
        <v>69</v>
      </c>
      <c r="M634" s="62" t="s">
        <v>70</v>
      </c>
      <c r="N634" t="s">
        <v>71</v>
      </c>
      <c r="O634" t="str">
        <f>IFERROR(IF(Tbla_actores[[#This Row],[codigo_proyecto]]="","",_xlfn.XLOOKUP(Tbla_actores[[#This Row],[codigo_proyecto]],Proyectos!$A:$A,Proyectos!$C:$C)),"")</f>
        <v>NULOS</v>
      </c>
    </row>
    <row r="635" spans="1:15" ht="14.25" customHeight="1">
      <c r="A635" s="10">
        <v>1015468670</v>
      </c>
      <c r="B635" s="64" t="s">
        <v>61</v>
      </c>
      <c r="C635" s="62" t="s">
        <v>1431</v>
      </c>
      <c r="D635" t="s">
        <v>63</v>
      </c>
      <c r="E635" t="s">
        <v>1973</v>
      </c>
      <c r="F635" s="61">
        <v>35546</v>
      </c>
      <c r="G635" s="15" t="s">
        <v>73</v>
      </c>
      <c r="H635" t="s">
        <v>1974</v>
      </c>
      <c r="I635" s="62" t="s">
        <v>1975</v>
      </c>
      <c r="K635" s="36" t="s">
        <v>495</v>
      </c>
      <c r="L635" t="s">
        <v>69</v>
      </c>
      <c r="M635" s="62" t="s">
        <v>70</v>
      </c>
      <c r="N635" t="s">
        <v>71</v>
      </c>
      <c r="O635" t="str">
        <f>IFERROR(IF(Tbla_actores[[#This Row],[codigo_proyecto]]="","",_xlfn.XLOOKUP(Tbla_actores[[#This Row],[codigo_proyecto]],Proyectos!$A:$A,Proyectos!$C:$C)),"")</f>
        <v>NULOS</v>
      </c>
    </row>
    <row r="636" spans="1:15" ht="14.25" customHeight="1">
      <c r="A636" s="9">
        <v>1032503288</v>
      </c>
      <c r="B636" s="63" t="s">
        <v>61</v>
      </c>
      <c r="C636" s="62" t="s">
        <v>1431</v>
      </c>
      <c r="D636" t="s">
        <v>63</v>
      </c>
      <c r="E636" t="s">
        <v>1976</v>
      </c>
      <c r="F636" s="61">
        <v>36203</v>
      </c>
      <c r="G636" s="15" t="s">
        <v>65</v>
      </c>
      <c r="H636" t="s">
        <v>1977</v>
      </c>
      <c r="I636" s="62" t="s">
        <v>1978</v>
      </c>
      <c r="K636" s="36" t="s">
        <v>495</v>
      </c>
      <c r="L636" t="s">
        <v>69</v>
      </c>
      <c r="M636" s="62" t="s">
        <v>70</v>
      </c>
      <c r="N636" t="s">
        <v>71</v>
      </c>
      <c r="O636" t="str">
        <f>IFERROR(IF(Tbla_actores[[#This Row],[codigo_proyecto]]="","",_xlfn.XLOOKUP(Tbla_actores[[#This Row],[codigo_proyecto]],Proyectos!$A:$A,Proyectos!$C:$C)),"")</f>
        <v>NULOS</v>
      </c>
    </row>
    <row r="637" spans="1:15" ht="14.25" customHeight="1">
      <c r="A637" s="10">
        <v>1018512956</v>
      </c>
      <c r="B637" s="64" t="s">
        <v>61</v>
      </c>
      <c r="C637" s="62" t="s">
        <v>1979</v>
      </c>
      <c r="D637" t="s">
        <v>63</v>
      </c>
      <c r="E637" t="s">
        <v>1980</v>
      </c>
      <c r="F637" s="61">
        <v>36389</v>
      </c>
      <c r="G637" s="15" t="s">
        <v>65</v>
      </c>
      <c r="H637" t="s">
        <v>1981</v>
      </c>
      <c r="I637" s="62" t="s">
        <v>1982</v>
      </c>
      <c r="K637" s="36" t="s">
        <v>1489</v>
      </c>
      <c r="L637" t="s">
        <v>69</v>
      </c>
      <c r="M637" s="62" t="s">
        <v>70</v>
      </c>
      <c r="N637" t="s">
        <v>71</v>
      </c>
      <c r="O637" t="str">
        <f>IFERROR(IF(Tbla_actores[[#This Row],[codigo_proyecto]]="","",_xlfn.XLOOKUP(Tbla_actores[[#This Row],[codigo_proyecto]],Proyectos!$A:$A,Proyectos!$C:$C)),"")</f>
        <v>NULOS</v>
      </c>
    </row>
    <row r="638" spans="1:15" ht="14.25" customHeight="1">
      <c r="A638" s="9">
        <v>1101760771</v>
      </c>
      <c r="B638" s="63" t="s">
        <v>61</v>
      </c>
      <c r="C638" s="62" t="s">
        <v>1979</v>
      </c>
      <c r="D638" t="s">
        <v>63</v>
      </c>
      <c r="E638" t="s">
        <v>1983</v>
      </c>
      <c r="F638" s="61">
        <v>36313</v>
      </c>
      <c r="G638" s="15" t="s">
        <v>73</v>
      </c>
      <c r="H638" t="s">
        <v>1984</v>
      </c>
      <c r="I638" s="62" t="s">
        <v>1985</v>
      </c>
      <c r="K638" s="36" t="s">
        <v>1489</v>
      </c>
      <c r="L638" t="s">
        <v>69</v>
      </c>
      <c r="M638" s="62" t="s">
        <v>70</v>
      </c>
      <c r="N638" t="s">
        <v>71</v>
      </c>
      <c r="O638" t="str">
        <f>IFERROR(IF(Tbla_actores[[#This Row],[codigo_proyecto]]="","",_xlfn.XLOOKUP(Tbla_actores[[#This Row],[codigo_proyecto]],Proyectos!$A:$A,Proyectos!$C:$C)),"")</f>
        <v>NULOS</v>
      </c>
    </row>
    <row r="639" spans="1:15" ht="14.25" customHeight="1">
      <c r="A639" s="10">
        <v>1032505386</v>
      </c>
      <c r="B639" s="64" t="s">
        <v>61</v>
      </c>
      <c r="C639" s="62" t="s">
        <v>1979</v>
      </c>
      <c r="D639" t="s">
        <v>63</v>
      </c>
      <c r="E639" t="s">
        <v>1986</v>
      </c>
      <c r="F639" s="61">
        <v>36333</v>
      </c>
      <c r="G639" s="15" t="s">
        <v>65</v>
      </c>
      <c r="H639" t="s">
        <v>1987</v>
      </c>
      <c r="I639" s="62" t="s">
        <v>1988</v>
      </c>
      <c r="K639" s="36" t="s">
        <v>1489</v>
      </c>
      <c r="L639" t="s">
        <v>69</v>
      </c>
      <c r="M639" s="62" t="s">
        <v>70</v>
      </c>
      <c r="N639" t="s">
        <v>71</v>
      </c>
      <c r="O639" t="str">
        <f>IFERROR(IF(Tbla_actores[[#This Row],[codigo_proyecto]]="","",_xlfn.XLOOKUP(Tbla_actores[[#This Row],[codigo_proyecto]],Proyectos!$A:$A,Proyectos!$C:$C)),"")</f>
        <v>NULOS</v>
      </c>
    </row>
    <row r="640" spans="1:15" ht="14.25" customHeight="1">
      <c r="A640" s="9">
        <v>1015481706</v>
      </c>
      <c r="B640" s="63" t="s">
        <v>61</v>
      </c>
      <c r="C640" s="62" t="s">
        <v>1979</v>
      </c>
      <c r="D640" t="s">
        <v>63</v>
      </c>
      <c r="E640" t="s">
        <v>1989</v>
      </c>
      <c r="F640" s="61">
        <v>36337</v>
      </c>
      <c r="G640" s="15" t="s">
        <v>73</v>
      </c>
      <c r="H640" t="s">
        <v>1990</v>
      </c>
      <c r="I640" s="62" t="s">
        <v>1991</v>
      </c>
      <c r="K640" s="36" t="s">
        <v>1489</v>
      </c>
      <c r="L640" t="s">
        <v>69</v>
      </c>
      <c r="M640" s="62" t="s">
        <v>70</v>
      </c>
      <c r="N640" t="s">
        <v>71</v>
      </c>
      <c r="O640" t="str">
        <f>IFERROR(IF(Tbla_actores[[#This Row],[codigo_proyecto]]="","",_xlfn.XLOOKUP(Tbla_actores[[#This Row],[codigo_proyecto]],Proyectos!$A:$A,Proyectos!$C:$C)),"")</f>
        <v>NULOS</v>
      </c>
    </row>
    <row r="641" spans="1:15" ht="14.25" customHeight="1">
      <c r="A641" s="10">
        <v>1026301416</v>
      </c>
      <c r="B641" s="64" t="s">
        <v>61</v>
      </c>
      <c r="C641" s="62" t="s">
        <v>62</v>
      </c>
      <c r="D641" t="s">
        <v>63</v>
      </c>
      <c r="E641" t="s">
        <v>1992</v>
      </c>
      <c r="F641" s="61">
        <v>35879</v>
      </c>
      <c r="G641" s="15" t="s">
        <v>65</v>
      </c>
      <c r="H641" t="s">
        <v>852</v>
      </c>
      <c r="I641" s="62" t="s">
        <v>853</v>
      </c>
      <c r="K641" s="36" t="s">
        <v>169</v>
      </c>
      <c r="L641" t="s">
        <v>69</v>
      </c>
      <c r="M641" s="62" t="s">
        <v>170</v>
      </c>
      <c r="N641" t="s">
        <v>71</v>
      </c>
      <c r="O641" t="str">
        <f>IFERROR(IF(Tbla_actores[[#This Row],[codigo_proyecto]]="","",_xlfn.XLOOKUP(Tbla_actores[[#This Row],[codigo_proyecto]],Proyectos!$A:$A,Proyectos!$C:$C)),"")</f>
        <v>NULOS</v>
      </c>
    </row>
    <row r="642" spans="1:15" ht="14.25" customHeight="1">
      <c r="A642" s="9">
        <v>1010105825</v>
      </c>
      <c r="B642" s="63" t="s">
        <v>61</v>
      </c>
      <c r="C642" s="62" t="s">
        <v>1993</v>
      </c>
      <c r="D642" t="s">
        <v>63</v>
      </c>
      <c r="E642" t="s">
        <v>1994</v>
      </c>
      <c r="F642" s="61">
        <v>36801</v>
      </c>
      <c r="G642" s="15" t="s">
        <v>73</v>
      </c>
      <c r="H642" t="s">
        <v>1995</v>
      </c>
      <c r="I642" s="62" t="s">
        <v>1996</v>
      </c>
      <c r="K642" s="36" t="s">
        <v>68</v>
      </c>
      <c r="L642" t="s">
        <v>69</v>
      </c>
      <c r="M642" s="62" t="s">
        <v>70</v>
      </c>
      <c r="N642" t="s">
        <v>71</v>
      </c>
      <c r="O642" t="str">
        <f>IFERROR(IF(Tbla_actores[[#This Row],[codigo_proyecto]]="","",_xlfn.XLOOKUP(Tbla_actores[[#This Row],[codigo_proyecto]],Proyectos!$A:$A,Proyectos!$C:$C)),"")</f>
        <v>NULOS</v>
      </c>
    </row>
    <row r="643" spans="1:15" ht="14.25" customHeight="1">
      <c r="A643" s="10">
        <v>1019151154</v>
      </c>
      <c r="B643" s="64" t="s">
        <v>61</v>
      </c>
      <c r="C643" s="62" t="s">
        <v>1993</v>
      </c>
      <c r="D643" t="s">
        <v>63</v>
      </c>
      <c r="E643" t="s">
        <v>1997</v>
      </c>
      <c r="F643" s="61">
        <v>36389</v>
      </c>
      <c r="G643" s="15" t="s">
        <v>65</v>
      </c>
      <c r="H643" t="s">
        <v>1998</v>
      </c>
      <c r="I643" s="62" t="s">
        <v>1999</v>
      </c>
      <c r="K643" s="36" t="s">
        <v>68</v>
      </c>
      <c r="L643" t="s">
        <v>69</v>
      </c>
      <c r="M643" s="62" t="s">
        <v>70</v>
      </c>
      <c r="N643" t="s">
        <v>71</v>
      </c>
      <c r="O643" t="str">
        <f>IFERROR(IF(Tbla_actores[[#This Row],[codigo_proyecto]]="","",_xlfn.XLOOKUP(Tbla_actores[[#This Row],[codigo_proyecto]],Proyectos!$A:$A,Proyectos!$C:$C)),"")</f>
        <v>NULOS</v>
      </c>
    </row>
    <row r="644" spans="1:15" ht="14.25" customHeight="1">
      <c r="A644" s="9">
        <v>1032504151</v>
      </c>
      <c r="B644" s="63" t="s">
        <v>61</v>
      </c>
      <c r="C644" s="62" t="s">
        <v>1993</v>
      </c>
      <c r="D644" t="s">
        <v>63</v>
      </c>
      <c r="E644" t="s">
        <v>2000</v>
      </c>
      <c r="F644" s="61">
        <v>36262</v>
      </c>
      <c r="G644" s="15" t="s">
        <v>73</v>
      </c>
      <c r="H644" t="s">
        <v>2001</v>
      </c>
      <c r="I644" s="62" t="s">
        <v>2002</v>
      </c>
      <c r="K644" s="36" t="s">
        <v>68</v>
      </c>
      <c r="L644" t="s">
        <v>69</v>
      </c>
      <c r="M644" s="62" t="s">
        <v>70</v>
      </c>
      <c r="N644" t="s">
        <v>71</v>
      </c>
      <c r="O644" t="str">
        <f>IFERROR(IF(Tbla_actores[[#This Row],[codigo_proyecto]]="","",_xlfn.XLOOKUP(Tbla_actores[[#This Row],[codigo_proyecto]],Proyectos!$A:$A,Proyectos!$C:$C)),"")</f>
        <v>NULOS</v>
      </c>
    </row>
    <row r="645" spans="1:15" ht="14.25" customHeight="1">
      <c r="A645" s="10">
        <v>1030642938</v>
      </c>
      <c r="B645" s="64" t="s">
        <v>61</v>
      </c>
      <c r="C645" s="62" t="s">
        <v>1993</v>
      </c>
      <c r="D645" t="s">
        <v>63</v>
      </c>
      <c r="E645" t="s">
        <v>2003</v>
      </c>
      <c r="F645" s="61">
        <v>34533</v>
      </c>
      <c r="G645" s="15" t="s">
        <v>73</v>
      </c>
      <c r="H645" t="s">
        <v>2004</v>
      </c>
      <c r="I645" s="62" t="s">
        <v>2005</v>
      </c>
      <c r="K645" s="36" t="s">
        <v>68</v>
      </c>
      <c r="L645" t="s">
        <v>69</v>
      </c>
      <c r="M645" s="62" t="s">
        <v>70</v>
      </c>
      <c r="N645" t="s">
        <v>71</v>
      </c>
      <c r="O645" t="str">
        <f>IFERROR(IF(Tbla_actores[[#This Row],[codigo_proyecto]]="","",_xlfn.XLOOKUP(Tbla_actores[[#This Row],[codigo_proyecto]],Proyectos!$A:$A,Proyectos!$C:$C)),"")</f>
        <v>NULOS</v>
      </c>
    </row>
    <row r="646" spans="1:15" ht="14.25" customHeight="1">
      <c r="A646" s="9">
        <v>1000466627</v>
      </c>
      <c r="B646" s="63" t="s">
        <v>61</v>
      </c>
      <c r="C646" s="62" t="s">
        <v>1993</v>
      </c>
      <c r="D646" t="s">
        <v>63</v>
      </c>
      <c r="E646" t="s">
        <v>2006</v>
      </c>
      <c r="F646" s="61">
        <v>36570</v>
      </c>
      <c r="G646" s="15" t="s">
        <v>73</v>
      </c>
      <c r="H646" t="s">
        <v>2007</v>
      </c>
      <c r="I646" s="62" t="s">
        <v>2008</v>
      </c>
      <c r="K646" s="36" t="s">
        <v>68</v>
      </c>
      <c r="L646" t="s">
        <v>69</v>
      </c>
      <c r="M646" s="62" t="s">
        <v>70</v>
      </c>
      <c r="N646" t="s">
        <v>71</v>
      </c>
      <c r="O646" t="str">
        <f>IFERROR(IF(Tbla_actores[[#This Row],[codigo_proyecto]]="","",_xlfn.XLOOKUP(Tbla_actores[[#This Row],[codigo_proyecto]],Proyectos!$A:$A,Proyectos!$C:$C)),"")</f>
        <v>NULOS</v>
      </c>
    </row>
    <row r="647" spans="1:15" ht="14.25" customHeight="1">
      <c r="A647" s="10">
        <v>1018510706</v>
      </c>
      <c r="B647" s="64" t="s">
        <v>61</v>
      </c>
      <c r="C647" s="62" t="s">
        <v>1993</v>
      </c>
      <c r="D647" t="s">
        <v>63</v>
      </c>
      <c r="E647" t="s">
        <v>2009</v>
      </c>
      <c r="F647" s="61">
        <v>36279</v>
      </c>
      <c r="G647" s="15" t="s">
        <v>73</v>
      </c>
      <c r="H647" t="s">
        <v>2010</v>
      </c>
      <c r="I647" s="62" t="s">
        <v>2011</v>
      </c>
      <c r="K647" s="36" t="s">
        <v>68</v>
      </c>
      <c r="L647" t="s">
        <v>69</v>
      </c>
      <c r="M647" s="62" t="s">
        <v>70</v>
      </c>
      <c r="N647" t="s">
        <v>71</v>
      </c>
      <c r="O647" t="str">
        <f>IFERROR(IF(Tbla_actores[[#This Row],[codigo_proyecto]]="","",_xlfn.XLOOKUP(Tbla_actores[[#This Row],[codigo_proyecto]],Proyectos!$A:$A,Proyectos!$C:$C)),"")</f>
        <v>NULOS</v>
      </c>
    </row>
    <row r="648" spans="1:15" ht="14.25" customHeight="1">
      <c r="A648" s="9">
        <v>1015436805</v>
      </c>
      <c r="B648" s="63" t="s">
        <v>61</v>
      </c>
      <c r="C648" s="62" t="s">
        <v>1993</v>
      </c>
      <c r="D648" t="s">
        <v>63</v>
      </c>
      <c r="E648" t="s">
        <v>2012</v>
      </c>
      <c r="F648" s="61">
        <v>34020</v>
      </c>
      <c r="G648" s="15" t="s">
        <v>73</v>
      </c>
      <c r="H648" t="s">
        <v>2013</v>
      </c>
      <c r="I648" s="62" t="s">
        <v>2014</v>
      </c>
      <c r="K648" s="36" t="s">
        <v>68</v>
      </c>
      <c r="L648" t="s">
        <v>69</v>
      </c>
      <c r="M648" s="62" t="s">
        <v>70</v>
      </c>
      <c r="N648" t="s">
        <v>71</v>
      </c>
      <c r="O648" t="str">
        <f>IFERROR(IF(Tbla_actores[[#This Row],[codigo_proyecto]]="","",_xlfn.XLOOKUP(Tbla_actores[[#This Row],[codigo_proyecto]],Proyectos!$A:$A,Proyectos!$C:$C)),"")</f>
        <v>NULOS</v>
      </c>
    </row>
    <row r="649" spans="1:15" ht="14.25" customHeight="1">
      <c r="A649" s="10">
        <v>1032501413</v>
      </c>
      <c r="B649" s="64" t="s">
        <v>61</v>
      </c>
      <c r="C649" s="62" t="s">
        <v>1993</v>
      </c>
      <c r="D649" t="s">
        <v>63</v>
      </c>
      <c r="E649" t="s">
        <v>2015</v>
      </c>
      <c r="F649" s="61">
        <v>36123</v>
      </c>
      <c r="G649" s="15" t="s">
        <v>65</v>
      </c>
      <c r="H649" t="s">
        <v>2016</v>
      </c>
      <c r="I649" s="62" t="s">
        <v>2017</v>
      </c>
      <c r="K649" s="36" t="s">
        <v>68</v>
      </c>
      <c r="L649" t="s">
        <v>69</v>
      </c>
      <c r="M649" s="62" t="s">
        <v>70</v>
      </c>
      <c r="N649" t="s">
        <v>71</v>
      </c>
      <c r="O649" t="str">
        <f>IFERROR(IF(Tbla_actores[[#This Row],[codigo_proyecto]]="","",_xlfn.XLOOKUP(Tbla_actores[[#This Row],[codigo_proyecto]],Proyectos!$A:$A,Proyectos!$C:$C)),"")</f>
        <v>NULOS</v>
      </c>
    </row>
    <row r="650" spans="1:15" ht="14.25" customHeight="1">
      <c r="A650" s="9">
        <v>1136888117</v>
      </c>
      <c r="B650" s="63" t="s">
        <v>61</v>
      </c>
      <c r="C650" s="62" t="s">
        <v>1993</v>
      </c>
      <c r="D650" t="s">
        <v>63</v>
      </c>
      <c r="E650" t="s">
        <v>2018</v>
      </c>
      <c r="F650" s="61">
        <v>35396</v>
      </c>
      <c r="G650" s="15" t="s">
        <v>73</v>
      </c>
      <c r="H650" t="s">
        <v>2019</v>
      </c>
      <c r="I650" s="62" t="s">
        <v>2020</v>
      </c>
      <c r="K650" s="36" t="s">
        <v>68</v>
      </c>
      <c r="L650" t="s">
        <v>69</v>
      </c>
      <c r="M650" s="62" t="s">
        <v>70</v>
      </c>
      <c r="N650" t="s">
        <v>71</v>
      </c>
      <c r="O650" t="str">
        <f>IFERROR(IF(Tbla_actores[[#This Row],[codigo_proyecto]]="","",_xlfn.XLOOKUP(Tbla_actores[[#This Row],[codigo_proyecto]],Proyectos!$A:$A,Proyectos!$C:$C)),"")</f>
        <v>NULOS</v>
      </c>
    </row>
    <row r="651" spans="1:15" ht="14.25" customHeight="1">
      <c r="A651" s="10">
        <v>1019134957</v>
      </c>
      <c r="B651" s="64" t="s">
        <v>61</v>
      </c>
      <c r="C651" s="62" t="s">
        <v>1993</v>
      </c>
      <c r="D651" t="s">
        <v>63</v>
      </c>
      <c r="E651" t="s">
        <v>2021</v>
      </c>
      <c r="F651" s="61">
        <v>35756</v>
      </c>
      <c r="G651" s="15" t="s">
        <v>73</v>
      </c>
      <c r="H651" t="s">
        <v>2022</v>
      </c>
      <c r="I651" s="62" t="s">
        <v>2023</v>
      </c>
      <c r="K651" s="36" t="s">
        <v>68</v>
      </c>
      <c r="L651" t="s">
        <v>69</v>
      </c>
      <c r="M651" s="62" t="s">
        <v>70</v>
      </c>
      <c r="N651" t="s">
        <v>71</v>
      </c>
      <c r="O651" t="str">
        <f>IFERROR(IF(Tbla_actores[[#This Row],[codigo_proyecto]]="","",_xlfn.XLOOKUP(Tbla_actores[[#This Row],[codigo_proyecto]],Proyectos!$A:$A,Proyectos!$C:$C)),"")</f>
        <v>NULOS</v>
      </c>
    </row>
    <row r="652" spans="1:15" ht="14.25" customHeight="1">
      <c r="A652" s="9">
        <v>1019151594</v>
      </c>
      <c r="B652" s="63" t="s">
        <v>61</v>
      </c>
      <c r="C652" s="62" t="s">
        <v>1993</v>
      </c>
      <c r="D652" t="s">
        <v>63</v>
      </c>
      <c r="E652" t="s">
        <v>2024</v>
      </c>
      <c r="F652" s="61">
        <v>36425</v>
      </c>
      <c r="G652" s="15" t="s">
        <v>73</v>
      </c>
      <c r="H652" t="s">
        <v>2025</v>
      </c>
      <c r="I652" s="62" t="s">
        <v>2026</v>
      </c>
      <c r="K652" s="36" t="s">
        <v>68</v>
      </c>
      <c r="L652" t="s">
        <v>69</v>
      </c>
      <c r="M652" s="62" t="s">
        <v>70</v>
      </c>
      <c r="N652" t="s">
        <v>71</v>
      </c>
      <c r="O652" t="str">
        <f>IFERROR(IF(Tbla_actores[[#This Row],[codigo_proyecto]]="","",_xlfn.XLOOKUP(Tbla_actores[[#This Row],[codigo_proyecto]],Proyectos!$A:$A,Proyectos!$C:$C)),"")</f>
        <v>NULOS</v>
      </c>
    </row>
    <row r="653" spans="1:15" ht="14.25" customHeight="1">
      <c r="A653" s="10">
        <v>1010005272</v>
      </c>
      <c r="B653" s="64" t="s">
        <v>61</v>
      </c>
      <c r="C653" s="62" t="s">
        <v>1993</v>
      </c>
      <c r="D653" t="s">
        <v>63</v>
      </c>
      <c r="E653" t="s">
        <v>2027</v>
      </c>
      <c r="F653" s="61">
        <v>35720</v>
      </c>
      <c r="G653" s="15" t="s">
        <v>73</v>
      </c>
      <c r="H653" t="s">
        <v>2028</v>
      </c>
      <c r="I653" s="62" t="s">
        <v>2029</v>
      </c>
      <c r="K653" s="36" t="s">
        <v>68</v>
      </c>
      <c r="L653" t="s">
        <v>69</v>
      </c>
      <c r="M653" s="62" t="s">
        <v>70</v>
      </c>
      <c r="N653" t="s">
        <v>71</v>
      </c>
      <c r="O653" t="str">
        <f>IFERROR(IF(Tbla_actores[[#This Row],[codigo_proyecto]]="","",_xlfn.XLOOKUP(Tbla_actores[[#This Row],[codigo_proyecto]],Proyectos!$A:$A,Proyectos!$C:$C)),"")</f>
        <v>NULOS</v>
      </c>
    </row>
    <row r="654" spans="1:15" ht="14.25" customHeight="1">
      <c r="A654" s="9">
        <v>1032495860</v>
      </c>
      <c r="B654" s="63" t="s">
        <v>61</v>
      </c>
      <c r="C654" s="62" t="s">
        <v>1993</v>
      </c>
      <c r="D654" t="s">
        <v>63</v>
      </c>
      <c r="E654" t="s">
        <v>2030</v>
      </c>
      <c r="F654" s="61">
        <v>35816</v>
      </c>
      <c r="G654" s="15" t="s">
        <v>73</v>
      </c>
      <c r="H654" t="s">
        <v>2031</v>
      </c>
      <c r="I654" s="62" t="s">
        <v>2032</v>
      </c>
      <c r="K654" s="36" t="s">
        <v>68</v>
      </c>
      <c r="L654" t="s">
        <v>69</v>
      </c>
      <c r="M654" s="62" t="s">
        <v>70</v>
      </c>
      <c r="N654" t="s">
        <v>71</v>
      </c>
      <c r="O654" t="str">
        <f>IFERROR(IF(Tbla_actores[[#This Row],[codigo_proyecto]]="","",_xlfn.XLOOKUP(Tbla_actores[[#This Row],[codigo_proyecto]],Proyectos!$A:$A,Proyectos!$C:$C)),"")</f>
        <v>NULOS</v>
      </c>
    </row>
    <row r="655" spans="1:15" ht="14.25" customHeight="1">
      <c r="A655" s="10">
        <v>1001199005</v>
      </c>
      <c r="B655" s="64" t="s">
        <v>61</v>
      </c>
      <c r="C655" s="62" t="s">
        <v>1993</v>
      </c>
      <c r="D655" t="s">
        <v>63</v>
      </c>
      <c r="E655" t="s">
        <v>2033</v>
      </c>
      <c r="F655" s="61">
        <v>36618</v>
      </c>
      <c r="G655" s="15" t="s">
        <v>73</v>
      </c>
      <c r="H655" t="s">
        <v>2034</v>
      </c>
      <c r="I655" s="62" t="s">
        <v>2035</v>
      </c>
      <c r="K655" s="36" t="s">
        <v>68</v>
      </c>
      <c r="L655" t="s">
        <v>69</v>
      </c>
      <c r="M655" s="62" t="s">
        <v>70</v>
      </c>
      <c r="N655" t="s">
        <v>71</v>
      </c>
      <c r="O655" t="str">
        <f>IFERROR(IF(Tbla_actores[[#This Row],[codigo_proyecto]]="","",_xlfn.XLOOKUP(Tbla_actores[[#This Row],[codigo_proyecto]],Proyectos!$A:$A,Proyectos!$C:$C)),"")</f>
        <v>NULOS</v>
      </c>
    </row>
    <row r="656" spans="1:15" ht="14.25" customHeight="1">
      <c r="A656" s="9">
        <v>1032507656</v>
      </c>
      <c r="B656" s="63" t="s">
        <v>61</v>
      </c>
      <c r="C656" s="62" t="s">
        <v>1993</v>
      </c>
      <c r="D656" t="s">
        <v>63</v>
      </c>
      <c r="E656" t="s">
        <v>2036</v>
      </c>
      <c r="F656" s="61">
        <v>36464</v>
      </c>
      <c r="G656" s="15" t="s">
        <v>73</v>
      </c>
      <c r="H656" t="s">
        <v>2037</v>
      </c>
      <c r="I656" s="62" t="s">
        <v>2038</v>
      </c>
      <c r="K656" s="36" t="s">
        <v>68</v>
      </c>
      <c r="L656" t="s">
        <v>69</v>
      </c>
      <c r="M656" s="62" t="s">
        <v>70</v>
      </c>
      <c r="N656" t="s">
        <v>71</v>
      </c>
      <c r="O656" t="str">
        <f>IFERROR(IF(Tbla_actores[[#This Row],[codigo_proyecto]]="","",_xlfn.XLOOKUP(Tbla_actores[[#This Row],[codigo_proyecto]],Proyectos!$A:$A,Proyectos!$C:$C)),"")</f>
        <v>NULOS</v>
      </c>
    </row>
    <row r="657" spans="1:15" ht="14.25" customHeight="1">
      <c r="A657" s="10">
        <v>1002526298</v>
      </c>
      <c r="B657" s="64" t="s">
        <v>61</v>
      </c>
      <c r="C657" s="62" t="s">
        <v>1993</v>
      </c>
      <c r="D657" t="s">
        <v>63</v>
      </c>
      <c r="E657" t="s">
        <v>2039</v>
      </c>
      <c r="F657" s="61">
        <v>36778</v>
      </c>
      <c r="G657" s="15" t="s">
        <v>73</v>
      </c>
      <c r="H657" t="s">
        <v>2040</v>
      </c>
      <c r="I657" s="62" t="s">
        <v>2041</v>
      </c>
      <c r="K657" s="36" t="s">
        <v>68</v>
      </c>
      <c r="L657" t="s">
        <v>69</v>
      </c>
      <c r="M657" s="62" t="s">
        <v>70</v>
      </c>
      <c r="N657" t="s">
        <v>71</v>
      </c>
      <c r="O657" t="str">
        <f>IFERROR(IF(Tbla_actores[[#This Row],[codigo_proyecto]]="","",_xlfn.XLOOKUP(Tbla_actores[[#This Row],[codigo_proyecto]],Proyectos!$A:$A,Proyectos!$C:$C)),"")</f>
        <v>NULOS</v>
      </c>
    </row>
    <row r="658" spans="1:15" ht="14.25" customHeight="1">
      <c r="A658" s="9">
        <v>1000363712</v>
      </c>
      <c r="B658" s="63" t="s">
        <v>61</v>
      </c>
      <c r="C658" s="62" t="s">
        <v>1993</v>
      </c>
      <c r="D658" t="s">
        <v>63</v>
      </c>
      <c r="E658" t="s">
        <v>2042</v>
      </c>
      <c r="F658" s="61">
        <v>36610</v>
      </c>
      <c r="G658" s="15" t="s">
        <v>73</v>
      </c>
      <c r="H658" t="s">
        <v>2043</v>
      </c>
      <c r="I658" s="62" t="s">
        <v>2044</v>
      </c>
      <c r="K658" s="36" t="s">
        <v>68</v>
      </c>
      <c r="L658" t="s">
        <v>69</v>
      </c>
      <c r="M658" s="62" t="s">
        <v>70</v>
      </c>
      <c r="N658" t="s">
        <v>71</v>
      </c>
      <c r="O658" t="str">
        <f>IFERROR(IF(Tbla_actores[[#This Row],[codigo_proyecto]]="","",_xlfn.XLOOKUP(Tbla_actores[[#This Row],[codigo_proyecto]],Proyectos!$A:$A,Proyectos!$C:$C)),"")</f>
        <v>NULOS</v>
      </c>
    </row>
    <row r="659" spans="1:15" ht="14.25" customHeight="1">
      <c r="A659" s="10">
        <v>1000948451</v>
      </c>
      <c r="B659" s="64" t="s">
        <v>61</v>
      </c>
      <c r="C659" s="62" t="s">
        <v>1993</v>
      </c>
      <c r="D659" t="s">
        <v>63</v>
      </c>
      <c r="E659" t="s">
        <v>2045</v>
      </c>
      <c r="F659" s="61">
        <v>36584</v>
      </c>
      <c r="G659" s="15" t="s">
        <v>73</v>
      </c>
      <c r="H659" t="s">
        <v>2046</v>
      </c>
      <c r="I659" s="62" t="s">
        <v>2047</v>
      </c>
      <c r="K659" s="36" t="s">
        <v>68</v>
      </c>
      <c r="L659" t="s">
        <v>69</v>
      </c>
      <c r="M659" s="62" t="s">
        <v>70</v>
      </c>
      <c r="N659" t="s">
        <v>71</v>
      </c>
      <c r="O659" t="str">
        <f>IFERROR(IF(Tbla_actores[[#This Row],[codigo_proyecto]]="","",_xlfn.XLOOKUP(Tbla_actores[[#This Row],[codigo_proyecto]],Proyectos!$A:$A,Proyectos!$C:$C)),"")</f>
        <v>NULOS</v>
      </c>
    </row>
    <row r="660" spans="1:15" ht="14.25" customHeight="1">
      <c r="A660" s="9">
        <v>1018510337</v>
      </c>
      <c r="B660" s="63" t="s">
        <v>61</v>
      </c>
      <c r="C660" s="62" t="s">
        <v>1993</v>
      </c>
      <c r="D660" t="s">
        <v>63</v>
      </c>
      <c r="E660" t="s">
        <v>2048</v>
      </c>
      <c r="F660" s="61">
        <v>36247</v>
      </c>
      <c r="G660" s="15" t="s">
        <v>73</v>
      </c>
      <c r="H660" t="s">
        <v>2049</v>
      </c>
      <c r="I660" s="62" t="s">
        <v>2050</v>
      </c>
      <c r="K660" s="36" t="s">
        <v>68</v>
      </c>
      <c r="L660" t="s">
        <v>69</v>
      </c>
      <c r="M660" s="62" t="s">
        <v>70</v>
      </c>
      <c r="N660" t="s">
        <v>71</v>
      </c>
      <c r="O660" t="str">
        <f>IFERROR(IF(Tbla_actores[[#This Row],[codigo_proyecto]]="","",_xlfn.XLOOKUP(Tbla_actores[[#This Row],[codigo_proyecto]],Proyectos!$A:$A,Proyectos!$C:$C)),"")</f>
        <v>NULOS</v>
      </c>
    </row>
    <row r="661" spans="1:15" ht="14.25" customHeight="1">
      <c r="A661" s="10">
        <v>1088157068</v>
      </c>
      <c r="B661" s="64" t="s">
        <v>61</v>
      </c>
      <c r="C661" s="62" t="s">
        <v>1993</v>
      </c>
      <c r="D661" t="s">
        <v>63</v>
      </c>
      <c r="E661" t="s">
        <v>2051</v>
      </c>
      <c r="F661" s="61">
        <v>36650</v>
      </c>
      <c r="G661" s="15" t="s">
        <v>73</v>
      </c>
      <c r="H661" t="s">
        <v>2052</v>
      </c>
      <c r="I661" s="62" t="s">
        <v>2053</v>
      </c>
      <c r="K661" s="36" t="s">
        <v>68</v>
      </c>
      <c r="L661" t="s">
        <v>69</v>
      </c>
      <c r="M661" s="62" t="s">
        <v>70</v>
      </c>
      <c r="N661" t="s">
        <v>71</v>
      </c>
      <c r="O661" t="str">
        <f>IFERROR(IF(Tbla_actores[[#This Row],[codigo_proyecto]]="","",_xlfn.XLOOKUP(Tbla_actores[[#This Row],[codigo_proyecto]],Proyectos!$A:$A,Proyectos!$C:$C)),"")</f>
        <v>NULOS</v>
      </c>
    </row>
    <row r="662" spans="1:15" ht="14.25" customHeight="1">
      <c r="A662" s="9">
        <v>1010065358</v>
      </c>
      <c r="B662" s="63" t="s">
        <v>61</v>
      </c>
      <c r="C662" s="62" t="s">
        <v>1993</v>
      </c>
      <c r="D662" t="s">
        <v>63</v>
      </c>
      <c r="E662" t="s">
        <v>1464</v>
      </c>
      <c r="F662" s="61">
        <v>36312</v>
      </c>
      <c r="G662" s="15" t="s">
        <v>73</v>
      </c>
      <c r="H662" t="s">
        <v>1465</v>
      </c>
      <c r="I662" s="62" t="s">
        <v>1466</v>
      </c>
      <c r="K662" s="36" t="s">
        <v>68</v>
      </c>
      <c r="L662" t="s">
        <v>69</v>
      </c>
      <c r="M662" s="62" t="s">
        <v>70</v>
      </c>
      <c r="N662" t="s">
        <v>71</v>
      </c>
      <c r="O662" t="str">
        <f>IFERROR(IF(Tbla_actores[[#This Row],[codigo_proyecto]]="","",_xlfn.XLOOKUP(Tbla_actores[[#This Row],[codigo_proyecto]],Proyectos!$A:$A,Proyectos!$C:$C)),"")</f>
        <v>NULOS</v>
      </c>
    </row>
    <row r="663" spans="1:15" ht="14.25" customHeight="1">
      <c r="A663" s="10">
        <v>1018514312</v>
      </c>
      <c r="B663" s="64" t="s">
        <v>61</v>
      </c>
      <c r="C663" s="62" t="s">
        <v>1993</v>
      </c>
      <c r="D663" t="s">
        <v>63</v>
      </c>
      <c r="E663" t="s">
        <v>2054</v>
      </c>
      <c r="F663" s="61">
        <v>36463</v>
      </c>
      <c r="G663" s="15" t="s">
        <v>73</v>
      </c>
      <c r="H663" t="s">
        <v>2055</v>
      </c>
      <c r="I663" s="62" t="s">
        <v>2056</v>
      </c>
      <c r="K663" s="36" t="s">
        <v>68</v>
      </c>
      <c r="L663" t="s">
        <v>69</v>
      </c>
      <c r="M663" s="62" t="s">
        <v>70</v>
      </c>
      <c r="N663" t="s">
        <v>71</v>
      </c>
      <c r="O663" t="str">
        <f>IFERROR(IF(Tbla_actores[[#This Row],[codigo_proyecto]]="","",_xlfn.XLOOKUP(Tbla_actores[[#This Row],[codigo_proyecto]],Proyectos!$A:$A,Proyectos!$C:$C)),"")</f>
        <v>NULOS</v>
      </c>
    </row>
    <row r="664" spans="1:15" ht="14.25" customHeight="1">
      <c r="A664" s="9">
        <v>1020826110</v>
      </c>
      <c r="B664" s="63" t="s">
        <v>61</v>
      </c>
      <c r="C664" s="62" t="s">
        <v>1993</v>
      </c>
      <c r="D664" t="s">
        <v>63</v>
      </c>
      <c r="E664" t="s">
        <v>2057</v>
      </c>
      <c r="F664" s="61">
        <v>35587</v>
      </c>
      <c r="G664" s="15" t="s">
        <v>73</v>
      </c>
      <c r="H664" t="s">
        <v>2058</v>
      </c>
      <c r="I664" s="62" t="s">
        <v>2059</v>
      </c>
      <c r="K664" s="36" t="s">
        <v>68</v>
      </c>
      <c r="L664" t="s">
        <v>69</v>
      </c>
      <c r="M664" s="62" t="s">
        <v>70</v>
      </c>
      <c r="N664" t="s">
        <v>71</v>
      </c>
      <c r="O664" t="str">
        <f>IFERROR(IF(Tbla_actores[[#This Row],[codigo_proyecto]]="","",_xlfn.XLOOKUP(Tbla_actores[[#This Row],[codigo_proyecto]],Proyectos!$A:$A,Proyectos!$C:$C)),"")</f>
        <v>NULOS</v>
      </c>
    </row>
    <row r="665" spans="1:15" ht="14.25" customHeight="1">
      <c r="A665" s="10">
        <v>1004869816</v>
      </c>
      <c r="B665" s="64" t="s">
        <v>61</v>
      </c>
      <c r="C665" s="62" t="s">
        <v>1993</v>
      </c>
      <c r="D665" t="s">
        <v>63</v>
      </c>
      <c r="E665" t="s">
        <v>2060</v>
      </c>
      <c r="F665" s="61">
        <v>36717</v>
      </c>
      <c r="G665" s="15" t="s">
        <v>73</v>
      </c>
      <c r="H665" t="s">
        <v>2061</v>
      </c>
      <c r="I665" s="62" t="s">
        <v>2062</v>
      </c>
      <c r="K665" s="36" t="s">
        <v>68</v>
      </c>
      <c r="L665" t="s">
        <v>69</v>
      </c>
      <c r="M665" s="62" t="s">
        <v>70</v>
      </c>
      <c r="N665" t="s">
        <v>71</v>
      </c>
      <c r="O665" t="str">
        <f>IFERROR(IF(Tbla_actores[[#This Row],[codigo_proyecto]]="","",_xlfn.XLOOKUP(Tbla_actores[[#This Row],[codigo_proyecto]],Proyectos!$A:$A,Proyectos!$C:$C)),"")</f>
        <v>NULOS</v>
      </c>
    </row>
    <row r="666" spans="1:15" ht="14.25" customHeight="1">
      <c r="A666" s="9">
        <v>1015480670</v>
      </c>
      <c r="B666" s="63" t="s">
        <v>61</v>
      </c>
      <c r="C666" s="62" t="s">
        <v>1993</v>
      </c>
      <c r="D666" t="s">
        <v>63</v>
      </c>
      <c r="E666" t="s">
        <v>2063</v>
      </c>
      <c r="F666" s="61">
        <v>36271</v>
      </c>
      <c r="G666" s="15" t="s">
        <v>73</v>
      </c>
      <c r="H666" t="s">
        <v>2064</v>
      </c>
      <c r="I666" s="62" t="s">
        <v>2065</v>
      </c>
      <c r="K666" s="36" t="s">
        <v>68</v>
      </c>
      <c r="L666" t="s">
        <v>69</v>
      </c>
      <c r="M666" s="62" t="s">
        <v>70</v>
      </c>
      <c r="N666" t="s">
        <v>71</v>
      </c>
      <c r="O666" t="str">
        <f>IFERROR(IF(Tbla_actores[[#This Row],[codigo_proyecto]]="","",_xlfn.XLOOKUP(Tbla_actores[[#This Row],[codigo_proyecto]],Proyectos!$A:$A,Proyectos!$C:$C)),"")</f>
        <v>NULOS</v>
      </c>
    </row>
    <row r="667" spans="1:15" ht="14.25" customHeight="1">
      <c r="A667" s="10">
        <v>1032484203</v>
      </c>
      <c r="B667" s="64" t="s">
        <v>61</v>
      </c>
      <c r="C667" s="62" t="s">
        <v>1993</v>
      </c>
      <c r="D667" t="s">
        <v>63</v>
      </c>
      <c r="E667" t="s">
        <v>2066</v>
      </c>
      <c r="F667" s="61">
        <v>35230</v>
      </c>
      <c r="G667" s="15" t="s">
        <v>73</v>
      </c>
      <c r="H667" t="s">
        <v>2067</v>
      </c>
      <c r="I667" s="62" t="s">
        <v>2068</v>
      </c>
      <c r="K667" s="36" t="s">
        <v>68</v>
      </c>
      <c r="L667" t="s">
        <v>69</v>
      </c>
      <c r="M667" s="62" t="s">
        <v>70</v>
      </c>
      <c r="N667" t="s">
        <v>71</v>
      </c>
      <c r="O667" t="str">
        <f>IFERROR(IF(Tbla_actores[[#This Row],[codigo_proyecto]]="","",_xlfn.XLOOKUP(Tbla_actores[[#This Row],[codigo_proyecto]],Proyectos!$A:$A,Proyectos!$C:$C)),"")</f>
        <v>NULOS</v>
      </c>
    </row>
    <row r="668" spans="1:15" ht="14.25" customHeight="1">
      <c r="A668" s="9">
        <v>1032508480</v>
      </c>
      <c r="B668" s="63" t="s">
        <v>61</v>
      </c>
      <c r="C668" s="62" t="s">
        <v>1993</v>
      </c>
      <c r="D668" t="s">
        <v>63</v>
      </c>
      <c r="E668" t="s">
        <v>2069</v>
      </c>
      <c r="F668" s="61">
        <v>36513</v>
      </c>
      <c r="G668" s="15" t="s">
        <v>73</v>
      </c>
      <c r="H668" t="s">
        <v>2070</v>
      </c>
      <c r="I668" s="62" t="s">
        <v>2071</v>
      </c>
      <c r="K668" s="36" t="s">
        <v>68</v>
      </c>
      <c r="L668" t="s">
        <v>69</v>
      </c>
      <c r="M668" s="62" t="s">
        <v>70</v>
      </c>
      <c r="N668" t="s">
        <v>71</v>
      </c>
      <c r="O668" t="str">
        <f>IFERROR(IF(Tbla_actores[[#This Row],[codigo_proyecto]]="","",_xlfn.XLOOKUP(Tbla_actores[[#This Row],[codigo_proyecto]],Proyectos!$A:$A,Proyectos!$C:$C)),"")</f>
        <v>NULOS</v>
      </c>
    </row>
    <row r="669" spans="1:15" ht="14.25" customHeight="1">
      <c r="A669" s="10">
        <v>1023039162</v>
      </c>
      <c r="B669" s="64" t="s">
        <v>61</v>
      </c>
      <c r="C669" s="62" t="s">
        <v>1993</v>
      </c>
      <c r="D669" t="s">
        <v>63</v>
      </c>
      <c r="E669" t="s">
        <v>2072</v>
      </c>
      <c r="F669" s="61">
        <v>36472</v>
      </c>
      <c r="G669" s="15" t="s">
        <v>73</v>
      </c>
      <c r="H669" t="s">
        <v>2073</v>
      </c>
      <c r="I669" s="62" t="s">
        <v>2074</v>
      </c>
      <c r="K669" s="36" t="s">
        <v>68</v>
      </c>
      <c r="L669" t="s">
        <v>69</v>
      </c>
      <c r="M669" s="62" t="s">
        <v>70</v>
      </c>
      <c r="N669" t="s">
        <v>71</v>
      </c>
      <c r="O669" t="str">
        <f>IFERROR(IF(Tbla_actores[[#This Row],[codigo_proyecto]]="","",_xlfn.XLOOKUP(Tbla_actores[[#This Row],[codigo_proyecto]],Proyectos!$A:$A,Proyectos!$C:$C)),"")</f>
        <v>NULOS</v>
      </c>
    </row>
    <row r="670" spans="1:15" ht="14.25" customHeight="1">
      <c r="A670" s="9">
        <v>1136889019</v>
      </c>
      <c r="B670" s="63" t="s">
        <v>61</v>
      </c>
      <c r="C670" s="62" t="s">
        <v>1993</v>
      </c>
      <c r="D670" t="s">
        <v>63</v>
      </c>
      <c r="E670" t="s">
        <v>2075</v>
      </c>
      <c r="F670" s="61">
        <v>35961</v>
      </c>
      <c r="G670" s="15" t="s">
        <v>73</v>
      </c>
      <c r="H670" t="s">
        <v>2076</v>
      </c>
      <c r="I670" s="62" t="s">
        <v>2077</v>
      </c>
      <c r="K670" s="36" t="s">
        <v>68</v>
      </c>
      <c r="L670" t="s">
        <v>69</v>
      </c>
      <c r="M670" s="62" t="s">
        <v>70</v>
      </c>
      <c r="N670" t="s">
        <v>71</v>
      </c>
      <c r="O670" t="str">
        <f>IFERROR(IF(Tbla_actores[[#This Row],[codigo_proyecto]]="","",_xlfn.XLOOKUP(Tbla_actores[[#This Row],[codigo_proyecto]],Proyectos!$A:$A,Proyectos!$C:$C)),"")</f>
        <v>NULOS</v>
      </c>
    </row>
    <row r="671" spans="1:15" ht="14.25" customHeight="1">
      <c r="A671" s="10">
        <v>1020845707</v>
      </c>
      <c r="B671" s="64" t="s">
        <v>61</v>
      </c>
      <c r="C671" s="62" t="s">
        <v>1993</v>
      </c>
      <c r="D671" t="s">
        <v>63</v>
      </c>
      <c r="E671" t="s">
        <v>2078</v>
      </c>
      <c r="F671" s="61">
        <v>36521</v>
      </c>
      <c r="G671" s="15" t="s">
        <v>73</v>
      </c>
      <c r="H671" t="s">
        <v>2079</v>
      </c>
      <c r="I671" s="62" t="s">
        <v>2080</v>
      </c>
      <c r="K671" s="36" t="s">
        <v>68</v>
      </c>
      <c r="L671" t="s">
        <v>69</v>
      </c>
      <c r="M671" s="62" t="s">
        <v>70</v>
      </c>
      <c r="N671" t="s">
        <v>71</v>
      </c>
      <c r="O671" t="str">
        <f>IFERROR(IF(Tbla_actores[[#This Row],[codigo_proyecto]]="","",_xlfn.XLOOKUP(Tbla_actores[[#This Row],[codigo_proyecto]],Proyectos!$A:$A,Proyectos!$C:$C)),"")</f>
        <v>NULOS</v>
      </c>
    </row>
    <row r="672" spans="1:15" ht="14.25" customHeight="1">
      <c r="A672" s="9">
        <v>1088342314</v>
      </c>
      <c r="B672" s="63" t="s">
        <v>61</v>
      </c>
      <c r="C672" s="62" t="s">
        <v>1993</v>
      </c>
      <c r="D672" t="s">
        <v>63</v>
      </c>
      <c r="E672" t="s">
        <v>2081</v>
      </c>
      <c r="F672" s="61">
        <v>35543</v>
      </c>
      <c r="G672" s="15" t="s">
        <v>73</v>
      </c>
      <c r="H672" t="s">
        <v>2082</v>
      </c>
      <c r="I672" s="62" t="s">
        <v>2083</v>
      </c>
      <c r="K672" s="36" t="s">
        <v>68</v>
      </c>
      <c r="L672" t="s">
        <v>69</v>
      </c>
      <c r="M672" s="62" t="s">
        <v>70</v>
      </c>
      <c r="N672" t="s">
        <v>71</v>
      </c>
      <c r="O672" t="str">
        <f>IFERROR(IF(Tbla_actores[[#This Row],[codigo_proyecto]]="","",_xlfn.XLOOKUP(Tbla_actores[[#This Row],[codigo_proyecto]],Proyectos!$A:$A,Proyectos!$C:$C)),"")</f>
        <v>NULOS</v>
      </c>
    </row>
    <row r="673" spans="1:15" ht="14.25" customHeight="1">
      <c r="A673" s="10">
        <v>1016109562</v>
      </c>
      <c r="B673" s="64" t="s">
        <v>61</v>
      </c>
      <c r="C673" s="62" t="s">
        <v>1993</v>
      </c>
      <c r="D673" t="s">
        <v>63</v>
      </c>
      <c r="E673" t="s">
        <v>2084</v>
      </c>
      <c r="F673" s="61">
        <v>36266</v>
      </c>
      <c r="G673" s="15" t="s">
        <v>65</v>
      </c>
      <c r="H673" t="s">
        <v>2085</v>
      </c>
      <c r="I673" s="62" t="s">
        <v>2086</v>
      </c>
      <c r="K673" s="36" t="s">
        <v>68</v>
      </c>
      <c r="L673" t="s">
        <v>69</v>
      </c>
      <c r="M673" s="62" t="s">
        <v>70</v>
      </c>
      <c r="N673" t="s">
        <v>71</v>
      </c>
      <c r="O673" t="str">
        <f>IFERROR(IF(Tbla_actores[[#This Row],[codigo_proyecto]]="","",_xlfn.XLOOKUP(Tbla_actores[[#This Row],[codigo_proyecto]],Proyectos!$A:$A,Proyectos!$C:$C)),"")</f>
        <v>NULOS</v>
      </c>
    </row>
    <row r="674" spans="1:15" ht="14.25" customHeight="1">
      <c r="A674" s="9">
        <v>1018510791</v>
      </c>
      <c r="B674" s="63" t="s">
        <v>61</v>
      </c>
      <c r="C674" s="62" t="s">
        <v>1993</v>
      </c>
      <c r="D674" t="s">
        <v>63</v>
      </c>
      <c r="E674" t="s">
        <v>2087</v>
      </c>
      <c r="F674" s="61">
        <v>36273</v>
      </c>
      <c r="G674" s="15" t="s">
        <v>73</v>
      </c>
      <c r="H674" t="s">
        <v>2088</v>
      </c>
      <c r="I674" s="62" t="s">
        <v>2089</v>
      </c>
      <c r="K674" s="36" t="s">
        <v>68</v>
      </c>
      <c r="L674" t="s">
        <v>69</v>
      </c>
      <c r="M674" s="62" t="s">
        <v>70</v>
      </c>
      <c r="N674" t="s">
        <v>71</v>
      </c>
      <c r="O674" t="str">
        <f>IFERROR(IF(Tbla_actores[[#This Row],[codigo_proyecto]]="","",_xlfn.XLOOKUP(Tbla_actores[[#This Row],[codigo_proyecto]],Proyectos!$A:$A,Proyectos!$C:$C)),"")</f>
        <v>NULOS</v>
      </c>
    </row>
    <row r="675" spans="1:15" ht="14.25" customHeight="1">
      <c r="A675" s="10">
        <v>1019135820</v>
      </c>
      <c r="B675" s="64" t="s">
        <v>61</v>
      </c>
      <c r="C675" s="62" t="s">
        <v>1993</v>
      </c>
      <c r="D675" t="s">
        <v>63</v>
      </c>
      <c r="E675" t="s">
        <v>2090</v>
      </c>
      <c r="F675" s="61">
        <v>35777</v>
      </c>
      <c r="G675" s="15" t="s">
        <v>73</v>
      </c>
      <c r="H675" t="s">
        <v>2091</v>
      </c>
      <c r="I675" s="62" t="s">
        <v>2092</v>
      </c>
      <c r="K675" s="36" t="s">
        <v>68</v>
      </c>
      <c r="L675" t="s">
        <v>69</v>
      </c>
      <c r="M675" s="62" t="s">
        <v>70</v>
      </c>
      <c r="N675" t="s">
        <v>71</v>
      </c>
      <c r="O675" t="str">
        <f>IFERROR(IF(Tbla_actores[[#This Row],[codigo_proyecto]]="","",_xlfn.XLOOKUP(Tbla_actores[[#This Row],[codigo_proyecto]],Proyectos!$A:$A,Proyectos!$C:$C)),"")</f>
        <v>NULOS</v>
      </c>
    </row>
    <row r="676" spans="1:15" ht="14.25" customHeight="1">
      <c r="A676" s="9">
        <v>1022446959</v>
      </c>
      <c r="B676" s="63" t="s">
        <v>61</v>
      </c>
      <c r="C676" s="62" t="s">
        <v>1993</v>
      </c>
      <c r="D676" t="s">
        <v>63</v>
      </c>
      <c r="E676" t="s">
        <v>2093</v>
      </c>
      <c r="F676" s="61">
        <v>36497</v>
      </c>
      <c r="G676" s="15" t="s">
        <v>65</v>
      </c>
      <c r="H676" t="s">
        <v>2094</v>
      </c>
      <c r="I676" s="62" t="s">
        <v>2095</v>
      </c>
      <c r="K676" s="36" t="s">
        <v>68</v>
      </c>
      <c r="L676" t="s">
        <v>69</v>
      </c>
      <c r="M676" s="62" t="s">
        <v>70</v>
      </c>
      <c r="N676" t="s">
        <v>71</v>
      </c>
      <c r="O676" t="str">
        <f>IFERROR(IF(Tbla_actores[[#This Row],[codigo_proyecto]]="","",_xlfn.XLOOKUP(Tbla_actores[[#This Row],[codigo_proyecto]],Proyectos!$A:$A,Proyectos!$C:$C)),"")</f>
        <v>NULOS</v>
      </c>
    </row>
    <row r="677" spans="1:15" ht="14.25" customHeight="1">
      <c r="A677" s="10">
        <v>1026599135</v>
      </c>
      <c r="B677" s="64" t="s">
        <v>61</v>
      </c>
      <c r="C677" s="62" t="s">
        <v>1993</v>
      </c>
      <c r="D677" t="s">
        <v>63</v>
      </c>
      <c r="E677" t="s">
        <v>2096</v>
      </c>
      <c r="F677" s="61">
        <v>36447</v>
      </c>
      <c r="G677" s="15" t="s">
        <v>73</v>
      </c>
      <c r="H677" t="s">
        <v>2097</v>
      </c>
      <c r="I677" s="62" t="s">
        <v>2098</v>
      </c>
      <c r="K677" s="36" t="s">
        <v>68</v>
      </c>
      <c r="L677" t="s">
        <v>69</v>
      </c>
      <c r="M677" s="62" t="s">
        <v>70</v>
      </c>
      <c r="N677" t="s">
        <v>71</v>
      </c>
      <c r="O677" t="str">
        <f>IFERROR(IF(Tbla_actores[[#This Row],[codigo_proyecto]]="","",_xlfn.XLOOKUP(Tbla_actores[[#This Row],[codigo_proyecto]],Proyectos!$A:$A,Proyectos!$C:$C)),"")</f>
        <v>NULOS</v>
      </c>
    </row>
    <row r="678" spans="1:15" ht="14.25" customHeight="1">
      <c r="A678" s="9">
        <v>1018509990</v>
      </c>
      <c r="B678" s="63" t="s">
        <v>61</v>
      </c>
      <c r="C678" s="62" t="s">
        <v>1993</v>
      </c>
      <c r="D678" t="s">
        <v>63</v>
      </c>
      <c r="E678" t="s">
        <v>2099</v>
      </c>
      <c r="F678" s="61">
        <v>36237</v>
      </c>
      <c r="G678" s="15" t="s">
        <v>73</v>
      </c>
      <c r="H678" t="s">
        <v>2100</v>
      </c>
      <c r="I678" s="62" t="s">
        <v>2101</v>
      </c>
      <c r="K678" s="36" t="s">
        <v>68</v>
      </c>
      <c r="L678" t="s">
        <v>69</v>
      </c>
      <c r="M678" s="62" t="s">
        <v>70</v>
      </c>
      <c r="N678" t="s">
        <v>71</v>
      </c>
      <c r="O678" t="str">
        <f>IFERROR(IF(Tbla_actores[[#This Row],[codigo_proyecto]]="","",_xlfn.XLOOKUP(Tbla_actores[[#This Row],[codigo_proyecto]],Proyectos!$A:$A,Proyectos!$C:$C)),"")</f>
        <v>NULOS</v>
      </c>
    </row>
    <row r="679" spans="1:15" ht="14.25" customHeight="1">
      <c r="A679" s="10">
        <v>1015471806</v>
      </c>
      <c r="B679" s="64" t="s">
        <v>61</v>
      </c>
      <c r="C679" s="62" t="s">
        <v>1993</v>
      </c>
      <c r="D679" t="s">
        <v>63</v>
      </c>
      <c r="E679" t="s">
        <v>2102</v>
      </c>
      <c r="F679" s="61">
        <v>35747</v>
      </c>
      <c r="G679" s="15" t="s">
        <v>73</v>
      </c>
      <c r="H679" t="s">
        <v>2103</v>
      </c>
      <c r="I679" s="62" t="s">
        <v>2104</v>
      </c>
      <c r="K679" s="36" t="s">
        <v>68</v>
      </c>
      <c r="L679" t="s">
        <v>69</v>
      </c>
      <c r="M679" s="62" t="s">
        <v>70</v>
      </c>
      <c r="N679" t="s">
        <v>71</v>
      </c>
      <c r="O679" t="str">
        <f>IFERROR(IF(Tbla_actores[[#This Row],[codigo_proyecto]]="","",_xlfn.XLOOKUP(Tbla_actores[[#This Row],[codigo_proyecto]],Proyectos!$A:$A,Proyectos!$C:$C)),"")</f>
        <v>NULOS</v>
      </c>
    </row>
    <row r="680" spans="1:15" ht="14.25" customHeight="1">
      <c r="A680" s="9">
        <v>1010248040</v>
      </c>
      <c r="B680" s="63" t="s">
        <v>61</v>
      </c>
      <c r="C680" s="62" t="s">
        <v>1993</v>
      </c>
      <c r="D680" t="s">
        <v>63</v>
      </c>
      <c r="E680" t="s">
        <v>2105</v>
      </c>
      <c r="F680" s="61">
        <v>36455</v>
      </c>
      <c r="G680" s="15" t="s">
        <v>73</v>
      </c>
      <c r="H680" t="s">
        <v>2106</v>
      </c>
      <c r="I680" s="62" t="s">
        <v>2107</v>
      </c>
      <c r="K680" s="36" t="s">
        <v>68</v>
      </c>
      <c r="L680" t="s">
        <v>69</v>
      </c>
      <c r="M680" s="62" t="s">
        <v>70</v>
      </c>
      <c r="N680" t="s">
        <v>71</v>
      </c>
      <c r="O680" t="str">
        <f>IFERROR(IF(Tbla_actores[[#This Row],[codigo_proyecto]]="","",_xlfn.XLOOKUP(Tbla_actores[[#This Row],[codigo_proyecto]],Proyectos!$A:$A,Proyectos!$C:$C)),"")</f>
        <v>NULOS</v>
      </c>
    </row>
    <row r="681" spans="1:15" ht="14.25" customHeight="1">
      <c r="A681" s="10">
        <v>1001914647</v>
      </c>
      <c r="B681" s="64" t="s">
        <v>61</v>
      </c>
      <c r="C681" s="62" t="s">
        <v>1993</v>
      </c>
      <c r="D681" t="s">
        <v>63</v>
      </c>
      <c r="E681" t="s">
        <v>2108</v>
      </c>
      <c r="F681" s="61">
        <v>36669</v>
      </c>
      <c r="G681" s="15" t="s">
        <v>73</v>
      </c>
      <c r="H681" t="s">
        <v>2109</v>
      </c>
      <c r="I681" s="62" t="s">
        <v>2110</v>
      </c>
      <c r="K681" s="36" t="s">
        <v>68</v>
      </c>
      <c r="L681" t="s">
        <v>69</v>
      </c>
      <c r="M681" s="62" t="s">
        <v>70</v>
      </c>
      <c r="N681" t="s">
        <v>71</v>
      </c>
      <c r="O681" t="str">
        <f>IFERROR(IF(Tbla_actores[[#This Row],[codigo_proyecto]]="","",_xlfn.XLOOKUP(Tbla_actores[[#This Row],[codigo_proyecto]],Proyectos!$A:$A,Proyectos!$C:$C)),"")</f>
        <v>NULOS</v>
      </c>
    </row>
    <row r="682" spans="1:15" ht="14.25" customHeight="1">
      <c r="A682" s="9">
        <v>1015471833</v>
      </c>
      <c r="B682" s="63" t="s">
        <v>61</v>
      </c>
      <c r="C682" s="62" t="s">
        <v>1993</v>
      </c>
      <c r="D682" t="s">
        <v>63</v>
      </c>
      <c r="E682" t="s">
        <v>2111</v>
      </c>
      <c r="F682" s="61">
        <v>35739</v>
      </c>
      <c r="G682" s="15" t="s">
        <v>73</v>
      </c>
      <c r="H682" t="s">
        <v>2112</v>
      </c>
      <c r="I682" s="62" t="s">
        <v>2113</v>
      </c>
      <c r="K682" s="36" t="s">
        <v>68</v>
      </c>
      <c r="L682" t="s">
        <v>69</v>
      </c>
      <c r="M682" s="62" t="s">
        <v>70</v>
      </c>
      <c r="N682" t="s">
        <v>71</v>
      </c>
      <c r="O682" t="str">
        <f>IFERROR(IF(Tbla_actores[[#This Row],[codigo_proyecto]]="","",_xlfn.XLOOKUP(Tbla_actores[[#This Row],[codigo_proyecto]],Proyectos!$A:$A,Proyectos!$C:$C)),"")</f>
        <v>NULOS</v>
      </c>
    </row>
    <row r="683" spans="1:15" ht="14.25" customHeight="1">
      <c r="A683" s="10">
        <v>1000473637</v>
      </c>
      <c r="B683" s="64" t="s">
        <v>61</v>
      </c>
      <c r="C683" s="62" t="s">
        <v>1993</v>
      </c>
      <c r="D683" t="s">
        <v>63</v>
      </c>
      <c r="E683" t="s">
        <v>2114</v>
      </c>
      <c r="F683" s="61">
        <v>37058</v>
      </c>
      <c r="G683" s="15" t="s">
        <v>65</v>
      </c>
      <c r="H683" t="s">
        <v>2115</v>
      </c>
      <c r="I683" s="62" t="s">
        <v>2116</v>
      </c>
      <c r="K683" s="36" t="s">
        <v>169</v>
      </c>
      <c r="L683" t="s">
        <v>69</v>
      </c>
      <c r="M683" s="62" t="s">
        <v>170</v>
      </c>
      <c r="N683" t="s">
        <v>71</v>
      </c>
      <c r="O683" t="str">
        <f>IFERROR(IF(Tbla_actores[[#This Row],[codigo_proyecto]]="","",_xlfn.XLOOKUP(Tbla_actores[[#This Row],[codigo_proyecto]],Proyectos!$A:$A,Proyectos!$C:$C)),"")</f>
        <v>NULOS</v>
      </c>
    </row>
    <row r="684" spans="1:15" ht="14.25" customHeight="1">
      <c r="A684" s="9">
        <v>1001162511</v>
      </c>
      <c r="B684" s="63" t="s">
        <v>61</v>
      </c>
      <c r="C684" s="62" t="s">
        <v>1993</v>
      </c>
      <c r="D684" t="s">
        <v>63</v>
      </c>
      <c r="E684" t="s">
        <v>2117</v>
      </c>
      <c r="F684" s="61">
        <v>36289</v>
      </c>
      <c r="G684" s="15" t="s">
        <v>65</v>
      </c>
      <c r="H684" t="s">
        <v>2118</v>
      </c>
      <c r="I684" s="62" t="s">
        <v>2119</v>
      </c>
      <c r="K684" s="36" t="s">
        <v>169</v>
      </c>
      <c r="L684" t="s">
        <v>69</v>
      </c>
      <c r="M684" s="62" t="s">
        <v>170</v>
      </c>
      <c r="N684" t="s">
        <v>71</v>
      </c>
      <c r="O684" t="str">
        <f>IFERROR(IF(Tbla_actores[[#This Row],[codigo_proyecto]]="","",_xlfn.XLOOKUP(Tbla_actores[[#This Row],[codigo_proyecto]],Proyectos!$A:$A,Proyectos!$C:$C)),"")</f>
        <v>NULOS</v>
      </c>
    </row>
    <row r="685" spans="1:15" ht="14.25" customHeight="1">
      <c r="A685" s="10">
        <v>1010229774</v>
      </c>
      <c r="B685" s="64" t="s">
        <v>61</v>
      </c>
      <c r="C685" s="62" t="s">
        <v>1993</v>
      </c>
      <c r="D685" t="s">
        <v>63</v>
      </c>
      <c r="E685" t="s">
        <v>2120</v>
      </c>
      <c r="F685" s="61">
        <v>35328</v>
      </c>
      <c r="G685" s="15" t="s">
        <v>73</v>
      </c>
      <c r="H685" t="s">
        <v>2121</v>
      </c>
      <c r="I685" s="62" t="s">
        <v>2122</v>
      </c>
      <c r="K685" s="36" t="s">
        <v>169</v>
      </c>
      <c r="L685" t="s">
        <v>69</v>
      </c>
      <c r="M685" s="62" t="s">
        <v>170</v>
      </c>
      <c r="N685" t="s">
        <v>71</v>
      </c>
      <c r="O685" t="str">
        <f>IFERROR(IF(Tbla_actores[[#This Row],[codigo_proyecto]]="","",_xlfn.XLOOKUP(Tbla_actores[[#This Row],[codigo_proyecto]],Proyectos!$A:$A,Proyectos!$C:$C)),"")</f>
        <v>NULOS</v>
      </c>
    </row>
    <row r="686" spans="1:15" ht="14.25" customHeight="1">
      <c r="A686" s="9">
        <v>1032500980</v>
      </c>
      <c r="B686" s="63" t="s">
        <v>61</v>
      </c>
      <c r="C686" s="62" t="s">
        <v>1993</v>
      </c>
      <c r="D686" t="s">
        <v>63</v>
      </c>
      <c r="E686" t="s">
        <v>2123</v>
      </c>
      <c r="F686" s="61">
        <v>36082</v>
      </c>
      <c r="G686" s="15" t="s">
        <v>65</v>
      </c>
      <c r="H686" t="s">
        <v>2124</v>
      </c>
      <c r="I686" s="62" t="s">
        <v>2125</v>
      </c>
      <c r="K686" s="36" t="s">
        <v>169</v>
      </c>
      <c r="L686" t="s">
        <v>69</v>
      </c>
      <c r="M686" s="62" t="s">
        <v>170</v>
      </c>
      <c r="N686" t="s">
        <v>71</v>
      </c>
      <c r="O686" t="str">
        <f>IFERROR(IF(Tbla_actores[[#This Row],[codigo_proyecto]]="","",_xlfn.XLOOKUP(Tbla_actores[[#This Row],[codigo_proyecto]],Proyectos!$A:$A,Proyectos!$C:$C)),"")</f>
        <v>NULOS</v>
      </c>
    </row>
    <row r="687" spans="1:15" ht="14.25" customHeight="1">
      <c r="A687" s="10">
        <v>1000970024</v>
      </c>
      <c r="B687" s="64" t="s">
        <v>61</v>
      </c>
      <c r="C687" s="62" t="s">
        <v>1993</v>
      </c>
      <c r="D687" t="s">
        <v>63</v>
      </c>
      <c r="E687" t="s">
        <v>2126</v>
      </c>
      <c r="F687" s="61">
        <v>36562</v>
      </c>
      <c r="G687" s="15" t="s">
        <v>73</v>
      </c>
      <c r="H687" t="s">
        <v>2127</v>
      </c>
      <c r="I687" s="62" t="s">
        <v>2128</v>
      </c>
      <c r="K687" s="36" t="s">
        <v>169</v>
      </c>
      <c r="L687" t="s">
        <v>69</v>
      </c>
      <c r="M687" s="62" t="s">
        <v>170</v>
      </c>
      <c r="N687" t="s">
        <v>71</v>
      </c>
      <c r="O687" t="str">
        <f>IFERROR(IF(Tbla_actores[[#This Row],[codigo_proyecto]]="","",_xlfn.XLOOKUP(Tbla_actores[[#This Row],[codigo_proyecto]],Proyectos!$A:$A,Proyectos!$C:$C)),"")</f>
        <v>NULOS</v>
      </c>
    </row>
    <row r="688" spans="1:15" ht="14.25" customHeight="1">
      <c r="A688" s="9">
        <v>1018509979</v>
      </c>
      <c r="B688" s="63" t="s">
        <v>61</v>
      </c>
      <c r="C688" s="62" t="s">
        <v>1993</v>
      </c>
      <c r="D688" t="s">
        <v>63</v>
      </c>
      <c r="E688" t="s">
        <v>2129</v>
      </c>
      <c r="F688" s="61">
        <v>36243</v>
      </c>
      <c r="G688" s="15" t="s">
        <v>65</v>
      </c>
      <c r="H688" t="s">
        <v>2130</v>
      </c>
      <c r="I688" s="62" t="s">
        <v>2131</v>
      </c>
      <c r="K688" s="36" t="s">
        <v>169</v>
      </c>
      <c r="L688" t="s">
        <v>69</v>
      </c>
      <c r="M688" s="62" t="s">
        <v>170</v>
      </c>
      <c r="N688" t="s">
        <v>71</v>
      </c>
      <c r="O688" t="str">
        <f>IFERROR(IF(Tbla_actores[[#This Row],[codigo_proyecto]]="","",_xlfn.XLOOKUP(Tbla_actores[[#This Row],[codigo_proyecto]],Proyectos!$A:$A,Proyectos!$C:$C)),"")</f>
        <v>NULOS</v>
      </c>
    </row>
    <row r="689" spans="1:15" ht="14.25" customHeight="1">
      <c r="A689" s="10">
        <v>1032505145</v>
      </c>
      <c r="B689" s="64" t="s">
        <v>61</v>
      </c>
      <c r="C689" s="62" t="s">
        <v>1993</v>
      </c>
      <c r="D689" t="s">
        <v>63</v>
      </c>
      <c r="E689" t="s">
        <v>2132</v>
      </c>
      <c r="F689" s="61">
        <v>36320</v>
      </c>
      <c r="G689" s="15" t="s">
        <v>65</v>
      </c>
      <c r="H689" t="s">
        <v>2133</v>
      </c>
      <c r="I689" s="62" t="s">
        <v>2134</v>
      </c>
      <c r="K689" s="36" t="s">
        <v>169</v>
      </c>
      <c r="L689" t="s">
        <v>69</v>
      </c>
      <c r="M689" s="62" t="s">
        <v>170</v>
      </c>
      <c r="N689" t="s">
        <v>71</v>
      </c>
      <c r="O689" t="str">
        <f>IFERROR(IF(Tbla_actores[[#This Row],[codigo_proyecto]]="","",_xlfn.XLOOKUP(Tbla_actores[[#This Row],[codigo_proyecto]],Proyectos!$A:$A,Proyectos!$C:$C)),"")</f>
        <v>NULOS</v>
      </c>
    </row>
    <row r="690" spans="1:15" ht="14.25" customHeight="1">
      <c r="A690" s="9">
        <v>1032509141</v>
      </c>
      <c r="B690" s="63" t="s">
        <v>61</v>
      </c>
      <c r="C690" s="62" t="s">
        <v>1993</v>
      </c>
      <c r="D690" t="s">
        <v>63</v>
      </c>
      <c r="E690" t="s">
        <v>2135</v>
      </c>
      <c r="F690" s="61">
        <v>36526</v>
      </c>
      <c r="G690" s="15" t="s">
        <v>65</v>
      </c>
      <c r="H690" t="s">
        <v>2136</v>
      </c>
      <c r="I690" s="62" t="s">
        <v>2137</v>
      </c>
      <c r="K690" s="36" t="s">
        <v>169</v>
      </c>
      <c r="L690" t="s">
        <v>69</v>
      </c>
      <c r="M690" s="62" t="s">
        <v>170</v>
      </c>
      <c r="N690" t="s">
        <v>71</v>
      </c>
      <c r="O690" t="str">
        <f>IFERROR(IF(Tbla_actores[[#This Row],[codigo_proyecto]]="","",_xlfn.XLOOKUP(Tbla_actores[[#This Row],[codigo_proyecto]],Proyectos!$A:$A,Proyectos!$C:$C)),"")</f>
        <v>NULOS</v>
      </c>
    </row>
    <row r="691" spans="1:15" ht="14.25" customHeight="1">
      <c r="A691" s="10">
        <v>1093230725</v>
      </c>
      <c r="B691" s="64" t="s">
        <v>61</v>
      </c>
      <c r="C691" s="62" t="s">
        <v>1993</v>
      </c>
      <c r="D691" t="s">
        <v>63</v>
      </c>
      <c r="E691" t="s">
        <v>2138</v>
      </c>
      <c r="F691" s="61">
        <v>36405</v>
      </c>
      <c r="G691" s="15" t="s">
        <v>65</v>
      </c>
      <c r="H691" t="s">
        <v>2139</v>
      </c>
      <c r="I691" s="62" t="s">
        <v>2140</v>
      </c>
      <c r="K691" s="36" t="s">
        <v>169</v>
      </c>
      <c r="L691" t="s">
        <v>69</v>
      </c>
      <c r="M691" s="62" t="s">
        <v>170</v>
      </c>
      <c r="N691" t="s">
        <v>71</v>
      </c>
      <c r="O691" t="str">
        <f>IFERROR(IF(Tbla_actores[[#This Row],[codigo_proyecto]]="","",_xlfn.XLOOKUP(Tbla_actores[[#This Row],[codigo_proyecto]],Proyectos!$A:$A,Proyectos!$C:$C)),"")</f>
        <v>NULOS</v>
      </c>
    </row>
    <row r="692" spans="1:15" ht="14.25" customHeight="1">
      <c r="A692" s="9">
        <v>1020828104</v>
      </c>
      <c r="B692" s="63" t="s">
        <v>61</v>
      </c>
      <c r="C692" s="62" t="s">
        <v>1993</v>
      </c>
      <c r="D692" t="s">
        <v>63</v>
      </c>
      <c r="E692" t="s">
        <v>2141</v>
      </c>
      <c r="F692" s="61">
        <v>35681</v>
      </c>
      <c r="G692" s="15" t="s">
        <v>65</v>
      </c>
      <c r="H692" t="s">
        <v>2142</v>
      </c>
      <c r="I692" s="62" t="s">
        <v>2143</v>
      </c>
      <c r="K692" s="36" t="s">
        <v>169</v>
      </c>
      <c r="L692" t="s">
        <v>69</v>
      </c>
      <c r="M692" s="62" t="s">
        <v>170</v>
      </c>
      <c r="N692" t="s">
        <v>71</v>
      </c>
      <c r="O692" t="str">
        <f>IFERROR(IF(Tbla_actores[[#This Row],[codigo_proyecto]]="","",_xlfn.XLOOKUP(Tbla_actores[[#This Row],[codigo_proyecto]],Proyectos!$A:$A,Proyectos!$C:$C)),"")</f>
        <v>NULOS</v>
      </c>
    </row>
    <row r="693" spans="1:15" ht="14.25" customHeight="1">
      <c r="A693" s="10">
        <v>1032504113</v>
      </c>
      <c r="B693" s="64" t="s">
        <v>61</v>
      </c>
      <c r="C693" s="62" t="s">
        <v>1993</v>
      </c>
      <c r="D693" t="s">
        <v>63</v>
      </c>
      <c r="E693" t="s">
        <v>2144</v>
      </c>
      <c r="F693" s="61">
        <v>36265</v>
      </c>
      <c r="G693" s="15" t="s">
        <v>73</v>
      </c>
      <c r="H693" t="s">
        <v>2145</v>
      </c>
      <c r="I693" s="62" t="s">
        <v>2146</v>
      </c>
      <c r="K693" s="36" t="s">
        <v>169</v>
      </c>
      <c r="L693" t="s">
        <v>69</v>
      </c>
      <c r="M693" s="62" t="s">
        <v>170</v>
      </c>
      <c r="N693" t="s">
        <v>71</v>
      </c>
      <c r="O693" t="str">
        <f>IFERROR(IF(Tbla_actores[[#This Row],[codigo_proyecto]]="","",_xlfn.XLOOKUP(Tbla_actores[[#This Row],[codigo_proyecto]],Proyectos!$A:$A,Proyectos!$C:$C)),"")</f>
        <v>NULOS</v>
      </c>
    </row>
    <row r="694" spans="1:15" ht="14.25" customHeight="1">
      <c r="A694" s="9">
        <v>1018508455</v>
      </c>
      <c r="B694" s="63" t="s">
        <v>61</v>
      </c>
      <c r="C694" s="62" t="s">
        <v>1993</v>
      </c>
      <c r="D694" t="s">
        <v>63</v>
      </c>
      <c r="E694" t="s">
        <v>2147</v>
      </c>
      <c r="F694" s="61">
        <v>36152</v>
      </c>
      <c r="G694" s="15" t="s">
        <v>65</v>
      </c>
      <c r="H694" t="s">
        <v>2148</v>
      </c>
      <c r="I694" s="62" t="s">
        <v>2149</v>
      </c>
      <c r="K694" s="36" t="s">
        <v>169</v>
      </c>
      <c r="L694" t="s">
        <v>69</v>
      </c>
      <c r="M694" s="62" t="s">
        <v>170</v>
      </c>
      <c r="N694" t="s">
        <v>71</v>
      </c>
      <c r="O694" t="str">
        <f>IFERROR(IF(Tbla_actores[[#This Row],[codigo_proyecto]]="","",_xlfn.XLOOKUP(Tbla_actores[[#This Row],[codigo_proyecto]],Proyectos!$A:$A,Proyectos!$C:$C)),"")</f>
        <v>NULOS</v>
      </c>
    </row>
    <row r="695" spans="1:15" ht="14.25" customHeight="1">
      <c r="A695" s="10">
        <v>1047487365</v>
      </c>
      <c r="B695" s="64" t="s">
        <v>61</v>
      </c>
      <c r="C695" s="62" t="s">
        <v>1993</v>
      </c>
      <c r="D695" t="s">
        <v>63</v>
      </c>
      <c r="E695" t="s">
        <v>2150</v>
      </c>
      <c r="F695" s="61">
        <v>35096</v>
      </c>
      <c r="G695" s="15" t="s">
        <v>65</v>
      </c>
      <c r="H695" t="s">
        <v>2151</v>
      </c>
      <c r="I695" s="62" t="s">
        <v>2152</v>
      </c>
      <c r="K695" s="36" t="s">
        <v>169</v>
      </c>
      <c r="L695" t="s">
        <v>69</v>
      </c>
      <c r="M695" s="62" t="s">
        <v>170</v>
      </c>
      <c r="N695" t="s">
        <v>71</v>
      </c>
      <c r="O695" t="str">
        <f>IFERROR(IF(Tbla_actores[[#This Row],[codigo_proyecto]]="","",_xlfn.XLOOKUP(Tbla_actores[[#This Row],[codigo_proyecto]],Proyectos!$A:$A,Proyectos!$C:$C)),"")</f>
        <v>NULOS</v>
      </c>
    </row>
    <row r="696" spans="1:15" ht="14.25" customHeight="1">
      <c r="A696" s="9">
        <v>1020834415</v>
      </c>
      <c r="B696" s="63" t="s">
        <v>61</v>
      </c>
      <c r="C696" s="62" t="s">
        <v>1993</v>
      </c>
      <c r="D696" t="s">
        <v>63</v>
      </c>
      <c r="E696" t="s">
        <v>2153</v>
      </c>
      <c r="F696" s="61">
        <v>35992</v>
      </c>
      <c r="G696" s="15" t="s">
        <v>65</v>
      </c>
      <c r="H696" t="s">
        <v>2154</v>
      </c>
      <c r="I696" s="62" t="s">
        <v>2155</v>
      </c>
      <c r="K696" s="36" t="s">
        <v>169</v>
      </c>
      <c r="L696" t="s">
        <v>69</v>
      </c>
      <c r="M696" s="62" t="s">
        <v>170</v>
      </c>
      <c r="N696" t="s">
        <v>71</v>
      </c>
      <c r="O696" t="str">
        <f>IFERROR(IF(Tbla_actores[[#This Row],[codigo_proyecto]]="","",_xlfn.XLOOKUP(Tbla_actores[[#This Row],[codigo_proyecto]],Proyectos!$A:$A,Proyectos!$C:$C)),"")</f>
        <v>NULOS</v>
      </c>
    </row>
    <row r="697" spans="1:15" ht="14.25" customHeight="1">
      <c r="A697" s="10">
        <v>1136889183</v>
      </c>
      <c r="B697" s="64" t="s">
        <v>61</v>
      </c>
      <c r="C697" s="62" t="s">
        <v>1993</v>
      </c>
      <c r="D697" t="s">
        <v>63</v>
      </c>
      <c r="E697" t="s">
        <v>2156</v>
      </c>
      <c r="F697" s="61">
        <v>36052</v>
      </c>
      <c r="G697" s="15" t="s">
        <v>73</v>
      </c>
      <c r="H697" t="s">
        <v>2157</v>
      </c>
      <c r="I697" s="62" t="s">
        <v>2158</v>
      </c>
      <c r="K697" s="36" t="s">
        <v>169</v>
      </c>
      <c r="L697" t="s">
        <v>69</v>
      </c>
      <c r="M697" s="62" t="s">
        <v>170</v>
      </c>
      <c r="N697" t="s">
        <v>71</v>
      </c>
      <c r="O697" t="str">
        <f>IFERROR(IF(Tbla_actores[[#This Row],[codigo_proyecto]]="","",_xlfn.XLOOKUP(Tbla_actores[[#This Row],[codigo_proyecto]],Proyectos!$A:$A,Proyectos!$C:$C)),"")</f>
        <v>NULOS</v>
      </c>
    </row>
    <row r="698" spans="1:15" ht="14.25" customHeight="1">
      <c r="A698" s="9">
        <v>1032506086</v>
      </c>
      <c r="B698" s="63" t="s">
        <v>61</v>
      </c>
      <c r="C698" s="62" t="s">
        <v>1993</v>
      </c>
      <c r="D698" t="s">
        <v>63</v>
      </c>
      <c r="E698" t="s">
        <v>2159</v>
      </c>
      <c r="F698" s="61">
        <v>36369</v>
      </c>
      <c r="G698" s="15" t="s">
        <v>65</v>
      </c>
      <c r="H698" t="s">
        <v>2160</v>
      </c>
      <c r="I698" s="62" t="s">
        <v>2161</v>
      </c>
      <c r="K698" s="36" t="s">
        <v>169</v>
      </c>
      <c r="L698" t="s">
        <v>69</v>
      </c>
      <c r="M698" s="62" t="s">
        <v>170</v>
      </c>
      <c r="N698" t="s">
        <v>71</v>
      </c>
      <c r="O698" t="str">
        <f>IFERROR(IF(Tbla_actores[[#This Row],[codigo_proyecto]]="","",_xlfn.XLOOKUP(Tbla_actores[[#This Row],[codigo_proyecto]],Proyectos!$A:$A,Proyectos!$C:$C)),"")</f>
        <v>NULOS</v>
      </c>
    </row>
    <row r="699" spans="1:15" ht="14.25" customHeight="1">
      <c r="A699" s="10">
        <v>1001216052</v>
      </c>
      <c r="B699" s="64" t="s">
        <v>61</v>
      </c>
      <c r="C699" s="62" t="s">
        <v>1993</v>
      </c>
      <c r="D699" t="s">
        <v>63</v>
      </c>
      <c r="E699" t="s">
        <v>2162</v>
      </c>
      <c r="F699" s="61">
        <v>36537</v>
      </c>
      <c r="G699" s="15" t="s">
        <v>65</v>
      </c>
      <c r="H699" t="s">
        <v>2163</v>
      </c>
      <c r="I699" s="62" t="s">
        <v>2164</v>
      </c>
      <c r="K699" s="36" t="s">
        <v>169</v>
      </c>
      <c r="L699" t="s">
        <v>69</v>
      </c>
      <c r="M699" s="62" t="s">
        <v>170</v>
      </c>
      <c r="N699" t="s">
        <v>71</v>
      </c>
      <c r="O699" t="str">
        <f>IFERROR(IF(Tbla_actores[[#This Row],[codigo_proyecto]]="","",_xlfn.XLOOKUP(Tbla_actores[[#This Row],[codigo_proyecto]],Proyectos!$A:$A,Proyectos!$C:$C)),"")</f>
        <v>NULOS</v>
      </c>
    </row>
    <row r="700" spans="1:15" ht="14.25" customHeight="1">
      <c r="A700" s="9">
        <v>1019148115</v>
      </c>
      <c r="B700" s="63" t="s">
        <v>61</v>
      </c>
      <c r="C700" s="62" t="s">
        <v>1993</v>
      </c>
      <c r="D700" t="s">
        <v>63</v>
      </c>
      <c r="E700" t="s">
        <v>2165</v>
      </c>
      <c r="F700" s="61">
        <v>36271</v>
      </c>
      <c r="G700" s="15" t="s">
        <v>73</v>
      </c>
      <c r="H700" t="s">
        <v>2166</v>
      </c>
      <c r="I700" s="62" t="s">
        <v>2167</v>
      </c>
      <c r="K700" s="36" t="s">
        <v>169</v>
      </c>
      <c r="L700" t="s">
        <v>69</v>
      </c>
      <c r="M700" s="62" t="s">
        <v>170</v>
      </c>
      <c r="N700" t="s">
        <v>71</v>
      </c>
      <c r="O700" t="str">
        <f>IFERROR(IF(Tbla_actores[[#This Row],[codigo_proyecto]]="","",_xlfn.XLOOKUP(Tbla_actores[[#This Row],[codigo_proyecto]],Proyectos!$A:$A,Proyectos!$C:$C)),"")</f>
        <v>NULOS</v>
      </c>
    </row>
    <row r="701" spans="1:15" ht="14.25" customHeight="1">
      <c r="A701" s="10">
        <v>1002526638</v>
      </c>
      <c r="B701" s="64" t="s">
        <v>61</v>
      </c>
      <c r="C701" s="62" t="s">
        <v>1993</v>
      </c>
      <c r="D701" t="s">
        <v>63</v>
      </c>
      <c r="E701" t="s">
        <v>2168</v>
      </c>
      <c r="F701" s="61">
        <v>36465</v>
      </c>
      <c r="G701" s="15" t="s">
        <v>65</v>
      </c>
      <c r="H701" t="s">
        <v>2169</v>
      </c>
      <c r="I701" s="62" t="s">
        <v>2170</v>
      </c>
      <c r="K701" s="36" t="s">
        <v>169</v>
      </c>
      <c r="L701" t="s">
        <v>69</v>
      </c>
      <c r="M701" s="62" t="s">
        <v>170</v>
      </c>
      <c r="N701" t="s">
        <v>71</v>
      </c>
      <c r="O701" t="str">
        <f>IFERROR(IF(Tbla_actores[[#This Row],[codigo_proyecto]]="","",_xlfn.XLOOKUP(Tbla_actores[[#This Row],[codigo_proyecto]],Proyectos!$A:$A,Proyectos!$C:$C)),"")</f>
        <v>NULOS</v>
      </c>
    </row>
    <row r="702" spans="1:15" ht="14.25" customHeight="1">
      <c r="A702" s="9">
        <v>1007674001</v>
      </c>
      <c r="B702" s="63" t="s">
        <v>61</v>
      </c>
      <c r="C702" s="62" t="s">
        <v>1993</v>
      </c>
      <c r="D702" t="s">
        <v>63</v>
      </c>
      <c r="E702" t="s">
        <v>2171</v>
      </c>
      <c r="F702" s="61">
        <v>36858</v>
      </c>
      <c r="G702" s="15" t="s">
        <v>73</v>
      </c>
      <c r="H702" t="s">
        <v>2172</v>
      </c>
      <c r="I702" s="62" t="s">
        <v>2173</v>
      </c>
      <c r="K702" s="36" t="s">
        <v>169</v>
      </c>
      <c r="L702" t="s">
        <v>69</v>
      </c>
      <c r="M702" s="62" t="s">
        <v>170</v>
      </c>
      <c r="N702" t="s">
        <v>71</v>
      </c>
      <c r="O702" t="str">
        <f>IFERROR(IF(Tbla_actores[[#This Row],[codigo_proyecto]]="","",_xlfn.XLOOKUP(Tbla_actores[[#This Row],[codigo_proyecto]],Proyectos!$A:$A,Proyectos!$C:$C)),"")</f>
        <v>NULOS</v>
      </c>
    </row>
    <row r="703" spans="1:15" ht="14.25" customHeight="1">
      <c r="A703" s="10">
        <v>1022440409</v>
      </c>
      <c r="B703" s="64" t="s">
        <v>61</v>
      </c>
      <c r="C703" s="62" t="s">
        <v>1993</v>
      </c>
      <c r="D703" t="s">
        <v>63</v>
      </c>
      <c r="E703" t="s">
        <v>2174</v>
      </c>
      <c r="F703" s="61">
        <v>36159</v>
      </c>
      <c r="G703" s="15" t="s">
        <v>73</v>
      </c>
      <c r="H703" t="s">
        <v>2175</v>
      </c>
      <c r="I703" s="62" t="s">
        <v>2176</v>
      </c>
      <c r="K703" s="36" t="s">
        <v>169</v>
      </c>
      <c r="L703" t="s">
        <v>69</v>
      </c>
      <c r="M703" s="62" t="s">
        <v>170</v>
      </c>
      <c r="N703" t="s">
        <v>71</v>
      </c>
      <c r="O703" t="str">
        <f>IFERROR(IF(Tbla_actores[[#This Row],[codigo_proyecto]]="","",_xlfn.XLOOKUP(Tbla_actores[[#This Row],[codigo_proyecto]],Proyectos!$A:$A,Proyectos!$C:$C)),"")</f>
        <v>NULOS</v>
      </c>
    </row>
    <row r="704" spans="1:15" ht="14.25" customHeight="1">
      <c r="A704" s="9">
        <v>1032499544</v>
      </c>
      <c r="B704" s="63" t="s">
        <v>61</v>
      </c>
      <c r="C704" s="62" t="s">
        <v>1993</v>
      </c>
      <c r="D704" t="s">
        <v>63</v>
      </c>
      <c r="E704" t="s">
        <v>2177</v>
      </c>
      <c r="F704" s="61">
        <v>36023</v>
      </c>
      <c r="G704" s="15" t="s">
        <v>73</v>
      </c>
      <c r="H704" t="s">
        <v>2178</v>
      </c>
      <c r="I704" s="62" t="s">
        <v>2179</v>
      </c>
      <c r="K704" s="36" t="s">
        <v>169</v>
      </c>
      <c r="L704" t="s">
        <v>69</v>
      </c>
      <c r="M704" s="62" t="s">
        <v>170</v>
      </c>
      <c r="N704" t="s">
        <v>71</v>
      </c>
      <c r="O704" t="str">
        <f>IFERROR(IF(Tbla_actores[[#This Row],[codigo_proyecto]]="","",_xlfn.XLOOKUP(Tbla_actores[[#This Row],[codigo_proyecto]],Proyectos!$A:$A,Proyectos!$C:$C)),"")</f>
        <v>NULOS</v>
      </c>
    </row>
    <row r="705" spans="1:15" ht="14.25" customHeight="1">
      <c r="A705" s="10">
        <v>1018507123</v>
      </c>
      <c r="B705" s="64" t="s">
        <v>61</v>
      </c>
      <c r="C705" s="62" t="s">
        <v>1993</v>
      </c>
      <c r="D705" t="s">
        <v>63</v>
      </c>
      <c r="E705" t="s">
        <v>2180</v>
      </c>
      <c r="F705" s="61">
        <v>36121</v>
      </c>
      <c r="G705" s="15" t="s">
        <v>73</v>
      </c>
      <c r="H705" t="s">
        <v>2181</v>
      </c>
      <c r="I705" s="62" t="s">
        <v>2182</v>
      </c>
      <c r="K705" s="36" t="s">
        <v>169</v>
      </c>
      <c r="L705" t="s">
        <v>69</v>
      </c>
      <c r="M705" s="62" t="s">
        <v>170</v>
      </c>
      <c r="N705" t="s">
        <v>71</v>
      </c>
      <c r="O705" t="str">
        <f>IFERROR(IF(Tbla_actores[[#This Row],[codigo_proyecto]]="","",_xlfn.XLOOKUP(Tbla_actores[[#This Row],[codigo_proyecto]],Proyectos!$A:$A,Proyectos!$C:$C)),"")</f>
        <v>NULOS</v>
      </c>
    </row>
    <row r="706" spans="1:15" ht="14.25" customHeight="1">
      <c r="A706" s="9">
        <v>1019130661</v>
      </c>
      <c r="B706" s="63" t="s">
        <v>61</v>
      </c>
      <c r="C706" s="62" t="s">
        <v>1993</v>
      </c>
      <c r="D706" t="s">
        <v>63</v>
      </c>
      <c r="E706" t="s">
        <v>2183</v>
      </c>
      <c r="F706" s="61">
        <v>35588</v>
      </c>
      <c r="G706" s="15" t="s">
        <v>73</v>
      </c>
      <c r="H706" t="s">
        <v>2184</v>
      </c>
      <c r="I706" s="62" t="s">
        <v>2185</v>
      </c>
      <c r="K706" s="36" t="s">
        <v>169</v>
      </c>
      <c r="L706" t="s">
        <v>69</v>
      </c>
      <c r="M706" s="62" t="s">
        <v>170</v>
      </c>
      <c r="N706" t="s">
        <v>71</v>
      </c>
      <c r="O706" t="str">
        <f>IFERROR(IF(Tbla_actores[[#This Row],[codigo_proyecto]]="","",_xlfn.XLOOKUP(Tbla_actores[[#This Row],[codigo_proyecto]],Proyectos!$A:$A,Proyectos!$C:$C)),"")</f>
        <v>NULOS</v>
      </c>
    </row>
    <row r="707" spans="1:15" ht="14.25" customHeight="1">
      <c r="A707" s="10">
        <v>1020829446</v>
      </c>
      <c r="B707" s="64" t="s">
        <v>61</v>
      </c>
      <c r="C707" s="62" t="s">
        <v>1993</v>
      </c>
      <c r="D707" t="s">
        <v>63</v>
      </c>
      <c r="E707" t="s">
        <v>2186</v>
      </c>
      <c r="F707" s="61">
        <v>35753</v>
      </c>
      <c r="G707" s="15" t="s">
        <v>73</v>
      </c>
      <c r="H707" t="s">
        <v>2187</v>
      </c>
      <c r="I707" s="62" t="s">
        <v>2188</v>
      </c>
      <c r="K707" s="36" t="s">
        <v>169</v>
      </c>
      <c r="L707" t="s">
        <v>69</v>
      </c>
      <c r="M707" s="62" t="s">
        <v>170</v>
      </c>
      <c r="N707" t="s">
        <v>71</v>
      </c>
      <c r="O707" t="str">
        <f>IFERROR(IF(Tbla_actores[[#This Row],[codigo_proyecto]]="","",_xlfn.XLOOKUP(Tbla_actores[[#This Row],[codigo_proyecto]],Proyectos!$A:$A,Proyectos!$C:$C)),"")</f>
        <v>NULOS</v>
      </c>
    </row>
    <row r="708" spans="1:15" ht="14.25" customHeight="1">
      <c r="A708" s="9">
        <v>1193521044</v>
      </c>
      <c r="B708" s="63" t="s">
        <v>61</v>
      </c>
      <c r="C708" s="62" t="s">
        <v>1993</v>
      </c>
      <c r="D708" t="s">
        <v>63</v>
      </c>
      <c r="E708" t="s">
        <v>2189</v>
      </c>
      <c r="F708" s="61">
        <v>36571</v>
      </c>
      <c r="G708" s="15" t="s">
        <v>65</v>
      </c>
      <c r="H708" t="s">
        <v>2190</v>
      </c>
      <c r="I708" s="62" t="s">
        <v>2191</v>
      </c>
      <c r="K708" s="36" t="s">
        <v>169</v>
      </c>
      <c r="L708" t="s">
        <v>69</v>
      </c>
      <c r="M708" s="62" t="s">
        <v>170</v>
      </c>
      <c r="N708" t="s">
        <v>71</v>
      </c>
      <c r="O708" t="str">
        <f>IFERROR(IF(Tbla_actores[[#This Row],[codigo_proyecto]]="","",_xlfn.XLOOKUP(Tbla_actores[[#This Row],[codigo_proyecto]],Proyectos!$A:$A,Proyectos!$C:$C)),"")</f>
        <v>NULOS</v>
      </c>
    </row>
    <row r="709" spans="1:15" ht="14.25" customHeight="1">
      <c r="A709" s="10">
        <v>1018499227</v>
      </c>
      <c r="B709" s="64" t="s">
        <v>61</v>
      </c>
      <c r="C709" s="62" t="s">
        <v>1993</v>
      </c>
      <c r="D709" t="s">
        <v>63</v>
      </c>
      <c r="E709" t="s">
        <v>2192</v>
      </c>
      <c r="F709" s="61">
        <v>35758</v>
      </c>
      <c r="G709" s="15" t="s">
        <v>73</v>
      </c>
      <c r="H709" t="s">
        <v>2193</v>
      </c>
      <c r="I709" s="62" t="s">
        <v>2194</v>
      </c>
      <c r="K709" s="36" t="s">
        <v>169</v>
      </c>
      <c r="L709" t="s">
        <v>69</v>
      </c>
      <c r="M709" s="62" t="s">
        <v>170</v>
      </c>
      <c r="N709" t="s">
        <v>71</v>
      </c>
      <c r="O709" t="str">
        <f>IFERROR(IF(Tbla_actores[[#This Row],[codigo_proyecto]]="","",_xlfn.XLOOKUP(Tbla_actores[[#This Row],[codigo_proyecto]],Proyectos!$A:$A,Proyectos!$C:$C)),"")</f>
        <v>NULOS</v>
      </c>
    </row>
    <row r="710" spans="1:15" ht="14.25" customHeight="1">
      <c r="A710" s="9">
        <v>1019128486</v>
      </c>
      <c r="B710" s="63" t="s">
        <v>61</v>
      </c>
      <c r="C710" s="62" t="s">
        <v>1993</v>
      </c>
      <c r="D710" t="s">
        <v>63</v>
      </c>
      <c r="E710" t="s">
        <v>2195</v>
      </c>
      <c r="F710" s="61">
        <v>35473</v>
      </c>
      <c r="G710" s="15" t="s">
        <v>73</v>
      </c>
      <c r="H710" t="s">
        <v>2196</v>
      </c>
      <c r="I710" s="62" t="s">
        <v>2197</v>
      </c>
      <c r="K710" s="36" t="s">
        <v>169</v>
      </c>
      <c r="L710" t="s">
        <v>69</v>
      </c>
      <c r="M710" s="62" t="s">
        <v>170</v>
      </c>
      <c r="N710" t="s">
        <v>71</v>
      </c>
      <c r="O710" t="str">
        <f>IFERROR(IF(Tbla_actores[[#This Row],[codigo_proyecto]]="","",_xlfn.XLOOKUP(Tbla_actores[[#This Row],[codigo_proyecto]],Proyectos!$A:$A,Proyectos!$C:$C)),"")</f>
        <v>NULOS</v>
      </c>
    </row>
    <row r="711" spans="1:15" ht="14.25" customHeight="1">
      <c r="A711" s="10">
        <v>1016097464</v>
      </c>
      <c r="B711" s="64" t="s">
        <v>61</v>
      </c>
      <c r="C711" s="62" t="s">
        <v>1993</v>
      </c>
      <c r="D711" t="s">
        <v>63</v>
      </c>
      <c r="E711" t="s">
        <v>2198</v>
      </c>
      <c r="F711" s="61">
        <v>35706</v>
      </c>
      <c r="G711" s="15" t="s">
        <v>73</v>
      </c>
      <c r="H711" t="s">
        <v>2199</v>
      </c>
      <c r="I711" s="62" t="s">
        <v>2200</v>
      </c>
      <c r="K711" s="36" t="s">
        <v>169</v>
      </c>
      <c r="L711" t="s">
        <v>69</v>
      </c>
      <c r="M711" s="62" t="s">
        <v>170</v>
      </c>
      <c r="N711" t="s">
        <v>71</v>
      </c>
      <c r="O711" t="str">
        <f>IFERROR(IF(Tbla_actores[[#This Row],[codigo_proyecto]]="","",_xlfn.XLOOKUP(Tbla_actores[[#This Row],[codigo_proyecto]],Proyectos!$A:$A,Proyectos!$C:$C)),"")</f>
        <v>NULOS</v>
      </c>
    </row>
    <row r="712" spans="1:15" ht="14.25" customHeight="1">
      <c r="A712" s="9">
        <v>1016098545</v>
      </c>
      <c r="B712" s="63" t="s">
        <v>61</v>
      </c>
      <c r="C712" s="62" t="s">
        <v>1993</v>
      </c>
      <c r="D712" t="s">
        <v>63</v>
      </c>
      <c r="E712" t="s">
        <v>2201</v>
      </c>
      <c r="F712" s="61">
        <v>35706</v>
      </c>
      <c r="G712" s="15" t="s">
        <v>65</v>
      </c>
      <c r="H712" t="s">
        <v>2202</v>
      </c>
      <c r="I712" s="62" t="s">
        <v>2203</v>
      </c>
      <c r="K712" s="36" t="s">
        <v>169</v>
      </c>
      <c r="L712" t="s">
        <v>69</v>
      </c>
      <c r="M712" s="62" t="s">
        <v>170</v>
      </c>
      <c r="N712" t="s">
        <v>71</v>
      </c>
      <c r="O712" t="str">
        <f>IFERROR(IF(Tbla_actores[[#This Row],[codigo_proyecto]]="","",_xlfn.XLOOKUP(Tbla_actores[[#This Row],[codigo_proyecto]],Proyectos!$A:$A,Proyectos!$C:$C)),"")</f>
        <v>NULOS</v>
      </c>
    </row>
    <row r="713" spans="1:15" ht="14.25" customHeight="1">
      <c r="A713" s="10">
        <v>1136885625</v>
      </c>
      <c r="B713" s="64" t="s">
        <v>61</v>
      </c>
      <c r="C713" s="62" t="s">
        <v>1993</v>
      </c>
      <c r="D713" t="s">
        <v>63</v>
      </c>
      <c r="E713" t="s">
        <v>2204</v>
      </c>
      <c r="F713" s="61">
        <v>34204</v>
      </c>
      <c r="G713" s="15" t="s">
        <v>65</v>
      </c>
      <c r="H713" t="s">
        <v>2205</v>
      </c>
      <c r="I713" s="62" t="s">
        <v>2206</v>
      </c>
      <c r="K713" s="36" t="s">
        <v>169</v>
      </c>
      <c r="L713" t="s">
        <v>69</v>
      </c>
      <c r="M713" s="62" t="s">
        <v>170</v>
      </c>
      <c r="N713" t="s">
        <v>71</v>
      </c>
      <c r="O713" t="str">
        <f>IFERROR(IF(Tbla_actores[[#This Row],[codigo_proyecto]]="","",_xlfn.XLOOKUP(Tbla_actores[[#This Row],[codigo_proyecto]],Proyectos!$A:$A,Proyectos!$C:$C)),"")</f>
        <v>NULOS</v>
      </c>
    </row>
    <row r="714" spans="1:15" ht="14.25" customHeight="1">
      <c r="A714" s="9">
        <v>1019139650</v>
      </c>
      <c r="B714" s="63" t="s">
        <v>61</v>
      </c>
      <c r="C714" s="62" t="s">
        <v>1993</v>
      </c>
      <c r="D714" t="s">
        <v>63</v>
      </c>
      <c r="E714" t="s">
        <v>2207</v>
      </c>
      <c r="F714" s="61">
        <v>35919</v>
      </c>
      <c r="G714" s="15" t="s">
        <v>65</v>
      </c>
      <c r="H714" t="s">
        <v>2208</v>
      </c>
      <c r="I714" s="62" t="s">
        <v>2209</v>
      </c>
      <c r="K714" s="36" t="s">
        <v>169</v>
      </c>
      <c r="L714" t="s">
        <v>69</v>
      </c>
      <c r="M714" s="62" t="s">
        <v>170</v>
      </c>
      <c r="N714" t="s">
        <v>71</v>
      </c>
      <c r="O714" t="str">
        <f>IFERROR(IF(Tbla_actores[[#This Row],[codigo_proyecto]]="","",_xlfn.XLOOKUP(Tbla_actores[[#This Row],[codigo_proyecto]],Proyectos!$A:$A,Proyectos!$C:$C)),"")</f>
        <v>NULOS</v>
      </c>
    </row>
    <row r="715" spans="1:15" ht="14.25" customHeight="1">
      <c r="A715" s="10">
        <v>1018509124</v>
      </c>
      <c r="B715" s="64" t="s">
        <v>61</v>
      </c>
      <c r="C715" s="62" t="s">
        <v>1993</v>
      </c>
      <c r="D715" t="s">
        <v>63</v>
      </c>
      <c r="E715" t="s">
        <v>2210</v>
      </c>
      <c r="F715" s="61">
        <v>36208</v>
      </c>
      <c r="G715" s="15" t="s">
        <v>73</v>
      </c>
      <c r="H715" t="s">
        <v>2211</v>
      </c>
      <c r="I715" s="62" t="s">
        <v>2212</v>
      </c>
      <c r="K715" s="36" t="s">
        <v>169</v>
      </c>
      <c r="L715" t="s">
        <v>69</v>
      </c>
      <c r="M715" s="62" t="s">
        <v>170</v>
      </c>
      <c r="N715" t="s">
        <v>71</v>
      </c>
      <c r="O715" t="str">
        <f>IFERROR(IF(Tbla_actores[[#This Row],[codigo_proyecto]]="","",_xlfn.XLOOKUP(Tbla_actores[[#This Row],[codigo_proyecto]],Proyectos!$A:$A,Proyectos!$C:$C)),"")</f>
        <v>NULOS</v>
      </c>
    </row>
    <row r="716" spans="1:15" ht="14.25" customHeight="1">
      <c r="A716" s="9">
        <v>1026301416</v>
      </c>
      <c r="B716" s="63" t="s">
        <v>61</v>
      </c>
      <c r="C716" s="62" t="s">
        <v>1993</v>
      </c>
      <c r="D716" t="s">
        <v>63</v>
      </c>
      <c r="E716" t="s">
        <v>2213</v>
      </c>
      <c r="F716" s="61">
        <v>35879</v>
      </c>
      <c r="G716" s="15" t="s">
        <v>65</v>
      </c>
      <c r="H716" t="s">
        <v>852</v>
      </c>
      <c r="I716" s="62" t="s">
        <v>853</v>
      </c>
      <c r="K716" s="36" t="s">
        <v>169</v>
      </c>
      <c r="L716" t="s">
        <v>69</v>
      </c>
      <c r="M716" s="62" t="s">
        <v>170</v>
      </c>
      <c r="N716" t="s">
        <v>71</v>
      </c>
      <c r="O716" t="str">
        <f>IFERROR(IF(Tbla_actores[[#This Row],[codigo_proyecto]]="","",_xlfn.XLOOKUP(Tbla_actores[[#This Row],[codigo_proyecto]],Proyectos!$A:$A,Proyectos!$C:$C)),"")</f>
        <v>NULOS</v>
      </c>
    </row>
    <row r="717" spans="1:15" ht="14.25" customHeight="1">
      <c r="A717" s="10">
        <v>1032503366</v>
      </c>
      <c r="B717" s="64" t="s">
        <v>61</v>
      </c>
      <c r="C717" s="62" t="s">
        <v>1993</v>
      </c>
      <c r="D717" t="s">
        <v>63</v>
      </c>
      <c r="E717" t="s">
        <v>2214</v>
      </c>
      <c r="F717" s="61">
        <v>36230</v>
      </c>
      <c r="G717" s="15" t="s">
        <v>65</v>
      </c>
      <c r="H717" t="s">
        <v>2215</v>
      </c>
      <c r="I717" s="62" t="s">
        <v>2216</v>
      </c>
      <c r="K717" s="36" t="s">
        <v>169</v>
      </c>
      <c r="L717" t="s">
        <v>69</v>
      </c>
      <c r="M717" s="62" t="s">
        <v>170</v>
      </c>
      <c r="N717" t="s">
        <v>71</v>
      </c>
      <c r="O717" t="str">
        <f>IFERROR(IF(Tbla_actores[[#This Row],[codigo_proyecto]]="","",_xlfn.XLOOKUP(Tbla_actores[[#This Row],[codigo_proyecto]],Proyectos!$A:$A,Proyectos!$C:$C)),"")</f>
        <v>NULOS</v>
      </c>
    </row>
    <row r="718" spans="1:15" ht="14.25" customHeight="1">
      <c r="A718" s="9">
        <v>1018495635</v>
      </c>
      <c r="B718" s="63" t="s">
        <v>61</v>
      </c>
      <c r="C718" s="62" t="s">
        <v>1993</v>
      </c>
      <c r="D718" t="s">
        <v>63</v>
      </c>
      <c r="E718" t="s">
        <v>2217</v>
      </c>
      <c r="F718" s="61">
        <v>35619</v>
      </c>
      <c r="G718" s="15" t="s">
        <v>73</v>
      </c>
      <c r="H718" t="s">
        <v>2218</v>
      </c>
      <c r="I718" s="62" t="s">
        <v>2219</v>
      </c>
      <c r="K718" s="36" t="s">
        <v>169</v>
      </c>
      <c r="L718" t="s">
        <v>69</v>
      </c>
      <c r="M718" s="62" t="s">
        <v>170</v>
      </c>
      <c r="N718" t="s">
        <v>71</v>
      </c>
      <c r="O718" t="str">
        <f>IFERROR(IF(Tbla_actores[[#This Row],[codigo_proyecto]]="","",_xlfn.XLOOKUP(Tbla_actores[[#This Row],[codigo_proyecto]],Proyectos!$A:$A,Proyectos!$C:$C)),"")</f>
        <v>NULOS</v>
      </c>
    </row>
    <row r="719" spans="1:15" ht="14.25" customHeight="1">
      <c r="A719" s="10">
        <v>1020834080</v>
      </c>
      <c r="B719" s="64" t="s">
        <v>61</v>
      </c>
      <c r="C719" s="62" t="s">
        <v>1993</v>
      </c>
      <c r="D719" t="s">
        <v>63</v>
      </c>
      <c r="E719" t="s">
        <v>2220</v>
      </c>
      <c r="F719" s="61">
        <v>35979</v>
      </c>
      <c r="G719" s="15" t="s">
        <v>65</v>
      </c>
      <c r="H719" t="s">
        <v>2221</v>
      </c>
      <c r="I719" s="62" t="s">
        <v>2222</v>
      </c>
      <c r="K719" s="36" t="s">
        <v>169</v>
      </c>
      <c r="L719" t="s">
        <v>69</v>
      </c>
      <c r="M719" s="62" t="s">
        <v>170</v>
      </c>
      <c r="N719" t="s">
        <v>71</v>
      </c>
      <c r="O719" t="str">
        <f>IFERROR(IF(Tbla_actores[[#This Row],[codigo_proyecto]]="","",_xlfn.XLOOKUP(Tbla_actores[[#This Row],[codigo_proyecto]],Proyectos!$A:$A,Proyectos!$C:$C)),"")</f>
        <v>NULOS</v>
      </c>
    </row>
    <row r="720" spans="1:15" ht="14.25" customHeight="1">
      <c r="A720" s="9">
        <v>1020833934</v>
      </c>
      <c r="B720" s="63" t="s">
        <v>61</v>
      </c>
      <c r="C720" s="62" t="s">
        <v>1993</v>
      </c>
      <c r="D720" t="s">
        <v>63</v>
      </c>
      <c r="E720" t="s">
        <v>2223</v>
      </c>
      <c r="F720" s="61">
        <v>35965</v>
      </c>
      <c r="G720" s="15" t="s">
        <v>65</v>
      </c>
      <c r="H720" t="s">
        <v>2224</v>
      </c>
      <c r="I720" s="62" t="s">
        <v>2225</v>
      </c>
      <c r="K720" s="36" t="s">
        <v>169</v>
      </c>
      <c r="L720" t="s">
        <v>69</v>
      </c>
      <c r="M720" s="62" t="s">
        <v>170</v>
      </c>
      <c r="N720" t="s">
        <v>71</v>
      </c>
      <c r="O720" t="str">
        <f>IFERROR(IF(Tbla_actores[[#This Row],[codigo_proyecto]]="","",_xlfn.XLOOKUP(Tbla_actores[[#This Row],[codigo_proyecto]],Proyectos!$A:$A,Proyectos!$C:$C)),"")</f>
        <v>NULOS</v>
      </c>
    </row>
    <row r="721" spans="1:15" ht="14.25" customHeight="1">
      <c r="A721" s="10">
        <v>1018492649</v>
      </c>
      <c r="B721" s="64" t="s">
        <v>61</v>
      </c>
      <c r="C721" s="62" t="s">
        <v>1993</v>
      </c>
      <c r="D721" t="s">
        <v>63</v>
      </c>
      <c r="E721" t="s">
        <v>2226</v>
      </c>
      <c r="F721" s="61">
        <v>35479</v>
      </c>
      <c r="G721" s="15" t="s">
        <v>65</v>
      </c>
      <c r="H721" t="s">
        <v>2227</v>
      </c>
      <c r="I721" s="62" t="s">
        <v>2228</v>
      </c>
      <c r="K721" s="36" t="s">
        <v>169</v>
      </c>
      <c r="L721" t="s">
        <v>69</v>
      </c>
      <c r="M721" s="62" t="s">
        <v>170</v>
      </c>
      <c r="N721" t="s">
        <v>71</v>
      </c>
      <c r="O721" t="str">
        <f>IFERROR(IF(Tbla_actores[[#This Row],[codigo_proyecto]]="","",_xlfn.XLOOKUP(Tbla_actores[[#This Row],[codigo_proyecto]],Proyectos!$A:$A,Proyectos!$C:$C)),"")</f>
        <v>NULOS</v>
      </c>
    </row>
    <row r="722" spans="1:15" ht="14.25" customHeight="1">
      <c r="A722" s="9">
        <v>1015440831</v>
      </c>
      <c r="B722" s="63" t="s">
        <v>61</v>
      </c>
      <c r="C722" s="62" t="s">
        <v>1993</v>
      </c>
      <c r="D722" t="s">
        <v>63</v>
      </c>
      <c r="E722" t="s">
        <v>2229</v>
      </c>
      <c r="F722" s="61">
        <v>34223</v>
      </c>
      <c r="G722" s="15" t="s">
        <v>73</v>
      </c>
      <c r="H722" t="s">
        <v>2230</v>
      </c>
      <c r="I722" s="62" t="s">
        <v>2231</v>
      </c>
      <c r="K722" s="36" t="s">
        <v>169</v>
      </c>
      <c r="L722" t="s">
        <v>69</v>
      </c>
      <c r="M722" s="62" t="s">
        <v>170</v>
      </c>
      <c r="N722" t="s">
        <v>71</v>
      </c>
      <c r="O722" t="str">
        <f>IFERROR(IF(Tbla_actores[[#This Row],[codigo_proyecto]]="","",_xlfn.XLOOKUP(Tbla_actores[[#This Row],[codigo_proyecto]],Proyectos!$A:$A,Proyectos!$C:$C)),"")</f>
        <v>NULOS</v>
      </c>
    </row>
    <row r="723" spans="1:15" ht="14.25" customHeight="1">
      <c r="A723" s="10">
        <v>1013674013</v>
      </c>
      <c r="B723" s="64" t="s">
        <v>61</v>
      </c>
      <c r="C723" s="62" t="s">
        <v>1993</v>
      </c>
      <c r="D723" t="s">
        <v>63</v>
      </c>
      <c r="E723" t="s">
        <v>2232</v>
      </c>
      <c r="F723" s="61">
        <v>35348</v>
      </c>
      <c r="G723" s="15" t="s">
        <v>65</v>
      </c>
      <c r="H723" t="s">
        <v>2233</v>
      </c>
      <c r="I723" s="62" t="s">
        <v>2234</v>
      </c>
      <c r="K723" s="36" t="s">
        <v>169</v>
      </c>
      <c r="L723" t="s">
        <v>69</v>
      </c>
      <c r="M723" s="62" t="s">
        <v>170</v>
      </c>
      <c r="N723" t="s">
        <v>71</v>
      </c>
      <c r="O723" t="str">
        <f>IFERROR(IF(Tbla_actores[[#This Row],[codigo_proyecto]]="","",_xlfn.XLOOKUP(Tbla_actores[[#This Row],[codigo_proyecto]],Proyectos!$A:$A,Proyectos!$C:$C)),"")</f>
        <v>NULOS</v>
      </c>
    </row>
    <row r="724" spans="1:15" ht="14.25" customHeight="1">
      <c r="A724" s="9">
        <v>1032491512</v>
      </c>
      <c r="B724" s="63" t="s">
        <v>61</v>
      </c>
      <c r="C724" s="62" t="s">
        <v>1993</v>
      </c>
      <c r="D724" t="s">
        <v>63</v>
      </c>
      <c r="E724" t="s">
        <v>2235</v>
      </c>
      <c r="F724" s="61">
        <v>35593</v>
      </c>
      <c r="G724" s="15" t="s">
        <v>65</v>
      </c>
      <c r="H724" t="s">
        <v>2236</v>
      </c>
      <c r="I724" s="62" t="s">
        <v>2237</v>
      </c>
      <c r="K724" s="36" t="s">
        <v>169</v>
      </c>
      <c r="L724" t="s">
        <v>69</v>
      </c>
      <c r="M724" s="62" t="s">
        <v>170</v>
      </c>
      <c r="N724" t="s">
        <v>71</v>
      </c>
      <c r="O724" t="str">
        <f>IFERROR(IF(Tbla_actores[[#This Row],[codigo_proyecto]]="","",_xlfn.XLOOKUP(Tbla_actores[[#This Row],[codigo_proyecto]],Proyectos!$A:$A,Proyectos!$C:$C)),"")</f>
        <v>NULOS</v>
      </c>
    </row>
    <row r="725" spans="1:15" ht="14.25" customHeight="1">
      <c r="A725" s="10">
        <v>1000792923</v>
      </c>
      <c r="B725" s="64" t="s">
        <v>61</v>
      </c>
      <c r="C725" s="62" t="s">
        <v>1993</v>
      </c>
      <c r="D725" t="s">
        <v>63</v>
      </c>
      <c r="E725" t="s">
        <v>2238</v>
      </c>
      <c r="F725" s="61">
        <v>36539</v>
      </c>
      <c r="G725" s="15" t="s">
        <v>65</v>
      </c>
      <c r="H725" t="s">
        <v>2239</v>
      </c>
      <c r="I725" s="62" t="s">
        <v>2240</v>
      </c>
      <c r="K725" s="36" t="s">
        <v>169</v>
      </c>
      <c r="L725" t="s">
        <v>69</v>
      </c>
      <c r="M725" s="62" t="s">
        <v>170</v>
      </c>
      <c r="N725" t="s">
        <v>71</v>
      </c>
      <c r="O725" t="str">
        <f>IFERROR(IF(Tbla_actores[[#This Row],[codigo_proyecto]]="","",_xlfn.XLOOKUP(Tbla_actores[[#This Row],[codigo_proyecto]],Proyectos!$A:$A,Proyectos!$C:$C)),"")</f>
        <v>NULOS</v>
      </c>
    </row>
    <row r="726" spans="1:15" ht="14.25" customHeight="1">
      <c r="A726" s="9">
        <v>1020838534</v>
      </c>
      <c r="B726" s="63" t="s">
        <v>61</v>
      </c>
      <c r="C726" s="62" t="s">
        <v>1993</v>
      </c>
      <c r="D726" t="s">
        <v>63</v>
      </c>
      <c r="E726" t="s">
        <v>2241</v>
      </c>
      <c r="F726" s="61">
        <v>36182</v>
      </c>
      <c r="G726" s="15" t="s">
        <v>65</v>
      </c>
      <c r="H726" t="s">
        <v>2242</v>
      </c>
      <c r="I726" s="62" t="s">
        <v>2243</v>
      </c>
      <c r="K726" s="36" t="s">
        <v>169</v>
      </c>
      <c r="L726" t="s">
        <v>69</v>
      </c>
      <c r="M726" s="62" t="s">
        <v>170</v>
      </c>
      <c r="N726" t="s">
        <v>71</v>
      </c>
      <c r="O726" t="str">
        <f>IFERROR(IF(Tbla_actores[[#This Row],[codigo_proyecto]]="","",_xlfn.XLOOKUP(Tbla_actores[[#This Row],[codigo_proyecto]],Proyectos!$A:$A,Proyectos!$C:$C)),"")</f>
        <v>NULOS</v>
      </c>
    </row>
    <row r="727" spans="1:15" ht="14.25" customHeight="1">
      <c r="A727" s="10">
        <v>1000284730</v>
      </c>
      <c r="B727" s="64" t="s">
        <v>61</v>
      </c>
      <c r="C727" s="62" t="s">
        <v>1993</v>
      </c>
      <c r="D727" t="s">
        <v>63</v>
      </c>
      <c r="E727" t="s">
        <v>2244</v>
      </c>
      <c r="F727" s="61">
        <v>36630</v>
      </c>
      <c r="G727" s="15" t="s">
        <v>65</v>
      </c>
      <c r="H727" t="s">
        <v>2245</v>
      </c>
      <c r="I727" s="62" t="s">
        <v>2246</v>
      </c>
      <c r="K727" s="36" t="s">
        <v>169</v>
      </c>
      <c r="L727" t="s">
        <v>69</v>
      </c>
      <c r="M727" s="62" t="s">
        <v>170</v>
      </c>
      <c r="N727" t="s">
        <v>71</v>
      </c>
      <c r="O727" t="str">
        <f>IFERROR(IF(Tbla_actores[[#This Row],[codigo_proyecto]]="","",_xlfn.XLOOKUP(Tbla_actores[[#This Row],[codigo_proyecto]],Proyectos!$A:$A,Proyectos!$C:$C)),"")</f>
        <v>NULOS</v>
      </c>
    </row>
    <row r="728" spans="1:15" ht="14.25" customHeight="1">
      <c r="A728" s="9">
        <v>1020837194</v>
      </c>
      <c r="B728" s="63" t="s">
        <v>61</v>
      </c>
      <c r="C728" s="62" t="s">
        <v>1993</v>
      </c>
      <c r="D728" t="s">
        <v>63</v>
      </c>
      <c r="E728" t="s">
        <v>2247</v>
      </c>
      <c r="F728" s="61">
        <v>36126</v>
      </c>
      <c r="G728" s="15" t="s">
        <v>73</v>
      </c>
      <c r="H728" t="s">
        <v>2248</v>
      </c>
      <c r="I728" s="62" t="s">
        <v>2249</v>
      </c>
      <c r="K728" s="36" t="s">
        <v>169</v>
      </c>
      <c r="L728" t="s">
        <v>69</v>
      </c>
      <c r="M728" s="62" t="s">
        <v>170</v>
      </c>
      <c r="N728" t="s">
        <v>71</v>
      </c>
      <c r="O728" t="str">
        <f>IFERROR(IF(Tbla_actores[[#This Row],[codigo_proyecto]]="","",_xlfn.XLOOKUP(Tbla_actores[[#This Row],[codigo_proyecto]],Proyectos!$A:$A,Proyectos!$C:$C)),"")</f>
        <v>NULOS</v>
      </c>
    </row>
    <row r="729" spans="1:15" ht="14.25" customHeight="1">
      <c r="A729" s="10">
        <v>608258</v>
      </c>
      <c r="B729" s="64" t="s">
        <v>61</v>
      </c>
      <c r="C729" s="62" t="s">
        <v>1993</v>
      </c>
      <c r="D729" t="s">
        <v>63</v>
      </c>
      <c r="E729" t="s">
        <v>2250</v>
      </c>
      <c r="F729" s="61">
        <v>35622</v>
      </c>
      <c r="G729" s="15" t="s">
        <v>73</v>
      </c>
      <c r="H729" t="s">
        <v>2251</v>
      </c>
      <c r="I729" s="62" t="s">
        <v>2252</v>
      </c>
      <c r="K729" s="36" t="s">
        <v>169</v>
      </c>
      <c r="L729" t="s">
        <v>69</v>
      </c>
      <c r="M729" s="62" t="s">
        <v>170</v>
      </c>
      <c r="N729" t="s">
        <v>71</v>
      </c>
      <c r="O729" t="str">
        <f>IFERROR(IF(Tbla_actores[[#This Row],[codigo_proyecto]]="","",_xlfn.XLOOKUP(Tbla_actores[[#This Row],[codigo_proyecto]],Proyectos!$A:$A,Proyectos!$C:$C)),"")</f>
        <v>NULOS</v>
      </c>
    </row>
    <row r="730" spans="1:15" ht="14.25" customHeight="1">
      <c r="A730" s="9">
        <v>1020830463</v>
      </c>
      <c r="B730" s="63" t="s">
        <v>61</v>
      </c>
      <c r="C730" s="62" t="s">
        <v>1993</v>
      </c>
      <c r="D730" t="s">
        <v>63</v>
      </c>
      <c r="E730" t="s">
        <v>2253</v>
      </c>
      <c r="F730" s="61">
        <v>35835</v>
      </c>
      <c r="G730" s="15" t="s">
        <v>65</v>
      </c>
      <c r="H730" t="s">
        <v>2254</v>
      </c>
      <c r="I730" s="62" t="s">
        <v>2255</v>
      </c>
      <c r="K730" s="36" t="s">
        <v>169</v>
      </c>
      <c r="L730" t="s">
        <v>69</v>
      </c>
      <c r="M730" s="62" t="s">
        <v>170</v>
      </c>
      <c r="N730" t="s">
        <v>71</v>
      </c>
      <c r="O730" t="str">
        <f>IFERROR(IF(Tbla_actores[[#This Row],[codigo_proyecto]]="","",_xlfn.XLOOKUP(Tbla_actores[[#This Row],[codigo_proyecto]],Proyectos!$A:$A,Proyectos!$C:$C)),"")</f>
        <v>NULOS</v>
      </c>
    </row>
    <row r="731" spans="1:15" ht="14.25" customHeight="1">
      <c r="A731" s="10">
        <v>1020828064</v>
      </c>
      <c r="B731" s="64" t="s">
        <v>61</v>
      </c>
      <c r="C731" s="62" t="s">
        <v>1993</v>
      </c>
      <c r="D731" t="s">
        <v>63</v>
      </c>
      <c r="E731" t="s">
        <v>2256</v>
      </c>
      <c r="F731" s="61">
        <v>35685</v>
      </c>
      <c r="G731" s="15" t="s">
        <v>73</v>
      </c>
      <c r="H731" t="s">
        <v>2257</v>
      </c>
      <c r="I731" s="62" t="s">
        <v>2258</v>
      </c>
      <c r="K731" s="36" t="s">
        <v>169</v>
      </c>
      <c r="L731" t="s">
        <v>69</v>
      </c>
      <c r="M731" s="62" t="s">
        <v>170</v>
      </c>
      <c r="N731" t="s">
        <v>71</v>
      </c>
      <c r="O731" t="str">
        <f>IFERROR(IF(Tbla_actores[[#This Row],[codigo_proyecto]]="","",_xlfn.XLOOKUP(Tbla_actores[[#This Row],[codigo_proyecto]],Proyectos!$A:$A,Proyectos!$C:$C)),"")</f>
        <v>NULOS</v>
      </c>
    </row>
    <row r="732" spans="1:15" ht="14.25" customHeight="1">
      <c r="A732" s="9">
        <v>1018497265</v>
      </c>
      <c r="B732" s="63" t="s">
        <v>61</v>
      </c>
      <c r="C732" s="62" t="s">
        <v>1993</v>
      </c>
      <c r="D732" t="s">
        <v>63</v>
      </c>
      <c r="E732" t="s">
        <v>2259</v>
      </c>
      <c r="F732" s="61">
        <v>35689</v>
      </c>
      <c r="G732" s="15" t="s">
        <v>65</v>
      </c>
      <c r="H732" t="s">
        <v>2260</v>
      </c>
      <c r="I732" s="62" t="s">
        <v>2261</v>
      </c>
      <c r="K732" s="36" t="s">
        <v>169</v>
      </c>
      <c r="L732" t="s">
        <v>69</v>
      </c>
      <c r="M732" s="62" t="s">
        <v>170</v>
      </c>
      <c r="N732" t="s">
        <v>71</v>
      </c>
      <c r="O732" t="str">
        <f>IFERROR(IF(Tbla_actores[[#This Row],[codigo_proyecto]]="","",_xlfn.XLOOKUP(Tbla_actores[[#This Row],[codigo_proyecto]],Proyectos!$A:$A,Proyectos!$C:$C)),"")</f>
        <v>NULOS</v>
      </c>
    </row>
    <row r="733" spans="1:15" ht="14.25" customHeight="1">
      <c r="A733" s="10">
        <v>1020813659</v>
      </c>
      <c r="B733" s="64" t="s">
        <v>61</v>
      </c>
      <c r="C733" s="62" t="s">
        <v>1993</v>
      </c>
      <c r="D733" t="s">
        <v>63</v>
      </c>
      <c r="E733" t="s">
        <v>2262</v>
      </c>
      <c r="F733" s="61">
        <v>35125</v>
      </c>
      <c r="G733" s="15" t="s">
        <v>73</v>
      </c>
      <c r="H733" t="s">
        <v>2263</v>
      </c>
      <c r="I733" s="62" t="s">
        <v>2264</v>
      </c>
      <c r="K733" s="36" t="s">
        <v>169</v>
      </c>
      <c r="L733" t="s">
        <v>69</v>
      </c>
      <c r="M733" s="62" t="s">
        <v>170</v>
      </c>
      <c r="N733" t="s">
        <v>71</v>
      </c>
      <c r="O733" t="str">
        <f>IFERROR(IF(Tbla_actores[[#This Row],[codigo_proyecto]]="","",_xlfn.XLOOKUP(Tbla_actores[[#This Row],[codigo_proyecto]],Proyectos!$A:$A,Proyectos!$C:$C)),"")</f>
        <v>NULOS</v>
      </c>
    </row>
    <row r="734" spans="1:15" ht="14.25" customHeight="1">
      <c r="A734" s="9">
        <v>1019124183</v>
      </c>
      <c r="B734" s="63" t="s">
        <v>61</v>
      </c>
      <c r="C734" s="62" t="s">
        <v>1993</v>
      </c>
      <c r="D734" t="s">
        <v>63</v>
      </c>
      <c r="E734" t="s">
        <v>2265</v>
      </c>
      <c r="F734" s="61">
        <v>35357</v>
      </c>
      <c r="G734" s="15" t="s">
        <v>65</v>
      </c>
      <c r="H734" t="s">
        <v>2266</v>
      </c>
      <c r="I734" s="62" t="s">
        <v>2267</v>
      </c>
      <c r="K734" s="36" t="s">
        <v>169</v>
      </c>
      <c r="L734" t="s">
        <v>69</v>
      </c>
      <c r="M734" s="62" t="s">
        <v>170</v>
      </c>
      <c r="N734" t="s">
        <v>71</v>
      </c>
      <c r="O734" t="str">
        <f>IFERROR(IF(Tbla_actores[[#This Row],[codigo_proyecto]]="","",_xlfn.XLOOKUP(Tbla_actores[[#This Row],[codigo_proyecto]],Proyectos!$A:$A,Proyectos!$C:$C)),"")</f>
        <v>NULOS</v>
      </c>
    </row>
    <row r="735" spans="1:15" ht="14.25" customHeight="1">
      <c r="A735" s="10">
        <v>1020818975</v>
      </c>
      <c r="B735" s="64" t="s">
        <v>61</v>
      </c>
      <c r="C735" s="62" t="s">
        <v>1993</v>
      </c>
      <c r="D735" t="s">
        <v>63</v>
      </c>
      <c r="E735" t="s">
        <v>2268</v>
      </c>
      <c r="F735" s="61">
        <v>35327</v>
      </c>
      <c r="G735" s="15" t="s">
        <v>65</v>
      </c>
      <c r="H735" t="s">
        <v>2269</v>
      </c>
      <c r="I735" s="62" t="s">
        <v>2270</v>
      </c>
      <c r="K735" s="36" t="s">
        <v>169</v>
      </c>
      <c r="L735" t="s">
        <v>69</v>
      </c>
      <c r="M735" s="62" t="s">
        <v>170</v>
      </c>
      <c r="N735" t="s">
        <v>71</v>
      </c>
      <c r="O735" t="str">
        <f>IFERROR(IF(Tbla_actores[[#This Row],[codigo_proyecto]]="","",_xlfn.XLOOKUP(Tbla_actores[[#This Row],[codigo_proyecto]],Proyectos!$A:$A,Proyectos!$C:$C)),"")</f>
        <v>NULOS</v>
      </c>
    </row>
    <row r="736" spans="1:15" ht="14.25" customHeight="1">
      <c r="A736" s="9">
        <v>1015472546</v>
      </c>
      <c r="B736" s="63" t="s">
        <v>61</v>
      </c>
      <c r="C736" s="62" t="s">
        <v>1993</v>
      </c>
      <c r="D736" t="s">
        <v>63</v>
      </c>
      <c r="E736" t="s">
        <v>2271</v>
      </c>
      <c r="F736" s="61">
        <v>35756</v>
      </c>
      <c r="G736" s="15" t="s">
        <v>73</v>
      </c>
      <c r="H736" t="s">
        <v>2272</v>
      </c>
      <c r="I736" s="62" t="s">
        <v>2273</v>
      </c>
      <c r="K736" s="36" t="s">
        <v>169</v>
      </c>
      <c r="L736" t="s">
        <v>69</v>
      </c>
      <c r="M736" s="62" t="s">
        <v>170</v>
      </c>
      <c r="N736" t="s">
        <v>71</v>
      </c>
      <c r="O736" t="str">
        <f>IFERROR(IF(Tbla_actores[[#This Row],[codigo_proyecto]]="","",_xlfn.XLOOKUP(Tbla_actores[[#This Row],[codigo_proyecto]],Proyectos!$A:$A,Proyectos!$C:$C)),"")</f>
        <v>NULOS</v>
      </c>
    </row>
    <row r="737" spans="1:15" ht="14.25" customHeight="1">
      <c r="A737" s="10">
        <v>1022430054</v>
      </c>
      <c r="B737" s="64" t="s">
        <v>61</v>
      </c>
      <c r="C737" s="62" t="s">
        <v>1993</v>
      </c>
      <c r="D737" t="s">
        <v>63</v>
      </c>
      <c r="E737" t="s">
        <v>2274</v>
      </c>
      <c r="F737" s="61">
        <v>35693</v>
      </c>
      <c r="G737" s="15" t="s">
        <v>73</v>
      </c>
      <c r="H737" t="s">
        <v>2275</v>
      </c>
      <c r="I737" s="62" t="s">
        <v>2276</v>
      </c>
      <c r="K737" s="36" t="s">
        <v>169</v>
      </c>
      <c r="L737" t="s">
        <v>69</v>
      </c>
      <c r="M737" s="62" t="s">
        <v>170</v>
      </c>
      <c r="N737" t="s">
        <v>71</v>
      </c>
      <c r="O737" t="str">
        <f>IFERROR(IF(Tbla_actores[[#This Row],[codigo_proyecto]]="","",_xlfn.XLOOKUP(Tbla_actores[[#This Row],[codigo_proyecto]],Proyectos!$A:$A,Proyectos!$C:$C)),"")</f>
        <v>NULOS</v>
      </c>
    </row>
    <row r="738" spans="1:15" ht="14.25" customHeight="1">
      <c r="A738" s="9">
        <v>1019114180</v>
      </c>
      <c r="B738" s="63" t="s">
        <v>61</v>
      </c>
      <c r="C738" s="62" t="s">
        <v>1993</v>
      </c>
      <c r="D738" t="s">
        <v>63</v>
      </c>
      <c r="E738" t="s">
        <v>2277</v>
      </c>
      <c r="F738" s="61">
        <v>35032</v>
      </c>
      <c r="G738" s="15" t="s">
        <v>73</v>
      </c>
      <c r="H738" t="s">
        <v>2278</v>
      </c>
      <c r="I738" s="62" t="s">
        <v>2279</v>
      </c>
      <c r="K738" s="36" t="s">
        <v>169</v>
      </c>
      <c r="L738" t="s">
        <v>69</v>
      </c>
      <c r="M738" s="62" t="s">
        <v>170</v>
      </c>
      <c r="N738" t="s">
        <v>71</v>
      </c>
      <c r="O738" t="str">
        <f>IFERROR(IF(Tbla_actores[[#This Row],[codigo_proyecto]]="","",_xlfn.XLOOKUP(Tbla_actores[[#This Row],[codigo_proyecto]],Proyectos!$A:$A,Proyectos!$C:$C)),"")</f>
        <v>NULOS</v>
      </c>
    </row>
    <row r="739" spans="1:15" ht="14.25" customHeight="1">
      <c r="A739" s="10">
        <v>1020831114</v>
      </c>
      <c r="B739" s="64" t="s">
        <v>61</v>
      </c>
      <c r="C739" s="62" t="s">
        <v>1993</v>
      </c>
      <c r="D739" t="s">
        <v>63</v>
      </c>
      <c r="E739" t="s">
        <v>2280</v>
      </c>
      <c r="F739" s="61">
        <v>35858</v>
      </c>
      <c r="G739" s="15" t="s">
        <v>73</v>
      </c>
      <c r="H739" t="s">
        <v>2281</v>
      </c>
      <c r="I739" s="62" t="s">
        <v>2282</v>
      </c>
      <c r="K739" s="36" t="s">
        <v>169</v>
      </c>
      <c r="L739" t="s">
        <v>69</v>
      </c>
      <c r="M739" s="62" t="s">
        <v>170</v>
      </c>
      <c r="N739" t="s">
        <v>71</v>
      </c>
      <c r="O739" t="str">
        <f>IFERROR(IF(Tbla_actores[[#This Row],[codigo_proyecto]]="","",_xlfn.XLOOKUP(Tbla_actores[[#This Row],[codigo_proyecto]],Proyectos!$A:$A,Proyectos!$C:$C)),"")</f>
        <v>NULOS</v>
      </c>
    </row>
    <row r="740" spans="1:15" ht="14.25" customHeight="1">
      <c r="A740" s="9">
        <v>1020833121</v>
      </c>
      <c r="B740" s="63" t="s">
        <v>61</v>
      </c>
      <c r="C740" s="62" t="s">
        <v>1993</v>
      </c>
      <c r="D740" t="s">
        <v>63</v>
      </c>
      <c r="E740" t="s">
        <v>2283</v>
      </c>
      <c r="F740" s="61">
        <v>35950</v>
      </c>
      <c r="G740" s="15" t="s">
        <v>73</v>
      </c>
      <c r="H740" t="s">
        <v>2284</v>
      </c>
      <c r="I740" s="62" t="s">
        <v>2285</v>
      </c>
      <c r="K740" s="36" t="s">
        <v>169</v>
      </c>
      <c r="L740" t="s">
        <v>69</v>
      </c>
      <c r="M740" s="62" t="s">
        <v>170</v>
      </c>
      <c r="N740" t="s">
        <v>71</v>
      </c>
      <c r="O740" t="str">
        <f>IFERROR(IF(Tbla_actores[[#This Row],[codigo_proyecto]]="","",_xlfn.XLOOKUP(Tbla_actores[[#This Row],[codigo_proyecto]],Proyectos!$A:$A,Proyectos!$C:$C)),"")</f>
        <v>NULOS</v>
      </c>
    </row>
    <row r="741" spans="1:15" ht="14.25" customHeight="1">
      <c r="A741" s="10">
        <v>1019133799</v>
      </c>
      <c r="B741" s="64" t="s">
        <v>61</v>
      </c>
      <c r="C741" s="62" t="s">
        <v>1993</v>
      </c>
      <c r="D741" t="s">
        <v>63</v>
      </c>
      <c r="E741" t="s">
        <v>2286</v>
      </c>
      <c r="F741" s="61">
        <v>35702</v>
      </c>
      <c r="G741" s="15" t="s">
        <v>65</v>
      </c>
      <c r="H741" t="s">
        <v>2287</v>
      </c>
      <c r="I741" s="62" t="s">
        <v>2288</v>
      </c>
      <c r="K741" s="36" t="s">
        <v>169</v>
      </c>
      <c r="L741" t="s">
        <v>69</v>
      </c>
      <c r="M741" s="62" t="s">
        <v>170</v>
      </c>
      <c r="N741" t="s">
        <v>71</v>
      </c>
      <c r="O741" t="str">
        <f>IFERROR(IF(Tbla_actores[[#This Row],[codigo_proyecto]]="","",_xlfn.XLOOKUP(Tbla_actores[[#This Row],[codigo_proyecto]],Proyectos!$A:$A,Proyectos!$C:$C)),"")</f>
        <v>NULOS</v>
      </c>
    </row>
    <row r="742" spans="1:15" ht="14.25" customHeight="1">
      <c r="A742" s="9">
        <v>1018515466</v>
      </c>
      <c r="B742" s="63" t="s">
        <v>61</v>
      </c>
      <c r="C742" s="62" t="s">
        <v>1993</v>
      </c>
      <c r="D742" t="s">
        <v>63</v>
      </c>
      <c r="E742" t="s">
        <v>2289</v>
      </c>
      <c r="F742" s="61">
        <v>36503</v>
      </c>
      <c r="G742" s="15" t="s">
        <v>65</v>
      </c>
      <c r="H742" t="s">
        <v>2290</v>
      </c>
      <c r="I742" s="62" t="s">
        <v>2291</v>
      </c>
      <c r="K742" s="36" t="s">
        <v>169</v>
      </c>
      <c r="L742" t="s">
        <v>69</v>
      </c>
      <c r="M742" s="62" t="s">
        <v>170</v>
      </c>
      <c r="N742" t="s">
        <v>71</v>
      </c>
      <c r="O742" t="str">
        <f>IFERROR(IF(Tbla_actores[[#This Row],[codigo_proyecto]]="","",_xlfn.XLOOKUP(Tbla_actores[[#This Row],[codigo_proyecto]],Proyectos!$A:$A,Proyectos!$C:$C)),"")</f>
        <v>NULOS</v>
      </c>
    </row>
    <row r="743" spans="1:15" ht="14.25" customHeight="1">
      <c r="A743" s="10">
        <v>1019148281</v>
      </c>
      <c r="B743" s="64" t="s">
        <v>61</v>
      </c>
      <c r="C743" s="62" t="s">
        <v>1993</v>
      </c>
      <c r="D743" t="s">
        <v>63</v>
      </c>
      <c r="E743" t="s">
        <v>2292</v>
      </c>
      <c r="F743" s="61">
        <v>36278</v>
      </c>
      <c r="G743" s="15" t="s">
        <v>65</v>
      </c>
      <c r="H743" t="s">
        <v>2293</v>
      </c>
      <c r="I743" s="62" t="s">
        <v>2294</v>
      </c>
      <c r="K743" s="36" t="s">
        <v>169</v>
      </c>
      <c r="L743" t="s">
        <v>69</v>
      </c>
      <c r="M743" s="62" t="s">
        <v>170</v>
      </c>
      <c r="N743" t="s">
        <v>71</v>
      </c>
      <c r="O743" t="str">
        <f>IFERROR(IF(Tbla_actores[[#This Row],[codigo_proyecto]]="","",_xlfn.XLOOKUP(Tbla_actores[[#This Row],[codigo_proyecto]],Proyectos!$A:$A,Proyectos!$C:$C)),"")</f>
        <v>NULOS</v>
      </c>
    </row>
    <row r="744" spans="1:15" ht="14.25" customHeight="1">
      <c r="A744" s="9">
        <v>1047496863</v>
      </c>
      <c r="B744" s="63" t="s">
        <v>61</v>
      </c>
      <c r="C744" s="62" t="s">
        <v>1993</v>
      </c>
      <c r="D744" t="s">
        <v>63</v>
      </c>
      <c r="E744" t="s">
        <v>2295</v>
      </c>
      <c r="F744" s="61">
        <v>35646</v>
      </c>
      <c r="G744" s="15" t="s">
        <v>65</v>
      </c>
      <c r="H744" t="s">
        <v>2296</v>
      </c>
      <c r="I744" s="62" t="s">
        <v>2297</v>
      </c>
      <c r="K744" s="36" t="s">
        <v>169</v>
      </c>
      <c r="L744" t="s">
        <v>69</v>
      </c>
      <c r="M744" s="62" t="s">
        <v>170</v>
      </c>
      <c r="N744" t="s">
        <v>71</v>
      </c>
      <c r="O744" t="str">
        <f>IFERROR(IF(Tbla_actores[[#This Row],[codigo_proyecto]]="","",_xlfn.XLOOKUP(Tbla_actores[[#This Row],[codigo_proyecto]],Proyectos!$A:$A,Proyectos!$C:$C)),"")</f>
        <v>NULOS</v>
      </c>
    </row>
    <row r="745" spans="1:15" ht="14.25" customHeight="1">
      <c r="A745" s="10">
        <v>1214463238</v>
      </c>
      <c r="B745" s="64" t="s">
        <v>61</v>
      </c>
      <c r="C745" s="62" t="s">
        <v>1993</v>
      </c>
      <c r="D745" t="s">
        <v>63</v>
      </c>
      <c r="E745" t="s">
        <v>2298</v>
      </c>
      <c r="F745" s="61">
        <v>35860</v>
      </c>
      <c r="G745" s="15" t="s">
        <v>65</v>
      </c>
      <c r="H745" t="s">
        <v>2299</v>
      </c>
      <c r="I745" s="62" t="s">
        <v>2300</v>
      </c>
      <c r="K745" s="36" t="s">
        <v>169</v>
      </c>
      <c r="L745" t="s">
        <v>69</v>
      </c>
      <c r="M745" s="62" t="s">
        <v>170</v>
      </c>
      <c r="N745" t="s">
        <v>71</v>
      </c>
      <c r="O745" t="str">
        <f>IFERROR(IF(Tbla_actores[[#This Row],[codigo_proyecto]]="","",_xlfn.XLOOKUP(Tbla_actores[[#This Row],[codigo_proyecto]],Proyectos!$A:$A,Proyectos!$C:$C)),"")</f>
        <v>NULOS</v>
      </c>
    </row>
    <row r="746" spans="1:15" ht="14.25" customHeight="1">
      <c r="A746" s="9">
        <v>1019133991</v>
      </c>
      <c r="B746" s="63" t="s">
        <v>61</v>
      </c>
      <c r="C746" s="62" t="s">
        <v>1993</v>
      </c>
      <c r="D746" t="s">
        <v>63</v>
      </c>
      <c r="E746" t="s">
        <v>2301</v>
      </c>
      <c r="F746" s="61">
        <v>35709</v>
      </c>
      <c r="G746" s="15" t="s">
        <v>65</v>
      </c>
      <c r="H746" t="s">
        <v>2302</v>
      </c>
      <c r="I746" s="62" t="s">
        <v>2303</v>
      </c>
      <c r="K746" s="36" t="s">
        <v>169</v>
      </c>
      <c r="L746" t="s">
        <v>69</v>
      </c>
      <c r="M746" s="62" t="s">
        <v>170</v>
      </c>
      <c r="N746" t="s">
        <v>71</v>
      </c>
      <c r="O746" t="str">
        <f>IFERROR(IF(Tbla_actores[[#This Row],[codigo_proyecto]]="","",_xlfn.XLOOKUP(Tbla_actores[[#This Row],[codigo_proyecto]],Proyectos!$A:$A,Proyectos!$C:$C)),"")</f>
        <v>NULOS</v>
      </c>
    </row>
    <row r="747" spans="1:15" ht="14.25" customHeight="1">
      <c r="A747" s="10">
        <v>1020823689</v>
      </c>
      <c r="B747" s="64" t="s">
        <v>61</v>
      </c>
      <c r="C747" s="62" t="s">
        <v>1993</v>
      </c>
      <c r="D747" t="s">
        <v>63</v>
      </c>
      <c r="E747" t="s">
        <v>2304</v>
      </c>
      <c r="F747" s="61">
        <v>35495</v>
      </c>
      <c r="G747" s="15" t="s">
        <v>73</v>
      </c>
      <c r="H747" t="s">
        <v>2305</v>
      </c>
      <c r="I747" s="62" t="s">
        <v>2306</v>
      </c>
      <c r="K747" s="36" t="s">
        <v>169</v>
      </c>
      <c r="L747" t="s">
        <v>69</v>
      </c>
      <c r="M747" s="62" t="s">
        <v>170</v>
      </c>
      <c r="N747" t="s">
        <v>71</v>
      </c>
      <c r="O747" t="str">
        <f>IFERROR(IF(Tbla_actores[[#This Row],[codigo_proyecto]]="","",_xlfn.XLOOKUP(Tbla_actores[[#This Row],[codigo_proyecto]],Proyectos!$A:$A,Proyectos!$C:$C)),"")</f>
        <v>NULOS</v>
      </c>
    </row>
    <row r="748" spans="1:15" ht="14.25" customHeight="1">
      <c r="A748" s="9">
        <v>1020803024</v>
      </c>
      <c r="B748" s="63" t="s">
        <v>61</v>
      </c>
      <c r="C748" s="62" t="s">
        <v>1993</v>
      </c>
      <c r="D748" t="s">
        <v>63</v>
      </c>
      <c r="E748" t="s">
        <v>2307</v>
      </c>
      <c r="F748" s="61">
        <v>34770</v>
      </c>
      <c r="G748" s="15" t="s">
        <v>73</v>
      </c>
      <c r="H748" t="s">
        <v>2308</v>
      </c>
      <c r="I748" s="62" t="s">
        <v>2309</v>
      </c>
      <c r="K748" s="36" t="s">
        <v>169</v>
      </c>
      <c r="L748" t="s">
        <v>69</v>
      </c>
      <c r="M748" s="62" t="s">
        <v>170</v>
      </c>
      <c r="N748" t="s">
        <v>71</v>
      </c>
      <c r="O748" t="str">
        <f>IFERROR(IF(Tbla_actores[[#This Row],[codigo_proyecto]]="","",_xlfn.XLOOKUP(Tbla_actores[[#This Row],[codigo_proyecto]],Proyectos!$A:$A,Proyectos!$C:$C)),"")</f>
        <v>NULOS</v>
      </c>
    </row>
    <row r="749" spans="1:15" ht="14.25" customHeight="1">
      <c r="A749" s="10">
        <v>1022443560</v>
      </c>
      <c r="B749" s="64" t="s">
        <v>61</v>
      </c>
      <c r="C749" s="62" t="s">
        <v>1993</v>
      </c>
      <c r="D749" t="s">
        <v>63</v>
      </c>
      <c r="E749" t="s">
        <v>2310</v>
      </c>
      <c r="F749" s="61">
        <v>36288</v>
      </c>
      <c r="G749" s="15" t="s">
        <v>65</v>
      </c>
      <c r="H749" t="s">
        <v>2311</v>
      </c>
      <c r="I749" s="62" t="s">
        <v>2312</v>
      </c>
      <c r="K749" s="36" t="s">
        <v>169</v>
      </c>
      <c r="L749" t="s">
        <v>69</v>
      </c>
      <c r="M749" s="62" t="s">
        <v>170</v>
      </c>
      <c r="N749" t="s">
        <v>71</v>
      </c>
      <c r="O749" t="str">
        <f>IFERROR(IF(Tbla_actores[[#This Row],[codigo_proyecto]]="","",_xlfn.XLOOKUP(Tbla_actores[[#This Row],[codigo_proyecto]],Proyectos!$A:$A,Proyectos!$C:$C)),"")</f>
        <v>NULOS</v>
      </c>
    </row>
    <row r="750" spans="1:15" ht="14.25" customHeight="1">
      <c r="A750" s="9">
        <v>1019133073</v>
      </c>
      <c r="B750" s="63" t="s">
        <v>61</v>
      </c>
      <c r="C750" s="62" t="s">
        <v>1993</v>
      </c>
      <c r="D750" t="s">
        <v>63</v>
      </c>
      <c r="E750" t="s">
        <v>2313</v>
      </c>
      <c r="F750" s="61">
        <v>35672</v>
      </c>
      <c r="G750" s="15" t="s">
        <v>73</v>
      </c>
      <c r="H750" t="s">
        <v>2314</v>
      </c>
      <c r="I750" s="62" t="s">
        <v>2315</v>
      </c>
      <c r="K750" s="36" t="s">
        <v>169</v>
      </c>
      <c r="L750" t="s">
        <v>69</v>
      </c>
      <c r="M750" s="62" t="s">
        <v>170</v>
      </c>
      <c r="N750" t="s">
        <v>71</v>
      </c>
      <c r="O750" t="str">
        <f>IFERROR(IF(Tbla_actores[[#This Row],[codigo_proyecto]]="","",_xlfn.XLOOKUP(Tbla_actores[[#This Row],[codigo_proyecto]],Proyectos!$A:$A,Proyectos!$C:$C)),"")</f>
        <v>NULOS</v>
      </c>
    </row>
    <row r="751" spans="1:15" ht="14.25" customHeight="1">
      <c r="A751" s="10">
        <v>1023971721</v>
      </c>
      <c r="B751" s="64" t="s">
        <v>61</v>
      </c>
      <c r="C751" s="62" t="s">
        <v>1993</v>
      </c>
      <c r="D751" t="s">
        <v>63</v>
      </c>
      <c r="E751" t="s">
        <v>2316</v>
      </c>
      <c r="F751" s="61">
        <v>36073</v>
      </c>
      <c r="G751" s="15" t="s">
        <v>73</v>
      </c>
      <c r="H751" t="s">
        <v>2317</v>
      </c>
      <c r="I751" s="62" t="s">
        <v>2318</v>
      </c>
      <c r="K751" s="36" t="s">
        <v>169</v>
      </c>
      <c r="L751" t="s">
        <v>69</v>
      </c>
      <c r="M751" s="62" t="s">
        <v>170</v>
      </c>
      <c r="N751" t="s">
        <v>71</v>
      </c>
      <c r="O751" t="str">
        <f>IFERROR(IF(Tbla_actores[[#This Row],[codigo_proyecto]]="","",_xlfn.XLOOKUP(Tbla_actores[[#This Row],[codigo_proyecto]],Proyectos!$A:$A,Proyectos!$C:$C)),"")</f>
        <v>NULOS</v>
      </c>
    </row>
    <row r="752" spans="1:15" ht="14.25" customHeight="1">
      <c r="A752" s="9">
        <v>1106900944</v>
      </c>
      <c r="B752" s="63" t="s">
        <v>61</v>
      </c>
      <c r="C752" s="62" t="s">
        <v>1993</v>
      </c>
      <c r="D752" t="s">
        <v>63</v>
      </c>
      <c r="E752" t="s">
        <v>2319</v>
      </c>
      <c r="F752" s="61">
        <v>36215</v>
      </c>
      <c r="G752" s="15" t="s">
        <v>73</v>
      </c>
      <c r="H752" t="s">
        <v>2320</v>
      </c>
      <c r="I752" s="62" t="s">
        <v>2321</v>
      </c>
      <c r="K752" s="36" t="s">
        <v>169</v>
      </c>
      <c r="L752" t="s">
        <v>69</v>
      </c>
      <c r="M752" s="62" t="s">
        <v>170</v>
      </c>
      <c r="N752" t="s">
        <v>71</v>
      </c>
      <c r="O752" t="str">
        <f>IFERROR(IF(Tbla_actores[[#This Row],[codigo_proyecto]]="","",_xlfn.XLOOKUP(Tbla_actores[[#This Row],[codigo_proyecto]],Proyectos!$A:$A,Proyectos!$C:$C)),"")</f>
        <v>NULOS</v>
      </c>
    </row>
    <row r="753" spans="1:15" ht="14.25" customHeight="1">
      <c r="A753" s="10">
        <v>1018508009</v>
      </c>
      <c r="B753" s="64" t="s">
        <v>61</v>
      </c>
      <c r="C753" s="62" t="s">
        <v>1993</v>
      </c>
      <c r="D753" t="s">
        <v>63</v>
      </c>
      <c r="E753" t="s">
        <v>2322</v>
      </c>
      <c r="F753" s="61">
        <v>36161</v>
      </c>
      <c r="G753" s="15" t="s">
        <v>65</v>
      </c>
      <c r="H753" t="s">
        <v>2323</v>
      </c>
      <c r="I753" s="62" t="s">
        <v>2324</v>
      </c>
      <c r="K753" s="36" t="s">
        <v>169</v>
      </c>
      <c r="L753" t="s">
        <v>69</v>
      </c>
      <c r="M753" s="62" t="s">
        <v>170</v>
      </c>
      <c r="N753" t="s">
        <v>71</v>
      </c>
      <c r="O753" t="str">
        <f>IFERROR(IF(Tbla_actores[[#This Row],[codigo_proyecto]]="","",_xlfn.XLOOKUP(Tbla_actores[[#This Row],[codigo_proyecto]],Proyectos!$A:$A,Proyectos!$C:$C)),"")</f>
        <v>NULOS</v>
      </c>
    </row>
    <row r="754" spans="1:15" ht="14.25" customHeight="1">
      <c r="A754" s="9">
        <v>1032501900</v>
      </c>
      <c r="B754" s="63" t="s">
        <v>61</v>
      </c>
      <c r="C754" s="62" t="s">
        <v>1993</v>
      </c>
      <c r="D754" t="s">
        <v>63</v>
      </c>
      <c r="E754" t="s">
        <v>2325</v>
      </c>
      <c r="F754" s="61">
        <v>36144</v>
      </c>
      <c r="G754" s="15" t="s">
        <v>65</v>
      </c>
      <c r="H754" t="s">
        <v>2326</v>
      </c>
      <c r="I754" s="62" t="s">
        <v>2327</v>
      </c>
      <c r="K754" s="36" t="s">
        <v>169</v>
      </c>
      <c r="L754" t="s">
        <v>69</v>
      </c>
      <c r="M754" s="62" t="s">
        <v>170</v>
      </c>
      <c r="N754" t="s">
        <v>71</v>
      </c>
      <c r="O754" t="str">
        <f>IFERROR(IF(Tbla_actores[[#This Row],[codigo_proyecto]]="","",_xlfn.XLOOKUP(Tbla_actores[[#This Row],[codigo_proyecto]],Proyectos!$A:$A,Proyectos!$C:$C)),"")</f>
        <v>NULOS</v>
      </c>
    </row>
    <row r="755" spans="1:15" ht="14.25" customHeight="1">
      <c r="A755" s="10">
        <v>1020831104</v>
      </c>
      <c r="B755" s="64" t="s">
        <v>61</v>
      </c>
      <c r="C755" s="62" t="s">
        <v>1993</v>
      </c>
      <c r="D755" t="s">
        <v>63</v>
      </c>
      <c r="E755" t="s">
        <v>2328</v>
      </c>
      <c r="F755" s="61">
        <v>35859</v>
      </c>
      <c r="G755" s="15" t="s">
        <v>65</v>
      </c>
      <c r="H755" t="s">
        <v>2329</v>
      </c>
      <c r="I755" s="62" t="s">
        <v>2330</v>
      </c>
      <c r="K755" s="36" t="s">
        <v>169</v>
      </c>
      <c r="L755" t="s">
        <v>69</v>
      </c>
      <c r="M755" s="62" t="s">
        <v>170</v>
      </c>
      <c r="N755" t="s">
        <v>71</v>
      </c>
      <c r="O755" t="str">
        <f>IFERROR(IF(Tbla_actores[[#This Row],[codigo_proyecto]]="","",_xlfn.XLOOKUP(Tbla_actores[[#This Row],[codigo_proyecto]],Proyectos!$A:$A,Proyectos!$C:$C)),"")</f>
        <v>NULOS</v>
      </c>
    </row>
    <row r="756" spans="1:15" ht="14.25" customHeight="1">
      <c r="A756" s="9">
        <v>1015484406</v>
      </c>
      <c r="B756" s="63" t="s">
        <v>61</v>
      </c>
      <c r="C756" s="62" t="s">
        <v>1993</v>
      </c>
      <c r="D756" t="s">
        <v>63</v>
      </c>
      <c r="E756" t="s">
        <v>2331</v>
      </c>
      <c r="F756" s="61">
        <v>36513</v>
      </c>
      <c r="G756" s="15" t="s">
        <v>73</v>
      </c>
      <c r="H756" t="s">
        <v>2332</v>
      </c>
      <c r="I756" s="62" t="s">
        <v>2333</v>
      </c>
      <c r="K756" s="36" t="s">
        <v>169</v>
      </c>
      <c r="L756" t="s">
        <v>69</v>
      </c>
      <c r="M756" s="62" t="s">
        <v>170</v>
      </c>
      <c r="N756" t="s">
        <v>71</v>
      </c>
      <c r="O756" t="str">
        <f>IFERROR(IF(Tbla_actores[[#This Row],[codigo_proyecto]]="","",_xlfn.XLOOKUP(Tbla_actores[[#This Row],[codigo_proyecto]],Proyectos!$A:$A,Proyectos!$C:$C)),"")</f>
        <v>NULOS</v>
      </c>
    </row>
    <row r="757" spans="1:15" ht="14.25" customHeight="1">
      <c r="A757" s="10">
        <v>1018513331</v>
      </c>
      <c r="B757" s="64" t="s">
        <v>61</v>
      </c>
      <c r="C757" s="62" t="s">
        <v>1993</v>
      </c>
      <c r="D757" t="s">
        <v>63</v>
      </c>
      <c r="E757" t="s">
        <v>2334</v>
      </c>
      <c r="F757" s="61">
        <v>36413</v>
      </c>
      <c r="G757" s="15" t="s">
        <v>73</v>
      </c>
      <c r="H757" t="s">
        <v>2335</v>
      </c>
      <c r="I757" s="62" t="s">
        <v>2336</v>
      </c>
      <c r="K757" s="36" t="s">
        <v>169</v>
      </c>
      <c r="L757" t="s">
        <v>69</v>
      </c>
      <c r="M757" s="62" t="s">
        <v>170</v>
      </c>
      <c r="N757" t="s">
        <v>71</v>
      </c>
      <c r="O757" t="str">
        <f>IFERROR(IF(Tbla_actores[[#This Row],[codigo_proyecto]]="","",_xlfn.XLOOKUP(Tbla_actores[[#This Row],[codigo_proyecto]],Proyectos!$A:$A,Proyectos!$C:$C)),"")</f>
        <v>NULOS</v>
      </c>
    </row>
    <row r="758" spans="1:15" ht="14.25" customHeight="1">
      <c r="A758" s="9">
        <v>1020834821</v>
      </c>
      <c r="B758" s="63" t="s">
        <v>61</v>
      </c>
      <c r="C758" s="62" t="s">
        <v>1993</v>
      </c>
      <c r="D758" t="s">
        <v>63</v>
      </c>
      <c r="E758" t="s">
        <v>2337</v>
      </c>
      <c r="F758" s="61">
        <v>36016</v>
      </c>
      <c r="G758" s="15" t="s">
        <v>65</v>
      </c>
      <c r="H758" t="s">
        <v>2338</v>
      </c>
      <c r="I758" s="62" t="s">
        <v>2339</v>
      </c>
      <c r="K758" s="36" t="s">
        <v>169</v>
      </c>
      <c r="L758" t="s">
        <v>69</v>
      </c>
      <c r="M758" s="62" t="s">
        <v>170</v>
      </c>
      <c r="N758" t="s">
        <v>71</v>
      </c>
      <c r="O758" t="str">
        <f>IFERROR(IF(Tbla_actores[[#This Row],[codigo_proyecto]]="","",_xlfn.XLOOKUP(Tbla_actores[[#This Row],[codigo_proyecto]],Proyectos!$A:$A,Proyectos!$C:$C)),"")</f>
        <v>NULOS</v>
      </c>
    </row>
    <row r="759" spans="1:15" ht="14.25" customHeight="1">
      <c r="A759" s="10">
        <v>1020837629</v>
      </c>
      <c r="B759" s="64" t="s">
        <v>61</v>
      </c>
      <c r="C759" s="62" t="s">
        <v>1993</v>
      </c>
      <c r="D759" t="s">
        <v>63</v>
      </c>
      <c r="E759" t="s">
        <v>2340</v>
      </c>
      <c r="F759" s="61">
        <v>36147</v>
      </c>
      <c r="G759" s="15" t="s">
        <v>65</v>
      </c>
      <c r="H759" t="s">
        <v>2341</v>
      </c>
      <c r="I759" s="62" t="s">
        <v>2342</v>
      </c>
      <c r="K759" s="36" t="s">
        <v>169</v>
      </c>
      <c r="L759" t="s">
        <v>69</v>
      </c>
      <c r="M759" s="62" t="s">
        <v>170</v>
      </c>
      <c r="N759" t="s">
        <v>71</v>
      </c>
      <c r="O759" t="str">
        <f>IFERROR(IF(Tbla_actores[[#This Row],[codigo_proyecto]]="","",_xlfn.XLOOKUP(Tbla_actores[[#This Row],[codigo_proyecto]],Proyectos!$A:$A,Proyectos!$C:$C)),"")</f>
        <v>NULOS</v>
      </c>
    </row>
    <row r="760" spans="1:15" ht="14.25" customHeight="1">
      <c r="A760" s="9">
        <v>1020842967</v>
      </c>
      <c r="B760" s="63" t="s">
        <v>61</v>
      </c>
      <c r="C760" s="62" t="s">
        <v>1993</v>
      </c>
      <c r="D760" t="s">
        <v>63</v>
      </c>
      <c r="E760" t="s">
        <v>2343</v>
      </c>
      <c r="F760" s="61">
        <v>36384</v>
      </c>
      <c r="G760" s="15" t="s">
        <v>65</v>
      </c>
      <c r="H760" t="s">
        <v>2344</v>
      </c>
      <c r="I760" s="62" t="s">
        <v>2345</v>
      </c>
      <c r="K760" s="36" t="s">
        <v>169</v>
      </c>
      <c r="L760" t="s">
        <v>69</v>
      </c>
      <c r="M760" s="62" t="s">
        <v>170</v>
      </c>
      <c r="N760" t="s">
        <v>71</v>
      </c>
      <c r="O760" t="str">
        <f>IFERROR(IF(Tbla_actores[[#This Row],[codigo_proyecto]]="","",_xlfn.XLOOKUP(Tbla_actores[[#This Row],[codigo_proyecto]],Proyectos!$A:$A,Proyectos!$C:$C)),"")</f>
        <v>NULOS</v>
      </c>
    </row>
    <row r="761" spans="1:15" ht="14.25" customHeight="1">
      <c r="A761" s="10">
        <v>1019144515</v>
      </c>
      <c r="B761" s="64" t="s">
        <v>61</v>
      </c>
      <c r="C761" s="62" t="s">
        <v>1993</v>
      </c>
      <c r="D761" t="s">
        <v>63</v>
      </c>
      <c r="E761" t="s">
        <v>2346</v>
      </c>
      <c r="F761" s="61">
        <v>36119</v>
      </c>
      <c r="G761" s="15" t="s">
        <v>65</v>
      </c>
      <c r="H761" t="s">
        <v>2347</v>
      </c>
      <c r="I761" s="62" t="s">
        <v>2348</v>
      </c>
      <c r="K761" s="36" t="s">
        <v>169</v>
      </c>
      <c r="L761" t="s">
        <v>69</v>
      </c>
      <c r="M761" s="62" t="s">
        <v>170</v>
      </c>
      <c r="N761" t="s">
        <v>71</v>
      </c>
      <c r="O761" t="str">
        <f>IFERROR(IF(Tbla_actores[[#This Row],[codigo_proyecto]]="","",_xlfn.XLOOKUP(Tbla_actores[[#This Row],[codigo_proyecto]],Proyectos!$A:$A,Proyectos!$C:$C)),"")</f>
        <v>NULOS</v>
      </c>
    </row>
    <row r="762" spans="1:15" ht="14.25" customHeight="1">
      <c r="A762" s="9">
        <v>1020834593</v>
      </c>
      <c r="B762" s="63" t="s">
        <v>61</v>
      </c>
      <c r="C762" s="62" t="s">
        <v>1993</v>
      </c>
      <c r="D762" t="s">
        <v>63</v>
      </c>
      <c r="E762" t="s">
        <v>2349</v>
      </c>
      <c r="F762" s="61">
        <v>35991</v>
      </c>
      <c r="G762" s="15" t="s">
        <v>65</v>
      </c>
      <c r="H762" t="s">
        <v>2350</v>
      </c>
      <c r="I762" s="62" t="s">
        <v>2351</v>
      </c>
      <c r="K762" s="36" t="s">
        <v>169</v>
      </c>
      <c r="L762" t="s">
        <v>69</v>
      </c>
      <c r="M762" s="62" t="s">
        <v>170</v>
      </c>
      <c r="N762" t="s">
        <v>71</v>
      </c>
      <c r="O762" t="str">
        <f>IFERROR(IF(Tbla_actores[[#This Row],[codigo_proyecto]]="","",_xlfn.XLOOKUP(Tbla_actores[[#This Row],[codigo_proyecto]],Proyectos!$A:$A,Proyectos!$C:$C)),"")</f>
        <v>NULOS</v>
      </c>
    </row>
    <row r="763" spans="1:15" ht="14.25" customHeight="1">
      <c r="A763" s="10">
        <v>551306</v>
      </c>
      <c r="B763" s="64" t="s">
        <v>61</v>
      </c>
      <c r="C763" s="62" t="s">
        <v>1993</v>
      </c>
      <c r="D763" t="s">
        <v>63</v>
      </c>
      <c r="E763" t="s">
        <v>2352</v>
      </c>
      <c r="F763" s="61">
        <v>35394</v>
      </c>
      <c r="G763" s="15" t="s">
        <v>73</v>
      </c>
      <c r="H763" t="s">
        <v>2353</v>
      </c>
      <c r="I763" s="62" t="s">
        <v>2354</v>
      </c>
      <c r="K763" s="36" t="s">
        <v>169</v>
      </c>
      <c r="L763" t="s">
        <v>69</v>
      </c>
      <c r="M763" s="62" t="s">
        <v>170</v>
      </c>
      <c r="N763" t="s">
        <v>71</v>
      </c>
      <c r="O763" t="str">
        <f>IFERROR(IF(Tbla_actores[[#This Row],[codigo_proyecto]]="","",_xlfn.XLOOKUP(Tbla_actores[[#This Row],[codigo_proyecto]],Proyectos!$A:$A,Proyectos!$C:$C)),"")</f>
        <v>NULOS</v>
      </c>
    </row>
    <row r="764" spans="1:15" ht="14.25" customHeight="1">
      <c r="A764" s="9">
        <v>1018494574</v>
      </c>
      <c r="B764" s="63" t="s">
        <v>61</v>
      </c>
      <c r="C764" s="62" t="s">
        <v>1993</v>
      </c>
      <c r="D764" t="s">
        <v>63</v>
      </c>
      <c r="E764" t="s">
        <v>2355</v>
      </c>
      <c r="F764" s="61">
        <v>35580</v>
      </c>
      <c r="G764" s="15" t="s">
        <v>65</v>
      </c>
      <c r="H764" t="s">
        <v>2356</v>
      </c>
      <c r="I764" s="62" t="s">
        <v>2357</v>
      </c>
      <c r="K764" s="36" t="s">
        <v>169</v>
      </c>
      <c r="L764" t="s">
        <v>69</v>
      </c>
      <c r="M764" s="62" t="s">
        <v>170</v>
      </c>
      <c r="N764" t="s">
        <v>71</v>
      </c>
      <c r="O764" t="str">
        <f>IFERROR(IF(Tbla_actores[[#This Row],[codigo_proyecto]]="","",_xlfn.XLOOKUP(Tbla_actores[[#This Row],[codigo_proyecto]],Proyectos!$A:$A,Proyectos!$C:$C)),"")</f>
        <v>NULOS</v>
      </c>
    </row>
    <row r="765" spans="1:15" ht="14.25" customHeight="1">
      <c r="A765" s="10">
        <v>1020822783</v>
      </c>
      <c r="B765" s="64" t="s">
        <v>61</v>
      </c>
      <c r="C765" s="62" t="s">
        <v>1993</v>
      </c>
      <c r="D765" t="s">
        <v>63</v>
      </c>
      <c r="E765" t="s">
        <v>2358</v>
      </c>
      <c r="F765" s="61">
        <v>35449</v>
      </c>
      <c r="G765" s="15" t="s">
        <v>73</v>
      </c>
      <c r="H765" t="s">
        <v>2359</v>
      </c>
      <c r="I765" s="62" t="s">
        <v>2360</v>
      </c>
      <c r="K765" s="36" t="s">
        <v>169</v>
      </c>
      <c r="L765" t="s">
        <v>69</v>
      </c>
      <c r="M765" s="62" t="s">
        <v>170</v>
      </c>
      <c r="N765" t="s">
        <v>71</v>
      </c>
      <c r="O765" t="str">
        <f>IFERROR(IF(Tbla_actores[[#This Row],[codigo_proyecto]]="","",_xlfn.XLOOKUP(Tbla_actores[[#This Row],[codigo_proyecto]],Proyectos!$A:$A,Proyectos!$C:$C)),"")</f>
        <v>NULOS</v>
      </c>
    </row>
    <row r="766" spans="1:15" ht="14.25" customHeight="1">
      <c r="A766" s="9">
        <v>1019141539</v>
      </c>
      <c r="B766" s="63" t="s">
        <v>61</v>
      </c>
      <c r="C766" s="62" t="s">
        <v>1993</v>
      </c>
      <c r="D766" t="s">
        <v>63</v>
      </c>
      <c r="E766" t="s">
        <v>2361</v>
      </c>
      <c r="F766" s="61">
        <v>35997</v>
      </c>
      <c r="G766" s="15" t="s">
        <v>73</v>
      </c>
      <c r="H766" t="s">
        <v>2362</v>
      </c>
      <c r="I766" s="62" t="s">
        <v>2363</v>
      </c>
      <c r="K766" s="36" t="s">
        <v>169</v>
      </c>
      <c r="L766" t="s">
        <v>69</v>
      </c>
      <c r="M766" s="62" t="s">
        <v>170</v>
      </c>
      <c r="N766" t="s">
        <v>71</v>
      </c>
      <c r="O766" t="str">
        <f>IFERROR(IF(Tbla_actores[[#This Row],[codigo_proyecto]]="","",_xlfn.XLOOKUP(Tbla_actores[[#This Row],[codigo_proyecto]],Proyectos!$A:$A,Proyectos!$C:$C)),"")</f>
        <v>NULOS</v>
      </c>
    </row>
    <row r="767" spans="1:15" ht="14.25" customHeight="1">
      <c r="A767" s="10">
        <v>1018495723</v>
      </c>
      <c r="B767" s="64" t="s">
        <v>61</v>
      </c>
      <c r="C767" s="62" t="s">
        <v>1993</v>
      </c>
      <c r="D767" t="s">
        <v>63</v>
      </c>
      <c r="E767" t="s">
        <v>2364</v>
      </c>
      <c r="F767" s="61">
        <v>35636</v>
      </c>
      <c r="G767" s="15" t="s">
        <v>73</v>
      </c>
      <c r="H767" t="s">
        <v>2365</v>
      </c>
      <c r="I767" s="62" t="s">
        <v>2366</v>
      </c>
      <c r="K767" s="36" t="s">
        <v>169</v>
      </c>
      <c r="L767" t="s">
        <v>69</v>
      </c>
      <c r="M767" s="62" t="s">
        <v>170</v>
      </c>
      <c r="N767" t="s">
        <v>71</v>
      </c>
      <c r="O767" t="str">
        <f>IFERROR(IF(Tbla_actores[[#This Row],[codigo_proyecto]]="","",_xlfn.XLOOKUP(Tbla_actores[[#This Row],[codigo_proyecto]],Proyectos!$A:$A,Proyectos!$C:$C)),"")</f>
        <v>NULOS</v>
      </c>
    </row>
    <row r="768" spans="1:15" ht="14.25" customHeight="1">
      <c r="A768" s="9">
        <v>1030684131</v>
      </c>
      <c r="B768" s="63" t="s">
        <v>61</v>
      </c>
      <c r="C768" s="62" t="s">
        <v>1993</v>
      </c>
      <c r="D768" t="s">
        <v>63</v>
      </c>
      <c r="E768" t="s">
        <v>2367</v>
      </c>
      <c r="F768" s="61">
        <v>35780</v>
      </c>
      <c r="G768" s="15" t="s">
        <v>65</v>
      </c>
      <c r="H768" t="s">
        <v>2368</v>
      </c>
      <c r="I768" s="62" t="s">
        <v>2369</v>
      </c>
      <c r="K768" s="36" t="s">
        <v>169</v>
      </c>
      <c r="L768" t="s">
        <v>69</v>
      </c>
      <c r="M768" s="62" t="s">
        <v>170</v>
      </c>
      <c r="N768" t="s">
        <v>71</v>
      </c>
      <c r="O768" t="str">
        <f>IFERROR(IF(Tbla_actores[[#This Row],[codigo_proyecto]]="","",_xlfn.XLOOKUP(Tbla_actores[[#This Row],[codigo_proyecto]],Proyectos!$A:$A,Proyectos!$C:$C)),"")</f>
        <v>NULOS</v>
      </c>
    </row>
    <row r="769" spans="1:15" ht="14.25" customHeight="1">
      <c r="A769" s="10">
        <v>1020831365</v>
      </c>
      <c r="B769" s="64" t="s">
        <v>61</v>
      </c>
      <c r="C769" s="62" t="s">
        <v>1993</v>
      </c>
      <c r="D769" t="s">
        <v>63</v>
      </c>
      <c r="E769" t="s">
        <v>2370</v>
      </c>
      <c r="F769" s="61">
        <v>35865</v>
      </c>
      <c r="G769" s="15" t="s">
        <v>65</v>
      </c>
      <c r="H769" t="s">
        <v>2371</v>
      </c>
      <c r="I769" s="62" t="s">
        <v>2372</v>
      </c>
      <c r="K769" s="36" t="s">
        <v>169</v>
      </c>
      <c r="L769" t="s">
        <v>69</v>
      </c>
      <c r="M769" s="62" t="s">
        <v>170</v>
      </c>
      <c r="N769" t="s">
        <v>71</v>
      </c>
      <c r="O769" t="str">
        <f>IFERROR(IF(Tbla_actores[[#This Row],[codigo_proyecto]]="","",_xlfn.XLOOKUP(Tbla_actores[[#This Row],[codigo_proyecto]],Proyectos!$A:$A,Proyectos!$C:$C)),"")</f>
        <v>NULOS</v>
      </c>
    </row>
    <row r="770" spans="1:15" ht="14.25" customHeight="1">
      <c r="A770" s="9">
        <v>1018506182</v>
      </c>
      <c r="B770" s="63" t="s">
        <v>61</v>
      </c>
      <c r="C770" s="62" t="s">
        <v>1993</v>
      </c>
      <c r="D770" t="s">
        <v>63</v>
      </c>
      <c r="E770" t="s">
        <v>2373</v>
      </c>
      <c r="F770" s="61">
        <v>36080</v>
      </c>
      <c r="G770" s="15" t="s">
        <v>65</v>
      </c>
      <c r="H770" t="s">
        <v>2374</v>
      </c>
      <c r="I770" s="62" t="s">
        <v>2375</v>
      </c>
      <c r="K770" s="36" t="s">
        <v>169</v>
      </c>
      <c r="L770" t="s">
        <v>69</v>
      </c>
      <c r="M770" s="62" t="s">
        <v>170</v>
      </c>
      <c r="N770" t="s">
        <v>71</v>
      </c>
      <c r="O770" t="str">
        <f>IFERROR(IF(Tbla_actores[[#This Row],[codigo_proyecto]]="","",_xlfn.XLOOKUP(Tbla_actores[[#This Row],[codigo_proyecto]],Proyectos!$A:$A,Proyectos!$C:$C)),"")</f>
        <v>NULOS</v>
      </c>
    </row>
    <row r="771" spans="1:15" ht="14.25" customHeight="1">
      <c r="A771" s="10">
        <v>1019139945</v>
      </c>
      <c r="B771" s="64" t="s">
        <v>61</v>
      </c>
      <c r="C771" s="62" t="s">
        <v>1993</v>
      </c>
      <c r="D771" t="s">
        <v>63</v>
      </c>
      <c r="E771" t="s">
        <v>2376</v>
      </c>
      <c r="F771" s="61">
        <v>35932</v>
      </c>
      <c r="G771" s="15" t="s">
        <v>73</v>
      </c>
      <c r="H771" t="s">
        <v>2377</v>
      </c>
      <c r="I771" s="62" t="s">
        <v>2378</v>
      </c>
      <c r="K771" s="36" t="s">
        <v>169</v>
      </c>
      <c r="L771" t="s">
        <v>69</v>
      </c>
      <c r="M771" s="62" t="s">
        <v>170</v>
      </c>
      <c r="N771" t="s">
        <v>71</v>
      </c>
      <c r="O771" t="str">
        <f>IFERROR(IF(Tbla_actores[[#This Row],[codigo_proyecto]]="","",_xlfn.XLOOKUP(Tbla_actores[[#This Row],[codigo_proyecto]],Proyectos!$A:$A,Proyectos!$C:$C)),"")</f>
        <v>NULOS</v>
      </c>
    </row>
    <row r="772" spans="1:15" ht="14.25" customHeight="1">
      <c r="A772" s="9">
        <v>1005180458</v>
      </c>
      <c r="B772" s="63" t="s">
        <v>61</v>
      </c>
      <c r="C772" s="62" t="s">
        <v>1993</v>
      </c>
      <c r="D772" t="s">
        <v>63</v>
      </c>
      <c r="E772" t="s">
        <v>2379</v>
      </c>
      <c r="F772" s="61">
        <v>36730</v>
      </c>
      <c r="G772" s="15" t="s">
        <v>65</v>
      </c>
      <c r="H772" t="s">
        <v>2380</v>
      </c>
      <c r="I772" s="62" t="s">
        <v>2381</v>
      </c>
      <c r="K772" s="36" t="s">
        <v>169</v>
      </c>
      <c r="L772" t="s">
        <v>69</v>
      </c>
      <c r="M772" s="62" t="s">
        <v>170</v>
      </c>
      <c r="N772" t="s">
        <v>71</v>
      </c>
      <c r="O772" t="str">
        <f>IFERROR(IF(Tbla_actores[[#This Row],[codigo_proyecto]]="","",_xlfn.XLOOKUP(Tbla_actores[[#This Row],[codigo_proyecto]],Proyectos!$A:$A,Proyectos!$C:$C)),"")</f>
        <v>NULOS</v>
      </c>
    </row>
    <row r="773" spans="1:15" ht="14.25" customHeight="1">
      <c r="A773" s="10">
        <v>1019129108</v>
      </c>
      <c r="B773" s="64" t="s">
        <v>61</v>
      </c>
      <c r="C773" s="62" t="s">
        <v>1993</v>
      </c>
      <c r="D773" t="s">
        <v>63</v>
      </c>
      <c r="E773" t="s">
        <v>2382</v>
      </c>
      <c r="F773" s="61">
        <v>35517</v>
      </c>
      <c r="G773" s="15" t="s">
        <v>65</v>
      </c>
      <c r="H773" t="s">
        <v>2383</v>
      </c>
      <c r="I773" s="62" t="s">
        <v>2384</v>
      </c>
      <c r="K773" s="36" t="s">
        <v>169</v>
      </c>
      <c r="L773" t="s">
        <v>69</v>
      </c>
      <c r="M773" s="62" t="s">
        <v>170</v>
      </c>
      <c r="N773" t="s">
        <v>71</v>
      </c>
      <c r="O773" t="str">
        <f>IFERROR(IF(Tbla_actores[[#This Row],[codigo_proyecto]]="","",_xlfn.XLOOKUP(Tbla_actores[[#This Row],[codigo_proyecto]],Proyectos!$A:$A,Proyectos!$C:$C)),"")</f>
        <v>NULOS</v>
      </c>
    </row>
    <row r="774" spans="1:15" ht="14.25" customHeight="1">
      <c r="A774" s="9">
        <v>1067953713</v>
      </c>
      <c r="B774" s="63" t="s">
        <v>61</v>
      </c>
      <c r="C774" s="62" t="s">
        <v>1993</v>
      </c>
      <c r="D774" t="s">
        <v>63</v>
      </c>
      <c r="E774" t="s">
        <v>2385</v>
      </c>
      <c r="F774" s="61">
        <v>35492</v>
      </c>
      <c r="G774" s="15" t="s">
        <v>65</v>
      </c>
      <c r="H774" t="s">
        <v>2386</v>
      </c>
      <c r="I774" s="62" t="s">
        <v>2387</v>
      </c>
      <c r="K774" s="36" t="s">
        <v>169</v>
      </c>
      <c r="L774" t="s">
        <v>69</v>
      </c>
      <c r="M774" s="62" t="s">
        <v>170</v>
      </c>
      <c r="N774" t="s">
        <v>71</v>
      </c>
      <c r="O774" t="str">
        <f>IFERROR(IF(Tbla_actores[[#This Row],[codigo_proyecto]]="","",_xlfn.XLOOKUP(Tbla_actores[[#This Row],[codigo_proyecto]],Proyectos!$A:$A,Proyectos!$C:$C)),"")</f>
        <v>NULOS</v>
      </c>
    </row>
    <row r="775" spans="1:15" ht="14.25" customHeight="1">
      <c r="A775" s="10">
        <v>1022425409</v>
      </c>
      <c r="B775" s="64" t="s">
        <v>61</v>
      </c>
      <c r="C775" s="62" t="s">
        <v>1993</v>
      </c>
      <c r="D775" t="s">
        <v>63</v>
      </c>
      <c r="E775" t="s">
        <v>2388</v>
      </c>
      <c r="F775" s="61">
        <v>35524</v>
      </c>
      <c r="G775" s="15" t="s">
        <v>73</v>
      </c>
      <c r="H775" t="s">
        <v>2389</v>
      </c>
      <c r="I775" s="62" t="s">
        <v>2390</v>
      </c>
      <c r="K775" s="36" t="s">
        <v>169</v>
      </c>
      <c r="L775" t="s">
        <v>69</v>
      </c>
      <c r="M775" s="62" t="s">
        <v>170</v>
      </c>
      <c r="N775" t="s">
        <v>71</v>
      </c>
      <c r="O775" t="str">
        <f>IFERROR(IF(Tbla_actores[[#This Row],[codigo_proyecto]]="","",_xlfn.XLOOKUP(Tbla_actores[[#This Row],[codigo_proyecto]],Proyectos!$A:$A,Proyectos!$C:$C)),"")</f>
        <v>NULOS</v>
      </c>
    </row>
    <row r="776" spans="1:15" ht="14.25" customHeight="1">
      <c r="A776" s="9">
        <v>1018503351</v>
      </c>
      <c r="B776" s="63" t="s">
        <v>61</v>
      </c>
      <c r="C776" s="62" t="s">
        <v>1993</v>
      </c>
      <c r="D776" t="s">
        <v>63</v>
      </c>
      <c r="E776" t="s">
        <v>2391</v>
      </c>
      <c r="F776" s="61">
        <v>35940</v>
      </c>
      <c r="G776" s="15" t="s">
        <v>73</v>
      </c>
      <c r="H776" t="s">
        <v>2392</v>
      </c>
      <c r="I776" s="62" t="s">
        <v>2393</v>
      </c>
      <c r="K776" s="36" t="s">
        <v>169</v>
      </c>
      <c r="L776" t="s">
        <v>69</v>
      </c>
      <c r="M776" s="62" t="s">
        <v>170</v>
      </c>
      <c r="N776" t="s">
        <v>71</v>
      </c>
      <c r="O776" t="str">
        <f>IFERROR(IF(Tbla_actores[[#This Row],[codigo_proyecto]]="","",_xlfn.XLOOKUP(Tbla_actores[[#This Row],[codigo_proyecto]],Proyectos!$A:$A,Proyectos!$C:$C)),"")</f>
        <v>NULOS</v>
      </c>
    </row>
    <row r="777" spans="1:15" ht="14.25" customHeight="1">
      <c r="A777" s="10">
        <v>1047480053</v>
      </c>
      <c r="B777" s="64" t="s">
        <v>61</v>
      </c>
      <c r="C777" s="62" t="s">
        <v>1993</v>
      </c>
      <c r="D777" t="s">
        <v>63</v>
      </c>
      <c r="E777" t="s">
        <v>2394</v>
      </c>
      <c r="F777" s="61">
        <v>34865</v>
      </c>
      <c r="G777" s="15" t="s">
        <v>65</v>
      </c>
      <c r="H777" t="s">
        <v>2395</v>
      </c>
      <c r="I777" s="62" t="s">
        <v>2396</v>
      </c>
      <c r="K777" s="36" t="s">
        <v>169</v>
      </c>
      <c r="L777" t="s">
        <v>69</v>
      </c>
      <c r="M777" s="62" t="s">
        <v>170</v>
      </c>
      <c r="N777" t="s">
        <v>71</v>
      </c>
      <c r="O777" t="str">
        <f>IFERROR(IF(Tbla_actores[[#This Row],[codigo_proyecto]]="","",_xlfn.XLOOKUP(Tbla_actores[[#This Row],[codigo_proyecto]],Proyectos!$A:$A,Proyectos!$C:$C)),"")</f>
        <v>NULOS</v>
      </c>
    </row>
    <row r="778" spans="1:15" ht="14.25" customHeight="1">
      <c r="A778" s="9">
        <v>1014299965</v>
      </c>
      <c r="B778" s="63" t="s">
        <v>61</v>
      </c>
      <c r="C778" s="62" t="s">
        <v>1993</v>
      </c>
      <c r="D778" t="s">
        <v>63</v>
      </c>
      <c r="E778" t="s">
        <v>2397</v>
      </c>
      <c r="F778" s="61">
        <v>36035</v>
      </c>
      <c r="G778" s="15" t="s">
        <v>65</v>
      </c>
      <c r="H778" t="s">
        <v>2398</v>
      </c>
      <c r="I778" s="62" t="s">
        <v>2399</v>
      </c>
      <c r="K778" s="36" t="s">
        <v>169</v>
      </c>
      <c r="L778" t="s">
        <v>69</v>
      </c>
      <c r="M778" s="62" t="s">
        <v>170</v>
      </c>
      <c r="N778" t="s">
        <v>71</v>
      </c>
      <c r="O778" t="str">
        <f>IFERROR(IF(Tbla_actores[[#This Row],[codigo_proyecto]]="","",_xlfn.XLOOKUP(Tbla_actores[[#This Row],[codigo_proyecto]],Proyectos!$A:$A,Proyectos!$C:$C)),"")</f>
        <v>NULOS</v>
      </c>
    </row>
    <row r="779" spans="1:15" ht="14.25" customHeight="1">
      <c r="A779" s="10">
        <v>1152227036</v>
      </c>
      <c r="B779" s="64" t="s">
        <v>61</v>
      </c>
      <c r="C779" s="62" t="s">
        <v>1993</v>
      </c>
      <c r="D779" t="s">
        <v>63</v>
      </c>
      <c r="E779" t="s">
        <v>2400</v>
      </c>
      <c r="F779" s="61">
        <v>36466</v>
      </c>
      <c r="G779" s="15" t="s">
        <v>73</v>
      </c>
      <c r="H779" t="s">
        <v>2401</v>
      </c>
      <c r="I779" s="62" t="s">
        <v>2402</v>
      </c>
      <c r="K779" s="36" t="s">
        <v>1489</v>
      </c>
      <c r="L779" t="s">
        <v>69</v>
      </c>
      <c r="M779" s="62" t="s">
        <v>70</v>
      </c>
      <c r="N779" t="s">
        <v>71</v>
      </c>
      <c r="O779" t="str">
        <f>IFERROR(IF(Tbla_actores[[#This Row],[codigo_proyecto]]="","",_xlfn.XLOOKUP(Tbla_actores[[#This Row],[codigo_proyecto]],Proyectos!$A:$A,Proyectos!$C:$C)),"")</f>
        <v>NULOS</v>
      </c>
    </row>
    <row r="780" spans="1:15" ht="14.25" customHeight="1">
      <c r="A780" s="9">
        <v>1000939784</v>
      </c>
      <c r="B780" s="63" t="s">
        <v>61</v>
      </c>
      <c r="C780" s="62" t="s">
        <v>1993</v>
      </c>
      <c r="D780" t="s">
        <v>63</v>
      </c>
      <c r="E780" t="s">
        <v>2403</v>
      </c>
      <c r="F780" s="61">
        <v>36476</v>
      </c>
      <c r="G780" s="15" t="s">
        <v>65</v>
      </c>
      <c r="H780" t="s">
        <v>2404</v>
      </c>
      <c r="I780" s="62" t="s">
        <v>2405</v>
      </c>
      <c r="K780" s="36" t="s">
        <v>1489</v>
      </c>
      <c r="L780" t="s">
        <v>69</v>
      </c>
      <c r="M780" s="62" t="s">
        <v>70</v>
      </c>
      <c r="N780" t="s">
        <v>71</v>
      </c>
      <c r="O780" t="str">
        <f>IFERROR(IF(Tbla_actores[[#This Row],[codigo_proyecto]]="","",_xlfn.XLOOKUP(Tbla_actores[[#This Row],[codigo_proyecto]],Proyectos!$A:$A,Proyectos!$C:$C)),"")</f>
        <v>NULOS</v>
      </c>
    </row>
    <row r="781" spans="1:15" ht="14.25" customHeight="1">
      <c r="A781" s="10">
        <v>1030687253</v>
      </c>
      <c r="B781" s="64" t="s">
        <v>61</v>
      </c>
      <c r="C781" s="62" t="s">
        <v>1993</v>
      </c>
      <c r="D781" t="s">
        <v>63</v>
      </c>
      <c r="E781" t="s">
        <v>2406</v>
      </c>
      <c r="F781" s="61">
        <v>35920</v>
      </c>
      <c r="G781" s="15" t="s">
        <v>73</v>
      </c>
      <c r="H781" t="s">
        <v>2407</v>
      </c>
      <c r="I781" s="62" t="s">
        <v>2408</v>
      </c>
      <c r="K781" s="36" t="s">
        <v>1489</v>
      </c>
      <c r="L781" t="s">
        <v>69</v>
      </c>
      <c r="M781" s="62" t="s">
        <v>70</v>
      </c>
      <c r="N781" t="s">
        <v>71</v>
      </c>
      <c r="O781" t="str">
        <f>IFERROR(IF(Tbla_actores[[#This Row],[codigo_proyecto]]="","",_xlfn.XLOOKUP(Tbla_actores[[#This Row],[codigo_proyecto]],Proyectos!$A:$A,Proyectos!$C:$C)),"")</f>
        <v>NULOS</v>
      </c>
    </row>
    <row r="782" spans="1:15" ht="14.25" customHeight="1">
      <c r="A782" s="9">
        <v>1007725791</v>
      </c>
      <c r="B782" s="63" t="s">
        <v>61</v>
      </c>
      <c r="C782" s="62" t="s">
        <v>1993</v>
      </c>
      <c r="D782" t="s">
        <v>63</v>
      </c>
      <c r="E782" t="s">
        <v>2409</v>
      </c>
      <c r="F782" s="61">
        <v>36722</v>
      </c>
      <c r="G782" s="15" t="s">
        <v>73</v>
      </c>
      <c r="H782" t="s">
        <v>2410</v>
      </c>
      <c r="I782" s="62" t="s">
        <v>2411</v>
      </c>
      <c r="K782" s="36" t="s">
        <v>1489</v>
      </c>
      <c r="L782" t="s">
        <v>69</v>
      </c>
      <c r="M782" s="62" t="s">
        <v>70</v>
      </c>
      <c r="N782" t="s">
        <v>71</v>
      </c>
      <c r="O782" t="str">
        <f>IFERROR(IF(Tbla_actores[[#This Row],[codigo_proyecto]]="","",_xlfn.XLOOKUP(Tbla_actores[[#This Row],[codigo_proyecto]],Proyectos!$A:$A,Proyectos!$C:$C)),"")</f>
        <v>NULOS</v>
      </c>
    </row>
    <row r="783" spans="1:15" ht="14.25" customHeight="1">
      <c r="A783" s="10">
        <v>1075312165</v>
      </c>
      <c r="B783" s="64" t="s">
        <v>61</v>
      </c>
      <c r="C783" s="62" t="s">
        <v>1993</v>
      </c>
      <c r="D783" t="s">
        <v>63</v>
      </c>
      <c r="E783" t="s">
        <v>2412</v>
      </c>
      <c r="F783" s="61">
        <v>35948</v>
      </c>
      <c r="G783" s="15" t="s">
        <v>73</v>
      </c>
      <c r="H783" t="s">
        <v>2413</v>
      </c>
      <c r="I783" s="62" t="s">
        <v>2414</v>
      </c>
      <c r="K783" s="36" t="s">
        <v>1489</v>
      </c>
      <c r="L783" t="s">
        <v>69</v>
      </c>
      <c r="M783" s="62" t="s">
        <v>70</v>
      </c>
      <c r="N783" t="s">
        <v>71</v>
      </c>
      <c r="O783" t="str">
        <f>IFERROR(IF(Tbla_actores[[#This Row],[codigo_proyecto]]="","",_xlfn.XLOOKUP(Tbla_actores[[#This Row],[codigo_proyecto]],Proyectos!$A:$A,Proyectos!$C:$C)),"")</f>
        <v>NULOS</v>
      </c>
    </row>
    <row r="784" spans="1:15" ht="14.25" customHeight="1">
      <c r="A784" s="9">
        <v>1018513492</v>
      </c>
      <c r="B784" s="63" t="s">
        <v>61</v>
      </c>
      <c r="C784" s="62" t="s">
        <v>1993</v>
      </c>
      <c r="D784" t="s">
        <v>63</v>
      </c>
      <c r="E784" t="s">
        <v>2415</v>
      </c>
      <c r="F784" s="61">
        <v>36434</v>
      </c>
      <c r="G784" s="15" t="s">
        <v>65</v>
      </c>
      <c r="H784" t="s">
        <v>2416</v>
      </c>
      <c r="I784" s="62" t="s">
        <v>2417</v>
      </c>
      <c r="K784" s="36" t="s">
        <v>1489</v>
      </c>
      <c r="L784" t="s">
        <v>69</v>
      </c>
      <c r="M784" s="62" t="s">
        <v>70</v>
      </c>
      <c r="N784" t="s">
        <v>71</v>
      </c>
      <c r="O784" t="str">
        <f>IFERROR(IF(Tbla_actores[[#This Row],[codigo_proyecto]]="","",_xlfn.XLOOKUP(Tbla_actores[[#This Row],[codigo_proyecto]],Proyectos!$A:$A,Proyectos!$C:$C)),"")</f>
        <v>NULOS</v>
      </c>
    </row>
    <row r="785" spans="1:15" ht="14.25" customHeight="1">
      <c r="A785" s="10">
        <v>1007552218</v>
      </c>
      <c r="B785" s="64" t="s">
        <v>61</v>
      </c>
      <c r="C785" s="62" t="s">
        <v>1993</v>
      </c>
      <c r="D785" t="s">
        <v>63</v>
      </c>
      <c r="E785" t="s">
        <v>2418</v>
      </c>
      <c r="F785" s="61">
        <v>37097</v>
      </c>
      <c r="G785" s="15" t="s">
        <v>73</v>
      </c>
      <c r="H785" t="s">
        <v>2419</v>
      </c>
      <c r="I785" s="62" t="s">
        <v>2420</v>
      </c>
      <c r="K785" s="36" t="s">
        <v>1489</v>
      </c>
      <c r="L785" t="s">
        <v>69</v>
      </c>
      <c r="M785" s="62" t="s">
        <v>70</v>
      </c>
      <c r="N785" t="s">
        <v>71</v>
      </c>
      <c r="O785" t="str">
        <f>IFERROR(IF(Tbla_actores[[#This Row],[codigo_proyecto]]="","",_xlfn.XLOOKUP(Tbla_actores[[#This Row],[codigo_proyecto]],Proyectos!$A:$A,Proyectos!$C:$C)),"")</f>
        <v>NULOS</v>
      </c>
    </row>
    <row r="786" spans="1:15" ht="14.25" customHeight="1">
      <c r="A786" s="9">
        <v>1032492844</v>
      </c>
      <c r="B786" s="63" t="s">
        <v>61</v>
      </c>
      <c r="C786" s="62" t="s">
        <v>1993</v>
      </c>
      <c r="D786" t="s">
        <v>63</v>
      </c>
      <c r="E786" t="s">
        <v>2421</v>
      </c>
      <c r="F786" s="61">
        <v>35589</v>
      </c>
      <c r="G786" s="15" t="s">
        <v>73</v>
      </c>
      <c r="H786" t="s">
        <v>2422</v>
      </c>
      <c r="I786" s="62" t="s">
        <v>2423</v>
      </c>
      <c r="K786" s="36" t="s">
        <v>68</v>
      </c>
      <c r="L786" t="s">
        <v>69</v>
      </c>
      <c r="M786" s="62" t="s">
        <v>70</v>
      </c>
      <c r="N786" t="s">
        <v>71</v>
      </c>
      <c r="O786" t="str">
        <f>IFERROR(IF(Tbla_actores[[#This Row],[codigo_proyecto]]="","",_xlfn.XLOOKUP(Tbla_actores[[#This Row],[codigo_proyecto]],Proyectos!$A:$A,Proyectos!$C:$C)),"")</f>
        <v>NULOS</v>
      </c>
    </row>
    <row r="787" spans="1:15" ht="14.25" customHeight="1">
      <c r="A787" s="10">
        <v>1000076429</v>
      </c>
      <c r="B787" s="64" t="s">
        <v>61</v>
      </c>
      <c r="C787" s="62" t="s">
        <v>1993</v>
      </c>
      <c r="D787" t="s">
        <v>63</v>
      </c>
      <c r="E787" t="s">
        <v>2424</v>
      </c>
      <c r="F787" s="61">
        <v>36606</v>
      </c>
      <c r="G787" s="15" t="s">
        <v>73</v>
      </c>
      <c r="H787" t="s">
        <v>2425</v>
      </c>
      <c r="I787" s="62" t="s">
        <v>2426</v>
      </c>
      <c r="K787" s="36" t="s">
        <v>68</v>
      </c>
      <c r="L787" t="s">
        <v>69</v>
      </c>
      <c r="M787" s="62" t="s">
        <v>70</v>
      </c>
      <c r="N787" t="s">
        <v>71</v>
      </c>
      <c r="O787" t="str">
        <f>IFERROR(IF(Tbla_actores[[#This Row],[codigo_proyecto]]="","",_xlfn.XLOOKUP(Tbla_actores[[#This Row],[codigo_proyecto]],Proyectos!$A:$A,Proyectos!$C:$C)),"")</f>
        <v>NULOS</v>
      </c>
    </row>
    <row r="788" spans="1:15" ht="14.25" customHeight="1">
      <c r="A788" s="9">
        <v>1018502164</v>
      </c>
      <c r="B788" s="63" t="s">
        <v>61</v>
      </c>
      <c r="C788" s="62" t="s">
        <v>1993</v>
      </c>
      <c r="D788" t="s">
        <v>63</v>
      </c>
      <c r="E788" t="s">
        <v>2427</v>
      </c>
      <c r="F788" s="61">
        <v>35891</v>
      </c>
      <c r="G788" s="15" t="s">
        <v>65</v>
      </c>
      <c r="H788" t="s">
        <v>2428</v>
      </c>
      <c r="I788" s="62" t="s">
        <v>2429</v>
      </c>
      <c r="K788" s="36" t="s">
        <v>495</v>
      </c>
      <c r="L788" t="s">
        <v>69</v>
      </c>
      <c r="M788" s="62" t="s">
        <v>70</v>
      </c>
      <c r="N788" t="s">
        <v>71</v>
      </c>
      <c r="O788" t="str">
        <f>IFERROR(IF(Tbla_actores[[#This Row],[codigo_proyecto]]="","",_xlfn.XLOOKUP(Tbla_actores[[#This Row],[codigo_proyecto]],Proyectos!$A:$A,Proyectos!$C:$C)),"")</f>
        <v>NULOS</v>
      </c>
    </row>
    <row r="789" spans="1:15" ht="14.25" customHeight="1">
      <c r="A789" s="10">
        <v>1018486462</v>
      </c>
      <c r="B789" s="64" t="s">
        <v>61</v>
      </c>
      <c r="C789" s="62" t="s">
        <v>1993</v>
      </c>
      <c r="D789" t="s">
        <v>63</v>
      </c>
      <c r="E789" t="s">
        <v>2430</v>
      </c>
      <c r="F789" s="61">
        <v>35230</v>
      </c>
      <c r="G789" s="15" t="s">
        <v>73</v>
      </c>
      <c r="H789" t="s">
        <v>2431</v>
      </c>
      <c r="I789" s="62" t="s">
        <v>2432</v>
      </c>
      <c r="K789" s="36" t="s">
        <v>495</v>
      </c>
      <c r="L789" t="s">
        <v>69</v>
      </c>
      <c r="M789" s="62" t="s">
        <v>70</v>
      </c>
      <c r="N789" t="s">
        <v>71</v>
      </c>
      <c r="O789" t="str">
        <f>IFERROR(IF(Tbla_actores[[#This Row],[codigo_proyecto]]="","",_xlfn.XLOOKUP(Tbla_actores[[#This Row],[codigo_proyecto]],Proyectos!$A:$A,Proyectos!$C:$C)),"")</f>
        <v>NULOS</v>
      </c>
    </row>
    <row r="790" spans="1:15" ht="14.25" customHeight="1">
      <c r="A790" s="9">
        <v>1010226905</v>
      </c>
      <c r="B790" s="63" t="s">
        <v>61</v>
      </c>
      <c r="C790" s="62" t="s">
        <v>1993</v>
      </c>
      <c r="D790" t="s">
        <v>63</v>
      </c>
      <c r="E790" t="s">
        <v>2433</v>
      </c>
      <c r="F790" s="61">
        <v>35108</v>
      </c>
      <c r="G790" s="15" t="s">
        <v>73</v>
      </c>
      <c r="H790" t="s">
        <v>2434</v>
      </c>
      <c r="I790" s="62" t="s">
        <v>2435</v>
      </c>
      <c r="K790" s="36" t="s">
        <v>68</v>
      </c>
      <c r="L790" t="s">
        <v>69</v>
      </c>
      <c r="M790" s="62" t="s">
        <v>70</v>
      </c>
      <c r="N790" t="s">
        <v>71</v>
      </c>
      <c r="O790" t="str">
        <f>IFERROR(IF(Tbla_actores[[#This Row],[codigo_proyecto]]="","",_xlfn.XLOOKUP(Tbla_actores[[#This Row],[codigo_proyecto]],Proyectos!$A:$A,Proyectos!$C:$C)),"")</f>
        <v>NULOS</v>
      </c>
    </row>
    <row r="791" spans="1:15" ht="14.25" customHeight="1">
      <c r="A791" s="10">
        <v>1193419391</v>
      </c>
      <c r="B791" s="64" t="s">
        <v>61</v>
      </c>
      <c r="C791" s="62" t="s">
        <v>1993</v>
      </c>
      <c r="D791" t="s">
        <v>63</v>
      </c>
      <c r="E791" t="s">
        <v>2436</v>
      </c>
      <c r="F791" s="61">
        <v>36336</v>
      </c>
      <c r="G791" s="15" t="s">
        <v>65</v>
      </c>
      <c r="H791" t="s">
        <v>2437</v>
      </c>
      <c r="I791" s="62" t="s">
        <v>2438</v>
      </c>
      <c r="K791" s="36" t="s">
        <v>495</v>
      </c>
      <c r="L791" t="s">
        <v>69</v>
      </c>
      <c r="M791" s="62" t="s">
        <v>70</v>
      </c>
      <c r="N791" t="s">
        <v>71</v>
      </c>
      <c r="O791" t="str">
        <f>IFERROR(IF(Tbla_actores[[#This Row],[codigo_proyecto]]="","",_xlfn.XLOOKUP(Tbla_actores[[#This Row],[codigo_proyecto]],Proyectos!$A:$A,Proyectos!$C:$C)),"")</f>
        <v>NULOS</v>
      </c>
    </row>
    <row r="792" spans="1:15" ht="14.25" customHeight="1">
      <c r="A792" s="9">
        <v>1032489031</v>
      </c>
      <c r="B792" s="63" t="s">
        <v>61</v>
      </c>
      <c r="C792" s="62" t="s">
        <v>1993</v>
      </c>
      <c r="D792" t="s">
        <v>63</v>
      </c>
      <c r="E792" t="s">
        <v>2439</v>
      </c>
      <c r="F792" s="61">
        <v>35474</v>
      </c>
      <c r="G792" s="15" t="s">
        <v>65</v>
      </c>
      <c r="H792" t="s">
        <v>2440</v>
      </c>
      <c r="I792" s="62" t="s">
        <v>2441</v>
      </c>
      <c r="K792" s="36" t="s">
        <v>495</v>
      </c>
      <c r="L792" t="s">
        <v>69</v>
      </c>
      <c r="M792" s="62" t="s">
        <v>70</v>
      </c>
      <c r="N792" t="s">
        <v>71</v>
      </c>
      <c r="O792" t="str">
        <f>IFERROR(IF(Tbla_actores[[#This Row],[codigo_proyecto]]="","",_xlfn.XLOOKUP(Tbla_actores[[#This Row],[codigo_proyecto]],Proyectos!$A:$A,Proyectos!$C:$C)),"")</f>
        <v>NULOS</v>
      </c>
    </row>
    <row r="793" spans="1:15" ht="14.25" customHeight="1">
      <c r="A793" s="10">
        <v>1032499610</v>
      </c>
      <c r="B793" s="64" t="s">
        <v>61</v>
      </c>
      <c r="C793" s="62" t="s">
        <v>1993</v>
      </c>
      <c r="D793" t="s">
        <v>63</v>
      </c>
      <c r="E793" t="s">
        <v>2442</v>
      </c>
      <c r="F793" s="61">
        <v>36022</v>
      </c>
      <c r="G793" s="15" t="s">
        <v>73</v>
      </c>
      <c r="H793" t="s">
        <v>2443</v>
      </c>
      <c r="I793" s="62" t="s">
        <v>2444</v>
      </c>
      <c r="K793" s="36" t="s">
        <v>495</v>
      </c>
      <c r="L793" t="s">
        <v>69</v>
      </c>
      <c r="M793" s="62" t="s">
        <v>70</v>
      </c>
      <c r="N793" t="s">
        <v>71</v>
      </c>
      <c r="O793" t="str">
        <f>IFERROR(IF(Tbla_actores[[#This Row],[codigo_proyecto]]="","",_xlfn.XLOOKUP(Tbla_actores[[#This Row],[codigo_proyecto]],Proyectos!$A:$A,Proyectos!$C:$C)),"")</f>
        <v>NULOS</v>
      </c>
    </row>
    <row r="794" spans="1:15" ht="14.25" customHeight="1">
      <c r="A794" s="9">
        <v>1010245978</v>
      </c>
      <c r="B794" s="63" t="s">
        <v>61</v>
      </c>
      <c r="C794" s="62" t="s">
        <v>1993</v>
      </c>
      <c r="D794" t="s">
        <v>63</v>
      </c>
      <c r="E794" t="s">
        <v>2445</v>
      </c>
      <c r="F794" s="61">
        <v>36311</v>
      </c>
      <c r="G794" s="15" t="s">
        <v>65</v>
      </c>
      <c r="H794" t="s">
        <v>2446</v>
      </c>
      <c r="I794" s="62" t="s">
        <v>2447</v>
      </c>
      <c r="K794" s="36" t="s">
        <v>495</v>
      </c>
      <c r="L794" t="s">
        <v>69</v>
      </c>
      <c r="M794" s="62" t="s">
        <v>70</v>
      </c>
      <c r="N794" t="s">
        <v>71</v>
      </c>
      <c r="O794" t="str">
        <f>IFERROR(IF(Tbla_actores[[#This Row],[codigo_proyecto]]="","",_xlfn.XLOOKUP(Tbla_actores[[#This Row],[codigo_proyecto]],Proyectos!$A:$A,Proyectos!$C:$C)),"")</f>
        <v>NULOS</v>
      </c>
    </row>
    <row r="795" spans="1:15" ht="14.25" customHeight="1">
      <c r="A795" s="10">
        <v>1015472306</v>
      </c>
      <c r="B795" s="64" t="s">
        <v>61</v>
      </c>
      <c r="C795" s="62" t="s">
        <v>1993</v>
      </c>
      <c r="D795" t="s">
        <v>63</v>
      </c>
      <c r="E795" t="s">
        <v>2448</v>
      </c>
      <c r="F795" s="61">
        <v>35609</v>
      </c>
      <c r="G795" s="15" t="s">
        <v>65</v>
      </c>
      <c r="H795" t="s">
        <v>2449</v>
      </c>
      <c r="I795" s="62" t="s">
        <v>2450</v>
      </c>
      <c r="K795" s="36" t="s">
        <v>495</v>
      </c>
      <c r="L795" t="s">
        <v>69</v>
      </c>
      <c r="M795" s="62" t="s">
        <v>70</v>
      </c>
      <c r="N795" t="s">
        <v>71</v>
      </c>
      <c r="O795" t="str">
        <f>IFERROR(IF(Tbla_actores[[#This Row],[codigo_proyecto]]="","",_xlfn.XLOOKUP(Tbla_actores[[#This Row],[codigo_proyecto]],Proyectos!$A:$A,Proyectos!$C:$C)),"")</f>
        <v>NULOS</v>
      </c>
    </row>
    <row r="796" spans="1:15" ht="14.25" customHeight="1">
      <c r="A796" s="9">
        <v>1098814201</v>
      </c>
      <c r="B796" s="63" t="s">
        <v>61</v>
      </c>
      <c r="C796" s="62" t="s">
        <v>1993</v>
      </c>
      <c r="D796" t="s">
        <v>63</v>
      </c>
      <c r="E796" t="s">
        <v>2451</v>
      </c>
      <c r="F796" s="61">
        <v>36136</v>
      </c>
      <c r="G796" s="15" t="s">
        <v>73</v>
      </c>
      <c r="H796" t="s">
        <v>2452</v>
      </c>
      <c r="I796" s="62" t="s">
        <v>2453</v>
      </c>
      <c r="K796" s="36" t="s">
        <v>495</v>
      </c>
      <c r="L796" t="s">
        <v>69</v>
      </c>
      <c r="M796" s="62" t="s">
        <v>70</v>
      </c>
      <c r="N796" t="s">
        <v>71</v>
      </c>
      <c r="O796" t="str">
        <f>IFERROR(IF(Tbla_actores[[#This Row],[codigo_proyecto]]="","",_xlfn.XLOOKUP(Tbla_actores[[#This Row],[codigo_proyecto]],Proyectos!$A:$A,Proyectos!$C:$C)),"")</f>
        <v>NULOS</v>
      </c>
    </row>
    <row r="797" spans="1:15" ht="14.25" customHeight="1">
      <c r="A797" s="10">
        <v>1024600593</v>
      </c>
      <c r="B797" s="64" t="s">
        <v>61</v>
      </c>
      <c r="C797" s="62" t="s">
        <v>1993</v>
      </c>
      <c r="D797" t="s">
        <v>63</v>
      </c>
      <c r="E797" t="s">
        <v>2454</v>
      </c>
      <c r="F797" s="61">
        <v>36396</v>
      </c>
      <c r="G797" s="15" t="s">
        <v>65</v>
      </c>
      <c r="H797" t="s">
        <v>2455</v>
      </c>
      <c r="I797" s="62" t="s">
        <v>2456</v>
      </c>
      <c r="K797" s="36" t="s">
        <v>495</v>
      </c>
      <c r="L797" t="s">
        <v>69</v>
      </c>
      <c r="M797" s="62" t="s">
        <v>70</v>
      </c>
      <c r="N797" t="s">
        <v>71</v>
      </c>
      <c r="O797" t="str">
        <f>IFERROR(IF(Tbla_actores[[#This Row],[codigo_proyecto]]="","",_xlfn.XLOOKUP(Tbla_actores[[#This Row],[codigo_proyecto]],Proyectos!$A:$A,Proyectos!$C:$C)),"")</f>
        <v>NULOS</v>
      </c>
    </row>
    <row r="798" spans="1:15" ht="14.25" customHeight="1">
      <c r="A798" s="9">
        <v>1233692210</v>
      </c>
      <c r="B798" s="63" t="s">
        <v>61</v>
      </c>
      <c r="C798" s="62" t="s">
        <v>1993</v>
      </c>
      <c r="D798" t="s">
        <v>63</v>
      </c>
      <c r="E798" t="s">
        <v>2457</v>
      </c>
      <c r="F798" s="61">
        <v>36080</v>
      </c>
      <c r="G798" s="15" t="s">
        <v>65</v>
      </c>
      <c r="H798" t="s">
        <v>2458</v>
      </c>
      <c r="I798" s="62" t="s">
        <v>2459</v>
      </c>
      <c r="K798" s="36" t="s">
        <v>495</v>
      </c>
      <c r="L798" t="s">
        <v>69</v>
      </c>
      <c r="M798" s="62" t="s">
        <v>70</v>
      </c>
      <c r="N798" t="s">
        <v>71</v>
      </c>
      <c r="O798" t="str">
        <f>IFERROR(IF(Tbla_actores[[#This Row],[codigo_proyecto]]="","",_xlfn.XLOOKUP(Tbla_actores[[#This Row],[codigo_proyecto]],Proyectos!$A:$A,Proyectos!$C:$C)),"")</f>
        <v>NULOS</v>
      </c>
    </row>
    <row r="799" spans="1:15" ht="14.25" customHeight="1">
      <c r="A799" s="10">
        <v>1005838497</v>
      </c>
      <c r="B799" s="64" t="s">
        <v>61</v>
      </c>
      <c r="C799" s="62" t="s">
        <v>1993</v>
      </c>
      <c r="D799" t="s">
        <v>63</v>
      </c>
      <c r="E799" t="s">
        <v>2460</v>
      </c>
      <c r="F799" s="61">
        <v>36607</v>
      </c>
      <c r="G799" s="15" t="s">
        <v>73</v>
      </c>
      <c r="H799" t="s">
        <v>2461</v>
      </c>
      <c r="I799" s="62" t="s">
        <v>2462</v>
      </c>
      <c r="K799" s="36" t="s">
        <v>495</v>
      </c>
      <c r="L799" t="s">
        <v>69</v>
      </c>
      <c r="M799" s="62" t="s">
        <v>70</v>
      </c>
      <c r="N799" t="s">
        <v>71</v>
      </c>
      <c r="O799" t="str">
        <f>IFERROR(IF(Tbla_actores[[#This Row],[codigo_proyecto]]="","",_xlfn.XLOOKUP(Tbla_actores[[#This Row],[codigo_proyecto]],Proyectos!$A:$A,Proyectos!$C:$C)),"")</f>
        <v>NULOS</v>
      </c>
    </row>
    <row r="800" spans="1:15" ht="14.25" customHeight="1">
      <c r="A800" s="9">
        <v>1022439567</v>
      </c>
      <c r="B800" s="63" t="s">
        <v>61</v>
      </c>
      <c r="C800" s="62" t="s">
        <v>1993</v>
      </c>
      <c r="D800" t="s">
        <v>63</v>
      </c>
      <c r="E800" t="s">
        <v>2463</v>
      </c>
      <c r="F800" s="61">
        <v>36063</v>
      </c>
      <c r="G800" s="15" t="s">
        <v>65</v>
      </c>
      <c r="H800" t="s">
        <v>2464</v>
      </c>
      <c r="I800" s="62" t="s">
        <v>2465</v>
      </c>
      <c r="K800" s="36" t="s">
        <v>495</v>
      </c>
      <c r="L800" t="s">
        <v>69</v>
      </c>
      <c r="M800" s="62" t="s">
        <v>70</v>
      </c>
      <c r="N800" t="s">
        <v>71</v>
      </c>
      <c r="O800" t="str">
        <f>IFERROR(IF(Tbla_actores[[#This Row],[codigo_proyecto]]="","",_xlfn.XLOOKUP(Tbla_actores[[#This Row],[codigo_proyecto]],Proyectos!$A:$A,Proyectos!$C:$C)),"")</f>
        <v>NULOS</v>
      </c>
    </row>
    <row r="801" spans="1:15" ht="14.25" customHeight="1">
      <c r="A801" s="10">
        <v>1016113060</v>
      </c>
      <c r="B801" s="64" t="s">
        <v>61</v>
      </c>
      <c r="C801" s="62" t="s">
        <v>1993</v>
      </c>
      <c r="D801" t="s">
        <v>63</v>
      </c>
      <c r="E801" t="s">
        <v>2466</v>
      </c>
      <c r="F801" s="61">
        <v>36421</v>
      </c>
      <c r="G801" s="15" t="s">
        <v>65</v>
      </c>
      <c r="H801" t="s">
        <v>2467</v>
      </c>
      <c r="I801" s="62" t="s">
        <v>2468</v>
      </c>
      <c r="K801" s="36" t="s">
        <v>1489</v>
      </c>
      <c r="L801" t="s">
        <v>69</v>
      </c>
      <c r="M801" s="62" t="s">
        <v>70</v>
      </c>
      <c r="N801" t="s">
        <v>71</v>
      </c>
      <c r="O801" t="str">
        <f>IFERROR(IF(Tbla_actores[[#This Row],[codigo_proyecto]]="","",_xlfn.XLOOKUP(Tbla_actores[[#This Row],[codigo_proyecto]],Proyectos!$A:$A,Proyectos!$C:$C)),"")</f>
        <v>NULOS</v>
      </c>
    </row>
    <row r="802" spans="1:15" ht="14.25" customHeight="1">
      <c r="A802" s="9">
        <v>1018500298</v>
      </c>
      <c r="B802" s="63" t="s">
        <v>61</v>
      </c>
      <c r="C802" s="62" t="s">
        <v>1993</v>
      </c>
      <c r="D802" t="s">
        <v>63</v>
      </c>
      <c r="E802" t="s">
        <v>2469</v>
      </c>
      <c r="F802" s="61">
        <v>35660</v>
      </c>
      <c r="G802" s="15" t="s">
        <v>73</v>
      </c>
      <c r="H802" t="s">
        <v>2470</v>
      </c>
      <c r="I802" s="62" t="s">
        <v>2471</v>
      </c>
      <c r="K802" s="36" t="s">
        <v>495</v>
      </c>
      <c r="L802" t="s">
        <v>69</v>
      </c>
      <c r="M802" s="62" t="s">
        <v>70</v>
      </c>
      <c r="N802" t="s">
        <v>71</v>
      </c>
      <c r="O802" t="str">
        <f>IFERROR(IF(Tbla_actores[[#This Row],[codigo_proyecto]]="","",_xlfn.XLOOKUP(Tbla_actores[[#This Row],[codigo_proyecto]],Proyectos!$A:$A,Proyectos!$C:$C)),"")</f>
        <v>NULOS</v>
      </c>
    </row>
    <row r="803" spans="1:15" ht="14.25" customHeight="1">
      <c r="A803" s="10">
        <v>1020811611</v>
      </c>
      <c r="B803" s="64" t="s">
        <v>61</v>
      </c>
      <c r="C803" s="62" t="s">
        <v>1993</v>
      </c>
      <c r="D803" t="s">
        <v>63</v>
      </c>
      <c r="E803" t="s">
        <v>2472</v>
      </c>
      <c r="F803" s="61">
        <v>35045</v>
      </c>
      <c r="G803" s="15" t="s">
        <v>73</v>
      </c>
      <c r="H803" t="s">
        <v>2473</v>
      </c>
      <c r="I803" s="62" t="s">
        <v>2474</v>
      </c>
      <c r="K803" s="36" t="s">
        <v>495</v>
      </c>
      <c r="L803" t="s">
        <v>69</v>
      </c>
      <c r="M803" s="62" t="s">
        <v>70</v>
      </c>
      <c r="N803" t="s">
        <v>71</v>
      </c>
      <c r="O803" t="str">
        <f>IFERROR(IF(Tbla_actores[[#This Row],[codigo_proyecto]]="","",_xlfn.XLOOKUP(Tbla_actores[[#This Row],[codigo_proyecto]],Proyectos!$A:$A,Proyectos!$C:$C)),"")</f>
        <v>NULOS</v>
      </c>
    </row>
    <row r="804" spans="1:15" ht="14.25" customHeight="1">
      <c r="A804" s="9">
        <v>1030698973</v>
      </c>
      <c r="B804" s="63" t="s">
        <v>61</v>
      </c>
      <c r="C804" s="62" t="s">
        <v>1993</v>
      </c>
      <c r="D804" t="s">
        <v>63</v>
      </c>
      <c r="E804" t="s">
        <v>2475</v>
      </c>
      <c r="F804" s="61">
        <v>36392</v>
      </c>
      <c r="G804" s="15" t="s">
        <v>73</v>
      </c>
      <c r="H804" t="s">
        <v>2476</v>
      </c>
      <c r="I804" s="62" t="s">
        <v>2477</v>
      </c>
      <c r="K804" s="36" t="s">
        <v>495</v>
      </c>
      <c r="L804" t="s">
        <v>69</v>
      </c>
      <c r="M804" s="62" t="s">
        <v>70</v>
      </c>
      <c r="N804" t="s">
        <v>71</v>
      </c>
      <c r="O804" t="str">
        <f>IFERROR(IF(Tbla_actores[[#This Row],[codigo_proyecto]]="","",_xlfn.XLOOKUP(Tbla_actores[[#This Row],[codigo_proyecto]],Proyectos!$A:$A,Proyectos!$C:$C)),"")</f>
        <v>NULOS</v>
      </c>
    </row>
    <row r="805" spans="1:15" ht="14.25" customHeight="1">
      <c r="A805" s="10">
        <v>1032488859</v>
      </c>
      <c r="B805" s="64" t="s">
        <v>61</v>
      </c>
      <c r="C805" s="62" t="s">
        <v>1993</v>
      </c>
      <c r="D805" t="s">
        <v>63</v>
      </c>
      <c r="E805" t="s">
        <v>2478</v>
      </c>
      <c r="F805" s="61">
        <v>35462</v>
      </c>
      <c r="G805" s="15" t="s">
        <v>73</v>
      </c>
      <c r="H805" t="s">
        <v>2479</v>
      </c>
      <c r="I805" s="62" t="s">
        <v>2480</v>
      </c>
      <c r="K805" s="36" t="s">
        <v>495</v>
      </c>
      <c r="L805" t="s">
        <v>69</v>
      </c>
      <c r="M805" s="62" t="s">
        <v>70</v>
      </c>
      <c r="N805" t="s">
        <v>71</v>
      </c>
      <c r="O805" t="str">
        <f>IFERROR(IF(Tbla_actores[[#This Row],[codigo_proyecto]]="","",_xlfn.XLOOKUP(Tbla_actores[[#This Row],[codigo_proyecto]],Proyectos!$A:$A,Proyectos!$C:$C)),"")</f>
        <v>NULOS</v>
      </c>
    </row>
    <row r="806" spans="1:15" ht="14.25" customHeight="1">
      <c r="A806" s="9">
        <v>1018510558</v>
      </c>
      <c r="B806" s="63" t="s">
        <v>61</v>
      </c>
      <c r="C806" s="62" t="s">
        <v>1993</v>
      </c>
      <c r="D806" t="s">
        <v>63</v>
      </c>
      <c r="E806" t="s">
        <v>2481</v>
      </c>
      <c r="F806" s="61">
        <v>36270</v>
      </c>
      <c r="G806" s="15" t="s">
        <v>65</v>
      </c>
      <c r="H806" t="s">
        <v>2482</v>
      </c>
      <c r="I806" s="62" t="s">
        <v>2483</v>
      </c>
      <c r="K806" s="36" t="s">
        <v>495</v>
      </c>
      <c r="L806" t="s">
        <v>69</v>
      </c>
      <c r="M806" s="62" t="s">
        <v>70</v>
      </c>
      <c r="N806" t="s">
        <v>71</v>
      </c>
      <c r="O806" t="str">
        <f>IFERROR(IF(Tbla_actores[[#This Row],[codigo_proyecto]]="","",_xlfn.XLOOKUP(Tbla_actores[[#This Row],[codigo_proyecto]],Proyectos!$A:$A,Proyectos!$C:$C)),"")</f>
        <v>NULOS</v>
      </c>
    </row>
    <row r="807" spans="1:15" ht="14.25" customHeight="1">
      <c r="A807" s="10">
        <v>1018496720</v>
      </c>
      <c r="B807" s="64" t="s">
        <v>61</v>
      </c>
      <c r="C807" s="62" t="s">
        <v>634</v>
      </c>
      <c r="D807" t="s">
        <v>63</v>
      </c>
      <c r="E807" t="s">
        <v>2484</v>
      </c>
      <c r="F807" s="61">
        <v>35629</v>
      </c>
      <c r="G807" s="15" t="s">
        <v>73</v>
      </c>
      <c r="H807" t="s">
        <v>2485</v>
      </c>
      <c r="I807" s="62" t="s">
        <v>2486</v>
      </c>
      <c r="K807" s="36" t="s">
        <v>495</v>
      </c>
      <c r="L807" t="s">
        <v>69</v>
      </c>
      <c r="M807" s="62" t="s">
        <v>70</v>
      </c>
      <c r="N807" t="s">
        <v>71</v>
      </c>
      <c r="O807" t="str">
        <f>IFERROR(IF(Tbla_actores[[#This Row],[codigo_proyecto]]="","",_xlfn.XLOOKUP(Tbla_actores[[#This Row],[codigo_proyecto]],Proyectos!$A:$A,Proyectos!$C:$C)),"")</f>
        <v>NULOS</v>
      </c>
    </row>
    <row r="808" spans="1:15" ht="14.25" customHeight="1">
      <c r="A808" s="9">
        <v>1124072952</v>
      </c>
      <c r="B808" s="63" t="s">
        <v>61</v>
      </c>
      <c r="C808" s="62" t="s">
        <v>1993</v>
      </c>
      <c r="D808" t="s">
        <v>63</v>
      </c>
      <c r="E808" t="s">
        <v>2487</v>
      </c>
      <c r="F808" s="61">
        <v>36057</v>
      </c>
      <c r="G808" s="15" t="s">
        <v>65</v>
      </c>
      <c r="H808" t="s">
        <v>2488</v>
      </c>
      <c r="I808" s="62" t="s">
        <v>2489</v>
      </c>
      <c r="K808" s="36" t="s">
        <v>495</v>
      </c>
      <c r="L808" t="s">
        <v>69</v>
      </c>
      <c r="M808" s="62" t="s">
        <v>70</v>
      </c>
      <c r="N808" t="s">
        <v>71</v>
      </c>
      <c r="O808" t="str">
        <f>IFERROR(IF(Tbla_actores[[#This Row],[codigo_proyecto]]="","",_xlfn.XLOOKUP(Tbla_actores[[#This Row],[codigo_proyecto]],Proyectos!$A:$A,Proyectos!$C:$C)),"")</f>
        <v>NULOS</v>
      </c>
    </row>
    <row r="809" spans="1:15" ht="14.25" customHeight="1">
      <c r="A809" s="10">
        <v>1023973131</v>
      </c>
      <c r="B809" s="64" t="s">
        <v>61</v>
      </c>
      <c r="C809" s="62" t="s">
        <v>1993</v>
      </c>
      <c r="D809" t="s">
        <v>63</v>
      </c>
      <c r="E809" t="s">
        <v>2490</v>
      </c>
      <c r="F809" s="61">
        <v>36143</v>
      </c>
      <c r="G809" s="15" t="s">
        <v>73</v>
      </c>
      <c r="H809" t="s">
        <v>2491</v>
      </c>
      <c r="I809" s="62" t="s">
        <v>2492</v>
      </c>
      <c r="K809" s="36" t="s">
        <v>495</v>
      </c>
      <c r="L809" t="s">
        <v>69</v>
      </c>
      <c r="M809" s="62" t="s">
        <v>70</v>
      </c>
      <c r="N809" t="s">
        <v>71</v>
      </c>
      <c r="O809" t="str">
        <f>IFERROR(IF(Tbla_actores[[#This Row],[codigo_proyecto]]="","",_xlfn.XLOOKUP(Tbla_actores[[#This Row],[codigo_proyecto]],Proyectos!$A:$A,Proyectos!$C:$C)),"")</f>
        <v>NULOS</v>
      </c>
    </row>
    <row r="810" spans="1:15" ht="14.25" customHeight="1">
      <c r="A810" s="9">
        <v>1032494297</v>
      </c>
      <c r="B810" s="63" t="s">
        <v>61</v>
      </c>
      <c r="C810" s="62" t="s">
        <v>1993</v>
      </c>
      <c r="D810" t="s">
        <v>63</v>
      </c>
      <c r="E810" t="s">
        <v>2493</v>
      </c>
      <c r="F810" s="61">
        <v>35738</v>
      </c>
      <c r="G810" s="15" t="s">
        <v>73</v>
      </c>
      <c r="H810" t="s">
        <v>2494</v>
      </c>
      <c r="I810" s="62" t="s">
        <v>2495</v>
      </c>
      <c r="K810" s="36" t="s">
        <v>495</v>
      </c>
      <c r="L810" t="s">
        <v>69</v>
      </c>
      <c r="M810" s="62" t="s">
        <v>70</v>
      </c>
      <c r="N810" t="s">
        <v>71</v>
      </c>
      <c r="O810" t="str">
        <f>IFERROR(IF(Tbla_actores[[#This Row],[codigo_proyecto]]="","",_xlfn.XLOOKUP(Tbla_actores[[#This Row],[codigo_proyecto]],Proyectos!$A:$A,Proyectos!$C:$C)),"")</f>
        <v>NULOS</v>
      </c>
    </row>
    <row r="811" spans="1:15" ht="14.25" customHeight="1">
      <c r="A811" s="10">
        <v>1072705806</v>
      </c>
      <c r="B811" s="64" t="s">
        <v>61</v>
      </c>
      <c r="C811" s="62" t="s">
        <v>1993</v>
      </c>
      <c r="D811" t="s">
        <v>63</v>
      </c>
      <c r="E811" t="s">
        <v>2496</v>
      </c>
      <c r="F811" s="61">
        <v>34821</v>
      </c>
      <c r="G811" s="15" t="s">
        <v>73</v>
      </c>
      <c r="H811" t="s">
        <v>2497</v>
      </c>
      <c r="I811" s="62" t="s">
        <v>2498</v>
      </c>
      <c r="K811" s="36" t="s">
        <v>495</v>
      </c>
      <c r="L811" t="s">
        <v>69</v>
      </c>
      <c r="M811" s="62" t="s">
        <v>70</v>
      </c>
      <c r="N811" t="s">
        <v>71</v>
      </c>
      <c r="O811" t="str">
        <f>IFERROR(IF(Tbla_actores[[#This Row],[codigo_proyecto]]="","",_xlfn.XLOOKUP(Tbla_actores[[#This Row],[codigo_proyecto]],Proyectos!$A:$A,Proyectos!$C:$C)),"")</f>
        <v>NULOS</v>
      </c>
    </row>
    <row r="812" spans="1:15" ht="14.25" customHeight="1">
      <c r="A812" s="9">
        <v>1019148341</v>
      </c>
      <c r="B812" s="63" t="s">
        <v>61</v>
      </c>
      <c r="C812" s="62" t="s">
        <v>1993</v>
      </c>
      <c r="D812" t="s">
        <v>63</v>
      </c>
      <c r="E812" t="s">
        <v>2499</v>
      </c>
      <c r="F812" s="61">
        <v>36281</v>
      </c>
      <c r="G812" s="15" t="s">
        <v>65</v>
      </c>
      <c r="H812" t="s">
        <v>2500</v>
      </c>
      <c r="I812" s="62" t="s">
        <v>2501</v>
      </c>
      <c r="K812" s="36" t="s">
        <v>495</v>
      </c>
      <c r="L812" t="s">
        <v>69</v>
      </c>
      <c r="M812" s="62" t="s">
        <v>70</v>
      </c>
      <c r="N812" t="s">
        <v>71</v>
      </c>
      <c r="O812" t="str">
        <f>IFERROR(IF(Tbla_actores[[#This Row],[codigo_proyecto]]="","",_xlfn.XLOOKUP(Tbla_actores[[#This Row],[codigo_proyecto]],Proyectos!$A:$A,Proyectos!$C:$C)),"")</f>
        <v>NULOS</v>
      </c>
    </row>
    <row r="813" spans="1:15" ht="14.25" customHeight="1">
      <c r="A813" s="10">
        <v>1020834086</v>
      </c>
      <c r="B813" s="64" t="s">
        <v>61</v>
      </c>
      <c r="C813" s="62" t="s">
        <v>1993</v>
      </c>
      <c r="D813" t="s">
        <v>63</v>
      </c>
      <c r="E813" t="s">
        <v>2502</v>
      </c>
      <c r="F813" s="61">
        <v>35989</v>
      </c>
      <c r="G813" s="15" t="s">
        <v>65</v>
      </c>
      <c r="H813" t="s">
        <v>2503</v>
      </c>
      <c r="I813" s="62" t="s">
        <v>2504</v>
      </c>
      <c r="K813" s="36" t="s">
        <v>495</v>
      </c>
      <c r="L813" t="s">
        <v>69</v>
      </c>
      <c r="M813" s="62" t="s">
        <v>70</v>
      </c>
      <c r="N813" t="s">
        <v>71</v>
      </c>
      <c r="O813" t="str">
        <f>IFERROR(IF(Tbla_actores[[#This Row],[codigo_proyecto]]="","",_xlfn.XLOOKUP(Tbla_actores[[#This Row],[codigo_proyecto]],Proyectos!$A:$A,Proyectos!$C:$C)),"")</f>
        <v>NULOS</v>
      </c>
    </row>
    <row r="814" spans="1:15" ht="14.25" customHeight="1">
      <c r="A814" s="9">
        <v>1024519837</v>
      </c>
      <c r="B814" s="63" t="s">
        <v>61</v>
      </c>
      <c r="C814" s="62" t="s">
        <v>634</v>
      </c>
      <c r="D814" t="s">
        <v>63</v>
      </c>
      <c r="E814" t="s">
        <v>2505</v>
      </c>
      <c r="F814" s="61">
        <v>33384</v>
      </c>
      <c r="G814" s="15" t="s">
        <v>65</v>
      </c>
      <c r="H814" t="s">
        <v>2506</v>
      </c>
      <c r="I814" s="62" t="s">
        <v>2507</v>
      </c>
      <c r="K814" s="36" t="s">
        <v>495</v>
      </c>
      <c r="L814" t="s">
        <v>69</v>
      </c>
      <c r="M814" s="62" t="s">
        <v>70</v>
      </c>
      <c r="N814" t="s">
        <v>71</v>
      </c>
      <c r="O814" t="str">
        <f>IFERROR(IF(Tbla_actores[[#This Row],[codigo_proyecto]]="","",_xlfn.XLOOKUP(Tbla_actores[[#This Row],[codigo_proyecto]],Proyectos!$A:$A,Proyectos!$C:$C)),"")</f>
        <v>NULOS</v>
      </c>
    </row>
    <row r="815" spans="1:15" ht="14.25" customHeight="1">
      <c r="A815" s="10">
        <v>571065</v>
      </c>
      <c r="B815" s="64" t="s">
        <v>61</v>
      </c>
      <c r="C815" s="62" t="s">
        <v>1993</v>
      </c>
      <c r="D815" t="s">
        <v>63</v>
      </c>
      <c r="E815" t="s">
        <v>2508</v>
      </c>
      <c r="F815" s="61">
        <v>35586</v>
      </c>
      <c r="G815" s="15" t="s">
        <v>65</v>
      </c>
      <c r="H815" t="s">
        <v>2509</v>
      </c>
      <c r="I815" s="62" t="s">
        <v>2510</v>
      </c>
      <c r="K815" s="36" t="s">
        <v>495</v>
      </c>
      <c r="L815" t="s">
        <v>69</v>
      </c>
      <c r="M815" s="62" t="s">
        <v>70</v>
      </c>
      <c r="N815" t="s">
        <v>71</v>
      </c>
      <c r="O815" t="str">
        <f>IFERROR(IF(Tbla_actores[[#This Row],[codigo_proyecto]]="","",_xlfn.XLOOKUP(Tbla_actores[[#This Row],[codigo_proyecto]],Proyectos!$A:$A,Proyectos!$C:$C)),"")</f>
        <v>NULOS</v>
      </c>
    </row>
    <row r="816" spans="1:15" ht="14.25" customHeight="1">
      <c r="A816" s="9">
        <v>1020835558</v>
      </c>
      <c r="B816" s="63" t="s">
        <v>61</v>
      </c>
      <c r="C816" s="62" t="s">
        <v>1993</v>
      </c>
      <c r="D816" t="s">
        <v>63</v>
      </c>
      <c r="E816" t="s">
        <v>2511</v>
      </c>
      <c r="F816" s="61">
        <v>36054</v>
      </c>
      <c r="G816" s="15" t="s">
        <v>65</v>
      </c>
      <c r="H816" t="s">
        <v>2512</v>
      </c>
      <c r="I816" s="62" t="s">
        <v>2513</v>
      </c>
      <c r="K816" s="36" t="s">
        <v>495</v>
      </c>
      <c r="L816" t="s">
        <v>69</v>
      </c>
      <c r="M816" s="62" t="s">
        <v>70</v>
      </c>
      <c r="N816" t="s">
        <v>71</v>
      </c>
      <c r="O816" t="str">
        <f>IFERROR(IF(Tbla_actores[[#This Row],[codigo_proyecto]]="","",_xlfn.XLOOKUP(Tbla_actores[[#This Row],[codigo_proyecto]],Proyectos!$A:$A,Proyectos!$C:$C)),"")</f>
        <v>NULOS</v>
      </c>
    </row>
    <row r="817" spans="1:15" ht="14.25" customHeight="1">
      <c r="A817" s="10">
        <v>1026581728</v>
      </c>
      <c r="B817" s="64" t="s">
        <v>61</v>
      </c>
      <c r="C817" s="62" t="s">
        <v>1993</v>
      </c>
      <c r="D817" t="s">
        <v>63</v>
      </c>
      <c r="E817" t="s">
        <v>2514</v>
      </c>
      <c r="F817" s="61">
        <v>34630</v>
      </c>
      <c r="G817" s="15" t="s">
        <v>73</v>
      </c>
      <c r="H817" t="s">
        <v>2515</v>
      </c>
      <c r="I817" s="62" t="s">
        <v>2516</v>
      </c>
      <c r="K817" s="36" t="s">
        <v>495</v>
      </c>
      <c r="L817" t="s">
        <v>69</v>
      </c>
      <c r="M817" s="62" t="s">
        <v>70</v>
      </c>
      <c r="N817" t="s">
        <v>71</v>
      </c>
      <c r="O817" t="str">
        <f>IFERROR(IF(Tbla_actores[[#This Row],[codigo_proyecto]]="","",_xlfn.XLOOKUP(Tbla_actores[[#This Row],[codigo_proyecto]],Proyectos!$A:$A,Proyectos!$C:$C)),"")</f>
        <v>NULOS</v>
      </c>
    </row>
    <row r="818" spans="1:15" ht="14.25" customHeight="1">
      <c r="A818" s="9">
        <v>1020803443</v>
      </c>
      <c r="B818" s="63" t="s">
        <v>61</v>
      </c>
      <c r="C818" s="62" t="s">
        <v>1993</v>
      </c>
      <c r="D818" t="s">
        <v>63</v>
      </c>
      <c r="E818" t="s">
        <v>2517</v>
      </c>
      <c r="F818" s="61">
        <v>34796</v>
      </c>
      <c r="G818" s="15" t="s">
        <v>73</v>
      </c>
      <c r="H818" t="s">
        <v>2518</v>
      </c>
      <c r="I818" s="62" t="s">
        <v>2519</v>
      </c>
      <c r="K818" s="36" t="s">
        <v>68</v>
      </c>
      <c r="L818" t="s">
        <v>69</v>
      </c>
      <c r="M818" s="62" t="s">
        <v>70</v>
      </c>
      <c r="N818" t="s">
        <v>71</v>
      </c>
      <c r="O818" t="str">
        <f>IFERROR(IF(Tbla_actores[[#This Row],[codigo_proyecto]]="","",_xlfn.XLOOKUP(Tbla_actores[[#This Row],[codigo_proyecto]],Proyectos!$A:$A,Proyectos!$C:$C)),"")</f>
        <v>NULOS</v>
      </c>
    </row>
    <row r="819" spans="1:15" ht="14.25" customHeight="1">
      <c r="A819" s="10">
        <v>1004232601</v>
      </c>
      <c r="B819" s="64" t="s">
        <v>61</v>
      </c>
      <c r="C819" s="62" t="s">
        <v>1993</v>
      </c>
      <c r="D819" t="s">
        <v>63</v>
      </c>
      <c r="E819" t="s">
        <v>2520</v>
      </c>
      <c r="F819" s="61">
        <v>36498</v>
      </c>
      <c r="G819" s="15" t="s">
        <v>65</v>
      </c>
      <c r="H819" t="s">
        <v>2521</v>
      </c>
      <c r="I819" s="62" t="s">
        <v>2522</v>
      </c>
      <c r="K819" s="36" t="s">
        <v>495</v>
      </c>
      <c r="L819" t="s">
        <v>69</v>
      </c>
      <c r="M819" s="62" t="s">
        <v>70</v>
      </c>
      <c r="N819" t="s">
        <v>71</v>
      </c>
      <c r="O819" t="str">
        <f>IFERROR(IF(Tbla_actores[[#This Row],[codigo_proyecto]]="","",_xlfn.XLOOKUP(Tbla_actores[[#This Row],[codigo_proyecto]],Proyectos!$A:$A,Proyectos!$C:$C)),"")</f>
        <v>NULOS</v>
      </c>
    </row>
    <row r="820" spans="1:15" ht="14.25" customHeight="1">
      <c r="A820" s="9">
        <v>1018502898</v>
      </c>
      <c r="B820" s="63" t="s">
        <v>61</v>
      </c>
      <c r="C820" s="62" t="s">
        <v>1993</v>
      </c>
      <c r="D820" t="s">
        <v>63</v>
      </c>
      <c r="E820" t="s">
        <v>2523</v>
      </c>
      <c r="F820" s="61">
        <v>35910</v>
      </c>
      <c r="G820" s="15" t="s">
        <v>73</v>
      </c>
      <c r="H820" t="s">
        <v>2524</v>
      </c>
      <c r="I820" s="62" t="s">
        <v>2525</v>
      </c>
      <c r="K820" s="36" t="s">
        <v>495</v>
      </c>
      <c r="L820" t="s">
        <v>69</v>
      </c>
      <c r="M820" s="62" t="s">
        <v>70</v>
      </c>
      <c r="N820" t="s">
        <v>71</v>
      </c>
      <c r="O820" t="str">
        <f>IFERROR(IF(Tbla_actores[[#This Row],[codigo_proyecto]]="","",_xlfn.XLOOKUP(Tbla_actores[[#This Row],[codigo_proyecto]],Proyectos!$A:$A,Proyectos!$C:$C)),"")</f>
        <v>NULOS</v>
      </c>
    </row>
    <row r="821" spans="1:15" ht="14.25" customHeight="1">
      <c r="A821" s="10">
        <v>1020804322</v>
      </c>
      <c r="B821" s="64" t="s">
        <v>61</v>
      </c>
      <c r="C821" s="62" t="s">
        <v>1993</v>
      </c>
      <c r="D821" t="s">
        <v>63</v>
      </c>
      <c r="E821" t="s">
        <v>2526</v>
      </c>
      <c r="F821" s="61">
        <v>34825</v>
      </c>
      <c r="G821" s="15" t="s">
        <v>65</v>
      </c>
      <c r="H821" t="s">
        <v>2527</v>
      </c>
      <c r="I821" s="62" t="s">
        <v>2528</v>
      </c>
      <c r="K821" s="36" t="s">
        <v>495</v>
      </c>
      <c r="L821" t="s">
        <v>69</v>
      </c>
      <c r="M821" s="62" t="s">
        <v>70</v>
      </c>
      <c r="N821" t="s">
        <v>71</v>
      </c>
      <c r="O821" t="str">
        <f>IFERROR(IF(Tbla_actores[[#This Row],[codigo_proyecto]]="","",_xlfn.XLOOKUP(Tbla_actores[[#This Row],[codigo_proyecto]],Proyectos!$A:$A,Proyectos!$C:$C)),"")</f>
        <v>NULOS</v>
      </c>
    </row>
    <row r="822" spans="1:15" ht="14.25" customHeight="1">
      <c r="A822" s="9">
        <v>1032499119</v>
      </c>
      <c r="B822" s="63" t="s">
        <v>61</v>
      </c>
      <c r="C822" s="62" t="s">
        <v>1993</v>
      </c>
      <c r="D822" t="s">
        <v>63</v>
      </c>
      <c r="E822" t="s">
        <v>2529</v>
      </c>
      <c r="F822" s="61">
        <v>36004</v>
      </c>
      <c r="G822" s="15" t="s">
        <v>73</v>
      </c>
      <c r="H822" t="s">
        <v>2530</v>
      </c>
      <c r="I822" s="62" t="s">
        <v>2531</v>
      </c>
      <c r="K822" s="36" t="s">
        <v>495</v>
      </c>
      <c r="L822" t="s">
        <v>69</v>
      </c>
      <c r="M822" s="62" t="s">
        <v>70</v>
      </c>
      <c r="N822" t="s">
        <v>71</v>
      </c>
      <c r="O822" t="str">
        <f>IFERROR(IF(Tbla_actores[[#This Row],[codigo_proyecto]]="","",_xlfn.XLOOKUP(Tbla_actores[[#This Row],[codigo_proyecto]],Proyectos!$A:$A,Proyectos!$C:$C)),"")</f>
        <v>NULOS</v>
      </c>
    </row>
    <row r="823" spans="1:15" ht="14.25" customHeight="1">
      <c r="A823" s="10">
        <v>1015478125</v>
      </c>
      <c r="B823" s="64" t="s">
        <v>61</v>
      </c>
      <c r="C823" s="62" t="s">
        <v>1993</v>
      </c>
      <c r="D823" t="s">
        <v>63</v>
      </c>
      <c r="E823" t="s">
        <v>2532</v>
      </c>
      <c r="F823" s="61">
        <v>36126</v>
      </c>
      <c r="G823" s="15" t="s">
        <v>65</v>
      </c>
      <c r="H823" t="s">
        <v>2533</v>
      </c>
      <c r="I823" s="62" t="s">
        <v>2534</v>
      </c>
      <c r="K823" s="36" t="s">
        <v>495</v>
      </c>
      <c r="L823" t="s">
        <v>69</v>
      </c>
      <c r="M823" s="62" t="s">
        <v>70</v>
      </c>
      <c r="N823" t="s">
        <v>71</v>
      </c>
      <c r="O823" t="str">
        <f>IFERROR(IF(Tbla_actores[[#This Row],[codigo_proyecto]]="","",_xlfn.XLOOKUP(Tbla_actores[[#This Row],[codigo_proyecto]],Proyectos!$A:$A,Proyectos!$C:$C)),"")</f>
        <v>NULOS</v>
      </c>
    </row>
    <row r="824" spans="1:15" ht="14.25" customHeight="1">
      <c r="A824" s="9">
        <v>1006453560</v>
      </c>
      <c r="B824" s="63" t="s">
        <v>61</v>
      </c>
      <c r="C824" s="62" t="s">
        <v>1993</v>
      </c>
      <c r="D824" t="s">
        <v>63</v>
      </c>
      <c r="E824" t="s">
        <v>2535</v>
      </c>
      <c r="F824" s="61">
        <v>36816</v>
      </c>
      <c r="G824" s="15" t="s">
        <v>73</v>
      </c>
      <c r="H824" t="s">
        <v>2536</v>
      </c>
      <c r="I824" s="62" t="s">
        <v>2537</v>
      </c>
      <c r="K824" s="36" t="s">
        <v>495</v>
      </c>
      <c r="L824" t="s">
        <v>69</v>
      </c>
      <c r="M824" s="62" t="s">
        <v>70</v>
      </c>
      <c r="N824" t="s">
        <v>71</v>
      </c>
      <c r="O824" t="str">
        <f>IFERROR(IF(Tbla_actores[[#This Row],[codigo_proyecto]]="","",_xlfn.XLOOKUP(Tbla_actores[[#This Row],[codigo_proyecto]],Proyectos!$A:$A,Proyectos!$C:$C)),"")</f>
        <v>NULOS</v>
      </c>
    </row>
    <row r="825" spans="1:15" ht="14.25" customHeight="1">
      <c r="A825" s="10">
        <v>1019137769</v>
      </c>
      <c r="B825" s="64" t="s">
        <v>61</v>
      </c>
      <c r="C825" s="62" t="s">
        <v>1993</v>
      </c>
      <c r="D825" t="s">
        <v>63</v>
      </c>
      <c r="E825" t="s">
        <v>2538</v>
      </c>
      <c r="F825" s="61">
        <v>35842</v>
      </c>
      <c r="G825" s="15" t="s">
        <v>65</v>
      </c>
      <c r="H825" t="s">
        <v>2539</v>
      </c>
      <c r="I825" s="62" t="s">
        <v>2540</v>
      </c>
      <c r="K825" s="36" t="s">
        <v>495</v>
      </c>
      <c r="L825" t="s">
        <v>69</v>
      </c>
      <c r="M825" s="62" t="s">
        <v>70</v>
      </c>
      <c r="N825" t="s">
        <v>71</v>
      </c>
      <c r="O825" t="str">
        <f>IFERROR(IF(Tbla_actores[[#This Row],[codigo_proyecto]]="","",_xlfn.XLOOKUP(Tbla_actores[[#This Row],[codigo_proyecto]],Proyectos!$A:$A,Proyectos!$C:$C)),"")</f>
        <v>NULOS</v>
      </c>
    </row>
    <row r="826" spans="1:15" ht="14.25" customHeight="1">
      <c r="A826" s="9">
        <v>1098749955</v>
      </c>
      <c r="B826" s="63" t="s">
        <v>61</v>
      </c>
      <c r="C826" s="62" t="s">
        <v>1993</v>
      </c>
      <c r="D826" t="s">
        <v>63</v>
      </c>
      <c r="E826" t="s">
        <v>2541</v>
      </c>
      <c r="F826" s="61">
        <v>34234</v>
      </c>
      <c r="G826" s="15" t="s">
        <v>73</v>
      </c>
      <c r="H826" t="s">
        <v>2542</v>
      </c>
      <c r="I826" s="62" t="s">
        <v>2543</v>
      </c>
      <c r="K826" s="36" t="s">
        <v>495</v>
      </c>
      <c r="L826" t="s">
        <v>69</v>
      </c>
      <c r="M826" s="62" t="s">
        <v>70</v>
      </c>
      <c r="N826" t="s">
        <v>71</v>
      </c>
      <c r="O826" t="str">
        <f>IFERROR(IF(Tbla_actores[[#This Row],[codigo_proyecto]]="","",_xlfn.XLOOKUP(Tbla_actores[[#This Row],[codigo_proyecto]],Proyectos!$A:$A,Proyectos!$C:$C)),"")</f>
        <v>NULOS</v>
      </c>
    </row>
    <row r="827" spans="1:15" ht="14.25" customHeight="1">
      <c r="A827" s="10">
        <v>1019146203</v>
      </c>
      <c r="B827" s="64" t="s">
        <v>61</v>
      </c>
      <c r="C827" s="62" t="s">
        <v>1993</v>
      </c>
      <c r="D827" t="s">
        <v>63</v>
      </c>
      <c r="E827" t="s">
        <v>2544</v>
      </c>
      <c r="F827" s="61">
        <v>36153</v>
      </c>
      <c r="G827" s="15" t="s">
        <v>73</v>
      </c>
      <c r="H827" t="s">
        <v>2545</v>
      </c>
      <c r="I827" s="62" t="s">
        <v>2546</v>
      </c>
      <c r="K827" s="36" t="s">
        <v>1489</v>
      </c>
      <c r="L827" t="s">
        <v>69</v>
      </c>
      <c r="M827" s="62" t="s">
        <v>70</v>
      </c>
      <c r="N827" t="s">
        <v>71</v>
      </c>
      <c r="O827" t="str">
        <f>IFERROR(IF(Tbla_actores[[#This Row],[codigo_proyecto]]="","",_xlfn.XLOOKUP(Tbla_actores[[#This Row],[codigo_proyecto]],Proyectos!$A:$A,Proyectos!$C:$C)),"")</f>
        <v>NULOS</v>
      </c>
    </row>
    <row r="828" spans="1:15" ht="14.25" customHeight="1">
      <c r="A828" s="9">
        <v>1015476176</v>
      </c>
      <c r="B828" s="63" t="s">
        <v>61</v>
      </c>
      <c r="C828" s="62" t="s">
        <v>1993</v>
      </c>
      <c r="D828" t="s">
        <v>63</v>
      </c>
      <c r="E828" t="s">
        <v>2547</v>
      </c>
      <c r="F828" s="61">
        <v>36011</v>
      </c>
      <c r="G828" s="15" t="s">
        <v>73</v>
      </c>
      <c r="H828" t="s">
        <v>2548</v>
      </c>
      <c r="I828" s="62" t="s">
        <v>2549</v>
      </c>
      <c r="K828" s="36" t="s">
        <v>495</v>
      </c>
      <c r="L828" t="s">
        <v>69</v>
      </c>
      <c r="M828" s="62" t="s">
        <v>70</v>
      </c>
      <c r="N828" t="s">
        <v>71</v>
      </c>
      <c r="O828" t="str">
        <f>IFERROR(IF(Tbla_actores[[#This Row],[codigo_proyecto]]="","",_xlfn.XLOOKUP(Tbla_actores[[#This Row],[codigo_proyecto]],Proyectos!$A:$A,Proyectos!$C:$C)),"")</f>
        <v>NULOS</v>
      </c>
    </row>
    <row r="829" spans="1:15" ht="14.25" customHeight="1">
      <c r="A829" s="10">
        <v>1016112116</v>
      </c>
      <c r="B829" s="64" t="s">
        <v>61</v>
      </c>
      <c r="C829" s="62" t="s">
        <v>2550</v>
      </c>
      <c r="D829" t="s">
        <v>63</v>
      </c>
      <c r="E829" t="s">
        <v>2551</v>
      </c>
      <c r="F829" s="61">
        <v>36386</v>
      </c>
      <c r="G829" s="15" t="s">
        <v>73</v>
      </c>
      <c r="H829" t="s">
        <v>2552</v>
      </c>
      <c r="I829" s="62" t="s">
        <v>2553</v>
      </c>
      <c r="K829" s="36" t="s">
        <v>68</v>
      </c>
      <c r="L829" t="s">
        <v>69</v>
      </c>
      <c r="M829" s="62" t="s">
        <v>70</v>
      </c>
      <c r="N829" t="s">
        <v>71</v>
      </c>
      <c r="O829" t="str">
        <f>IFERROR(IF(Tbla_actores[[#This Row],[codigo_proyecto]]="","",_xlfn.XLOOKUP(Tbla_actores[[#This Row],[codigo_proyecto]],Proyectos!$A:$A,Proyectos!$C:$C)),"")</f>
        <v>NULOS</v>
      </c>
    </row>
    <row r="830" spans="1:15" ht="14.25" customHeight="1">
      <c r="A830" s="9">
        <v>1026595836</v>
      </c>
      <c r="B830" s="63" t="s">
        <v>61</v>
      </c>
      <c r="C830" s="62" t="s">
        <v>2550</v>
      </c>
      <c r="D830" t="s">
        <v>63</v>
      </c>
      <c r="E830" t="s">
        <v>2554</v>
      </c>
      <c r="F830" s="61">
        <v>36091</v>
      </c>
      <c r="G830" s="15" t="s">
        <v>73</v>
      </c>
      <c r="H830" t="s">
        <v>2555</v>
      </c>
      <c r="I830" s="62" t="s">
        <v>2556</v>
      </c>
      <c r="K830" s="36" t="s">
        <v>68</v>
      </c>
      <c r="L830" t="s">
        <v>69</v>
      </c>
      <c r="M830" s="62" t="s">
        <v>70</v>
      </c>
      <c r="N830" t="s">
        <v>71</v>
      </c>
      <c r="O830" t="str">
        <f>IFERROR(IF(Tbla_actores[[#This Row],[codigo_proyecto]]="","",_xlfn.XLOOKUP(Tbla_actores[[#This Row],[codigo_proyecto]],Proyectos!$A:$A,Proyectos!$C:$C)),"")</f>
        <v>NULOS</v>
      </c>
    </row>
    <row r="831" spans="1:15" ht="14.25" customHeight="1">
      <c r="A831" s="10">
        <v>1000764044</v>
      </c>
      <c r="B831" s="64" t="s">
        <v>61</v>
      </c>
      <c r="C831" s="62" t="s">
        <v>2550</v>
      </c>
      <c r="D831" t="s">
        <v>63</v>
      </c>
      <c r="E831" t="s">
        <v>2557</v>
      </c>
      <c r="F831" s="61" t="s">
        <v>1433</v>
      </c>
      <c r="G831" s="15" t="s">
        <v>1433</v>
      </c>
      <c r="H831" t="s">
        <v>1433</v>
      </c>
      <c r="I831" s="62" t="s">
        <v>1433</v>
      </c>
      <c r="K831" s="36" t="s">
        <v>68</v>
      </c>
      <c r="L831" t="s">
        <v>69</v>
      </c>
      <c r="M831" s="62" t="s">
        <v>2558</v>
      </c>
      <c r="N831" t="s">
        <v>71</v>
      </c>
      <c r="O831" t="str">
        <f>IFERROR(IF(Tbla_actores[[#This Row],[codigo_proyecto]]="","",_xlfn.XLOOKUP(Tbla_actores[[#This Row],[codigo_proyecto]],Proyectos!$A:$A,Proyectos!$C:$C)),"")</f>
        <v>NULOS</v>
      </c>
    </row>
    <row r="832" spans="1:15" ht="14.25" customHeight="1">
      <c r="A832" s="9">
        <v>1000832289</v>
      </c>
      <c r="B832" s="63" t="s">
        <v>61</v>
      </c>
      <c r="C832" s="62" t="s">
        <v>2550</v>
      </c>
      <c r="D832" t="s">
        <v>63</v>
      </c>
      <c r="E832" t="s">
        <v>2559</v>
      </c>
      <c r="F832" s="61">
        <v>36560</v>
      </c>
      <c r="G832" s="15" t="s">
        <v>65</v>
      </c>
      <c r="H832" t="s">
        <v>2560</v>
      </c>
      <c r="I832" s="62" t="s">
        <v>2561</v>
      </c>
      <c r="K832" s="36" t="s">
        <v>68</v>
      </c>
      <c r="L832" t="s">
        <v>69</v>
      </c>
      <c r="M832" s="62" t="s">
        <v>70</v>
      </c>
      <c r="N832" t="s">
        <v>71</v>
      </c>
      <c r="O832" t="str">
        <f>IFERROR(IF(Tbla_actores[[#This Row],[codigo_proyecto]]="","",_xlfn.XLOOKUP(Tbla_actores[[#This Row],[codigo_proyecto]],Proyectos!$A:$A,Proyectos!$C:$C)),"")</f>
        <v>NULOS</v>
      </c>
    </row>
    <row r="833" spans="1:15" ht="14.25" customHeight="1">
      <c r="A833" s="10">
        <v>1127342619</v>
      </c>
      <c r="B833" s="64" t="s">
        <v>61</v>
      </c>
      <c r="C833" s="62" t="s">
        <v>2550</v>
      </c>
      <c r="D833" t="s">
        <v>63</v>
      </c>
      <c r="E833" t="s">
        <v>2562</v>
      </c>
      <c r="F833" s="61">
        <v>35888</v>
      </c>
      <c r="G833" s="15" t="s">
        <v>73</v>
      </c>
      <c r="H833" t="s">
        <v>2563</v>
      </c>
      <c r="I833" s="62" t="s">
        <v>2564</v>
      </c>
      <c r="K833" s="36" t="s">
        <v>68</v>
      </c>
      <c r="L833" t="s">
        <v>69</v>
      </c>
      <c r="M833" s="62" t="s">
        <v>70</v>
      </c>
      <c r="N833" t="s">
        <v>71</v>
      </c>
      <c r="O833" t="str">
        <f>IFERROR(IF(Tbla_actores[[#This Row],[codigo_proyecto]]="","",_xlfn.XLOOKUP(Tbla_actores[[#This Row],[codigo_proyecto]],Proyectos!$A:$A,Proyectos!$C:$C)),"")</f>
        <v>NULOS</v>
      </c>
    </row>
    <row r="834" spans="1:15" ht="14.25" customHeight="1">
      <c r="A834" s="9">
        <v>1026302972</v>
      </c>
      <c r="B834" s="63" t="s">
        <v>61</v>
      </c>
      <c r="C834" s="62" t="s">
        <v>2550</v>
      </c>
      <c r="D834" t="s">
        <v>63</v>
      </c>
      <c r="E834" t="s">
        <v>2565</v>
      </c>
      <c r="F834" s="61">
        <v>36055</v>
      </c>
      <c r="G834" s="15" t="s">
        <v>73</v>
      </c>
      <c r="H834" t="s">
        <v>2566</v>
      </c>
      <c r="I834" s="62" t="s">
        <v>2567</v>
      </c>
      <c r="K834" s="36" t="s">
        <v>68</v>
      </c>
      <c r="L834" t="s">
        <v>69</v>
      </c>
      <c r="M834" s="62" t="s">
        <v>70</v>
      </c>
      <c r="N834" t="s">
        <v>71</v>
      </c>
      <c r="O834" t="str">
        <f>IFERROR(IF(Tbla_actores[[#This Row],[codigo_proyecto]]="","",_xlfn.XLOOKUP(Tbla_actores[[#This Row],[codigo_proyecto]],Proyectos!$A:$A,Proyectos!$C:$C)),"")</f>
        <v>NULOS</v>
      </c>
    </row>
    <row r="835" spans="1:15" ht="14.25" customHeight="1">
      <c r="A835" s="10">
        <v>1136888831</v>
      </c>
      <c r="B835" s="64" t="s">
        <v>61</v>
      </c>
      <c r="C835" s="62" t="s">
        <v>2550</v>
      </c>
      <c r="D835" t="s">
        <v>63</v>
      </c>
      <c r="E835" t="s">
        <v>2568</v>
      </c>
      <c r="F835" s="61">
        <v>35840</v>
      </c>
      <c r="G835" s="15" t="s">
        <v>73</v>
      </c>
      <c r="H835" t="s">
        <v>2569</v>
      </c>
      <c r="I835" s="62" t="s">
        <v>2570</v>
      </c>
      <c r="K835" s="36" t="s">
        <v>68</v>
      </c>
      <c r="L835" t="s">
        <v>69</v>
      </c>
      <c r="M835" s="62" t="s">
        <v>70</v>
      </c>
      <c r="N835" t="s">
        <v>71</v>
      </c>
      <c r="O835" t="str">
        <f>IFERROR(IF(Tbla_actores[[#This Row],[codigo_proyecto]]="","",_xlfn.XLOOKUP(Tbla_actores[[#This Row],[codigo_proyecto]],Proyectos!$A:$A,Proyectos!$C:$C)),"")</f>
        <v>NULOS</v>
      </c>
    </row>
    <row r="836" spans="1:15" ht="14.25" customHeight="1">
      <c r="A836" s="9">
        <v>1016105069</v>
      </c>
      <c r="B836" s="63" t="s">
        <v>61</v>
      </c>
      <c r="C836" s="62" t="s">
        <v>2550</v>
      </c>
      <c r="D836" t="s">
        <v>63</v>
      </c>
      <c r="E836" t="s">
        <v>2571</v>
      </c>
      <c r="F836" s="61">
        <v>36036</v>
      </c>
      <c r="G836" s="15" t="s">
        <v>73</v>
      </c>
      <c r="H836" t="s">
        <v>2572</v>
      </c>
      <c r="I836" s="62" t="s">
        <v>2573</v>
      </c>
      <c r="K836" s="36" t="s">
        <v>68</v>
      </c>
      <c r="L836" t="s">
        <v>69</v>
      </c>
      <c r="M836" s="62" t="s">
        <v>70</v>
      </c>
      <c r="N836" t="s">
        <v>71</v>
      </c>
      <c r="O836" t="str">
        <f>IFERROR(IF(Tbla_actores[[#This Row],[codigo_proyecto]]="","",_xlfn.XLOOKUP(Tbla_actores[[#This Row],[codigo_proyecto]],Proyectos!$A:$A,Proyectos!$C:$C)),"")</f>
        <v>NULOS</v>
      </c>
    </row>
    <row r="837" spans="1:15" ht="14.25" customHeight="1">
      <c r="A837" s="10">
        <v>1019140880</v>
      </c>
      <c r="B837" s="64" t="s">
        <v>61</v>
      </c>
      <c r="C837" s="62" t="s">
        <v>2550</v>
      </c>
      <c r="D837" t="s">
        <v>63</v>
      </c>
      <c r="E837" t="s">
        <v>2574</v>
      </c>
      <c r="F837" s="61">
        <v>35913</v>
      </c>
      <c r="G837" s="15" t="s">
        <v>73</v>
      </c>
      <c r="H837" t="s">
        <v>2575</v>
      </c>
      <c r="I837" s="62" t="s">
        <v>2576</v>
      </c>
      <c r="K837" s="36" t="s">
        <v>68</v>
      </c>
      <c r="L837" t="s">
        <v>69</v>
      </c>
      <c r="M837" s="62" t="s">
        <v>70</v>
      </c>
      <c r="N837" t="s">
        <v>71</v>
      </c>
      <c r="O837" t="str">
        <f>IFERROR(IF(Tbla_actores[[#This Row],[codigo_proyecto]]="","",_xlfn.XLOOKUP(Tbla_actores[[#This Row],[codigo_proyecto]],Proyectos!$A:$A,Proyectos!$C:$C)),"")</f>
        <v>NULOS</v>
      </c>
    </row>
    <row r="838" spans="1:15" ht="14.25" customHeight="1">
      <c r="A838" s="9">
        <v>1000576456</v>
      </c>
      <c r="B838" s="63" t="s">
        <v>61</v>
      </c>
      <c r="C838" s="62" t="s">
        <v>2550</v>
      </c>
      <c r="D838" t="s">
        <v>63</v>
      </c>
      <c r="E838" t="s">
        <v>2577</v>
      </c>
      <c r="F838" s="61">
        <v>36601</v>
      </c>
      <c r="G838" s="15" t="s">
        <v>65</v>
      </c>
      <c r="H838" t="s">
        <v>2578</v>
      </c>
      <c r="I838" s="62" t="s">
        <v>2579</v>
      </c>
      <c r="K838" s="36" t="s">
        <v>68</v>
      </c>
      <c r="L838" t="s">
        <v>69</v>
      </c>
      <c r="M838" s="62" t="s">
        <v>70</v>
      </c>
      <c r="N838" t="s">
        <v>71</v>
      </c>
      <c r="O838" t="str">
        <f>IFERROR(IF(Tbla_actores[[#This Row],[codigo_proyecto]]="","",_xlfn.XLOOKUP(Tbla_actores[[#This Row],[codigo_proyecto]],Proyectos!$A:$A,Proyectos!$C:$C)),"")</f>
        <v>NULOS</v>
      </c>
    </row>
    <row r="839" spans="1:15" ht="14.25" customHeight="1">
      <c r="A839" s="10">
        <v>1010123696</v>
      </c>
      <c r="B839" s="64" t="s">
        <v>61</v>
      </c>
      <c r="C839" s="62" t="s">
        <v>2550</v>
      </c>
      <c r="D839" t="s">
        <v>63</v>
      </c>
      <c r="E839" t="s">
        <v>2580</v>
      </c>
      <c r="F839" s="61">
        <v>36577</v>
      </c>
      <c r="G839" s="15" t="s">
        <v>73</v>
      </c>
      <c r="H839" t="s">
        <v>2581</v>
      </c>
      <c r="I839" s="62" t="s">
        <v>2582</v>
      </c>
      <c r="K839" s="36" t="s">
        <v>68</v>
      </c>
      <c r="L839" t="s">
        <v>69</v>
      </c>
      <c r="M839" s="62" t="s">
        <v>70</v>
      </c>
      <c r="N839" t="s">
        <v>71</v>
      </c>
      <c r="O839" t="str">
        <f>IFERROR(IF(Tbla_actores[[#This Row],[codigo_proyecto]]="","",_xlfn.XLOOKUP(Tbla_actores[[#This Row],[codigo_proyecto]],Proyectos!$A:$A,Proyectos!$C:$C)),"")</f>
        <v>NULOS</v>
      </c>
    </row>
    <row r="840" spans="1:15" ht="14.25" customHeight="1">
      <c r="A840" s="9">
        <v>1020828518</v>
      </c>
      <c r="B840" s="63" t="s">
        <v>61</v>
      </c>
      <c r="C840" s="62" t="s">
        <v>2550</v>
      </c>
      <c r="D840" t="s">
        <v>63</v>
      </c>
      <c r="E840" t="s">
        <v>2583</v>
      </c>
      <c r="F840" s="61">
        <v>35699</v>
      </c>
      <c r="G840" s="15" t="s">
        <v>73</v>
      </c>
      <c r="H840" t="s">
        <v>2584</v>
      </c>
      <c r="I840" s="62" t="s">
        <v>2585</v>
      </c>
      <c r="K840" s="36" t="s">
        <v>68</v>
      </c>
      <c r="L840" t="s">
        <v>69</v>
      </c>
      <c r="M840" s="62" t="s">
        <v>70</v>
      </c>
      <c r="N840" t="s">
        <v>71</v>
      </c>
      <c r="O840" t="str">
        <f>IFERROR(IF(Tbla_actores[[#This Row],[codigo_proyecto]]="","",_xlfn.XLOOKUP(Tbla_actores[[#This Row],[codigo_proyecto]],Proyectos!$A:$A,Proyectos!$C:$C)),"")</f>
        <v>NULOS</v>
      </c>
    </row>
    <row r="841" spans="1:15" ht="14.25" customHeight="1">
      <c r="A841" s="10">
        <v>1233908628</v>
      </c>
      <c r="B841" s="64" t="s">
        <v>61</v>
      </c>
      <c r="C841" s="62" t="s">
        <v>2550</v>
      </c>
      <c r="D841" t="s">
        <v>63</v>
      </c>
      <c r="E841" t="s">
        <v>2586</v>
      </c>
      <c r="F841" s="61">
        <v>36349</v>
      </c>
      <c r="G841" s="15" t="s">
        <v>65</v>
      </c>
      <c r="H841" t="s">
        <v>2587</v>
      </c>
      <c r="I841" s="62" t="s">
        <v>2588</v>
      </c>
      <c r="K841" s="36" t="s">
        <v>68</v>
      </c>
      <c r="L841" t="s">
        <v>69</v>
      </c>
      <c r="M841" s="62" t="s">
        <v>70</v>
      </c>
      <c r="N841" t="s">
        <v>71</v>
      </c>
      <c r="O841" t="str">
        <f>IFERROR(IF(Tbla_actores[[#This Row],[codigo_proyecto]]="","",_xlfn.XLOOKUP(Tbla_actores[[#This Row],[codigo_proyecto]],Proyectos!$A:$A,Proyectos!$C:$C)),"")</f>
        <v>NULOS</v>
      </c>
    </row>
    <row r="842" spans="1:15" ht="14.25" customHeight="1">
      <c r="A842" s="9">
        <v>1007167437</v>
      </c>
      <c r="B842" s="63" t="s">
        <v>61</v>
      </c>
      <c r="C842" s="62" t="s">
        <v>2550</v>
      </c>
      <c r="D842" t="s">
        <v>63</v>
      </c>
      <c r="E842" t="s">
        <v>2589</v>
      </c>
      <c r="F842" s="61">
        <v>36550</v>
      </c>
      <c r="G842" s="15" t="s">
        <v>73</v>
      </c>
      <c r="H842" t="s">
        <v>2590</v>
      </c>
      <c r="I842" s="62" t="s">
        <v>2591</v>
      </c>
      <c r="K842" s="36" t="s">
        <v>68</v>
      </c>
      <c r="L842" t="s">
        <v>69</v>
      </c>
      <c r="M842" s="62" t="s">
        <v>70</v>
      </c>
      <c r="N842" t="s">
        <v>71</v>
      </c>
      <c r="O842" t="str">
        <f>IFERROR(IF(Tbla_actores[[#This Row],[codigo_proyecto]]="","",_xlfn.XLOOKUP(Tbla_actores[[#This Row],[codigo_proyecto]],Proyectos!$A:$A,Proyectos!$C:$C)),"")</f>
        <v>NULOS</v>
      </c>
    </row>
    <row r="843" spans="1:15" ht="14.25" customHeight="1">
      <c r="A843" s="10">
        <v>1019144457</v>
      </c>
      <c r="B843" s="64" t="s">
        <v>61</v>
      </c>
      <c r="C843" s="62" t="s">
        <v>2550</v>
      </c>
      <c r="D843" t="s">
        <v>63</v>
      </c>
      <c r="E843" t="s">
        <v>2592</v>
      </c>
      <c r="F843" s="61">
        <v>36108</v>
      </c>
      <c r="G843" s="15" t="s">
        <v>73</v>
      </c>
      <c r="H843" t="s">
        <v>2593</v>
      </c>
      <c r="I843" s="62" t="s">
        <v>2594</v>
      </c>
      <c r="K843" s="36" t="s">
        <v>68</v>
      </c>
      <c r="L843" t="s">
        <v>69</v>
      </c>
      <c r="M843" s="62" t="s">
        <v>70</v>
      </c>
      <c r="N843" t="s">
        <v>71</v>
      </c>
      <c r="O843" t="str">
        <f>IFERROR(IF(Tbla_actores[[#This Row],[codigo_proyecto]]="","",_xlfn.XLOOKUP(Tbla_actores[[#This Row],[codigo_proyecto]],Proyectos!$A:$A,Proyectos!$C:$C)),"")</f>
        <v>NULOS</v>
      </c>
    </row>
    <row r="844" spans="1:15" ht="14.25" customHeight="1">
      <c r="A844" s="9">
        <v>1098814857</v>
      </c>
      <c r="B844" s="63" t="s">
        <v>61</v>
      </c>
      <c r="C844" s="62" t="s">
        <v>2550</v>
      </c>
      <c r="D844" t="s">
        <v>63</v>
      </c>
      <c r="E844" t="s">
        <v>2595</v>
      </c>
      <c r="F844" s="61">
        <v>36167</v>
      </c>
      <c r="G844" s="15" t="s">
        <v>73</v>
      </c>
      <c r="H844" t="s">
        <v>2596</v>
      </c>
      <c r="I844" s="62" t="s">
        <v>2597</v>
      </c>
      <c r="K844" s="36" t="s">
        <v>68</v>
      </c>
      <c r="L844" t="s">
        <v>69</v>
      </c>
      <c r="M844" s="62" t="s">
        <v>70</v>
      </c>
      <c r="N844" t="s">
        <v>71</v>
      </c>
      <c r="O844" t="str">
        <f>IFERROR(IF(Tbla_actores[[#This Row],[codigo_proyecto]]="","",_xlfn.XLOOKUP(Tbla_actores[[#This Row],[codigo_proyecto]],Proyectos!$A:$A,Proyectos!$C:$C)),"")</f>
        <v>NULOS</v>
      </c>
    </row>
    <row r="845" spans="1:15" ht="14.25" customHeight="1">
      <c r="A845" s="10">
        <v>1018503069</v>
      </c>
      <c r="B845" s="64" t="s">
        <v>61</v>
      </c>
      <c r="C845" s="62" t="s">
        <v>2550</v>
      </c>
      <c r="D845" t="s">
        <v>63</v>
      </c>
      <c r="E845" t="s">
        <v>2598</v>
      </c>
      <c r="F845" s="61">
        <v>35931</v>
      </c>
      <c r="G845" s="15" t="s">
        <v>73</v>
      </c>
      <c r="H845" t="s">
        <v>2599</v>
      </c>
      <c r="I845" s="62" t="s">
        <v>2600</v>
      </c>
      <c r="K845" s="36" t="s">
        <v>68</v>
      </c>
      <c r="L845" t="s">
        <v>69</v>
      </c>
      <c r="M845" s="62" t="s">
        <v>70</v>
      </c>
      <c r="N845" t="s">
        <v>71</v>
      </c>
      <c r="O845" t="str">
        <f>IFERROR(IF(Tbla_actores[[#This Row],[codigo_proyecto]]="","",_xlfn.XLOOKUP(Tbla_actores[[#This Row],[codigo_proyecto]],Proyectos!$A:$A,Proyectos!$C:$C)),"")</f>
        <v>NULOS</v>
      </c>
    </row>
    <row r="846" spans="1:15" ht="14.25" customHeight="1">
      <c r="A846" s="9">
        <v>1033812680</v>
      </c>
      <c r="B846" s="63" t="s">
        <v>61</v>
      </c>
      <c r="C846" s="62" t="s">
        <v>2550</v>
      </c>
      <c r="D846" t="s">
        <v>63</v>
      </c>
      <c r="E846" t="s">
        <v>2601</v>
      </c>
      <c r="F846" s="61">
        <v>36158</v>
      </c>
      <c r="G846" s="15" t="s">
        <v>73</v>
      </c>
      <c r="H846" t="s">
        <v>2602</v>
      </c>
      <c r="I846" s="62" t="s">
        <v>2603</v>
      </c>
      <c r="K846" s="36" t="s">
        <v>68</v>
      </c>
      <c r="L846" t="s">
        <v>69</v>
      </c>
      <c r="M846" s="62" t="s">
        <v>70</v>
      </c>
      <c r="N846" t="s">
        <v>71</v>
      </c>
      <c r="O846" t="str">
        <f>IFERROR(IF(Tbla_actores[[#This Row],[codigo_proyecto]]="","",_xlfn.XLOOKUP(Tbla_actores[[#This Row],[codigo_proyecto]],Proyectos!$A:$A,Proyectos!$C:$C)),"")</f>
        <v>NULOS</v>
      </c>
    </row>
    <row r="847" spans="1:15" ht="14.25" customHeight="1">
      <c r="A847" s="10">
        <v>1007371698</v>
      </c>
      <c r="B847" s="64" t="s">
        <v>61</v>
      </c>
      <c r="C847" s="62" t="s">
        <v>2550</v>
      </c>
      <c r="D847" t="s">
        <v>63</v>
      </c>
      <c r="E847" t="s">
        <v>2604</v>
      </c>
      <c r="F847" s="61">
        <v>36375</v>
      </c>
      <c r="G847" s="15" t="s">
        <v>73</v>
      </c>
      <c r="H847" t="s">
        <v>2605</v>
      </c>
      <c r="I847" s="62" t="s">
        <v>2606</v>
      </c>
      <c r="K847" s="36" t="s">
        <v>68</v>
      </c>
      <c r="L847" t="s">
        <v>69</v>
      </c>
      <c r="M847" s="62" t="s">
        <v>70</v>
      </c>
      <c r="N847" t="s">
        <v>71</v>
      </c>
      <c r="O847" t="str">
        <f>IFERROR(IF(Tbla_actores[[#This Row],[codigo_proyecto]]="","",_xlfn.XLOOKUP(Tbla_actores[[#This Row],[codigo_proyecto]],Proyectos!$A:$A,Proyectos!$C:$C)),"")</f>
        <v>NULOS</v>
      </c>
    </row>
    <row r="848" spans="1:15" ht="14.25" customHeight="1">
      <c r="A848" s="9">
        <v>1032491027</v>
      </c>
      <c r="B848" s="63" t="s">
        <v>61</v>
      </c>
      <c r="C848" s="62" t="s">
        <v>2550</v>
      </c>
      <c r="D848" t="s">
        <v>63</v>
      </c>
      <c r="E848" t="s">
        <v>2607</v>
      </c>
      <c r="F848" s="61">
        <v>35569</v>
      </c>
      <c r="G848" s="15" t="s">
        <v>73</v>
      </c>
      <c r="H848" t="s">
        <v>2608</v>
      </c>
      <c r="I848" s="62" t="s">
        <v>2609</v>
      </c>
      <c r="K848" s="36" t="s">
        <v>68</v>
      </c>
      <c r="L848" t="s">
        <v>69</v>
      </c>
      <c r="M848" s="62" t="s">
        <v>70</v>
      </c>
      <c r="N848" t="s">
        <v>71</v>
      </c>
      <c r="O848" t="str">
        <f>IFERROR(IF(Tbla_actores[[#This Row],[codigo_proyecto]]="","",_xlfn.XLOOKUP(Tbla_actores[[#This Row],[codigo_proyecto]],Proyectos!$A:$A,Proyectos!$C:$C)),"")</f>
        <v>NULOS</v>
      </c>
    </row>
    <row r="849" spans="1:15" ht="14.25" customHeight="1">
      <c r="A849" s="10">
        <v>1072714557</v>
      </c>
      <c r="B849" s="64" t="s">
        <v>61</v>
      </c>
      <c r="C849" s="62" t="s">
        <v>2550</v>
      </c>
      <c r="D849" t="s">
        <v>63</v>
      </c>
      <c r="E849" t="s">
        <v>2610</v>
      </c>
      <c r="F849" s="61">
        <v>35601</v>
      </c>
      <c r="G849" s="15" t="s">
        <v>73</v>
      </c>
      <c r="H849" t="s">
        <v>2611</v>
      </c>
      <c r="I849" s="62" t="s">
        <v>2612</v>
      </c>
      <c r="K849" s="36" t="s">
        <v>68</v>
      </c>
      <c r="L849" t="s">
        <v>69</v>
      </c>
      <c r="M849" s="62" t="s">
        <v>70</v>
      </c>
      <c r="N849" t="s">
        <v>71</v>
      </c>
      <c r="O849" t="str">
        <f>IFERROR(IF(Tbla_actores[[#This Row],[codigo_proyecto]]="","",_xlfn.XLOOKUP(Tbla_actores[[#This Row],[codigo_proyecto]],Proyectos!$A:$A,Proyectos!$C:$C)),"")</f>
        <v>NULOS</v>
      </c>
    </row>
    <row r="850" spans="1:15" ht="14.25" customHeight="1">
      <c r="A850" s="9">
        <v>1001167279</v>
      </c>
      <c r="B850" s="63" t="s">
        <v>61</v>
      </c>
      <c r="C850" s="62" t="s">
        <v>2550</v>
      </c>
      <c r="D850" t="s">
        <v>63</v>
      </c>
      <c r="E850" t="s">
        <v>2613</v>
      </c>
      <c r="F850" s="61">
        <v>36739</v>
      </c>
      <c r="G850" s="15" t="s">
        <v>73</v>
      </c>
      <c r="H850" t="s">
        <v>2614</v>
      </c>
      <c r="I850" s="62" t="s">
        <v>2615</v>
      </c>
      <c r="K850" s="36" t="s">
        <v>68</v>
      </c>
      <c r="L850" t="s">
        <v>69</v>
      </c>
      <c r="M850" s="62" t="s">
        <v>70</v>
      </c>
      <c r="N850" t="s">
        <v>71</v>
      </c>
      <c r="O850" t="str">
        <f>IFERROR(IF(Tbla_actores[[#This Row],[codigo_proyecto]]="","",_xlfn.XLOOKUP(Tbla_actores[[#This Row],[codigo_proyecto]],Proyectos!$A:$A,Proyectos!$C:$C)),"")</f>
        <v>NULOS</v>
      </c>
    </row>
    <row r="851" spans="1:15" ht="14.25" customHeight="1">
      <c r="A851" s="10">
        <v>1004997591</v>
      </c>
      <c r="B851" s="64" t="s">
        <v>61</v>
      </c>
      <c r="C851" s="62" t="s">
        <v>2550</v>
      </c>
      <c r="D851" t="s">
        <v>63</v>
      </c>
      <c r="E851" t="s">
        <v>2616</v>
      </c>
      <c r="F851" s="61">
        <v>36608</v>
      </c>
      <c r="G851" s="15" t="s">
        <v>73</v>
      </c>
      <c r="H851" t="s">
        <v>2617</v>
      </c>
      <c r="I851" s="62" t="s">
        <v>2618</v>
      </c>
      <c r="K851" s="36" t="s">
        <v>68</v>
      </c>
      <c r="L851" t="s">
        <v>69</v>
      </c>
      <c r="M851" s="62" t="s">
        <v>70</v>
      </c>
      <c r="N851" t="s">
        <v>71</v>
      </c>
      <c r="O851" t="str">
        <f>IFERROR(IF(Tbla_actores[[#This Row],[codigo_proyecto]]="","",_xlfn.XLOOKUP(Tbla_actores[[#This Row],[codigo_proyecto]],Proyectos!$A:$A,Proyectos!$C:$C)),"")</f>
        <v>NULOS</v>
      </c>
    </row>
    <row r="852" spans="1:15" ht="14.25" customHeight="1">
      <c r="A852" s="9">
        <v>1005053275</v>
      </c>
      <c r="B852" s="63" t="s">
        <v>61</v>
      </c>
      <c r="C852" s="62" t="s">
        <v>2550</v>
      </c>
      <c r="D852" t="s">
        <v>63</v>
      </c>
      <c r="E852" t="s">
        <v>2619</v>
      </c>
      <c r="F852" s="61">
        <v>36920</v>
      </c>
      <c r="G852" s="15" t="s">
        <v>65</v>
      </c>
      <c r="H852" t="s">
        <v>2620</v>
      </c>
      <c r="I852" s="62" t="s">
        <v>2621</v>
      </c>
      <c r="K852" s="36" t="s">
        <v>68</v>
      </c>
      <c r="L852" t="s">
        <v>69</v>
      </c>
      <c r="M852" s="62" t="s">
        <v>70</v>
      </c>
      <c r="N852" t="s">
        <v>71</v>
      </c>
      <c r="O852" t="str">
        <f>IFERROR(IF(Tbla_actores[[#This Row],[codigo_proyecto]]="","",_xlfn.XLOOKUP(Tbla_actores[[#This Row],[codigo_proyecto]],Proyectos!$A:$A,Proyectos!$C:$C)),"")</f>
        <v>NULOS</v>
      </c>
    </row>
    <row r="853" spans="1:15" ht="14.25" customHeight="1">
      <c r="A853" s="10">
        <v>1007365853</v>
      </c>
      <c r="B853" s="64" t="s">
        <v>61</v>
      </c>
      <c r="C853" s="62" t="s">
        <v>2550</v>
      </c>
      <c r="D853" t="s">
        <v>63</v>
      </c>
      <c r="E853" t="s">
        <v>2622</v>
      </c>
      <c r="F853" s="61">
        <v>36699</v>
      </c>
      <c r="G853" s="15" t="s">
        <v>73</v>
      </c>
      <c r="H853" t="s">
        <v>2623</v>
      </c>
      <c r="I853" s="62" t="s">
        <v>2624</v>
      </c>
      <c r="K853" s="36" t="s">
        <v>68</v>
      </c>
      <c r="L853" t="s">
        <v>69</v>
      </c>
      <c r="M853" s="62" t="s">
        <v>70</v>
      </c>
      <c r="N853" t="s">
        <v>71</v>
      </c>
      <c r="O853" t="str">
        <f>IFERROR(IF(Tbla_actores[[#This Row],[codigo_proyecto]]="","",_xlfn.XLOOKUP(Tbla_actores[[#This Row],[codigo_proyecto]],Proyectos!$A:$A,Proyectos!$C:$C)),"")</f>
        <v>NULOS</v>
      </c>
    </row>
    <row r="854" spans="1:15" ht="14.25" customHeight="1">
      <c r="A854" s="9">
        <v>1001242631</v>
      </c>
      <c r="B854" s="63" t="s">
        <v>61</v>
      </c>
      <c r="C854" s="62" t="s">
        <v>2550</v>
      </c>
      <c r="D854" t="s">
        <v>63</v>
      </c>
      <c r="E854" t="s">
        <v>2625</v>
      </c>
      <c r="F854" s="61">
        <v>36644</v>
      </c>
      <c r="G854" s="15" t="s">
        <v>73</v>
      </c>
      <c r="H854" t="s">
        <v>2626</v>
      </c>
      <c r="I854" s="62" t="s">
        <v>2627</v>
      </c>
      <c r="K854" s="36" t="s">
        <v>68</v>
      </c>
      <c r="L854" t="s">
        <v>69</v>
      </c>
      <c r="M854" s="62" t="s">
        <v>70</v>
      </c>
      <c r="N854" t="s">
        <v>71</v>
      </c>
      <c r="O854" t="str">
        <f>IFERROR(IF(Tbla_actores[[#This Row],[codigo_proyecto]]="","",_xlfn.XLOOKUP(Tbla_actores[[#This Row],[codigo_proyecto]],Proyectos!$A:$A,Proyectos!$C:$C)),"")</f>
        <v>NULOS</v>
      </c>
    </row>
    <row r="855" spans="1:15" ht="14.25" customHeight="1">
      <c r="A855" s="10">
        <v>1010021694</v>
      </c>
      <c r="B855" s="64" t="s">
        <v>61</v>
      </c>
      <c r="C855" s="62" t="s">
        <v>2550</v>
      </c>
      <c r="D855" t="s">
        <v>63</v>
      </c>
      <c r="E855" t="s">
        <v>2628</v>
      </c>
      <c r="F855" s="61">
        <v>36535</v>
      </c>
      <c r="G855" s="15" t="s">
        <v>73</v>
      </c>
      <c r="H855" t="s">
        <v>2629</v>
      </c>
      <c r="I855" s="62" t="s">
        <v>2630</v>
      </c>
      <c r="K855" s="36" t="s">
        <v>68</v>
      </c>
      <c r="L855" t="s">
        <v>69</v>
      </c>
      <c r="M855" s="62" t="s">
        <v>70</v>
      </c>
      <c r="N855" t="s">
        <v>71</v>
      </c>
      <c r="O855" t="str">
        <f>IFERROR(IF(Tbla_actores[[#This Row],[codigo_proyecto]]="","",_xlfn.XLOOKUP(Tbla_actores[[#This Row],[codigo_proyecto]],Proyectos!$A:$A,Proyectos!$C:$C)),"")</f>
        <v>NULOS</v>
      </c>
    </row>
    <row r="856" spans="1:15" ht="14.25" customHeight="1">
      <c r="A856" s="9">
        <v>1023025108</v>
      </c>
      <c r="B856" s="63" t="s">
        <v>61</v>
      </c>
      <c r="C856" s="62" t="s">
        <v>2550</v>
      </c>
      <c r="D856" t="s">
        <v>63</v>
      </c>
      <c r="E856" t="s">
        <v>2631</v>
      </c>
      <c r="F856" s="61">
        <v>35729</v>
      </c>
      <c r="G856" s="15" t="s">
        <v>65</v>
      </c>
      <c r="H856" t="s">
        <v>2632</v>
      </c>
      <c r="I856" s="62" t="s">
        <v>2633</v>
      </c>
      <c r="K856" s="36" t="s">
        <v>68</v>
      </c>
      <c r="L856" t="s">
        <v>69</v>
      </c>
      <c r="M856" s="62" t="s">
        <v>70</v>
      </c>
      <c r="N856" t="s">
        <v>71</v>
      </c>
      <c r="O856" t="str">
        <f>IFERROR(IF(Tbla_actores[[#This Row],[codigo_proyecto]]="","",_xlfn.XLOOKUP(Tbla_actores[[#This Row],[codigo_proyecto]],Proyectos!$A:$A,Proyectos!$C:$C)),"")</f>
        <v>NULOS</v>
      </c>
    </row>
    <row r="857" spans="1:15" ht="14.25" customHeight="1">
      <c r="A857" s="10">
        <v>1020829071</v>
      </c>
      <c r="B857" s="64" t="s">
        <v>61</v>
      </c>
      <c r="C857" s="62" t="s">
        <v>2550</v>
      </c>
      <c r="D857" t="s">
        <v>63</v>
      </c>
      <c r="E857" t="s">
        <v>2634</v>
      </c>
      <c r="F857" s="61">
        <v>35711</v>
      </c>
      <c r="G857" s="15" t="s">
        <v>73</v>
      </c>
      <c r="H857" t="s">
        <v>2635</v>
      </c>
      <c r="I857" s="62" t="s">
        <v>2636</v>
      </c>
      <c r="K857" s="36" t="s">
        <v>68</v>
      </c>
      <c r="L857" t="s">
        <v>69</v>
      </c>
      <c r="M857" s="62" t="s">
        <v>70</v>
      </c>
      <c r="N857" t="s">
        <v>71</v>
      </c>
      <c r="O857" t="str">
        <f>IFERROR(IF(Tbla_actores[[#This Row],[codigo_proyecto]]="","",_xlfn.XLOOKUP(Tbla_actores[[#This Row],[codigo_proyecto]],Proyectos!$A:$A,Proyectos!$C:$C)),"")</f>
        <v>NULOS</v>
      </c>
    </row>
    <row r="858" spans="1:15" ht="14.25" customHeight="1">
      <c r="A858" s="9">
        <v>1000801060</v>
      </c>
      <c r="B858" s="63" t="s">
        <v>61</v>
      </c>
      <c r="C858" s="62" t="s">
        <v>2550</v>
      </c>
      <c r="D858" t="s">
        <v>63</v>
      </c>
      <c r="E858" t="s">
        <v>2637</v>
      </c>
      <c r="F858" s="61">
        <v>36669</v>
      </c>
      <c r="G858" s="15" t="s">
        <v>73</v>
      </c>
      <c r="H858" t="s">
        <v>2638</v>
      </c>
      <c r="I858" s="62" t="s">
        <v>2639</v>
      </c>
      <c r="K858" s="36" t="s">
        <v>68</v>
      </c>
      <c r="L858" t="s">
        <v>69</v>
      </c>
      <c r="M858" s="62" t="s">
        <v>70</v>
      </c>
      <c r="N858" t="s">
        <v>71</v>
      </c>
      <c r="O858" t="str">
        <f>IFERROR(IF(Tbla_actores[[#This Row],[codigo_proyecto]]="","",_xlfn.XLOOKUP(Tbla_actores[[#This Row],[codigo_proyecto]],Proyectos!$A:$A,Proyectos!$C:$C)),"")</f>
        <v>NULOS</v>
      </c>
    </row>
    <row r="859" spans="1:15" ht="14.25" customHeight="1">
      <c r="A859" s="10">
        <v>1018511862</v>
      </c>
      <c r="B859" s="64" t="s">
        <v>61</v>
      </c>
      <c r="C859" s="62" t="s">
        <v>2550</v>
      </c>
      <c r="D859" t="s">
        <v>63</v>
      </c>
      <c r="E859" t="s">
        <v>2640</v>
      </c>
      <c r="F859" s="61">
        <v>36336</v>
      </c>
      <c r="G859" s="15" t="s">
        <v>73</v>
      </c>
      <c r="H859" t="s">
        <v>2641</v>
      </c>
      <c r="I859" s="62" t="s">
        <v>2642</v>
      </c>
      <c r="K859" s="36" t="s">
        <v>68</v>
      </c>
      <c r="L859" t="s">
        <v>69</v>
      </c>
      <c r="M859" s="62" t="s">
        <v>70</v>
      </c>
      <c r="N859" t="s">
        <v>71</v>
      </c>
      <c r="O859" t="str">
        <f>IFERROR(IF(Tbla_actores[[#This Row],[codigo_proyecto]]="","",_xlfn.XLOOKUP(Tbla_actores[[#This Row],[codigo_proyecto]],Proyectos!$A:$A,Proyectos!$C:$C)),"")</f>
        <v>NULOS</v>
      </c>
    </row>
    <row r="860" spans="1:15" ht="14.25" customHeight="1">
      <c r="A860" s="9">
        <v>1032505306</v>
      </c>
      <c r="B860" s="63" t="s">
        <v>61</v>
      </c>
      <c r="C860" s="62" t="s">
        <v>2550</v>
      </c>
      <c r="D860" t="s">
        <v>63</v>
      </c>
      <c r="E860" t="s">
        <v>2643</v>
      </c>
      <c r="F860" s="61">
        <v>36327</v>
      </c>
      <c r="G860" s="15" t="s">
        <v>73</v>
      </c>
      <c r="H860" t="s">
        <v>2644</v>
      </c>
      <c r="I860" s="62" t="s">
        <v>2645</v>
      </c>
      <c r="K860" s="36" t="s">
        <v>68</v>
      </c>
      <c r="L860" t="s">
        <v>69</v>
      </c>
      <c r="M860" s="62" t="s">
        <v>70</v>
      </c>
      <c r="N860" t="s">
        <v>71</v>
      </c>
      <c r="O860" t="str">
        <f>IFERROR(IF(Tbla_actores[[#This Row],[codigo_proyecto]]="","",_xlfn.XLOOKUP(Tbla_actores[[#This Row],[codigo_proyecto]],Proyectos!$A:$A,Proyectos!$C:$C)),"")</f>
        <v>NULOS</v>
      </c>
    </row>
    <row r="861" spans="1:15" ht="14.25" customHeight="1">
      <c r="A861" s="10">
        <v>1000048287</v>
      </c>
      <c r="B861" s="64" t="s">
        <v>61</v>
      </c>
      <c r="C861" s="62" t="s">
        <v>2550</v>
      </c>
      <c r="D861" t="s">
        <v>63</v>
      </c>
      <c r="E861" t="s">
        <v>2646</v>
      </c>
      <c r="F861" s="61">
        <v>36707</v>
      </c>
      <c r="G861" s="15" t="s">
        <v>73</v>
      </c>
      <c r="H861" t="s">
        <v>2647</v>
      </c>
      <c r="I861" s="62" t="s">
        <v>2648</v>
      </c>
      <c r="K861" s="36" t="s">
        <v>68</v>
      </c>
      <c r="L861" t="s">
        <v>69</v>
      </c>
      <c r="M861" s="62" t="s">
        <v>70</v>
      </c>
      <c r="N861" t="s">
        <v>71</v>
      </c>
      <c r="O861" t="str">
        <f>IFERROR(IF(Tbla_actores[[#This Row],[codigo_proyecto]]="","",_xlfn.XLOOKUP(Tbla_actores[[#This Row],[codigo_proyecto]],Proyectos!$A:$A,Proyectos!$C:$C)),"")</f>
        <v>NULOS</v>
      </c>
    </row>
    <row r="862" spans="1:15" ht="14.25" customHeight="1">
      <c r="A862" s="9">
        <v>1019144992</v>
      </c>
      <c r="B862" s="63" t="s">
        <v>61</v>
      </c>
      <c r="C862" s="62" t="s">
        <v>2550</v>
      </c>
      <c r="D862" t="s">
        <v>63</v>
      </c>
      <c r="E862" t="s">
        <v>2649</v>
      </c>
      <c r="F862" s="61">
        <v>36123</v>
      </c>
      <c r="G862" s="15" t="s">
        <v>73</v>
      </c>
      <c r="H862" t="s">
        <v>2650</v>
      </c>
      <c r="I862" s="62" t="s">
        <v>2651</v>
      </c>
      <c r="K862" s="36" t="s">
        <v>68</v>
      </c>
      <c r="L862" t="s">
        <v>69</v>
      </c>
      <c r="M862" s="62" t="s">
        <v>70</v>
      </c>
      <c r="N862" t="s">
        <v>71</v>
      </c>
      <c r="O862" t="str">
        <f>IFERROR(IF(Tbla_actores[[#This Row],[codigo_proyecto]]="","",_xlfn.XLOOKUP(Tbla_actores[[#This Row],[codigo_proyecto]],Proyectos!$A:$A,Proyectos!$C:$C)),"")</f>
        <v>NULOS</v>
      </c>
    </row>
    <row r="863" spans="1:15" ht="14.25" customHeight="1">
      <c r="A863" s="10">
        <v>1032489646</v>
      </c>
      <c r="B863" s="64" t="s">
        <v>61</v>
      </c>
      <c r="C863" s="62" t="s">
        <v>2550</v>
      </c>
      <c r="D863" t="s">
        <v>63</v>
      </c>
      <c r="E863" t="s">
        <v>2652</v>
      </c>
      <c r="F863" s="61">
        <v>35509</v>
      </c>
      <c r="G863" s="15" t="s">
        <v>65</v>
      </c>
      <c r="H863" t="s">
        <v>2653</v>
      </c>
      <c r="I863" s="62" t="s">
        <v>2654</v>
      </c>
      <c r="K863" s="36" t="s">
        <v>68</v>
      </c>
      <c r="L863" t="s">
        <v>69</v>
      </c>
      <c r="M863" s="62" t="s">
        <v>70</v>
      </c>
      <c r="N863" t="s">
        <v>71</v>
      </c>
      <c r="O863" t="str">
        <f>IFERROR(IF(Tbla_actores[[#This Row],[codigo_proyecto]]="","",_xlfn.XLOOKUP(Tbla_actores[[#This Row],[codigo_proyecto]],Proyectos!$A:$A,Proyectos!$C:$C)),"")</f>
        <v>NULOS</v>
      </c>
    </row>
    <row r="864" spans="1:15" ht="14.25" customHeight="1">
      <c r="A864" s="9">
        <v>1233693999</v>
      </c>
      <c r="B864" s="63" t="s">
        <v>61</v>
      </c>
      <c r="C864" s="62" t="s">
        <v>2550</v>
      </c>
      <c r="D864" t="s">
        <v>63</v>
      </c>
      <c r="E864" t="s">
        <v>2655</v>
      </c>
      <c r="F864" s="61">
        <v>36234</v>
      </c>
      <c r="G864" s="15" t="s">
        <v>73</v>
      </c>
      <c r="H864" t="s">
        <v>2656</v>
      </c>
      <c r="I864" s="62" t="s">
        <v>2657</v>
      </c>
      <c r="K864" s="36" t="s">
        <v>68</v>
      </c>
      <c r="L864" t="s">
        <v>69</v>
      </c>
      <c r="M864" s="62" t="s">
        <v>70</v>
      </c>
      <c r="N864" t="s">
        <v>71</v>
      </c>
      <c r="O864" t="str">
        <f>IFERROR(IF(Tbla_actores[[#This Row],[codigo_proyecto]]="","",_xlfn.XLOOKUP(Tbla_actores[[#This Row],[codigo_proyecto]],Proyectos!$A:$A,Proyectos!$C:$C)),"")</f>
        <v>NULOS</v>
      </c>
    </row>
    <row r="865" spans="1:15" ht="14.25" customHeight="1">
      <c r="A865" s="10">
        <v>1007722129</v>
      </c>
      <c r="B865" s="64" t="s">
        <v>61</v>
      </c>
      <c r="C865" s="62" t="s">
        <v>2550</v>
      </c>
      <c r="D865" t="s">
        <v>63</v>
      </c>
      <c r="E865" t="s">
        <v>2658</v>
      </c>
      <c r="F865" s="61">
        <v>36469</v>
      </c>
      <c r="G865" s="15" t="s">
        <v>73</v>
      </c>
      <c r="H865" t="s">
        <v>2659</v>
      </c>
      <c r="I865" s="62" t="s">
        <v>2660</v>
      </c>
      <c r="K865" s="36" t="s">
        <v>68</v>
      </c>
      <c r="L865" t="s">
        <v>69</v>
      </c>
      <c r="M865" s="62" t="s">
        <v>70</v>
      </c>
      <c r="N865" t="s">
        <v>71</v>
      </c>
      <c r="O865" t="str">
        <f>IFERROR(IF(Tbla_actores[[#This Row],[codigo_proyecto]]="","",_xlfn.XLOOKUP(Tbla_actores[[#This Row],[codigo_proyecto]],Proyectos!$A:$A,Proyectos!$C:$C)),"")</f>
        <v>NULOS</v>
      </c>
    </row>
    <row r="866" spans="1:15" ht="14.25" customHeight="1">
      <c r="A866" s="9">
        <v>1233511884</v>
      </c>
      <c r="B866" s="63" t="s">
        <v>61</v>
      </c>
      <c r="C866" s="62" t="s">
        <v>2550</v>
      </c>
      <c r="D866" t="s">
        <v>63</v>
      </c>
      <c r="E866" t="s">
        <v>2661</v>
      </c>
      <c r="F866" s="61">
        <v>36498</v>
      </c>
      <c r="G866" s="15" t="s">
        <v>73</v>
      </c>
      <c r="H866" t="s">
        <v>2662</v>
      </c>
      <c r="I866" s="62" t="s">
        <v>2663</v>
      </c>
      <c r="K866" s="36" t="s">
        <v>68</v>
      </c>
      <c r="L866" t="s">
        <v>69</v>
      </c>
      <c r="M866" s="62" t="s">
        <v>70</v>
      </c>
      <c r="N866" t="s">
        <v>71</v>
      </c>
      <c r="O866" t="str">
        <f>IFERROR(IF(Tbla_actores[[#This Row],[codigo_proyecto]]="","",_xlfn.XLOOKUP(Tbla_actores[[#This Row],[codigo_proyecto]],Proyectos!$A:$A,Proyectos!$C:$C)),"")</f>
        <v>NULOS</v>
      </c>
    </row>
    <row r="867" spans="1:15" ht="14.25" customHeight="1">
      <c r="A867" s="10">
        <v>1010246032</v>
      </c>
      <c r="B867" s="64" t="s">
        <v>61</v>
      </c>
      <c r="C867" s="62" t="s">
        <v>2550</v>
      </c>
      <c r="D867" t="s">
        <v>63</v>
      </c>
      <c r="E867" t="s">
        <v>2664</v>
      </c>
      <c r="F867" s="61">
        <v>36315</v>
      </c>
      <c r="G867" s="15" t="s">
        <v>73</v>
      </c>
      <c r="H867" t="s">
        <v>2665</v>
      </c>
      <c r="I867" s="62" t="s">
        <v>2666</v>
      </c>
      <c r="K867" s="36" t="s">
        <v>68</v>
      </c>
      <c r="L867" t="s">
        <v>69</v>
      </c>
      <c r="M867" s="62" t="s">
        <v>70</v>
      </c>
      <c r="N867" t="s">
        <v>71</v>
      </c>
      <c r="O867" t="str">
        <f>IFERROR(IF(Tbla_actores[[#This Row],[codigo_proyecto]]="","",_xlfn.XLOOKUP(Tbla_actores[[#This Row],[codigo_proyecto]],Proyectos!$A:$A,Proyectos!$C:$C)),"")</f>
        <v>NULOS</v>
      </c>
    </row>
    <row r="868" spans="1:15" ht="14.25" customHeight="1">
      <c r="A868" s="9">
        <v>1010008291</v>
      </c>
      <c r="B868" s="63" t="s">
        <v>61</v>
      </c>
      <c r="C868" s="62" t="s">
        <v>2550</v>
      </c>
      <c r="D868" t="s">
        <v>63</v>
      </c>
      <c r="E868" t="s">
        <v>2667</v>
      </c>
      <c r="F868" s="61">
        <v>36550</v>
      </c>
      <c r="G868" s="15" t="s">
        <v>65</v>
      </c>
      <c r="H868" t="s">
        <v>2668</v>
      </c>
      <c r="I868" s="62" t="s">
        <v>2669</v>
      </c>
      <c r="K868" s="36" t="s">
        <v>68</v>
      </c>
      <c r="L868" t="s">
        <v>69</v>
      </c>
      <c r="M868" s="62" t="s">
        <v>70</v>
      </c>
      <c r="N868" t="s">
        <v>71</v>
      </c>
      <c r="O868" t="str">
        <f>IFERROR(IF(Tbla_actores[[#This Row],[codigo_proyecto]]="","",_xlfn.XLOOKUP(Tbla_actores[[#This Row],[codigo_proyecto]],Proyectos!$A:$A,Proyectos!$C:$C)),"")</f>
        <v>NULOS</v>
      </c>
    </row>
    <row r="869" spans="1:15" ht="14.25" customHeight="1">
      <c r="A869" s="10">
        <v>1019144164</v>
      </c>
      <c r="B869" s="64" t="s">
        <v>61</v>
      </c>
      <c r="C869" s="62" t="s">
        <v>2550</v>
      </c>
      <c r="D869" t="s">
        <v>63</v>
      </c>
      <c r="E869" t="s">
        <v>2670</v>
      </c>
      <c r="F869" s="61">
        <v>36103</v>
      </c>
      <c r="G869" s="15" t="s">
        <v>73</v>
      </c>
      <c r="H869" t="s">
        <v>2671</v>
      </c>
      <c r="I869" s="62" t="s">
        <v>2672</v>
      </c>
      <c r="K869" s="36" t="s">
        <v>68</v>
      </c>
      <c r="L869" t="s">
        <v>69</v>
      </c>
      <c r="M869" s="62" t="s">
        <v>70</v>
      </c>
      <c r="N869" t="s">
        <v>71</v>
      </c>
      <c r="O869" t="str">
        <f>IFERROR(IF(Tbla_actores[[#This Row],[codigo_proyecto]]="","",_xlfn.XLOOKUP(Tbla_actores[[#This Row],[codigo_proyecto]],Proyectos!$A:$A,Proyectos!$C:$C)),"")</f>
        <v>NULOS</v>
      </c>
    </row>
    <row r="870" spans="1:15" ht="14.25" customHeight="1">
      <c r="A870" s="9">
        <v>1020827075</v>
      </c>
      <c r="B870" s="63" t="s">
        <v>61</v>
      </c>
      <c r="C870" s="62" t="s">
        <v>2550</v>
      </c>
      <c r="D870" t="s">
        <v>63</v>
      </c>
      <c r="E870" t="s">
        <v>2673</v>
      </c>
      <c r="F870" s="61">
        <v>35506</v>
      </c>
      <c r="G870" s="15" t="s">
        <v>73</v>
      </c>
      <c r="H870" t="s">
        <v>2674</v>
      </c>
      <c r="I870" s="62" t="s">
        <v>2675</v>
      </c>
      <c r="K870" s="36" t="s">
        <v>68</v>
      </c>
      <c r="L870" t="s">
        <v>69</v>
      </c>
      <c r="M870" s="62" t="s">
        <v>70</v>
      </c>
      <c r="N870" t="s">
        <v>71</v>
      </c>
      <c r="O870" t="str">
        <f>IFERROR(IF(Tbla_actores[[#This Row],[codigo_proyecto]]="","",_xlfn.XLOOKUP(Tbla_actores[[#This Row],[codigo_proyecto]],Proyectos!$A:$A,Proyectos!$C:$C)),"")</f>
        <v>NULOS</v>
      </c>
    </row>
    <row r="871" spans="1:15" ht="14.25" customHeight="1">
      <c r="A871" s="10">
        <v>1233691510</v>
      </c>
      <c r="B871" s="64" t="s">
        <v>61</v>
      </c>
      <c r="C871" s="62" t="s">
        <v>2550</v>
      </c>
      <c r="D871" t="s">
        <v>63</v>
      </c>
      <c r="E871" t="s">
        <v>2676</v>
      </c>
      <c r="F871" s="61">
        <v>36026</v>
      </c>
      <c r="G871" s="15" t="s">
        <v>73</v>
      </c>
      <c r="H871" t="s">
        <v>2677</v>
      </c>
      <c r="I871" s="62" t="s">
        <v>2678</v>
      </c>
      <c r="K871" s="36" t="s">
        <v>68</v>
      </c>
      <c r="L871" t="s">
        <v>69</v>
      </c>
      <c r="M871" s="62" t="s">
        <v>70</v>
      </c>
      <c r="N871" t="s">
        <v>71</v>
      </c>
      <c r="O871" t="str">
        <f>IFERROR(IF(Tbla_actores[[#This Row],[codigo_proyecto]]="","",_xlfn.XLOOKUP(Tbla_actores[[#This Row],[codigo_proyecto]],Proyectos!$A:$A,Proyectos!$C:$C)),"")</f>
        <v>NULOS</v>
      </c>
    </row>
    <row r="872" spans="1:15" ht="14.25" customHeight="1">
      <c r="A872" s="9">
        <v>1007399671</v>
      </c>
      <c r="B872" s="63" t="s">
        <v>61</v>
      </c>
      <c r="C872" s="62" t="s">
        <v>2550</v>
      </c>
      <c r="D872" t="s">
        <v>63</v>
      </c>
      <c r="E872" t="s">
        <v>2679</v>
      </c>
      <c r="F872" s="61">
        <v>36632</v>
      </c>
      <c r="G872" s="15" t="s">
        <v>73</v>
      </c>
      <c r="H872" t="s">
        <v>2680</v>
      </c>
      <c r="I872" s="62" t="s">
        <v>2681</v>
      </c>
      <c r="K872" s="36" t="s">
        <v>68</v>
      </c>
      <c r="L872" t="s">
        <v>69</v>
      </c>
      <c r="M872" s="62" t="s">
        <v>70</v>
      </c>
      <c r="N872" t="s">
        <v>71</v>
      </c>
      <c r="O872" t="str">
        <f>IFERROR(IF(Tbla_actores[[#This Row],[codigo_proyecto]]="","",_xlfn.XLOOKUP(Tbla_actores[[#This Row],[codigo_proyecto]],Proyectos!$A:$A,Proyectos!$C:$C)),"")</f>
        <v>NULOS</v>
      </c>
    </row>
    <row r="873" spans="1:15" ht="14.25" customHeight="1">
      <c r="A873" s="10">
        <v>1000832267</v>
      </c>
      <c r="B873" s="64" t="s">
        <v>61</v>
      </c>
      <c r="C873" s="62" t="s">
        <v>2550</v>
      </c>
      <c r="D873" t="s">
        <v>63</v>
      </c>
      <c r="E873" t="s">
        <v>2682</v>
      </c>
      <c r="F873" s="61">
        <v>36522</v>
      </c>
      <c r="G873" s="15" t="s">
        <v>65</v>
      </c>
      <c r="H873" t="s">
        <v>2683</v>
      </c>
      <c r="I873" s="62" t="s">
        <v>2684</v>
      </c>
      <c r="K873" s="36" t="s">
        <v>68</v>
      </c>
      <c r="L873" t="s">
        <v>69</v>
      </c>
      <c r="M873" s="62" t="s">
        <v>70</v>
      </c>
      <c r="N873" t="s">
        <v>71</v>
      </c>
      <c r="O873" t="str">
        <f>IFERROR(IF(Tbla_actores[[#This Row],[codigo_proyecto]]="","",_xlfn.XLOOKUP(Tbla_actores[[#This Row],[codigo_proyecto]],Proyectos!$A:$A,Proyectos!$C:$C)),"")</f>
        <v>NULOS</v>
      </c>
    </row>
    <row r="874" spans="1:15" ht="14.25" customHeight="1">
      <c r="A874" s="9">
        <v>1020840085</v>
      </c>
      <c r="B874" s="63" t="s">
        <v>61</v>
      </c>
      <c r="C874" s="62" t="s">
        <v>2550</v>
      </c>
      <c r="D874" t="s">
        <v>63</v>
      </c>
      <c r="E874" t="s">
        <v>2685</v>
      </c>
      <c r="F874" s="61">
        <v>36223</v>
      </c>
      <c r="G874" s="15" t="s">
        <v>73</v>
      </c>
      <c r="H874" t="s">
        <v>2686</v>
      </c>
      <c r="I874" s="62" t="s">
        <v>2687</v>
      </c>
      <c r="K874" s="36" t="s">
        <v>68</v>
      </c>
      <c r="L874" t="s">
        <v>69</v>
      </c>
      <c r="M874" s="62" t="s">
        <v>70</v>
      </c>
      <c r="N874" t="s">
        <v>71</v>
      </c>
      <c r="O874" t="str">
        <f>IFERROR(IF(Tbla_actores[[#This Row],[codigo_proyecto]]="","",_xlfn.XLOOKUP(Tbla_actores[[#This Row],[codigo_proyecto]],Proyectos!$A:$A,Proyectos!$C:$C)),"")</f>
        <v>NULOS</v>
      </c>
    </row>
    <row r="875" spans="1:15" ht="14.25" customHeight="1">
      <c r="A875" s="10">
        <v>1032505997</v>
      </c>
      <c r="B875" s="64" t="s">
        <v>61</v>
      </c>
      <c r="C875" s="62" t="s">
        <v>2550</v>
      </c>
      <c r="D875" t="s">
        <v>63</v>
      </c>
      <c r="E875" t="s">
        <v>2688</v>
      </c>
      <c r="F875" s="61">
        <v>36366</v>
      </c>
      <c r="G875" s="15" t="s">
        <v>73</v>
      </c>
      <c r="H875" t="s">
        <v>2689</v>
      </c>
      <c r="I875" s="62" t="s">
        <v>2690</v>
      </c>
      <c r="K875" s="36" t="s">
        <v>68</v>
      </c>
      <c r="L875" t="s">
        <v>69</v>
      </c>
      <c r="M875" s="62" t="s">
        <v>70</v>
      </c>
      <c r="N875" t="s">
        <v>71</v>
      </c>
      <c r="O875" t="str">
        <f>IFERROR(IF(Tbla_actores[[#This Row],[codigo_proyecto]]="","",_xlfn.XLOOKUP(Tbla_actores[[#This Row],[codigo_proyecto]],Proyectos!$A:$A,Proyectos!$C:$C)),"")</f>
        <v>NULOS</v>
      </c>
    </row>
    <row r="876" spans="1:15" ht="14.25" customHeight="1">
      <c r="A876" s="9">
        <v>1032504647</v>
      </c>
      <c r="B876" s="63" t="s">
        <v>61</v>
      </c>
      <c r="C876" s="62" t="s">
        <v>2550</v>
      </c>
      <c r="D876" t="s">
        <v>63</v>
      </c>
      <c r="E876" t="s">
        <v>2691</v>
      </c>
      <c r="F876" s="61">
        <v>36292</v>
      </c>
      <c r="G876" s="15" t="s">
        <v>73</v>
      </c>
      <c r="H876" t="s">
        <v>2692</v>
      </c>
      <c r="I876" s="62" t="s">
        <v>2693</v>
      </c>
      <c r="K876" s="36" t="s">
        <v>169</v>
      </c>
      <c r="L876" t="s">
        <v>69</v>
      </c>
      <c r="M876" s="62" t="s">
        <v>170</v>
      </c>
      <c r="N876" t="s">
        <v>71</v>
      </c>
      <c r="O876" t="str">
        <f>IFERROR(IF(Tbla_actores[[#This Row],[codigo_proyecto]]="","",_xlfn.XLOOKUP(Tbla_actores[[#This Row],[codigo_proyecto]],Proyectos!$A:$A,Proyectos!$C:$C)),"")</f>
        <v>NULOS</v>
      </c>
    </row>
    <row r="877" spans="1:15" ht="14.25" customHeight="1">
      <c r="A877" s="10">
        <v>1019132793</v>
      </c>
      <c r="B877" s="64" t="s">
        <v>61</v>
      </c>
      <c r="C877" s="62" t="s">
        <v>2550</v>
      </c>
      <c r="D877" t="s">
        <v>63</v>
      </c>
      <c r="E877" t="s">
        <v>2694</v>
      </c>
      <c r="F877" s="61">
        <v>35660</v>
      </c>
      <c r="G877" s="15" t="s">
        <v>73</v>
      </c>
      <c r="H877" t="s">
        <v>2695</v>
      </c>
      <c r="I877" s="62" t="s">
        <v>2696</v>
      </c>
      <c r="K877" s="36" t="s">
        <v>169</v>
      </c>
      <c r="L877" t="s">
        <v>69</v>
      </c>
      <c r="M877" s="62" t="s">
        <v>170</v>
      </c>
      <c r="N877" t="s">
        <v>71</v>
      </c>
      <c r="O877" t="str">
        <f>IFERROR(IF(Tbla_actores[[#This Row],[codigo_proyecto]]="","",_xlfn.XLOOKUP(Tbla_actores[[#This Row],[codigo_proyecto]],Proyectos!$A:$A,Proyectos!$C:$C)),"")</f>
        <v>NULOS</v>
      </c>
    </row>
    <row r="878" spans="1:15" ht="14.25" customHeight="1">
      <c r="A878" s="9">
        <v>1010001432</v>
      </c>
      <c r="B878" s="63" t="s">
        <v>61</v>
      </c>
      <c r="C878" s="62" t="s">
        <v>2550</v>
      </c>
      <c r="D878" t="s">
        <v>63</v>
      </c>
      <c r="E878" t="s">
        <v>2697</v>
      </c>
      <c r="F878" s="61">
        <v>36868</v>
      </c>
      <c r="G878" s="15" t="s">
        <v>73</v>
      </c>
      <c r="H878" t="s">
        <v>2698</v>
      </c>
      <c r="I878" s="62" t="s">
        <v>2699</v>
      </c>
      <c r="K878" s="36" t="s">
        <v>169</v>
      </c>
      <c r="L878" t="s">
        <v>69</v>
      </c>
      <c r="M878" s="62" t="s">
        <v>170</v>
      </c>
      <c r="N878" t="s">
        <v>71</v>
      </c>
      <c r="O878" t="str">
        <f>IFERROR(IF(Tbla_actores[[#This Row],[codigo_proyecto]]="","",_xlfn.XLOOKUP(Tbla_actores[[#This Row],[codigo_proyecto]],Proyectos!$A:$A,Proyectos!$C:$C)),"")</f>
        <v>NULOS</v>
      </c>
    </row>
    <row r="879" spans="1:15" ht="14.25" customHeight="1">
      <c r="A879" s="10">
        <v>1019139534</v>
      </c>
      <c r="B879" s="64" t="s">
        <v>61</v>
      </c>
      <c r="C879" s="62" t="s">
        <v>2550</v>
      </c>
      <c r="D879" t="s">
        <v>63</v>
      </c>
      <c r="E879" t="s">
        <v>2700</v>
      </c>
      <c r="F879" s="61">
        <v>35917</v>
      </c>
      <c r="G879" s="15" t="s">
        <v>65</v>
      </c>
      <c r="H879" t="s">
        <v>2701</v>
      </c>
      <c r="I879" s="62" t="s">
        <v>2702</v>
      </c>
      <c r="K879" s="36" t="s">
        <v>169</v>
      </c>
      <c r="L879" t="s">
        <v>69</v>
      </c>
      <c r="M879" s="62" t="s">
        <v>170</v>
      </c>
      <c r="N879" t="s">
        <v>71</v>
      </c>
      <c r="O879" t="str">
        <f>IFERROR(IF(Tbla_actores[[#This Row],[codigo_proyecto]]="","",_xlfn.XLOOKUP(Tbla_actores[[#This Row],[codigo_proyecto]],Proyectos!$A:$A,Proyectos!$C:$C)),"")</f>
        <v>NULOS</v>
      </c>
    </row>
    <row r="880" spans="1:15" ht="14.25" customHeight="1">
      <c r="A880" s="9">
        <v>1020827208</v>
      </c>
      <c r="B880" s="63" t="s">
        <v>61</v>
      </c>
      <c r="C880" s="62" t="s">
        <v>2550</v>
      </c>
      <c r="D880" t="s">
        <v>63</v>
      </c>
      <c r="E880" t="s">
        <v>2703</v>
      </c>
      <c r="F880" s="61">
        <v>35626</v>
      </c>
      <c r="G880" s="15" t="s">
        <v>65</v>
      </c>
      <c r="H880" t="s">
        <v>2704</v>
      </c>
      <c r="I880" s="62" t="s">
        <v>2705</v>
      </c>
      <c r="K880" s="36" t="s">
        <v>169</v>
      </c>
      <c r="L880" t="s">
        <v>69</v>
      </c>
      <c r="M880" s="62" t="s">
        <v>170</v>
      </c>
      <c r="N880" t="s">
        <v>71</v>
      </c>
      <c r="O880" t="str">
        <f>IFERROR(IF(Tbla_actores[[#This Row],[codigo_proyecto]]="","",_xlfn.XLOOKUP(Tbla_actores[[#This Row],[codigo_proyecto]],Proyectos!$A:$A,Proyectos!$C:$C)),"")</f>
        <v>NULOS</v>
      </c>
    </row>
    <row r="881" spans="1:15" ht="14.25" customHeight="1">
      <c r="A881" s="10">
        <v>1032489879</v>
      </c>
      <c r="B881" s="64" t="s">
        <v>61</v>
      </c>
      <c r="C881" s="62" t="s">
        <v>2550</v>
      </c>
      <c r="D881" t="s">
        <v>63</v>
      </c>
      <c r="E881" t="s">
        <v>2706</v>
      </c>
      <c r="F881" s="61">
        <v>35523</v>
      </c>
      <c r="G881" s="15" t="s">
        <v>73</v>
      </c>
      <c r="H881" t="s">
        <v>2707</v>
      </c>
      <c r="I881" s="62" t="s">
        <v>2708</v>
      </c>
      <c r="K881" s="36" t="s">
        <v>169</v>
      </c>
      <c r="L881" t="s">
        <v>69</v>
      </c>
      <c r="M881" s="62" t="s">
        <v>170</v>
      </c>
      <c r="N881" t="s">
        <v>71</v>
      </c>
      <c r="O881" t="str">
        <f>IFERROR(IF(Tbla_actores[[#This Row],[codigo_proyecto]]="","",_xlfn.XLOOKUP(Tbla_actores[[#This Row],[codigo_proyecto]],Proyectos!$A:$A,Proyectos!$C:$C)),"")</f>
        <v>NULOS</v>
      </c>
    </row>
    <row r="882" spans="1:15" ht="14.25" customHeight="1">
      <c r="A882" s="9">
        <v>1020845096</v>
      </c>
      <c r="B882" s="63" t="s">
        <v>61</v>
      </c>
      <c r="C882" s="62" t="s">
        <v>2550</v>
      </c>
      <c r="D882" t="s">
        <v>63</v>
      </c>
      <c r="E882" t="s">
        <v>2709</v>
      </c>
      <c r="F882" s="61">
        <v>36500</v>
      </c>
      <c r="G882" s="15" t="s">
        <v>73</v>
      </c>
      <c r="H882" t="s">
        <v>2710</v>
      </c>
      <c r="I882" s="62" t="s">
        <v>2711</v>
      </c>
      <c r="K882" s="36" t="s">
        <v>169</v>
      </c>
      <c r="L882" t="s">
        <v>69</v>
      </c>
      <c r="M882" s="62" t="s">
        <v>170</v>
      </c>
      <c r="N882" t="s">
        <v>71</v>
      </c>
      <c r="O882" t="str">
        <f>IFERROR(IF(Tbla_actores[[#This Row],[codigo_proyecto]]="","",_xlfn.XLOOKUP(Tbla_actores[[#This Row],[codigo_proyecto]],Proyectos!$A:$A,Proyectos!$C:$C)),"")</f>
        <v>NULOS</v>
      </c>
    </row>
    <row r="883" spans="1:15" ht="14.25" customHeight="1">
      <c r="A883" s="10">
        <v>1014309489</v>
      </c>
      <c r="B883" s="64" t="s">
        <v>61</v>
      </c>
      <c r="C883" s="62" t="s">
        <v>2550</v>
      </c>
      <c r="D883" t="s">
        <v>63</v>
      </c>
      <c r="E883" t="s">
        <v>2712</v>
      </c>
      <c r="F883" s="61">
        <v>36493</v>
      </c>
      <c r="G883" s="15" t="s">
        <v>73</v>
      </c>
      <c r="H883" t="s">
        <v>2713</v>
      </c>
      <c r="I883" s="62" t="s">
        <v>2714</v>
      </c>
      <c r="K883" s="36" t="s">
        <v>169</v>
      </c>
      <c r="L883" t="s">
        <v>69</v>
      </c>
      <c r="M883" s="62" t="s">
        <v>170</v>
      </c>
      <c r="N883" t="s">
        <v>71</v>
      </c>
      <c r="O883" t="str">
        <f>IFERROR(IF(Tbla_actores[[#This Row],[codigo_proyecto]]="","",_xlfn.XLOOKUP(Tbla_actores[[#This Row],[codigo_proyecto]],Proyectos!$A:$A,Proyectos!$C:$C)),"")</f>
        <v>NULOS</v>
      </c>
    </row>
    <row r="884" spans="1:15" ht="14.25" customHeight="1">
      <c r="A884" s="9">
        <v>1005188334</v>
      </c>
      <c r="B884" s="63" t="s">
        <v>61</v>
      </c>
      <c r="C884" s="62" t="s">
        <v>2550</v>
      </c>
      <c r="D884" t="s">
        <v>63</v>
      </c>
      <c r="E884" t="s">
        <v>2715</v>
      </c>
      <c r="F884" s="61">
        <v>36809</v>
      </c>
      <c r="G884" s="15" t="s">
        <v>65</v>
      </c>
      <c r="H884" t="s">
        <v>2716</v>
      </c>
      <c r="I884" s="62" t="s">
        <v>2717</v>
      </c>
      <c r="K884" s="36" t="s">
        <v>169</v>
      </c>
      <c r="L884" t="s">
        <v>69</v>
      </c>
      <c r="M884" s="62" t="s">
        <v>170</v>
      </c>
      <c r="N884" t="s">
        <v>71</v>
      </c>
      <c r="O884" t="str">
        <f>IFERROR(IF(Tbla_actores[[#This Row],[codigo_proyecto]]="","",_xlfn.XLOOKUP(Tbla_actores[[#This Row],[codigo_proyecto]],Proyectos!$A:$A,Proyectos!$C:$C)),"")</f>
        <v>NULOS</v>
      </c>
    </row>
    <row r="885" spans="1:15" ht="14.25" customHeight="1">
      <c r="A885" s="10">
        <v>1018514087</v>
      </c>
      <c r="B885" s="64" t="s">
        <v>61</v>
      </c>
      <c r="C885" s="62" t="s">
        <v>2550</v>
      </c>
      <c r="D885" t="s">
        <v>63</v>
      </c>
      <c r="E885" t="s">
        <v>2718</v>
      </c>
      <c r="F885" s="61">
        <v>36460</v>
      </c>
      <c r="G885" s="15" t="s">
        <v>65</v>
      </c>
      <c r="H885" t="s">
        <v>2719</v>
      </c>
      <c r="I885" s="62" t="s">
        <v>2720</v>
      </c>
      <c r="K885" s="36" t="s">
        <v>169</v>
      </c>
      <c r="L885" t="s">
        <v>69</v>
      </c>
      <c r="M885" s="62" t="s">
        <v>170</v>
      </c>
      <c r="N885" t="s">
        <v>71</v>
      </c>
      <c r="O885" t="str">
        <f>IFERROR(IF(Tbla_actores[[#This Row],[codigo_proyecto]]="","",_xlfn.XLOOKUP(Tbla_actores[[#This Row],[codigo_proyecto]],Proyectos!$A:$A,Proyectos!$C:$C)),"")</f>
        <v>NULOS</v>
      </c>
    </row>
    <row r="886" spans="1:15" ht="14.25" customHeight="1">
      <c r="A886" s="9">
        <v>1007282136</v>
      </c>
      <c r="B886" s="63" t="s">
        <v>61</v>
      </c>
      <c r="C886" s="62" t="s">
        <v>2550</v>
      </c>
      <c r="D886" t="s">
        <v>63</v>
      </c>
      <c r="E886" t="s">
        <v>2721</v>
      </c>
      <c r="F886" s="61">
        <v>36357</v>
      </c>
      <c r="G886" s="15" t="s">
        <v>73</v>
      </c>
      <c r="H886" t="s">
        <v>2722</v>
      </c>
      <c r="I886" s="62" t="s">
        <v>2723</v>
      </c>
      <c r="K886" s="36" t="s">
        <v>169</v>
      </c>
      <c r="L886" t="s">
        <v>69</v>
      </c>
      <c r="M886" s="62" t="s">
        <v>170</v>
      </c>
      <c r="N886" t="s">
        <v>71</v>
      </c>
      <c r="O886" t="str">
        <f>IFERROR(IF(Tbla_actores[[#This Row],[codigo_proyecto]]="","",_xlfn.XLOOKUP(Tbla_actores[[#This Row],[codigo_proyecto]],Proyectos!$A:$A,Proyectos!$C:$C)),"")</f>
        <v>NULOS</v>
      </c>
    </row>
    <row r="887" spans="1:15" ht="14.25" customHeight="1">
      <c r="A887" s="10">
        <v>1118567591</v>
      </c>
      <c r="B887" s="64" t="s">
        <v>61</v>
      </c>
      <c r="C887" s="62" t="s">
        <v>2550</v>
      </c>
      <c r="D887" t="s">
        <v>63</v>
      </c>
      <c r="E887" t="s">
        <v>2724</v>
      </c>
      <c r="F887" s="61">
        <v>35453</v>
      </c>
      <c r="G887" s="15" t="s">
        <v>65</v>
      </c>
      <c r="H887" t="s">
        <v>2725</v>
      </c>
      <c r="I887" s="62" t="s">
        <v>2726</v>
      </c>
      <c r="K887" s="36" t="s">
        <v>169</v>
      </c>
      <c r="L887" t="s">
        <v>69</v>
      </c>
      <c r="M887" s="62" t="s">
        <v>170</v>
      </c>
      <c r="N887" t="s">
        <v>71</v>
      </c>
      <c r="O887" t="str">
        <f>IFERROR(IF(Tbla_actores[[#This Row],[codigo_proyecto]]="","",_xlfn.XLOOKUP(Tbla_actores[[#This Row],[codigo_proyecto]],Proyectos!$A:$A,Proyectos!$C:$C)),"")</f>
        <v>NULOS</v>
      </c>
    </row>
    <row r="888" spans="1:15" ht="14.25" customHeight="1">
      <c r="A888" s="9">
        <v>1032496419</v>
      </c>
      <c r="B888" s="63" t="s">
        <v>61</v>
      </c>
      <c r="C888" s="62" t="s">
        <v>2550</v>
      </c>
      <c r="D888" t="s">
        <v>63</v>
      </c>
      <c r="E888" t="s">
        <v>2727</v>
      </c>
      <c r="F888" s="61">
        <v>35848</v>
      </c>
      <c r="G888" s="15" t="s">
        <v>65</v>
      </c>
      <c r="H888" t="s">
        <v>2728</v>
      </c>
      <c r="I888" s="62" t="s">
        <v>2729</v>
      </c>
      <c r="K888" s="36" t="s">
        <v>169</v>
      </c>
      <c r="L888" t="s">
        <v>69</v>
      </c>
      <c r="M888" s="62" t="s">
        <v>170</v>
      </c>
      <c r="N888" t="s">
        <v>71</v>
      </c>
      <c r="O888" t="str">
        <f>IFERROR(IF(Tbla_actores[[#This Row],[codigo_proyecto]]="","",_xlfn.XLOOKUP(Tbla_actores[[#This Row],[codigo_proyecto]],Proyectos!$A:$A,Proyectos!$C:$C)),"")</f>
        <v>NULOS</v>
      </c>
    </row>
    <row r="889" spans="1:15" ht="14.25" customHeight="1">
      <c r="A889" s="10">
        <v>1030685253</v>
      </c>
      <c r="B889" s="64" t="s">
        <v>61</v>
      </c>
      <c r="C889" s="62" t="s">
        <v>2550</v>
      </c>
      <c r="D889" t="s">
        <v>63</v>
      </c>
      <c r="E889" t="s">
        <v>2730</v>
      </c>
      <c r="F889" s="61">
        <v>35840</v>
      </c>
      <c r="G889" s="15" t="s">
        <v>73</v>
      </c>
      <c r="H889" t="s">
        <v>2731</v>
      </c>
      <c r="I889" s="62" t="s">
        <v>2732</v>
      </c>
      <c r="K889" s="36" t="s">
        <v>169</v>
      </c>
      <c r="L889" t="s">
        <v>69</v>
      </c>
      <c r="M889" s="62" t="s">
        <v>170</v>
      </c>
      <c r="N889" t="s">
        <v>71</v>
      </c>
      <c r="O889" t="str">
        <f>IFERROR(IF(Tbla_actores[[#This Row],[codigo_proyecto]]="","",_xlfn.XLOOKUP(Tbla_actores[[#This Row],[codigo_proyecto]],Proyectos!$A:$A,Proyectos!$C:$C)),"")</f>
        <v>NULOS</v>
      </c>
    </row>
    <row r="890" spans="1:15" ht="14.25" customHeight="1">
      <c r="A890" s="9">
        <v>1233695246</v>
      </c>
      <c r="B890" s="63" t="s">
        <v>61</v>
      </c>
      <c r="C890" s="62" t="s">
        <v>2550</v>
      </c>
      <c r="D890" t="s">
        <v>63</v>
      </c>
      <c r="E890" t="s">
        <v>2733</v>
      </c>
      <c r="F890" s="61">
        <v>36384</v>
      </c>
      <c r="G890" s="15" t="s">
        <v>65</v>
      </c>
      <c r="H890" t="s">
        <v>2734</v>
      </c>
      <c r="I890" s="62" t="s">
        <v>2735</v>
      </c>
      <c r="K890" s="36" t="s">
        <v>169</v>
      </c>
      <c r="L890" t="s">
        <v>69</v>
      </c>
      <c r="M890" s="62" t="s">
        <v>170</v>
      </c>
      <c r="N890" t="s">
        <v>71</v>
      </c>
      <c r="O890" t="str">
        <f>IFERROR(IF(Tbla_actores[[#This Row],[codigo_proyecto]]="","",_xlfn.XLOOKUP(Tbla_actores[[#This Row],[codigo_proyecto]],Proyectos!$A:$A,Proyectos!$C:$C)),"")</f>
        <v>NULOS</v>
      </c>
    </row>
    <row r="891" spans="1:15" ht="14.25" customHeight="1">
      <c r="A891" s="10">
        <v>1005086373</v>
      </c>
      <c r="B891" s="64" t="s">
        <v>61</v>
      </c>
      <c r="C891" s="62" t="s">
        <v>2550</v>
      </c>
      <c r="D891" t="s">
        <v>63</v>
      </c>
      <c r="E891" t="s">
        <v>2736</v>
      </c>
      <c r="F891" s="61">
        <v>36440</v>
      </c>
      <c r="G891" s="15" t="s">
        <v>73</v>
      </c>
      <c r="H891" t="s">
        <v>2737</v>
      </c>
      <c r="I891" s="62" t="s">
        <v>2738</v>
      </c>
      <c r="K891" s="36" t="s">
        <v>169</v>
      </c>
      <c r="L891" t="s">
        <v>69</v>
      </c>
      <c r="M891" s="62" t="s">
        <v>170</v>
      </c>
      <c r="N891" t="s">
        <v>71</v>
      </c>
      <c r="O891" t="str">
        <f>IFERROR(IF(Tbla_actores[[#This Row],[codigo_proyecto]]="","",_xlfn.XLOOKUP(Tbla_actores[[#This Row],[codigo_proyecto]],Proyectos!$A:$A,Proyectos!$C:$C)),"")</f>
        <v>NULOS</v>
      </c>
    </row>
    <row r="892" spans="1:15" ht="14.25" customHeight="1">
      <c r="A892" s="9">
        <v>1020820689</v>
      </c>
      <c r="B892" s="63" t="s">
        <v>61</v>
      </c>
      <c r="C892" s="62" t="s">
        <v>2550</v>
      </c>
      <c r="D892" t="s">
        <v>63</v>
      </c>
      <c r="E892" t="s">
        <v>2739</v>
      </c>
      <c r="F892" s="61">
        <v>35396</v>
      </c>
      <c r="G892" s="15" t="s">
        <v>73</v>
      </c>
      <c r="H892" t="s">
        <v>2740</v>
      </c>
      <c r="I892" s="62" t="s">
        <v>2741</v>
      </c>
      <c r="K892" s="36" t="s">
        <v>169</v>
      </c>
      <c r="L892" t="s">
        <v>69</v>
      </c>
      <c r="M892" s="62" t="s">
        <v>170</v>
      </c>
      <c r="N892" t="s">
        <v>71</v>
      </c>
      <c r="O892" t="str">
        <f>IFERROR(IF(Tbla_actores[[#This Row],[codigo_proyecto]]="","",_xlfn.XLOOKUP(Tbla_actores[[#This Row],[codigo_proyecto]],Proyectos!$A:$A,Proyectos!$C:$C)),"")</f>
        <v>NULOS</v>
      </c>
    </row>
    <row r="893" spans="1:15" ht="14.25" customHeight="1">
      <c r="A893" s="10">
        <v>1032507080</v>
      </c>
      <c r="B893" s="64" t="s">
        <v>61</v>
      </c>
      <c r="C893" s="62" t="s">
        <v>2550</v>
      </c>
      <c r="D893" t="s">
        <v>63</v>
      </c>
      <c r="E893" t="s">
        <v>2742</v>
      </c>
      <c r="F893" s="61">
        <v>36418</v>
      </c>
      <c r="G893" s="15" t="s">
        <v>73</v>
      </c>
      <c r="H893" t="s">
        <v>2743</v>
      </c>
      <c r="I893" s="62" t="s">
        <v>2744</v>
      </c>
      <c r="K893" s="36" t="s">
        <v>169</v>
      </c>
      <c r="L893" t="s">
        <v>69</v>
      </c>
      <c r="M893" s="62" t="s">
        <v>170</v>
      </c>
      <c r="N893" t="s">
        <v>71</v>
      </c>
      <c r="O893" t="str">
        <f>IFERROR(IF(Tbla_actores[[#This Row],[codigo_proyecto]]="","",_xlfn.XLOOKUP(Tbla_actores[[#This Row],[codigo_proyecto]],Proyectos!$A:$A,Proyectos!$C:$C)),"")</f>
        <v>NULOS</v>
      </c>
    </row>
    <row r="894" spans="1:15" ht="14.25" customHeight="1">
      <c r="A894" s="9">
        <v>1001184214</v>
      </c>
      <c r="B894" s="63" t="s">
        <v>61</v>
      </c>
      <c r="C894" s="62" t="s">
        <v>2550</v>
      </c>
      <c r="D894" t="s">
        <v>63</v>
      </c>
      <c r="E894" t="s">
        <v>2745</v>
      </c>
      <c r="F894" s="61">
        <v>36735</v>
      </c>
      <c r="G894" s="15" t="s">
        <v>73</v>
      </c>
      <c r="H894" t="s">
        <v>2746</v>
      </c>
      <c r="I894" s="62" t="s">
        <v>2747</v>
      </c>
      <c r="K894" s="36" t="s">
        <v>169</v>
      </c>
      <c r="L894" t="s">
        <v>69</v>
      </c>
      <c r="M894" s="62" t="s">
        <v>170</v>
      </c>
      <c r="N894" t="s">
        <v>71</v>
      </c>
      <c r="O894" t="str">
        <f>IFERROR(IF(Tbla_actores[[#This Row],[codigo_proyecto]]="","",_xlfn.XLOOKUP(Tbla_actores[[#This Row],[codigo_proyecto]],Proyectos!$A:$A,Proyectos!$C:$C)),"")</f>
        <v>NULOS</v>
      </c>
    </row>
    <row r="895" spans="1:15" ht="14.25" customHeight="1">
      <c r="A895" s="10">
        <v>1233498256</v>
      </c>
      <c r="B895" s="64" t="s">
        <v>61</v>
      </c>
      <c r="C895" s="62" t="s">
        <v>2550</v>
      </c>
      <c r="D895" t="s">
        <v>63</v>
      </c>
      <c r="E895" t="s">
        <v>2748</v>
      </c>
      <c r="F895" s="61">
        <v>35980</v>
      </c>
      <c r="G895" s="15" t="s">
        <v>65</v>
      </c>
      <c r="H895" t="s">
        <v>2749</v>
      </c>
      <c r="I895" s="62" t="s">
        <v>2750</v>
      </c>
      <c r="K895" s="36" t="s">
        <v>169</v>
      </c>
      <c r="L895" t="s">
        <v>69</v>
      </c>
      <c r="M895" s="62" t="s">
        <v>170</v>
      </c>
      <c r="N895" t="s">
        <v>71</v>
      </c>
      <c r="O895" t="str">
        <f>IFERROR(IF(Tbla_actores[[#This Row],[codigo_proyecto]]="","",_xlfn.XLOOKUP(Tbla_actores[[#This Row],[codigo_proyecto]],Proyectos!$A:$A,Proyectos!$C:$C)),"")</f>
        <v>NULOS</v>
      </c>
    </row>
    <row r="896" spans="1:15" ht="14.25" customHeight="1">
      <c r="A896" s="9">
        <v>1032504159</v>
      </c>
      <c r="B896" s="63" t="s">
        <v>61</v>
      </c>
      <c r="C896" s="62" t="s">
        <v>2550</v>
      </c>
      <c r="D896" t="s">
        <v>63</v>
      </c>
      <c r="E896" t="s">
        <v>2751</v>
      </c>
      <c r="F896" s="61">
        <v>36268</v>
      </c>
      <c r="G896" s="15" t="s">
        <v>65</v>
      </c>
      <c r="H896" t="s">
        <v>2752</v>
      </c>
      <c r="I896" s="62" t="s">
        <v>2753</v>
      </c>
      <c r="K896" s="36" t="s">
        <v>169</v>
      </c>
      <c r="L896" t="s">
        <v>69</v>
      </c>
      <c r="M896" s="62" t="s">
        <v>170</v>
      </c>
      <c r="N896" t="s">
        <v>71</v>
      </c>
      <c r="O896" t="str">
        <f>IFERROR(IF(Tbla_actores[[#This Row],[codigo_proyecto]]="","",_xlfn.XLOOKUP(Tbla_actores[[#This Row],[codigo_proyecto]],Proyectos!$A:$A,Proyectos!$C:$C)),"")</f>
        <v>NULOS</v>
      </c>
    </row>
    <row r="897" spans="1:15" ht="14.25" customHeight="1">
      <c r="A897" s="10">
        <v>1000377190</v>
      </c>
      <c r="B897" s="64" t="s">
        <v>61</v>
      </c>
      <c r="C897" s="62" t="s">
        <v>2550</v>
      </c>
      <c r="D897" t="s">
        <v>63</v>
      </c>
      <c r="E897" t="s">
        <v>2754</v>
      </c>
      <c r="F897" s="61">
        <v>36655</v>
      </c>
      <c r="G897" s="15" t="s">
        <v>65</v>
      </c>
      <c r="H897" t="s">
        <v>2755</v>
      </c>
      <c r="I897" s="62" t="s">
        <v>2756</v>
      </c>
      <c r="K897" s="36" t="s">
        <v>169</v>
      </c>
      <c r="L897" t="s">
        <v>69</v>
      </c>
      <c r="M897" s="62" t="s">
        <v>170</v>
      </c>
      <c r="N897" t="s">
        <v>71</v>
      </c>
      <c r="O897" t="str">
        <f>IFERROR(IF(Tbla_actores[[#This Row],[codigo_proyecto]]="","",_xlfn.XLOOKUP(Tbla_actores[[#This Row],[codigo_proyecto]],Proyectos!$A:$A,Proyectos!$C:$C)),"")</f>
        <v>NULOS</v>
      </c>
    </row>
    <row r="898" spans="1:15" ht="14.25" customHeight="1">
      <c r="A898" s="9">
        <v>1020810876</v>
      </c>
      <c r="B898" s="63" t="s">
        <v>61</v>
      </c>
      <c r="C898" s="62" t="s">
        <v>2550</v>
      </c>
      <c r="D898" t="s">
        <v>63</v>
      </c>
      <c r="E898" t="s">
        <v>2757</v>
      </c>
      <c r="F898" s="61">
        <v>35033</v>
      </c>
      <c r="G898" s="15" t="s">
        <v>73</v>
      </c>
      <c r="H898" t="s">
        <v>2758</v>
      </c>
      <c r="I898" s="62" t="s">
        <v>2759</v>
      </c>
      <c r="K898" s="36" t="s">
        <v>169</v>
      </c>
      <c r="L898" t="s">
        <v>69</v>
      </c>
      <c r="M898" s="62" t="s">
        <v>170</v>
      </c>
      <c r="N898" t="s">
        <v>71</v>
      </c>
      <c r="O898" t="str">
        <f>IFERROR(IF(Tbla_actores[[#This Row],[codigo_proyecto]]="","",_xlfn.XLOOKUP(Tbla_actores[[#This Row],[codigo_proyecto]],Proyectos!$A:$A,Proyectos!$C:$C)),"")</f>
        <v>NULOS</v>
      </c>
    </row>
    <row r="899" spans="1:15" ht="14.25" customHeight="1">
      <c r="A899" s="10">
        <v>1023979535</v>
      </c>
      <c r="B899" s="64" t="s">
        <v>61</v>
      </c>
      <c r="C899" s="62" t="s">
        <v>2550</v>
      </c>
      <c r="D899" t="s">
        <v>63</v>
      </c>
      <c r="E899" t="s">
        <v>2760</v>
      </c>
      <c r="F899" s="61">
        <v>36466</v>
      </c>
      <c r="G899" s="15" t="s">
        <v>73</v>
      </c>
      <c r="H899" t="s">
        <v>2761</v>
      </c>
      <c r="I899" s="62" t="s">
        <v>2762</v>
      </c>
      <c r="K899" s="36" t="s">
        <v>169</v>
      </c>
      <c r="L899" t="s">
        <v>69</v>
      </c>
      <c r="M899" s="62" t="s">
        <v>170</v>
      </c>
      <c r="N899" t="s">
        <v>71</v>
      </c>
      <c r="O899" t="str">
        <f>IFERROR(IF(Tbla_actores[[#This Row],[codigo_proyecto]]="","",_xlfn.XLOOKUP(Tbla_actores[[#This Row],[codigo_proyecto]],Proyectos!$A:$A,Proyectos!$C:$C)),"")</f>
        <v>NULOS</v>
      </c>
    </row>
    <row r="900" spans="1:15" ht="14.25" customHeight="1">
      <c r="A900" s="9">
        <v>1015467847</v>
      </c>
      <c r="B900" s="63" t="s">
        <v>61</v>
      </c>
      <c r="C900" s="62" t="s">
        <v>2550</v>
      </c>
      <c r="D900" t="s">
        <v>63</v>
      </c>
      <c r="E900" t="s">
        <v>2763</v>
      </c>
      <c r="F900" s="61">
        <v>35508</v>
      </c>
      <c r="G900" s="15" t="s">
        <v>65</v>
      </c>
      <c r="H900" t="s">
        <v>2764</v>
      </c>
      <c r="I900" s="62" t="s">
        <v>2765</v>
      </c>
      <c r="K900" s="36" t="s">
        <v>169</v>
      </c>
      <c r="L900" t="s">
        <v>69</v>
      </c>
      <c r="M900" s="62" t="s">
        <v>170</v>
      </c>
      <c r="N900" t="s">
        <v>71</v>
      </c>
      <c r="O900" t="str">
        <f>IFERROR(IF(Tbla_actores[[#This Row],[codigo_proyecto]]="","",_xlfn.XLOOKUP(Tbla_actores[[#This Row],[codigo_proyecto]],Proyectos!$A:$A,Proyectos!$C:$C)),"")</f>
        <v>NULOS</v>
      </c>
    </row>
    <row r="901" spans="1:15" ht="14.25" customHeight="1">
      <c r="A901" s="10">
        <v>1019145037</v>
      </c>
      <c r="B901" s="64" t="s">
        <v>61</v>
      </c>
      <c r="C901" s="62" t="s">
        <v>2550</v>
      </c>
      <c r="D901" t="s">
        <v>63</v>
      </c>
      <c r="E901" t="s">
        <v>2766</v>
      </c>
      <c r="F901" s="61">
        <v>36142</v>
      </c>
      <c r="G901" s="15" t="s">
        <v>65</v>
      </c>
      <c r="H901" t="s">
        <v>2767</v>
      </c>
      <c r="I901" s="62" t="s">
        <v>2768</v>
      </c>
      <c r="K901" s="36" t="s">
        <v>169</v>
      </c>
      <c r="L901" t="s">
        <v>69</v>
      </c>
      <c r="M901" s="62" t="s">
        <v>170</v>
      </c>
      <c r="N901" t="s">
        <v>71</v>
      </c>
      <c r="O901" t="str">
        <f>IFERROR(IF(Tbla_actores[[#This Row],[codigo_proyecto]]="","",_xlfn.XLOOKUP(Tbla_actores[[#This Row],[codigo_proyecto]],Proyectos!$A:$A,Proyectos!$C:$C)),"")</f>
        <v>NULOS</v>
      </c>
    </row>
    <row r="902" spans="1:15" ht="14.25" customHeight="1">
      <c r="A902" s="9">
        <v>1026585830</v>
      </c>
      <c r="B902" s="63" t="s">
        <v>61</v>
      </c>
      <c r="C902" s="62" t="s">
        <v>2550</v>
      </c>
      <c r="D902" t="s">
        <v>63</v>
      </c>
      <c r="E902" t="s">
        <v>2769</v>
      </c>
      <c r="F902" s="61">
        <v>35097</v>
      </c>
      <c r="G902" s="15" t="s">
        <v>65</v>
      </c>
      <c r="H902" t="s">
        <v>2770</v>
      </c>
      <c r="I902" s="62" t="s">
        <v>2771</v>
      </c>
      <c r="K902" s="36" t="s">
        <v>169</v>
      </c>
      <c r="L902" t="s">
        <v>69</v>
      </c>
      <c r="M902" s="62" t="s">
        <v>170</v>
      </c>
      <c r="N902" t="s">
        <v>71</v>
      </c>
      <c r="O902" t="str">
        <f>IFERROR(IF(Tbla_actores[[#This Row],[codigo_proyecto]]="","",_xlfn.XLOOKUP(Tbla_actores[[#This Row],[codigo_proyecto]],Proyectos!$A:$A,Proyectos!$C:$C)),"")</f>
        <v>NULOS</v>
      </c>
    </row>
    <row r="903" spans="1:15" ht="14.25" customHeight="1">
      <c r="A903" s="10">
        <v>1019139444</v>
      </c>
      <c r="B903" s="64" t="s">
        <v>61</v>
      </c>
      <c r="C903" s="62" t="s">
        <v>2550</v>
      </c>
      <c r="D903" t="s">
        <v>63</v>
      </c>
      <c r="E903" t="s">
        <v>2772</v>
      </c>
      <c r="F903" s="61">
        <v>35907</v>
      </c>
      <c r="G903" s="15" t="s">
        <v>65</v>
      </c>
      <c r="H903" t="s">
        <v>2773</v>
      </c>
      <c r="I903" s="62" t="s">
        <v>2774</v>
      </c>
      <c r="K903" s="36" t="s">
        <v>169</v>
      </c>
      <c r="L903" t="s">
        <v>69</v>
      </c>
      <c r="M903" s="62" t="s">
        <v>170</v>
      </c>
      <c r="N903" t="s">
        <v>71</v>
      </c>
      <c r="O903" t="str">
        <f>IFERROR(IF(Tbla_actores[[#This Row],[codigo_proyecto]]="","",_xlfn.XLOOKUP(Tbla_actores[[#This Row],[codigo_proyecto]],Proyectos!$A:$A,Proyectos!$C:$C)),"")</f>
        <v>NULOS</v>
      </c>
    </row>
    <row r="904" spans="1:15" ht="14.25" customHeight="1">
      <c r="A904" s="9">
        <v>1007268867</v>
      </c>
      <c r="B904" s="63" t="s">
        <v>61</v>
      </c>
      <c r="C904" s="62" t="s">
        <v>2550</v>
      </c>
      <c r="D904" t="s">
        <v>63</v>
      </c>
      <c r="E904" t="s">
        <v>2775</v>
      </c>
      <c r="F904" s="61">
        <v>36576</v>
      </c>
      <c r="G904" s="15" t="s">
        <v>73</v>
      </c>
      <c r="H904" t="s">
        <v>2776</v>
      </c>
      <c r="I904" s="62" t="s">
        <v>2777</v>
      </c>
      <c r="K904" s="36" t="s">
        <v>169</v>
      </c>
      <c r="L904" t="s">
        <v>69</v>
      </c>
      <c r="M904" s="62" t="s">
        <v>170</v>
      </c>
      <c r="N904" t="s">
        <v>71</v>
      </c>
      <c r="O904" t="str">
        <f>IFERROR(IF(Tbla_actores[[#This Row],[codigo_proyecto]]="","",_xlfn.XLOOKUP(Tbla_actores[[#This Row],[codigo_proyecto]],Proyectos!$A:$A,Proyectos!$C:$C)),"")</f>
        <v>NULOS</v>
      </c>
    </row>
    <row r="905" spans="1:15" ht="14.25" customHeight="1">
      <c r="A905" s="10">
        <v>1234089240</v>
      </c>
      <c r="B905" s="64" t="s">
        <v>61</v>
      </c>
      <c r="C905" s="62" t="s">
        <v>2550</v>
      </c>
      <c r="D905" t="s">
        <v>63</v>
      </c>
      <c r="E905" t="s">
        <v>2778</v>
      </c>
      <c r="F905" s="61">
        <v>35647</v>
      </c>
      <c r="G905" s="15" t="s">
        <v>73</v>
      </c>
      <c r="H905" t="s">
        <v>2779</v>
      </c>
      <c r="I905" s="62" t="s">
        <v>2780</v>
      </c>
      <c r="K905" s="36" t="s">
        <v>169</v>
      </c>
      <c r="L905" t="s">
        <v>69</v>
      </c>
      <c r="M905" s="62" t="s">
        <v>170</v>
      </c>
      <c r="N905" t="s">
        <v>71</v>
      </c>
      <c r="O905" t="str">
        <f>IFERROR(IF(Tbla_actores[[#This Row],[codigo_proyecto]]="","",_xlfn.XLOOKUP(Tbla_actores[[#This Row],[codigo_proyecto]],Proyectos!$A:$A,Proyectos!$C:$C)),"")</f>
        <v>NULOS</v>
      </c>
    </row>
    <row r="906" spans="1:15" ht="14.25" customHeight="1">
      <c r="A906" s="9">
        <v>1000970977</v>
      </c>
      <c r="B906" s="63" t="s">
        <v>61</v>
      </c>
      <c r="C906" s="62" t="s">
        <v>2550</v>
      </c>
      <c r="D906" t="s">
        <v>63</v>
      </c>
      <c r="E906" t="s">
        <v>2781</v>
      </c>
      <c r="F906" s="61">
        <v>36652</v>
      </c>
      <c r="G906" s="15" t="s">
        <v>65</v>
      </c>
      <c r="H906" t="s">
        <v>2782</v>
      </c>
      <c r="I906" s="62" t="s">
        <v>2783</v>
      </c>
      <c r="K906" s="36" t="s">
        <v>169</v>
      </c>
      <c r="L906" t="s">
        <v>69</v>
      </c>
      <c r="M906" s="62" t="s">
        <v>170</v>
      </c>
      <c r="N906" t="s">
        <v>71</v>
      </c>
      <c r="O906" t="str">
        <f>IFERROR(IF(Tbla_actores[[#This Row],[codigo_proyecto]]="","",_xlfn.XLOOKUP(Tbla_actores[[#This Row],[codigo_proyecto]],Proyectos!$A:$A,Proyectos!$C:$C)),"")</f>
        <v>NULOS</v>
      </c>
    </row>
    <row r="907" spans="1:15" ht="14.25" customHeight="1">
      <c r="A907" s="10">
        <v>1007365393</v>
      </c>
      <c r="B907" s="64" t="s">
        <v>61</v>
      </c>
      <c r="C907" s="62" t="s">
        <v>2550</v>
      </c>
      <c r="D907" t="s">
        <v>63</v>
      </c>
      <c r="E907" t="s">
        <v>2784</v>
      </c>
      <c r="F907" s="61">
        <v>36637</v>
      </c>
      <c r="G907" s="15" t="s">
        <v>65</v>
      </c>
      <c r="H907" t="s">
        <v>2785</v>
      </c>
      <c r="I907" s="62" t="s">
        <v>2786</v>
      </c>
      <c r="K907" s="36" t="s">
        <v>169</v>
      </c>
      <c r="L907" t="s">
        <v>69</v>
      </c>
      <c r="M907" s="62" t="s">
        <v>170</v>
      </c>
      <c r="N907" t="s">
        <v>71</v>
      </c>
      <c r="O907" t="str">
        <f>IFERROR(IF(Tbla_actores[[#This Row],[codigo_proyecto]]="","",_xlfn.XLOOKUP(Tbla_actores[[#This Row],[codigo_proyecto]],Proyectos!$A:$A,Proyectos!$C:$C)),"")</f>
        <v>NULOS</v>
      </c>
    </row>
    <row r="908" spans="1:15" ht="14.25" customHeight="1">
      <c r="A908" s="9">
        <v>1010119657</v>
      </c>
      <c r="B908" s="63" t="s">
        <v>61</v>
      </c>
      <c r="C908" s="62" t="s">
        <v>2550</v>
      </c>
      <c r="D908" t="s">
        <v>63</v>
      </c>
      <c r="E908" t="s">
        <v>2787</v>
      </c>
      <c r="F908" s="61">
        <v>36562</v>
      </c>
      <c r="G908" s="15" t="s">
        <v>73</v>
      </c>
      <c r="H908" t="s">
        <v>2788</v>
      </c>
      <c r="I908" s="62" t="s">
        <v>2789</v>
      </c>
      <c r="K908" s="36" t="s">
        <v>169</v>
      </c>
      <c r="L908" t="s">
        <v>69</v>
      </c>
      <c r="M908" s="62" t="s">
        <v>170</v>
      </c>
      <c r="N908" t="s">
        <v>71</v>
      </c>
      <c r="O908" t="str">
        <f>IFERROR(IF(Tbla_actores[[#This Row],[codigo_proyecto]]="","",_xlfn.XLOOKUP(Tbla_actores[[#This Row],[codigo_proyecto]],Proyectos!$A:$A,Proyectos!$C:$C)),"")</f>
        <v>NULOS</v>
      </c>
    </row>
    <row r="909" spans="1:15" ht="14.25" customHeight="1">
      <c r="A909" s="10">
        <v>1019139526</v>
      </c>
      <c r="B909" s="64" t="s">
        <v>61</v>
      </c>
      <c r="C909" s="62" t="s">
        <v>2550</v>
      </c>
      <c r="D909" t="s">
        <v>63</v>
      </c>
      <c r="E909" t="s">
        <v>2790</v>
      </c>
      <c r="F909" s="61">
        <v>35914</v>
      </c>
      <c r="G909" s="15" t="s">
        <v>73</v>
      </c>
      <c r="H909" t="s">
        <v>2791</v>
      </c>
      <c r="I909" s="62" t="s">
        <v>2792</v>
      </c>
      <c r="K909" s="36" t="s">
        <v>169</v>
      </c>
      <c r="L909" t="s">
        <v>69</v>
      </c>
      <c r="M909" s="62" t="s">
        <v>170</v>
      </c>
      <c r="N909" t="s">
        <v>71</v>
      </c>
      <c r="O909" t="str">
        <f>IFERROR(IF(Tbla_actores[[#This Row],[codigo_proyecto]]="","",_xlfn.XLOOKUP(Tbla_actores[[#This Row],[codigo_proyecto]],Proyectos!$A:$A,Proyectos!$C:$C)),"")</f>
        <v>NULOS</v>
      </c>
    </row>
    <row r="910" spans="1:15" ht="14.25" customHeight="1">
      <c r="A910" s="9">
        <v>1030697249</v>
      </c>
      <c r="B910" s="63" t="s">
        <v>61</v>
      </c>
      <c r="C910" s="62" t="s">
        <v>2550</v>
      </c>
      <c r="D910" t="s">
        <v>63</v>
      </c>
      <c r="E910" t="s">
        <v>2793</v>
      </c>
      <c r="F910" s="61">
        <v>36326</v>
      </c>
      <c r="G910" s="15" t="s">
        <v>65</v>
      </c>
      <c r="H910" t="s">
        <v>2794</v>
      </c>
      <c r="I910" s="62" t="s">
        <v>2795</v>
      </c>
      <c r="K910" s="36" t="s">
        <v>169</v>
      </c>
      <c r="L910" t="s">
        <v>69</v>
      </c>
      <c r="M910" s="62" t="s">
        <v>170</v>
      </c>
      <c r="N910" t="s">
        <v>71</v>
      </c>
      <c r="O910" t="str">
        <f>IFERROR(IF(Tbla_actores[[#This Row],[codigo_proyecto]]="","",_xlfn.XLOOKUP(Tbla_actores[[#This Row],[codigo_proyecto]],Proyectos!$A:$A,Proyectos!$C:$C)),"")</f>
        <v>NULOS</v>
      </c>
    </row>
    <row r="911" spans="1:15" ht="14.25" customHeight="1">
      <c r="A911" s="10">
        <v>1007399268</v>
      </c>
      <c r="B911" s="64" t="s">
        <v>61</v>
      </c>
      <c r="C911" s="62" t="s">
        <v>2550</v>
      </c>
      <c r="D911" t="s">
        <v>63</v>
      </c>
      <c r="E911" t="s">
        <v>2796</v>
      </c>
      <c r="F911" s="61">
        <v>36549</v>
      </c>
      <c r="G911" s="15" t="s">
        <v>73</v>
      </c>
      <c r="H911" t="s">
        <v>2797</v>
      </c>
      <c r="I911" s="62" t="s">
        <v>2798</v>
      </c>
      <c r="K911" s="36" t="s">
        <v>169</v>
      </c>
      <c r="L911" t="s">
        <v>69</v>
      </c>
      <c r="M911" s="62" t="s">
        <v>170</v>
      </c>
      <c r="N911" t="s">
        <v>71</v>
      </c>
      <c r="O911" t="str">
        <f>IFERROR(IF(Tbla_actores[[#This Row],[codigo_proyecto]]="","",_xlfn.XLOOKUP(Tbla_actores[[#This Row],[codigo_proyecto]],Proyectos!$A:$A,Proyectos!$C:$C)),"")</f>
        <v>NULOS</v>
      </c>
    </row>
    <row r="912" spans="1:15" ht="14.25" customHeight="1">
      <c r="A912" s="9">
        <v>1026286526</v>
      </c>
      <c r="B912" s="63" t="s">
        <v>61</v>
      </c>
      <c r="C912" s="62" t="s">
        <v>2550</v>
      </c>
      <c r="D912" t="s">
        <v>63</v>
      </c>
      <c r="E912" t="s">
        <v>2799</v>
      </c>
      <c r="F912" s="61">
        <v>34303</v>
      </c>
      <c r="G912" s="15" t="s">
        <v>73</v>
      </c>
      <c r="H912" t="s">
        <v>2800</v>
      </c>
      <c r="I912" s="62" t="s">
        <v>2801</v>
      </c>
      <c r="K912" s="36" t="s">
        <v>169</v>
      </c>
      <c r="L912" t="s">
        <v>69</v>
      </c>
      <c r="M912" s="62" t="s">
        <v>170</v>
      </c>
      <c r="N912" t="s">
        <v>71</v>
      </c>
      <c r="O912" t="str">
        <f>IFERROR(IF(Tbla_actores[[#This Row],[codigo_proyecto]]="","",_xlfn.XLOOKUP(Tbla_actores[[#This Row],[codigo_proyecto]],Proyectos!$A:$A,Proyectos!$C:$C)),"")</f>
        <v>NULOS</v>
      </c>
    </row>
    <row r="913" spans="1:15" ht="14.25" customHeight="1">
      <c r="A913" s="10">
        <v>1096255834</v>
      </c>
      <c r="B913" s="64" t="s">
        <v>61</v>
      </c>
      <c r="C913" s="62" t="s">
        <v>2550</v>
      </c>
      <c r="D913" t="s">
        <v>63</v>
      </c>
      <c r="E913" t="s">
        <v>2802</v>
      </c>
      <c r="F913" s="61">
        <v>36514</v>
      </c>
      <c r="G913" s="15" t="s">
        <v>65</v>
      </c>
      <c r="H913" t="s">
        <v>2803</v>
      </c>
      <c r="I913" s="62" t="s">
        <v>2804</v>
      </c>
      <c r="K913" s="36" t="s">
        <v>169</v>
      </c>
      <c r="L913" t="s">
        <v>69</v>
      </c>
      <c r="M913" s="62" t="s">
        <v>170</v>
      </c>
      <c r="N913" t="s">
        <v>71</v>
      </c>
      <c r="O913" t="str">
        <f>IFERROR(IF(Tbla_actores[[#This Row],[codigo_proyecto]]="","",_xlfn.XLOOKUP(Tbla_actores[[#This Row],[codigo_proyecto]],Proyectos!$A:$A,Proyectos!$C:$C)),"")</f>
        <v>NULOS</v>
      </c>
    </row>
    <row r="914" spans="1:15" ht="14.25" customHeight="1">
      <c r="A914" s="9">
        <v>1018508460</v>
      </c>
      <c r="B914" s="63" t="s">
        <v>61</v>
      </c>
      <c r="C914" s="62" t="s">
        <v>2550</v>
      </c>
      <c r="D914" t="s">
        <v>63</v>
      </c>
      <c r="E914" t="s">
        <v>2805</v>
      </c>
      <c r="F914" s="61">
        <v>36184</v>
      </c>
      <c r="G914" s="15" t="s">
        <v>65</v>
      </c>
      <c r="H914" t="s">
        <v>2806</v>
      </c>
      <c r="I914" s="62" t="s">
        <v>2807</v>
      </c>
      <c r="K914" s="36" t="s">
        <v>169</v>
      </c>
      <c r="L914" t="s">
        <v>69</v>
      </c>
      <c r="M914" s="62" t="s">
        <v>170</v>
      </c>
      <c r="N914" t="s">
        <v>71</v>
      </c>
      <c r="O914" t="str">
        <f>IFERROR(IF(Tbla_actores[[#This Row],[codigo_proyecto]]="","",_xlfn.XLOOKUP(Tbla_actores[[#This Row],[codigo_proyecto]],Proyectos!$A:$A,Proyectos!$C:$C)),"")</f>
        <v>NULOS</v>
      </c>
    </row>
    <row r="915" spans="1:15" ht="14.25" customHeight="1">
      <c r="A915" s="10">
        <v>1032493777</v>
      </c>
      <c r="B915" s="64" t="s">
        <v>61</v>
      </c>
      <c r="C915" s="62" t="s">
        <v>2550</v>
      </c>
      <c r="D915" t="s">
        <v>63</v>
      </c>
      <c r="E915" t="s">
        <v>2808</v>
      </c>
      <c r="F915" s="61">
        <v>35675</v>
      </c>
      <c r="G915" s="15" t="s">
        <v>65</v>
      </c>
      <c r="H915" t="s">
        <v>2809</v>
      </c>
      <c r="I915" s="62" t="s">
        <v>2810</v>
      </c>
      <c r="K915" s="36" t="s">
        <v>169</v>
      </c>
      <c r="L915" t="s">
        <v>69</v>
      </c>
      <c r="M915" s="62" t="s">
        <v>170</v>
      </c>
      <c r="N915" t="s">
        <v>71</v>
      </c>
      <c r="O915" t="str">
        <f>IFERROR(IF(Tbla_actores[[#This Row],[codigo_proyecto]]="","",_xlfn.XLOOKUP(Tbla_actores[[#This Row],[codigo_proyecto]],Proyectos!$A:$A,Proyectos!$C:$C)),"")</f>
        <v>NULOS</v>
      </c>
    </row>
    <row r="916" spans="1:15" ht="14.25" customHeight="1">
      <c r="A916" s="9">
        <v>1022417320</v>
      </c>
      <c r="B916" s="63" t="s">
        <v>61</v>
      </c>
      <c r="C916" s="62" t="s">
        <v>2550</v>
      </c>
      <c r="D916" t="s">
        <v>63</v>
      </c>
      <c r="E916" t="s">
        <v>2811</v>
      </c>
      <c r="F916" s="61">
        <v>35253</v>
      </c>
      <c r="G916" s="15" t="s">
        <v>73</v>
      </c>
      <c r="H916" t="s">
        <v>2812</v>
      </c>
      <c r="I916" s="62" t="s">
        <v>2813</v>
      </c>
      <c r="K916" s="36" t="s">
        <v>169</v>
      </c>
      <c r="L916" t="s">
        <v>69</v>
      </c>
      <c r="M916" s="62" t="s">
        <v>170</v>
      </c>
      <c r="N916" t="s">
        <v>71</v>
      </c>
      <c r="O916" t="str">
        <f>IFERROR(IF(Tbla_actores[[#This Row],[codigo_proyecto]]="","",_xlfn.XLOOKUP(Tbla_actores[[#This Row],[codigo_proyecto]],Proyectos!$A:$A,Proyectos!$C:$C)),"")</f>
        <v>NULOS</v>
      </c>
    </row>
    <row r="917" spans="1:15" ht="14.25" customHeight="1">
      <c r="A917" s="10">
        <v>1010016158</v>
      </c>
      <c r="B917" s="64" t="s">
        <v>61</v>
      </c>
      <c r="C917" s="62" t="s">
        <v>2550</v>
      </c>
      <c r="D917" t="s">
        <v>63</v>
      </c>
      <c r="E917" t="s">
        <v>2814</v>
      </c>
      <c r="F917" s="61">
        <v>36541</v>
      </c>
      <c r="G917" s="15" t="s">
        <v>65</v>
      </c>
      <c r="H917" t="s">
        <v>2815</v>
      </c>
      <c r="I917" s="62" t="s">
        <v>2816</v>
      </c>
      <c r="K917" s="36" t="s">
        <v>169</v>
      </c>
      <c r="L917" t="s">
        <v>69</v>
      </c>
      <c r="M917" s="62" t="s">
        <v>170</v>
      </c>
      <c r="N917" t="s">
        <v>71</v>
      </c>
      <c r="O917" t="str">
        <f>IFERROR(IF(Tbla_actores[[#This Row],[codigo_proyecto]]="","",_xlfn.XLOOKUP(Tbla_actores[[#This Row],[codigo_proyecto]],Proyectos!$A:$A,Proyectos!$C:$C)),"")</f>
        <v>NULOS</v>
      </c>
    </row>
    <row r="918" spans="1:15" ht="14.25" customHeight="1">
      <c r="A918" s="9">
        <v>1057609368</v>
      </c>
      <c r="B918" s="63" t="s">
        <v>61</v>
      </c>
      <c r="C918" s="62" t="s">
        <v>2550</v>
      </c>
      <c r="D918" t="s">
        <v>63</v>
      </c>
      <c r="E918" t="s">
        <v>2817</v>
      </c>
      <c r="F918" s="61">
        <v>36353</v>
      </c>
      <c r="G918" s="15" t="s">
        <v>65</v>
      </c>
      <c r="H918" t="s">
        <v>2818</v>
      </c>
      <c r="I918" s="62" t="s">
        <v>2819</v>
      </c>
      <c r="K918" s="36" t="s">
        <v>169</v>
      </c>
      <c r="L918" t="s">
        <v>69</v>
      </c>
      <c r="M918" s="62" t="s">
        <v>170</v>
      </c>
      <c r="N918" t="s">
        <v>71</v>
      </c>
      <c r="O918" t="str">
        <f>IFERROR(IF(Tbla_actores[[#This Row],[codigo_proyecto]]="","",_xlfn.XLOOKUP(Tbla_actores[[#This Row],[codigo_proyecto]],Proyectos!$A:$A,Proyectos!$C:$C)),"")</f>
        <v>NULOS</v>
      </c>
    </row>
    <row r="919" spans="1:15" ht="14.25" customHeight="1">
      <c r="A919" s="10">
        <v>1233907473</v>
      </c>
      <c r="B919" s="64" t="s">
        <v>61</v>
      </c>
      <c r="C919" s="62" t="s">
        <v>2550</v>
      </c>
      <c r="D919" t="s">
        <v>63</v>
      </c>
      <c r="E919" t="s">
        <v>2820</v>
      </c>
      <c r="F919" s="61">
        <v>36297</v>
      </c>
      <c r="G919" s="15" t="s">
        <v>73</v>
      </c>
      <c r="H919" t="s">
        <v>2821</v>
      </c>
      <c r="I919" s="62" t="s">
        <v>2822</v>
      </c>
      <c r="K919" s="36" t="s">
        <v>169</v>
      </c>
      <c r="L919" t="s">
        <v>69</v>
      </c>
      <c r="M919" s="62" t="s">
        <v>170</v>
      </c>
      <c r="N919" t="s">
        <v>71</v>
      </c>
      <c r="O919" t="str">
        <f>IFERROR(IF(Tbla_actores[[#This Row],[codigo_proyecto]]="","",_xlfn.XLOOKUP(Tbla_actores[[#This Row],[codigo_proyecto]],Proyectos!$A:$A,Proyectos!$C:$C)),"")</f>
        <v>NULOS</v>
      </c>
    </row>
    <row r="920" spans="1:15" ht="14.25" customHeight="1">
      <c r="A920" s="9">
        <v>1010025888</v>
      </c>
      <c r="B920" s="63" t="s">
        <v>61</v>
      </c>
      <c r="C920" s="62" t="s">
        <v>2550</v>
      </c>
      <c r="D920" t="s">
        <v>63</v>
      </c>
      <c r="E920" t="s">
        <v>2823</v>
      </c>
      <c r="F920" s="61">
        <v>36163</v>
      </c>
      <c r="G920" s="15" t="s">
        <v>73</v>
      </c>
      <c r="H920" t="s">
        <v>2824</v>
      </c>
      <c r="I920" s="62" t="s">
        <v>2825</v>
      </c>
      <c r="K920" s="36" t="s">
        <v>169</v>
      </c>
      <c r="L920" t="s">
        <v>69</v>
      </c>
      <c r="M920" s="62" t="s">
        <v>170</v>
      </c>
      <c r="N920" t="s">
        <v>71</v>
      </c>
      <c r="O920" t="str">
        <f>IFERROR(IF(Tbla_actores[[#This Row],[codigo_proyecto]]="","",_xlfn.XLOOKUP(Tbla_actores[[#This Row],[codigo_proyecto]],Proyectos!$A:$A,Proyectos!$C:$C)),"")</f>
        <v>NULOS</v>
      </c>
    </row>
    <row r="921" spans="1:15" ht="14.25" customHeight="1">
      <c r="A921" s="10">
        <v>1020833744</v>
      </c>
      <c r="B921" s="64" t="s">
        <v>61</v>
      </c>
      <c r="C921" s="62" t="s">
        <v>2550</v>
      </c>
      <c r="D921" t="s">
        <v>63</v>
      </c>
      <c r="E921" t="s">
        <v>2826</v>
      </c>
      <c r="F921" s="61">
        <v>35965</v>
      </c>
      <c r="G921" s="15" t="s">
        <v>73</v>
      </c>
      <c r="H921" t="s">
        <v>2827</v>
      </c>
      <c r="I921" s="62" t="s">
        <v>2828</v>
      </c>
      <c r="K921" s="36" t="s">
        <v>169</v>
      </c>
      <c r="L921" t="s">
        <v>69</v>
      </c>
      <c r="M921" s="62" t="s">
        <v>170</v>
      </c>
      <c r="N921" t="s">
        <v>71</v>
      </c>
      <c r="O921" t="str">
        <f>IFERROR(IF(Tbla_actores[[#This Row],[codigo_proyecto]]="","",_xlfn.XLOOKUP(Tbla_actores[[#This Row],[codigo_proyecto]],Proyectos!$A:$A,Proyectos!$C:$C)),"")</f>
        <v>NULOS</v>
      </c>
    </row>
    <row r="922" spans="1:15" ht="14.25" customHeight="1">
      <c r="A922" s="9">
        <v>1015482451</v>
      </c>
      <c r="B922" s="63" t="s">
        <v>61</v>
      </c>
      <c r="C922" s="62" t="s">
        <v>2550</v>
      </c>
      <c r="D922" t="s">
        <v>63</v>
      </c>
      <c r="E922" t="s">
        <v>2829</v>
      </c>
      <c r="F922" s="61">
        <v>36388</v>
      </c>
      <c r="G922" s="15" t="s">
        <v>65</v>
      </c>
      <c r="H922" t="s">
        <v>2830</v>
      </c>
      <c r="I922" s="62" t="s">
        <v>2831</v>
      </c>
      <c r="K922" s="36" t="s">
        <v>169</v>
      </c>
      <c r="L922" t="s">
        <v>69</v>
      </c>
      <c r="M922" s="62" t="s">
        <v>170</v>
      </c>
      <c r="N922" t="s">
        <v>71</v>
      </c>
      <c r="O922" t="str">
        <f>IFERROR(IF(Tbla_actores[[#This Row],[codigo_proyecto]]="","",_xlfn.XLOOKUP(Tbla_actores[[#This Row],[codigo_proyecto]],Proyectos!$A:$A,Proyectos!$C:$C)),"")</f>
        <v>NULOS</v>
      </c>
    </row>
    <row r="923" spans="1:15" ht="14.25" customHeight="1">
      <c r="A923" s="10">
        <v>1015472588</v>
      </c>
      <c r="B923" s="64" t="s">
        <v>61</v>
      </c>
      <c r="C923" s="62" t="s">
        <v>2550</v>
      </c>
      <c r="D923" t="s">
        <v>63</v>
      </c>
      <c r="E923" t="s">
        <v>2832</v>
      </c>
      <c r="F923" s="61">
        <v>35776</v>
      </c>
      <c r="G923" s="15" t="s">
        <v>73</v>
      </c>
      <c r="H923" t="s">
        <v>2833</v>
      </c>
      <c r="I923" s="62" t="s">
        <v>2834</v>
      </c>
      <c r="K923" s="36" t="s">
        <v>169</v>
      </c>
      <c r="L923" t="s">
        <v>69</v>
      </c>
      <c r="M923" s="62" t="s">
        <v>170</v>
      </c>
      <c r="N923" t="s">
        <v>71</v>
      </c>
      <c r="O923" t="str">
        <f>IFERROR(IF(Tbla_actores[[#This Row],[codigo_proyecto]]="","",_xlfn.XLOOKUP(Tbla_actores[[#This Row],[codigo_proyecto]],Proyectos!$A:$A,Proyectos!$C:$C)),"")</f>
        <v>NULOS</v>
      </c>
    </row>
    <row r="924" spans="1:15" ht="14.25" customHeight="1">
      <c r="A924" s="9">
        <v>1015481945</v>
      </c>
      <c r="B924" s="63" t="s">
        <v>61</v>
      </c>
      <c r="C924" s="62" t="s">
        <v>2550</v>
      </c>
      <c r="D924" t="s">
        <v>63</v>
      </c>
      <c r="E924" t="s">
        <v>2835</v>
      </c>
      <c r="F924" s="61">
        <v>36351</v>
      </c>
      <c r="G924" s="15" t="s">
        <v>73</v>
      </c>
      <c r="H924" t="s">
        <v>2836</v>
      </c>
      <c r="I924" s="62" t="s">
        <v>2837</v>
      </c>
      <c r="K924" s="36" t="s">
        <v>169</v>
      </c>
      <c r="L924" t="s">
        <v>69</v>
      </c>
      <c r="M924" s="62" t="s">
        <v>170</v>
      </c>
      <c r="N924" t="s">
        <v>71</v>
      </c>
      <c r="O924" t="str">
        <f>IFERROR(IF(Tbla_actores[[#This Row],[codigo_proyecto]]="","",_xlfn.XLOOKUP(Tbla_actores[[#This Row],[codigo_proyecto]],Proyectos!$A:$A,Proyectos!$C:$C)),"")</f>
        <v>NULOS</v>
      </c>
    </row>
    <row r="925" spans="1:15" ht="14.25" customHeight="1">
      <c r="A925" s="10">
        <v>1018505977</v>
      </c>
      <c r="B925" s="64" t="s">
        <v>61</v>
      </c>
      <c r="C925" s="62" t="s">
        <v>2550</v>
      </c>
      <c r="D925" t="s">
        <v>63</v>
      </c>
      <c r="E925" t="s">
        <v>2838</v>
      </c>
      <c r="F925" s="61">
        <v>36064</v>
      </c>
      <c r="G925" s="15" t="s">
        <v>73</v>
      </c>
      <c r="H925" t="s">
        <v>2839</v>
      </c>
      <c r="I925" s="62" t="s">
        <v>2840</v>
      </c>
      <c r="K925" s="36" t="s">
        <v>169</v>
      </c>
      <c r="L925" t="s">
        <v>69</v>
      </c>
      <c r="M925" s="62" t="s">
        <v>170</v>
      </c>
      <c r="N925" t="s">
        <v>71</v>
      </c>
      <c r="O925" t="str">
        <f>IFERROR(IF(Tbla_actores[[#This Row],[codigo_proyecto]]="","",_xlfn.XLOOKUP(Tbla_actores[[#This Row],[codigo_proyecto]],Proyectos!$A:$A,Proyectos!$C:$C)),"")</f>
        <v>NULOS</v>
      </c>
    </row>
    <row r="926" spans="1:15" ht="14.25" customHeight="1">
      <c r="A926" s="9">
        <v>1019137370</v>
      </c>
      <c r="B926" s="63" t="s">
        <v>61</v>
      </c>
      <c r="C926" s="62" t="s">
        <v>2550</v>
      </c>
      <c r="D926" t="s">
        <v>63</v>
      </c>
      <c r="E926" t="s">
        <v>2841</v>
      </c>
      <c r="F926" s="61">
        <v>35814</v>
      </c>
      <c r="G926" s="15" t="s">
        <v>73</v>
      </c>
      <c r="H926" t="s">
        <v>2842</v>
      </c>
      <c r="I926" s="62" t="s">
        <v>2843</v>
      </c>
      <c r="K926" s="36" t="s">
        <v>169</v>
      </c>
      <c r="L926" t="s">
        <v>69</v>
      </c>
      <c r="M926" s="62" t="s">
        <v>170</v>
      </c>
      <c r="N926" t="s">
        <v>71</v>
      </c>
      <c r="O926" t="str">
        <f>IFERROR(IF(Tbla_actores[[#This Row],[codigo_proyecto]]="","",_xlfn.XLOOKUP(Tbla_actores[[#This Row],[codigo_proyecto]],Proyectos!$A:$A,Proyectos!$C:$C)),"")</f>
        <v>NULOS</v>
      </c>
    </row>
    <row r="927" spans="1:15" ht="14.25" customHeight="1">
      <c r="A927" s="10">
        <v>1136889313</v>
      </c>
      <c r="B927" s="64" t="s">
        <v>61</v>
      </c>
      <c r="C927" s="62" t="s">
        <v>2550</v>
      </c>
      <c r="D927" t="s">
        <v>63</v>
      </c>
      <c r="E927" t="s">
        <v>2844</v>
      </c>
      <c r="F927" s="61">
        <v>36111</v>
      </c>
      <c r="G927" s="15" t="s">
        <v>73</v>
      </c>
      <c r="H927" t="s">
        <v>2845</v>
      </c>
      <c r="I927" s="62" t="s">
        <v>2846</v>
      </c>
      <c r="K927" s="36" t="s">
        <v>169</v>
      </c>
      <c r="L927" t="s">
        <v>69</v>
      </c>
      <c r="M927" s="62" t="s">
        <v>170</v>
      </c>
      <c r="N927" t="s">
        <v>71</v>
      </c>
      <c r="O927" t="str">
        <f>IFERROR(IF(Tbla_actores[[#This Row],[codigo_proyecto]]="","",_xlfn.XLOOKUP(Tbla_actores[[#This Row],[codigo_proyecto]],Proyectos!$A:$A,Proyectos!$C:$C)),"")</f>
        <v>NULOS</v>
      </c>
    </row>
    <row r="928" spans="1:15" ht="14.25" customHeight="1">
      <c r="A928" s="9">
        <v>1019144558</v>
      </c>
      <c r="B928" s="63" t="s">
        <v>61</v>
      </c>
      <c r="C928" s="62" t="s">
        <v>2550</v>
      </c>
      <c r="D928" t="s">
        <v>63</v>
      </c>
      <c r="E928" t="s">
        <v>2847</v>
      </c>
      <c r="F928" s="61">
        <v>36122</v>
      </c>
      <c r="G928" s="15" t="s">
        <v>73</v>
      </c>
      <c r="H928" t="s">
        <v>2848</v>
      </c>
      <c r="I928" s="62" t="s">
        <v>2849</v>
      </c>
      <c r="K928" s="36" t="s">
        <v>169</v>
      </c>
      <c r="L928" t="s">
        <v>69</v>
      </c>
      <c r="M928" s="62" t="s">
        <v>170</v>
      </c>
      <c r="N928" t="s">
        <v>71</v>
      </c>
      <c r="O928" t="str">
        <f>IFERROR(IF(Tbla_actores[[#This Row],[codigo_proyecto]]="","",_xlfn.XLOOKUP(Tbla_actores[[#This Row],[codigo_proyecto]],Proyectos!$A:$A,Proyectos!$C:$C)),"")</f>
        <v>NULOS</v>
      </c>
    </row>
    <row r="929" spans="1:15" ht="14.25" customHeight="1">
      <c r="A929" s="10">
        <v>1022443795</v>
      </c>
      <c r="B929" s="64" t="s">
        <v>61</v>
      </c>
      <c r="C929" s="62" t="s">
        <v>2550</v>
      </c>
      <c r="D929" t="s">
        <v>63</v>
      </c>
      <c r="E929" t="s">
        <v>2850</v>
      </c>
      <c r="F929" s="61">
        <v>36310</v>
      </c>
      <c r="G929" s="15" t="s">
        <v>73</v>
      </c>
      <c r="H929" t="s">
        <v>2851</v>
      </c>
      <c r="I929" s="62" t="s">
        <v>2852</v>
      </c>
      <c r="K929" s="36" t="s">
        <v>169</v>
      </c>
      <c r="L929" t="s">
        <v>69</v>
      </c>
      <c r="M929" s="62" t="s">
        <v>170</v>
      </c>
      <c r="N929" t="s">
        <v>71</v>
      </c>
      <c r="O929" t="str">
        <f>IFERROR(IF(Tbla_actores[[#This Row],[codigo_proyecto]]="","",_xlfn.XLOOKUP(Tbla_actores[[#This Row],[codigo_proyecto]],Proyectos!$A:$A,Proyectos!$C:$C)),"")</f>
        <v>NULOS</v>
      </c>
    </row>
    <row r="930" spans="1:15" ht="14.25" customHeight="1">
      <c r="A930" s="9">
        <v>1014309369</v>
      </c>
      <c r="B930" s="63" t="s">
        <v>61</v>
      </c>
      <c r="C930" s="62" t="s">
        <v>2550</v>
      </c>
      <c r="D930" t="s">
        <v>63</v>
      </c>
      <c r="E930" t="s">
        <v>2853</v>
      </c>
      <c r="F930" s="61">
        <v>36463</v>
      </c>
      <c r="G930" s="15" t="s">
        <v>73</v>
      </c>
      <c r="H930" t="s">
        <v>2854</v>
      </c>
      <c r="I930" s="62" t="s">
        <v>2855</v>
      </c>
      <c r="K930" s="36" t="s">
        <v>169</v>
      </c>
      <c r="L930" t="s">
        <v>69</v>
      </c>
      <c r="M930" s="62" t="s">
        <v>170</v>
      </c>
      <c r="N930" t="s">
        <v>71</v>
      </c>
      <c r="O930" t="str">
        <f>IFERROR(IF(Tbla_actores[[#This Row],[codigo_proyecto]]="","",_xlfn.XLOOKUP(Tbla_actores[[#This Row],[codigo_proyecto]],Proyectos!$A:$A,Proyectos!$C:$C)),"")</f>
        <v>NULOS</v>
      </c>
    </row>
    <row r="931" spans="1:15" ht="14.25" customHeight="1">
      <c r="A931" s="10">
        <v>1018510601</v>
      </c>
      <c r="B931" s="64" t="s">
        <v>61</v>
      </c>
      <c r="C931" s="62" t="s">
        <v>2550</v>
      </c>
      <c r="D931" t="s">
        <v>63</v>
      </c>
      <c r="E931" t="s">
        <v>2856</v>
      </c>
      <c r="F931" s="61">
        <v>36236</v>
      </c>
      <c r="G931" s="15" t="s">
        <v>73</v>
      </c>
      <c r="H931" t="s">
        <v>2857</v>
      </c>
      <c r="I931" s="62" t="s">
        <v>2858</v>
      </c>
      <c r="K931" s="36" t="s">
        <v>169</v>
      </c>
      <c r="L931" t="s">
        <v>69</v>
      </c>
      <c r="M931" s="62" t="s">
        <v>170</v>
      </c>
      <c r="N931" t="s">
        <v>71</v>
      </c>
      <c r="O931" t="str">
        <f>IFERROR(IF(Tbla_actores[[#This Row],[codigo_proyecto]]="","",_xlfn.XLOOKUP(Tbla_actores[[#This Row],[codigo_proyecto]],Proyectos!$A:$A,Proyectos!$C:$C)),"")</f>
        <v>NULOS</v>
      </c>
    </row>
    <row r="932" spans="1:15" ht="14.25" customHeight="1">
      <c r="A932" s="9">
        <v>1032505541</v>
      </c>
      <c r="B932" s="63" t="s">
        <v>61</v>
      </c>
      <c r="C932" s="62" t="s">
        <v>2550</v>
      </c>
      <c r="D932" t="s">
        <v>63</v>
      </c>
      <c r="E932" t="s">
        <v>2859</v>
      </c>
      <c r="F932" s="61">
        <v>36344</v>
      </c>
      <c r="G932" s="15" t="s">
        <v>65</v>
      </c>
      <c r="H932" t="s">
        <v>2860</v>
      </c>
      <c r="I932" s="62" t="s">
        <v>2861</v>
      </c>
      <c r="K932" s="36" t="s">
        <v>169</v>
      </c>
      <c r="L932" t="s">
        <v>69</v>
      </c>
      <c r="M932" s="62" t="s">
        <v>170</v>
      </c>
      <c r="N932" t="s">
        <v>71</v>
      </c>
      <c r="O932" t="str">
        <f>IFERROR(IF(Tbla_actores[[#This Row],[codigo_proyecto]]="","",_xlfn.XLOOKUP(Tbla_actores[[#This Row],[codigo_proyecto]],Proyectos!$A:$A,Proyectos!$C:$C)),"")</f>
        <v>NULOS</v>
      </c>
    </row>
    <row r="933" spans="1:15" ht="14.25" customHeight="1">
      <c r="A933" s="10">
        <v>1032501898</v>
      </c>
      <c r="B933" s="64" t="s">
        <v>61</v>
      </c>
      <c r="C933" s="62" t="s">
        <v>2550</v>
      </c>
      <c r="D933" t="s">
        <v>63</v>
      </c>
      <c r="E933" t="s">
        <v>2862</v>
      </c>
      <c r="F933" s="61">
        <v>36150</v>
      </c>
      <c r="G933" s="15" t="s">
        <v>73</v>
      </c>
      <c r="H933" t="s">
        <v>2863</v>
      </c>
      <c r="I933" s="62" t="s">
        <v>2864</v>
      </c>
      <c r="K933" s="36" t="s">
        <v>169</v>
      </c>
      <c r="L933" t="s">
        <v>69</v>
      </c>
      <c r="M933" s="62" t="s">
        <v>170</v>
      </c>
      <c r="N933" t="s">
        <v>71</v>
      </c>
      <c r="O933" t="str">
        <f>IFERROR(IF(Tbla_actores[[#This Row],[codigo_proyecto]]="","",_xlfn.XLOOKUP(Tbla_actores[[#This Row],[codigo_proyecto]],Proyectos!$A:$A,Proyectos!$C:$C)),"")</f>
        <v>NULOS</v>
      </c>
    </row>
    <row r="934" spans="1:15" ht="14.25" customHeight="1">
      <c r="A934" s="9">
        <v>1081159809</v>
      </c>
      <c r="B934" s="63" t="s">
        <v>61</v>
      </c>
      <c r="C934" s="62" t="s">
        <v>2550</v>
      </c>
      <c r="D934" t="s">
        <v>63</v>
      </c>
      <c r="E934" t="s">
        <v>2865</v>
      </c>
      <c r="F934" s="61">
        <v>35466</v>
      </c>
      <c r="G934" s="15" t="s">
        <v>73</v>
      </c>
      <c r="H934" t="s">
        <v>2866</v>
      </c>
      <c r="I934" s="62" t="s">
        <v>2867</v>
      </c>
      <c r="K934" s="36" t="s">
        <v>169</v>
      </c>
      <c r="L934" t="s">
        <v>69</v>
      </c>
      <c r="M934" s="62" t="s">
        <v>170</v>
      </c>
      <c r="N934" t="s">
        <v>71</v>
      </c>
      <c r="O934" t="str">
        <f>IFERROR(IF(Tbla_actores[[#This Row],[codigo_proyecto]]="","",_xlfn.XLOOKUP(Tbla_actores[[#This Row],[codigo_proyecto]],Proyectos!$A:$A,Proyectos!$C:$C)),"")</f>
        <v>NULOS</v>
      </c>
    </row>
    <row r="935" spans="1:15" ht="14.25" customHeight="1">
      <c r="A935" s="10">
        <v>1019131434</v>
      </c>
      <c r="B935" s="64" t="s">
        <v>61</v>
      </c>
      <c r="C935" s="62" t="s">
        <v>2550</v>
      </c>
      <c r="D935" t="s">
        <v>63</v>
      </c>
      <c r="E935" t="s">
        <v>2868</v>
      </c>
      <c r="F935" s="61">
        <v>35535</v>
      </c>
      <c r="G935" s="15" t="s">
        <v>65</v>
      </c>
      <c r="H935" t="s">
        <v>2869</v>
      </c>
      <c r="I935" s="62" t="s">
        <v>2870</v>
      </c>
      <c r="K935" s="36" t="s">
        <v>169</v>
      </c>
      <c r="L935" t="s">
        <v>69</v>
      </c>
      <c r="M935" s="62" t="s">
        <v>170</v>
      </c>
      <c r="N935" t="s">
        <v>71</v>
      </c>
      <c r="O935" t="str">
        <f>IFERROR(IF(Tbla_actores[[#This Row],[codigo_proyecto]]="","",_xlfn.XLOOKUP(Tbla_actores[[#This Row],[codigo_proyecto]],Proyectos!$A:$A,Proyectos!$C:$C)),"")</f>
        <v>NULOS</v>
      </c>
    </row>
    <row r="936" spans="1:15" ht="14.25" customHeight="1">
      <c r="A936" s="9">
        <v>1032483244</v>
      </c>
      <c r="B936" s="63" t="s">
        <v>61</v>
      </c>
      <c r="C936" s="62" t="s">
        <v>2550</v>
      </c>
      <c r="D936" t="s">
        <v>63</v>
      </c>
      <c r="E936" t="s">
        <v>2871</v>
      </c>
      <c r="F936" s="61">
        <v>35248</v>
      </c>
      <c r="G936" s="15" t="s">
        <v>73</v>
      </c>
      <c r="H936" t="s">
        <v>2872</v>
      </c>
      <c r="I936" s="62" t="s">
        <v>2873</v>
      </c>
      <c r="K936" s="36" t="s">
        <v>169</v>
      </c>
      <c r="L936" t="s">
        <v>69</v>
      </c>
      <c r="M936" s="62" t="s">
        <v>170</v>
      </c>
      <c r="N936" t="s">
        <v>71</v>
      </c>
      <c r="O936" t="str">
        <f>IFERROR(IF(Tbla_actores[[#This Row],[codigo_proyecto]]="","",_xlfn.XLOOKUP(Tbla_actores[[#This Row],[codigo_proyecto]],Proyectos!$A:$A,Proyectos!$C:$C)),"")</f>
        <v>NULOS</v>
      </c>
    </row>
    <row r="937" spans="1:15" ht="14.25" customHeight="1">
      <c r="A937" s="10">
        <v>1018496022</v>
      </c>
      <c r="B937" s="64" t="s">
        <v>61</v>
      </c>
      <c r="C937" s="62" t="s">
        <v>2550</v>
      </c>
      <c r="D937" t="s">
        <v>63</v>
      </c>
      <c r="E937" t="s">
        <v>2874</v>
      </c>
      <c r="F937" s="61">
        <v>35644</v>
      </c>
      <c r="G937" s="15" t="s">
        <v>65</v>
      </c>
      <c r="H937" t="s">
        <v>2875</v>
      </c>
      <c r="I937" s="62" t="s">
        <v>2876</v>
      </c>
      <c r="K937" s="36" t="s">
        <v>169</v>
      </c>
      <c r="L937" t="s">
        <v>69</v>
      </c>
      <c r="M937" s="62" t="s">
        <v>170</v>
      </c>
      <c r="N937" t="s">
        <v>71</v>
      </c>
      <c r="O937" t="str">
        <f>IFERROR(IF(Tbla_actores[[#This Row],[codigo_proyecto]]="","",_xlfn.XLOOKUP(Tbla_actores[[#This Row],[codigo_proyecto]],Proyectos!$A:$A,Proyectos!$C:$C)),"")</f>
        <v>NULOS</v>
      </c>
    </row>
    <row r="938" spans="1:15" ht="14.25" customHeight="1">
      <c r="A938" s="9">
        <v>1083041748</v>
      </c>
      <c r="B938" s="63" t="s">
        <v>61</v>
      </c>
      <c r="C938" s="62" t="s">
        <v>2550</v>
      </c>
      <c r="D938" t="s">
        <v>63</v>
      </c>
      <c r="E938" t="s">
        <v>2877</v>
      </c>
      <c r="F938" s="61">
        <v>36167</v>
      </c>
      <c r="G938" s="15" t="s">
        <v>73</v>
      </c>
      <c r="H938" t="s">
        <v>2878</v>
      </c>
      <c r="I938" s="62" t="s">
        <v>2879</v>
      </c>
      <c r="K938" s="36" t="s">
        <v>169</v>
      </c>
      <c r="L938" t="s">
        <v>69</v>
      </c>
      <c r="M938" s="62" t="s">
        <v>170</v>
      </c>
      <c r="N938" t="s">
        <v>71</v>
      </c>
      <c r="O938" t="str">
        <f>IFERROR(IF(Tbla_actores[[#This Row],[codigo_proyecto]]="","",_xlfn.XLOOKUP(Tbla_actores[[#This Row],[codigo_proyecto]],Proyectos!$A:$A,Proyectos!$C:$C)),"")</f>
        <v>NULOS</v>
      </c>
    </row>
    <row r="939" spans="1:15" ht="14.25" customHeight="1">
      <c r="A939" s="10">
        <v>1002547589</v>
      </c>
      <c r="B939" s="64" t="s">
        <v>61</v>
      </c>
      <c r="C939" s="62" t="s">
        <v>2550</v>
      </c>
      <c r="D939" t="s">
        <v>63</v>
      </c>
      <c r="E939" t="s">
        <v>2880</v>
      </c>
      <c r="F939" s="61">
        <v>36572</v>
      </c>
      <c r="G939" s="15" t="s">
        <v>73</v>
      </c>
      <c r="H939" t="s">
        <v>2881</v>
      </c>
      <c r="I939" s="62" t="s">
        <v>2882</v>
      </c>
      <c r="K939" s="36" t="s">
        <v>169</v>
      </c>
      <c r="L939" t="s">
        <v>69</v>
      </c>
      <c r="M939" s="62" t="s">
        <v>170</v>
      </c>
      <c r="N939" t="s">
        <v>71</v>
      </c>
      <c r="O939" t="str">
        <f>IFERROR(IF(Tbla_actores[[#This Row],[codigo_proyecto]]="","",_xlfn.XLOOKUP(Tbla_actores[[#This Row],[codigo_proyecto]],Proyectos!$A:$A,Proyectos!$C:$C)),"")</f>
        <v>NULOS</v>
      </c>
    </row>
    <row r="940" spans="1:15" ht="14.25" customHeight="1">
      <c r="A940" s="9">
        <v>1015475122</v>
      </c>
      <c r="B940" s="63" t="s">
        <v>61</v>
      </c>
      <c r="C940" s="62" t="s">
        <v>2550</v>
      </c>
      <c r="D940" t="s">
        <v>63</v>
      </c>
      <c r="E940" t="s">
        <v>2883</v>
      </c>
      <c r="F940" s="61">
        <v>35946</v>
      </c>
      <c r="G940" s="15" t="s">
        <v>73</v>
      </c>
      <c r="H940" t="s">
        <v>2884</v>
      </c>
      <c r="I940" s="62" t="s">
        <v>2885</v>
      </c>
      <c r="K940" s="36" t="s">
        <v>169</v>
      </c>
      <c r="L940" t="s">
        <v>69</v>
      </c>
      <c r="M940" s="62" t="s">
        <v>170</v>
      </c>
      <c r="N940" t="s">
        <v>71</v>
      </c>
      <c r="O940" t="str">
        <f>IFERROR(IF(Tbla_actores[[#This Row],[codigo_proyecto]]="","",_xlfn.XLOOKUP(Tbla_actores[[#This Row],[codigo_proyecto]],Proyectos!$A:$A,Proyectos!$C:$C)),"")</f>
        <v>NULOS</v>
      </c>
    </row>
    <row r="941" spans="1:15" ht="14.25" customHeight="1">
      <c r="A941" s="10">
        <v>1233696439</v>
      </c>
      <c r="B941" s="64" t="s">
        <v>61</v>
      </c>
      <c r="C941" s="62" t="s">
        <v>2550</v>
      </c>
      <c r="D941" t="s">
        <v>63</v>
      </c>
      <c r="E941" t="s">
        <v>2886</v>
      </c>
      <c r="F941" s="61">
        <v>36488</v>
      </c>
      <c r="G941" s="15" t="s">
        <v>65</v>
      </c>
      <c r="H941" t="s">
        <v>2887</v>
      </c>
      <c r="I941" s="62" t="s">
        <v>2888</v>
      </c>
      <c r="K941" s="36" t="s">
        <v>169</v>
      </c>
      <c r="L941" t="s">
        <v>69</v>
      </c>
      <c r="M941" s="62" t="s">
        <v>170</v>
      </c>
      <c r="N941" t="s">
        <v>71</v>
      </c>
      <c r="O941" t="str">
        <f>IFERROR(IF(Tbla_actores[[#This Row],[codigo_proyecto]]="","",_xlfn.XLOOKUP(Tbla_actores[[#This Row],[codigo_proyecto]],Proyectos!$A:$A,Proyectos!$C:$C)),"")</f>
        <v>NULOS</v>
      </c>
    </row>
    <row r="942" spans="1:15" ht="14.25" customHeight="1">
      <c r="A942" s="9">
        <v>1073173674</v>
      </c>
      <c r="B942" s="63" t="s">
        <v>61</v>
      </c>
      <c r="C942" s="62" t="s">
        <v>2550</v>
      </c>
      <c r="D942" t="s">
        <v>63</v>
      </c>
      <c r="E942" t="s">
        <v>2889</v>
      </c>
      <c r="F942" s="61">
        <v>35588</v>
      </c>
      <c r="G942" s="15" t="s">
        <v>73</v>
      </c>
      <c r="H942" t="s">
        <v>2890</v>
      </c>
      <c r="I942" s="62" t="s">
        <v>2891</v>
      </c>
      <c r="K942" s="36" t="s">
        <v>169</v>
      </c>
      <c r="L942" t="s">
        <v>69</v>
      </c>
      <c r="M942" s="62" t="s">
        <v>170</v>
      </c>
      <c r="N942" t="s">
        <v>71</v>
      </c>
      <c r="O942" t="str">
        <f>IFERROR(IF(Tbla_actores[[#This Row],[codigo_proyecto]]="","",_xlfn.XLOOKUP(Tbla_actores[[#This Row],[codigo_proyecto]],Proyectos!$A:$A,Proyectos!$C:$C)),"")</f>
        <v>NULOS</v>
      </c>
    </row>
    <row r="943" spans="1:15" ht="14.25" customHeight="1">
      <c r="A943" s="10">
        <v>1010094034</v>
      </c>
      <c r="B943" s="64" t="s">
        <v>61</v>
      </c>
      <c r="C943" s="62" t="s">
        <v>2550</v>
      </c>
      <c r="D943" t="s">
        <v>63</v>
      </c>
      <c r="E943" t="s">
        <v>2892</v>
      </c>
      <c r="F943" s="61">
        <v>36555</v>
      </c>
      <c r="G943" s="15" t="s">
        <v>65</v>
      </c>
      <c r="H943" t="s">
        <v>2893</v>
      </c>
      <c r="I943" s="62" t="s">
        <v>2894</v>
      </c>
      <c r="K943" s="36" t="s">
        <v>169</v>
      </c>
      <c r="L943" t="s">
        <v>69</v>
      </c>
      <c r="M943" s="62" t="s">
        <v>170</v>
      </c>
      <c r="N943" t="s">
        <v>71</v>
      </c>
      <c r="O943" t="str">
        <f>IFERROR(IF(Tbla_actores[[#This Row],[codigo_proyecto]]="","",_xlfn.XLOOKUP(Tbla_actores[[#This Row],[codigo_proyecto]],Proyectos!$A:$A,Proyectos!$C:$C)),"")</f>
        <v>NULOS</v>
      </c>
    </row>
    <row r="944" spans="1:15" ht="14.25" customHeight="1">
      <c r="A944" s="9">
        <v>1093791617</v>
      </c>
      <c r="B944" s="63" t="s">
        <v>61</v>
      </c>
      <c r="C944" s="62" t="s">
        <v>2550</v>
      </c>
      <c r="D944" t="s">
        <v>63</v>
      </c>
      <c r="E944" t="s">
        <v>2895</v>
      </c>
      <c r="F944" s="61">
        <v>35647</v>
      </c>
      <c r="G944" s="15" t="s">
        <v>73</v>
      </c>
      <c r="H944" t="s">
        <v>2896</v>
      </c>
      <c r="I944" s="62" t="s">
        <v>2897</v>
      </c>
      <c r="K944" s="36" t="s">
        <v>169</v>
      </c>
      <c r="L944" t="s">
        <v>69</v>
      </c>
      <c r="M944" s="62" t="s">
        <v>170</v>
      </c>
      <c r="N944" t="s">
        <v>71</v>
      </c>
      <c r="O944" t="str">
        <f>IFERROR(IF(Tbla_actores[[#This Row],[codigo_proyecto]]="","",_xlfn.XLOOKUP(Tbla_actores[[#This Row],[codigo_proyecto]],Proyectos!$A:$A,Proyectos!$C:$C)),"")</f>
        <v>NULOS</v>
      </c>
    </row>
    <row r="945" spans="1:15" ht="14.25" customHeight="1">
      <c r="A945" s="10">
        <v>1130205031</v>
      </c>
      <c r="B945" s="64" t="s">
        <v>61</v>
      </c>
      <c r="C945" s="62" t="s">
        <v>2550</v>
      </c>
      <c r="D945" t="s">
        <v>63</v>
      </c>
      <c r="E945" t="s">
        <v>2898</v>
      </c>
      <c r="F945" s="61">
        <v>35917</v>
      </c>
      <c r="G945" s="15" t="s">
        <v>73</v>
      </c>
      <c r="H945" t="s">
        <v>2899</v>
      </c>
      <c r="I945" s="62" t="s">
        <v>2900</v>
      </c>
      <c r="K945" s="36" t="s">
        <v>169</v>
      </c>
      <c r="L945" t="s">
        <v>69</v>
      </c>
      <c r="M945" s="62" t="s">
        <v>170</v>
      </c>
      <c r="N945" t="s">
        <v>71</v>
      </c>
      <c r="O945" t="str">
        <f>IFERROR(IF(Tbla_actores[[#This Row],[codigo_proyecto]]="","",_xlfn.XLOOKUP(Tbla_actores[[#This Row],[codigo_proyecto]],Proyectos!$A:$A,Proyectos!$C:$C)),"")</f>
        <v>NULOS</v>
      </c>
    </row>
    <row r="946" spans="1:15" ht="14.25" customHeight="1">
      <c r="A946" s="9">
        <v>1012464909</v>
      </c>
      <c r="B946" s="63" t="s">
        <v>61</v>
      </c>
      <c r="C946" s="62" t="s">
        <v>2550</v>
      </c>
      <c r="D946" t="s">
        <v>63</v>
      </c>
      <c r="E946" t="s">
        <v>2901</v>
      </c>
      <c r="F946" s="61">
        <v>36415</v>
      </c>
      <c r="G946" s="15" t="s">
        <v>65</v>
      </c>
      <c r="H946" t="s">
        <v>2902</v>
      </c>
      <c r="I946" s="62" t="s">
        <v>2903</v>
      </c>
      <c r="K946" s="36" t="s">
        <v>169</v>
      </c>
      <c r="L946" t="s">
        <v>69</v>
      </c>
      <c r="M946" s="62" t="s">
        <v>170</v>
      </c>
      <c r="N946" t="s">
        <v>71</v>
      </c>
      <c r="O946" t="str">
        <f>IFERROR(IF(Tbla_actores[[#This Row],[codigo_proyecto]]="","",_xlfn.XLOOKUP(Tbla_actores[[#This Row],[codigo_proyecto]],Proyectos!$A:$A,Proyectos!$C:$C)),"")</f>
        <v>NULOS</v>
      </c>
    </row>
    <row r="947" spans="1:15" ht="14.25" customHeight="1">
      <c r="A947" s="10">
        <v>1072448006</v>
      </c>
      <c r="B947" s="64" t="s">
        <v>61</v>
      </c>
      <c r="C947" s="62" t="s">
        <v>2550</v>
      </c>
      <c r="D947" t="s">
        <v>63</v>
      </c>
      <c r="E947" t="s">
        <v>2904</v>
      </c>
      <c r="F947" s="61">
        <v>36066</v>
      </c>
      <c r="G947" s="15" t="s">
        <v>65</v>
      </c>
      <c r="H947" t="s">
        <v>2905</v>
      </c>
      <c r="I947" s="62" t="s">
        <v>2906</v>
      </c>
      <c r="K947" s="36" t="s">
        <v>169</v>
      </c>
      <c r="L947" t="s">
        <v>69</v>
      </c>
      <c r="M947" s="62" t="s">
        <v>170</v>
      </c>
      <c r="N947" t="s">
        <v>71</v>
      </c>
      <c r="O947" t="str">
        <f>IFERROR(IF(Tbla_actores[[#This Row],[codigo_proyecto]]="","",_xlfn.XLOOKUP(Tbla_actores[[#This Row],[codigo_proyecto]],Proyectos!$A:$A,Proyectos!$C:$C)),"")</f>
        <v>NULOS</v>
      </c>
    </row>
    <row r="948" spans="1:15" ht="14.25" customHeight="1">
      <c r="A948" s="9">
        <v>1018514026</v>
      </c>
      <c r="B948" s="63" t="s">
        <v>61</v>
      </c>
      <c r="C948" s="62" t="s">
        <v>2550</v>
      </c>
      <c r="D948" t="s">
        <v>63</v>
      </c>
      <c r="E948" t="s">
        <v>2907</v>
      </c>
      <c r="F948" s="61">
        <v>36450</v>
      </c>
      <c r="G948" s="15" t="s">
        <v>73</v>
      </c>
      <c r="H948" t="s">
        <v>2908</v>
      </c>
      <c r="I948" s="62" t="s">
        <v>2909</v>
      </c>
      <c r="K948" s="36" t="s">
        <v>169</v>
      </c>
      <c r="L948" t="s">
        <v>69</v>
      </c>
      <c r="M948" s="62" t="s">
        <v>170</v>
      </c>
      <c r="N948" t="s">
        <v>71</v>
      </c>
      <c r="O948" t="str">
        <f>IFERROR(IF(Tbla_actores[[#This Row],[codigo_proyecto]]="","",_xlfn.XLOOKUP(Tbla_actores[[#This Row],[codigo_proyecto]],Proyectos!$A:$A,Proyectos!$C:$C)),"")</f>
        <v>NULOS</v>
      </c>
    </row>
    <row r="949" spans="1:15" ht="14.25" customHeight="1">
      <c r="A949" s="10">
        <v>1018508793</v>
      </c>
      <c r="B949" s="64" t="s">
        <v>61</v>
      </c>
      <c r="C949" s="62" t="s">
        <v>2550</v>
      </c>
      <c r="D949" t="s">
        <v>63</v>
      </c>
      <c r="E949" t="s">
        <v>2910</v>
      </c>
      <c r="F949" s="61">
        <v>36195</v>
      </c>
      <c r="G949" s="15" t="s">
        <v>65</v>
      </c>
      <c r="H949" t="s">
        <v>2911</v>
      </c>
      <c r="I949" s="62" t="s">
        <v>2912</v>
      </c>
      <c r="K949" s="36" t="s">
        <v>169</v>
      </c>
      <c r="L949" t="s">
        <v>69</v>
      </c>
      <c r="M949" s="62" t="s">
        <v>170</v>
      </c>
      <c r="N949" t="s">
        <v>71</v>
      </c>
      <c r="O949" t="str">
        <f>IFERROR(IF(Tbla_actores[[#This Row],[codigo_proyecto]]="","",_xlfn.XLOOKUP(Tbla_actores[[#This Row],[codigo_proyecto]],Proyectos!$A:$A,Proyectos!$C:$C)),"")</f>
        <v>NULOS</v>
      </c>
    </row>
    <row r="950" spans="1:15" ht="14.25" customHeight="1">
      <c r="A950" s="9">
        <v>570764</v>
      </c>
      <c r="B950" s="63" t="s">
        <v>61</v>
      </c>
      <c r="C950" s="62" t="s">
        <v>2550</v>
      </c>
      <c r="D950" t="s">
        <v>63</v>
      </c>
      <c r="E950" t="s">
        <v>2913</v>
      </c>
      <c r="F950" s="61">
        <v>35567</v>
      </c>
      <c r="G950" s="15" t="s">
        <v>73</v>
      </c>
      <c r="H950" t="s">
        <v>2914</v>
      </c>
      <c r="I950" s="62" t="s">
        <v>2915</v>
      </c>
      <c r="K950" s="36" t="s">
        <v>169</v>
      </c>
      <c r="L950" t="s">
        <v>69</v>
      </c>
      <c r="M950" s="62" t="s">
        <v>170</v>
      </c>
      <c r="N950" t="s">
        <v>71</v>
      </c>
      <c r="O950" t="str">
        <f>IFERROR(IF(Tbla_actores[[#This Row],[codigo_proyecto]]="","",_xlfn.XLOOKUP(Tbla_actores[[#This Row],[codigo_proyecto]],Proyectos!$A:$A,Proyectos!$C:$C)),"")</f>
        <v>NULOS</v>
      </c>
    </row>
    <row r="951" spans="1:15" ht="14.25" customHeight="1">
      <c r="A951" s="10">
        <v>1020843525</v>
      </c>
      <c r="B951" s="64" t="s">
        <v>61</v>
      </c>
      <c r="C951" s="62" t="s">
        <v>2550</v>
      </c>
      <c r="D951" t="s">
        <v>63</v>
      </c>
      <c r="E951" t="s">
        <v>2916</v>
      </c>
      <c r="F951" s="61">
        <v>36413</v>
      </c>
      <c r="G951" s="15" t="s">
        <v>73</v>
      </c>
      <c r="H951" t="s">
        <v>2917</v>
      </c>
      <c r="I951" s="62" t="s">
        <v>2918</v>
      </c>
      <c r="K951" s="36" t="s">
        <v>495</v>
      </c>
      <c r="L951" t="s">
        <v>69</v>
      </c>
      <c r="M951" s="62" t="s">
        <v>70</v>
      </c>
      <c r="N951" t="s">
        <v>71</v>
      </c>
      <c r="O951" t="str">
        <f>IFERROR(IF(Tbla_actores[[#This Row],[codigo_proyecto]]="","",_xlfn.XLOOKUP(Tbla_actores[[#This Row],[codigo_proyecto]],Proyectos!$A:$A,Proyectos!$C:$C)),"")</f>
        <v>NULOS</v>
      </c>
    </row>
    <row r="952" spans="1:15" ht="14.25" customHeight="1">
      <c r="A952" s="9">
        <v>1007605218</v>
      </c>
      <c r="B952" s="63" t="s">
        <v>61</v>
      </c>
      <c r="C952" s="62" t="s">
        <v>2550</v>
      </c>
      <c r="D952" t="s">
        <v>63</v>
      </c>
      <c r="E952" t="s">
        <v>2919</v>
      </c>
      <c r="F952" s="61">
        <v>36666</v>
      </c>
      <c r="G952" s="15" t="s">
        <v>73</v>
      </c>
      <c r="H952" t="s">
        <v>2920</v>
      </c>
      <c r="I952" s="62" t="s">
        <v>2921</v>
      </c>
      <c r="K952" s="36" t="s">
        <v>495</v>
      </c>
      <c r="L952" t="s">
        <v>69</v>
      </c>
      <c r="M952" s="62" t="s">
        <v>70</v>
      </c>
      <c r="N952" t="s">
        <v>71</v>
      </c>
      <c r="O952" t="str">
        <f>IFERROR(IF(Tbla_actores[[#This Row],[codigo_proyecto]]="","",_xlfn.XLOOKUP(Tbla_actores[[#This Row],[codigo_proyecto]],Proyectos!$A:$A,Proyectos!$C:$C)),"")</f>
        <v>NULOS</v>
      </c>
    </row>
    <row r="953" spans="1:15" ht="14.25" customHeight="1">
      <c r="A953" s="10">
        <v>1193224228</v>
      </c>
      <c r="B953" s="64" t="s">
        <v>61</v>
      </c>
      <c r="C953" s="62" t="s">
        <v>2550</v>
      </c>
      <c r="D953" t="s">
        <v>63</v>
      </c>
      <c r="E953" t="s">
        <v>2922</v>
      </c>
      <c r="F953" s="61">
        <v>37067</v>
      </c>
      <c r="G953" s="15" t="s">
        <v>73</v>
      </c>
      <c r="H953" t="s">
        <v>2923</v>
      </c>
      <c r="I953" s="62" t="s">
        <v>2924</v>
      </c>
      <c r="K953" s="36" t="s">
        <v>495</v>
      </c>
      <c r="L953" t="s">
        <v>69</v>
      </c>
      <c r="M953" s="62" t="s">
        <v>70</v>
      </c>
      <c r="N953" t="s">
        <v>71</v>
      </c>
      <c r="O953" t="str">
        <f>IFERROR(IF(Tbla_actores[[#This Row],[codigo_proyecto]]="","",_xlfn.XLOOKUP(Tbla_actores[[#This Row],[codigo_proyecto]],Proyectos!$A:$A,Proyectos!$C:$C)),"")</f>
        <v>NULOS</v>
      </c>
    </row>
    <row r="954" spans="1:15" ht="14.25" customHeight="1">
      <c r="A954" s="9">
        <v>1019125901</v>
      </c>
      <c r="B954" s="63" t="s">
        <v>61</v>
      </c>
      <c r="C954" s="62" t="s">
        <v>2550</v>
      </c>
      <c r="D954" t="s">
        <v>63</v>
      </c>
      <c r="E954" t="s">
        <v>2925</v>
      </c>
      <c r="F954" s="61">
        <v>35374</v>
      </c>
      <c r="G954" s="15" t="s">
        <v>73</v>
      </c>
      <c r="H954" t="s">
        <v>2926</v>
      </c>
      <c r="I954" s="62" t="s">
        <v>2927</v>
      </c>
      <c r="K954" s="36" t="s">
        <v>495</v>
      </c>
      <c r="L954" t="s">
        <v>69</v>
      </c>
      <c r="M954" s="62" t="s">
        <v>70</v>
      </c>
      <c r="N954" t="s">
        <v>71</v>
      </c>
      <c r="O954" t="str">
        <f>IFERROR(IF(Tbla_actores[[#This Row],[codigo_proyecto]]="","",_xlfn.XLOOKUP(Tbla_actores[[#This Row],[codigo_proyecto]],Proyectos!$A:$A,Proyectos!$C:$C)),"")</f>
        <v>NULOS</v>
      </c>
    </row>
    <row r="955" spans="1:15" ht="14.25" customHeight="1">
      <c r="A955" s="10">
        <v>1118862773</v>
      </c>
      <c r="B955" s="64" t="s">
        <v>61</v>
      </c>
      <c r="C955" s="62" t="s">
        <v>2550</v>
      </c>
      <c r="D955" t="s">
        <v>63</v>
      </c>
      <c r="E955" t="s">
        <v>2928</v>
      </c>
      <c r="F955" s="61">
        <v>35203</v>
      </c>
      <c r="G955" s="15" t="s">
        <v>73</v>
      </c>
      <c r="H955" t="s">
        <v>2929</v>
      </c>
      <c r="I955" s="62" t="s">
        <v>2930</v>
      </c>
      <c r="K955" s="36" t="s">
        <v>495</v>
      </c>
      <c r="L955" t="s">
        <v>69</v>
      </c>
      <c r="M955" s="62" t="s">
        <v>70</v>
      </c>
      <c r="N955" t="s">
        <v>71</v>
      </c>
      <c r="O955" t="str">
        <f>IFERROR(IF(Tbla_actores[[#This Row],[codigo_proyecto]]="","",_xlfn.XLOOKUP(Tbla_actores[[#This Row],[codigo_proyecto]],Proyectos!$A:$A,Proyectos!$C:$C)),"")</f>
        <v>NULOS</v>
      </c>
    </row>
    <row r="956" spans="1:15" ht="14.25" customHeight="1">
      <c r="A956" s="9">
        <v>1015474473</v>
      </c>
      <c r="B956" s="63" t="s">
        <v>61</v>
      </c>
      <c r="C956" s="62" t="s">
        <v>2550</v>
      </c>
      <c r="D956" t="s">
        <v>63</v>
      </c>
      <c r="E956" t="s">
        <v>2931</v>
      </c>
      <c r="F956" s="61">
        <v>35900</v>
      </c>
      <c r="G956" s="15" t="s">
        <v>73</v>
      </c>
      <c r="H956" t="s">
        <v>2932</v>
      </c>
      <c r="I956" s="62" t="s">
        <v>2933</v>
      </c>
      <c r="K956" s="36" t="s">
        <v>495</v>
      </c>
      <c r="L956" t="s">
        <v>69</v>
      </c>
      <c r="M956" s="62" t="s">
        <v>70</v>
      </c>
      <c r="N956" t="s">
        <v>71</v>
      </c>
      <c r="O956" t="str">
        <f>IFERROR(IF(Tbla_actores[[#This Row],[codigo_proyecto]]="","",_xlfn.XLOOKUP(Tbla_actores[[#This Row],[codigo_proyecto]],Proyectos!$A:$A,Proyectos!$C:$C)),"")</f>
        <v>NULOS</v>
      </c>
    </row>
    <row r="957" spans="1:15" ht="14.25" customHeight="1">
      <c r="A957" s="10">
        <v>1015478699</v>
      </c>
      <c r="B957" s="64" t="s">
        <v>61</v>
      </c>
      <c r="C957" s="62" t="s">
        <v>2550</v>
      </c>
      <c r="D957" t="s">
        <v>63</v>
      </c>
      <c r="E957" t="s">
        <v>2934</v>
      </c>
      <c r="F957" s="61">
        <v>36163</v>
      </c>
      <c r="G957" s="15" t="s">
        <v>73</v>
      </c>
      <c r="H957" t="s">
        <v>2935</v>
      </c>
      <c r="I957" s="62" t="s">
        <v>2936</v>
      </c>
      <c r="K957" s="36" t="s">
        <v>495</v>
      </c>
      <c r="L957" t="s">
        <v>69</v>
      </c>
      <c r="M957" s="62" t="s">
        <v>70</v>
      </c>
      <c r="N957" t="s">
        <v>71</v>
      </c>
      <c r="O957" t="str">
        <f>IFERROR(IF(Tbla_actores[[#This Row],[codigo_proyecto]]="","",_xlfn.XLOOKUP(Tbla_actores[[#This Row],[codigo_proyecto]],Proyectos!$A:$A,Proyectos!$C:$C)),"")</f>
        <v>NULOS</v>
      </c>
    </row>
    <row r="958" spans="1:15" ht="14.25" customHeight="1">
      <c r="A958" s="9">
        <v>1118572202</v>
      </c>
      <c r="B958" s="63" t="s">
        <v>61</v>
      </c>
      <c r="C958" s="62" t="s">
        <v>2550</v>
      </c>
      <c r="D958" t="s">
        <v>63</v>
      </c>
      <c r="E958" t="s">
        <v>2937</v>
      </c>
      <c r="F958" s="61">
        <v>36043</v>
      </c>
      <c r="G958" s="15" t="s">
        <v>65</v>
      </c>
      <c r="H958" t="s">
        <v>2938</v>
      </c>
      <c r="I958" s="62" t="s">
        <v>2939</v>
      </c>
      <c r="K958" s="36" t="s">
        <v>495</v>
      </c>
      <c r="L958" t="s">
        <v>69</v>
      </c>
      <c r="M958" s="62" t="s">
        <v>70</v>
      </c>
      <c r="N958" t="s">
        <v>71</v>
      </c>
      <c r="O958" t="str">
        <f>IFERROR(IF(Tbla_actores[[#This Row],[codigo_proyecto]]="","",_xlfn.XLOOKUP(Tbla_actores[[#This Row],[codigo_proyecto]],Proyectos!$A:$A,Proyectos!$C:$C)),"")</f>
        <v>NULOS</v>
      </c>
    </row>
    <row r="959" spans="1:15" ht="14.25" customHeight="1">
      <c r="A959" s="10">
        <v>1026594294</v>
      </c>
      <c r="B959" s="64" t="s">
        <v>61</v>
      </c>
      <c r="C959" s="62" t="s">
        <v>2550</v>
      </c>
      <c r="D959" t="s">
        <v>63</v>
      </c>
      <c r="E959" t="s">
        <v>2940</v>
      </c>
      <c r="F959" s="61">
        <v>35935</v>
      </c>
      <c r="G959" s="15" t="s">
        <v>65</v>
      </c>
      <c r="H959" t="s">
        <v>2941</v>
      </c>
      <c r="I959" s="62" t="s">
        <v>2942</v>
      </c>
      <c r="K959" s="36" t="s">
        <v>495</v>
      </c>
      <c r="L959" t="s">
        <v>69</v>
      </c>
      <c r="M959" s="62" t="s">
        <v>70</v>
      </c>
      <c r="N959" t="s">
        <v>71</v>
      </c>
      <c r="O959" t="str">
        <f>IFERROR(IF(Tbla_actores[[#This Row],[codigo_proyecto]]="","",_xlfn.XLOOKUP(Tbla_actores[[#This Row],[codigo_proyecto]],Proyectos!$A:$A,Proyectos!$C:$C)),"")</f>
        <v>NULOS</v>
      </c>
    </row>
    <row r="960" spans="1:15" ht="14.25" customHeight="1">
      <c r="A960" s="9">
        <v>1019144340</v>
      </c>
      <c r="B960" s="63" t="s">
        <v>61</v>
      </c>
      <c r="C960" s="62" t="s">
        <v>2550</v>
      </c>
      <c r="D960" t="s">
        <v>63</v>
      </c>
      <c r="E960" t="s">
        <v>2943</v>
      </c>
      <c r="F960" s="61">
        <v>36111</v>
      </c>
      <c r="G960" s="15" t="s">
        <v>65</v>
      </c>
      <c r="H960" t="s">
        <v>2944</v>
      </c>
      <c r="I960" s="62" t="s">
        <v>2945</v>
      </c>
      <c r="K960" s="36" t="s">
        <v>495</v>
      </c>
      <c r="L960" t="s">
        <v>69</v>
      </c>
      <c r="M960" s="62" t="s">
        <v>70</v>
      </c>
      <c r="N960" t="s">
        <v>71</v>
      </c>
      <c r="O960" t="str">
        <f>IFERROR(IF(Tbla_actores[[#This Row],[codigo_proyecto]]="","",_xlfn.XLOOKUP(Tbla_actores[[#This Row],[codigo_proyecto]],Proyectos!$A:$A,Proyectos!$C:$C)),"")</f>
        <v>NULOS</v>
      </c>
    </row>
    <row r="961" spans="1:15" ht="14.25" customHeight="1">
      <c r="A961" s="10">
        <v>1110558240</v>
      </c>
      <c r="B961" s="64" t="s">
        <v>61</v>
      </c>
      <c r="C961" s="62" t="s">
        <v>2550</v>
      </c>
      <c r="D961" t="s">
        <v>63</v>
      </c>
      <c r="E961" t="s">
        <v>2946</v>
      </c>
      <c r="F961" s="61">
        <v>34812</v>
      </c>
      <c r="G961" s="15" t="s">
        <v>65</v>
      </c>
      <c r="H961" t="s">
        <v>2947</v>
      </c>
      <c r="I961" s="62" t="s">
        <v>2948</v>
      </c>
      <c r="K961" s="36" t="s">
        <v>495</v>
      </c>
      <c r="L961" t="s">
        <v>69</v>
      </c>
      <c r="M961" s="62" t="s">
        <v>70</v>
      </c>
      <c r="N961" t="s">
        <v>71</v>
      </c>
      <c r="O961" t="str">
        <f>IFERROR(IF(Tbla_actores[[#This Row],[codigo_proyecto]]="","",_xlfn.XLOOKUP(Tbla_actores[[#This Row],[codigo_proyecto]],Proyectos!$A:$A,Proyectos!$C:$C)),"")</f>
        <v>NULOS</v>
      </c>
    </row>
    <row r="962" spans="1:15" ht="14.25" customHeight="1">
      <c r="A962" s="9">
        <v>1022443156</v>
      </c>
      <c r="B962" s="63" t="s">
        <v>61</v>
      </c>
      <c r="C962" s="62" t="s">
        <v>2550</v>
      </c>
      <c r="D962" t="s">
        <v>63</v>
      </c>
      <c r="E962" t="s">
        <v>2949</v>
      </c>
      <c r="F962" s="61">
        <v>36295</v>
      </c>
      <c r="G962" s="15" t="s">
        <v>73</v>
      </c>
      <c r="H962" t="s">
        <v>2950</v>
      </c>
      <c r="I962" s="62" t="s">
        <v>2951</v>
      </c>
      <c r="K962" s="36" t="s">
        <v>495</v>
      </c>
      <c r="L962" t="s">
        <v>69</v>
      </c>
      <c r="M962" s="62" t="s">
        <v>70</v>
      </c>
      <c r="N962" t="s">
        <v>71</v>
      </c>
      <c r="O962" t="str">
        <f>IFERROR(IF(Tbla_actores[[#This Row],[codigo_proyecto]]="","",_xlfn.XLOOKUP(Tbla_actores[[#This Row],[codigo_proyecto]],Proyectos!$A:$A,Proyectos!$C:$C)),"")</f>
        <v>NULOS</v>
      </c>
    </row>
    <row r="963" spans="1:15" ht="14.25" customHeight="1">
      <c r="A963" s="10">
        <v>1014269199</v>
      </c>
      <c r="B963" s="64" t="s">
        <v>61</v>
      </c>
      <c r="C963" s="62" t="s">
        <v>2550</v>
      </c>
      <c r="D963" t="s">
        <v>63</v>
      </c>
      <c r="E963" t="s">
        <v>2952</v>
      </c>
      <c r="F963" s="61">
        <v>34913</v>
      </c>
      <c r="G963" s="15" t="s">
        <v>73</v>
      </c>
      <c r="H963" t="s">
        <v>2953</v>
      </c>
      <c r="I963" s="62" t="s">
        <v>2954</v>
      </c>
      <c r="K963" s="36" t="s">
        <v>495</v>
      </c>
      <c r="L963" t="s">
        <v>69</v>
      </c>
      <c r="M963" s="62" t="s">
        <v>70</v>
      </c>
      <c r="N963" t="s">
        <v>71</v>
      </c>
      <c r="O963" t="str">
        <f>IFERROR(IF(Tbla_actores[[#This Row],[codigo_proyecto]]="","",_xlfn.XLOOKUP(Tbla_actores[[#This Row],[codigo_proyecto]],Proyectos!$A:$A,Proyectos!$C:$C)),"")</f>
        <v>NULOS</v>
      </c>
    </row>
    <row r="964" spans="1:15" ht="14.25" customHeight="1">
      <c r="A964" s="9">
        <v>1030682786</v>
      </c>
      <c r="B964" s="63" t="s">
        <v>61</v>
      </c>
      <c r="C964" s="62" t="s">
        <v>2550</v>
      </c>
      <c r="D964" t="s">
        <v>63</v>
      </c>
      <c r="E964" t="s">
        <v>2955</v>
      </c>
      <c r="F964" s="61">
        <v>35767</v>
      </c>
      <c r="G964" s="15" t="s">
        <v>65</v>
      </c>
      <c r="H964" t="s">
        <v>2956</v>
      </c>
      <c r="I964" s="62" t="s">
        <v>2957</v>
      </c>
      <c r="K964" s="36" t="s">
        <v>495</v>
      </c>
      <c r="L964" t="s">
        <v>69</v>
      </c>
      <c r="M964" s="62" t="s">
        <v>70</v>
      </c>
      <c r="N964" t="s">
        <v>71</v>
      </c>
      <c r="O964" t="str">
        <f>IFERROR(IF(Tbla_actores[[#This Row],[codigo_proyecto]]="","",_xlfn.XLOOKUP(Tbla_actores[[#This Row],[codigo_proyecto]],Proyectos!$A:$A,Proyectos!$C:$C)),"")</f>
        <v>NULOS</v>
      </c>
    </row>
    <row r="965" spans="1:15" ht="14.25" customHeight="1">
      <c r="A965" s="10" t="s">
        <v>1433</v>
      </c>
      <c r="B965" s="64" t="s">
        <v>61</v>
      </c>
      <c r="C965" s="62" t="s">
        <v>2550</v>
      </c>
      <c r="D965" t="s">
        <v>63</v>
      </c>
      <c r="E965" t="s">
        <v>2958</v>
      </c>
      <c r="F965" s="61" t="s">
        <v>1433</v>
      </c>
      <c r="G965" s="15" t="s">
        <v>1433</v>
      </c>
      <c r="H965" t="s">
        <v>1433</v>
      </c>
      <c r="I965" s="62" t="s">
        <v>1433</v>
      </c>
      <c r="K965" s="36" t="s">
        <v>495</v>
      </c>
      <c r="L965" t="s">
        <v>69</v>
      </c>
      <c r="M965" s="62" t="s">
        <v>2558</v>
      </c>
      <c r="N965" t="s">
        <v>71</v>
      </c>
      <c r="O965" t="str">
        <f>IFERROR(IF(Tbla_actores[[#This Row],[codigo_proyecto]]="","",_xlfn.XLOOKUP(Tbla_actores[[#This Row],[codigo_proyecto]],Proyectos!$A:$A,Proyectos!$C:$C)),"")</f>
        <v>NULOS</v>
      </c>
    </row>
    <row r="966" spans="1:15" ht="14.25" customHeight="1">
      <c r="A966" s="9">
        <v>1007435569</v>
      </c>
      <c r="B966" s="63" t="s">
        <v>61</v>
      </c>
      <c r="C966" s="62" t="s">
        <v>2550</v>
      </c>
      <c r="D966" t="s">
        <v>63</v>
      </c>
      <c r="E966" t="s">
        <v>2959</v>
      </c>
      <c r="F966" s="61">
        <v>36688</v>
      </c>
      <c r="G966" s="15" t="s">
        <v>73</v>
      </c>
      <c r="H966" t="s">
        <v>2960</v>
      </c>
      <c r="I966" s="62" t="s">
        <v>2961</v>
      </c>
      <c r="K966" s="36" t="s">
        <v>495</v>
      </c>
      <c r="L966" t="s">
        <v>69</v>
      </c>
      <c r="M966" s="62" t="s">
        <v>70</v>
      </c>
      <c r="N966" t="s">
        <v>71</v>
      </c>
      <c r="O966" t="str">
        <f>IFERROR(IF(Tbla_actores[[#This Row],[codigo_proyecto]]="","",_xlfn.XLOOKUP(Tbla_actores[[#This Row],[codigo_proyecto]],Proyectos!$A:$A,Proyectos!$C:$C)),"")</f>
        <v>NULOS</v>
      </c>
    </row>
    <row r="967" spans="1:15" ht="14.25" customHeight="1">
      <c r="A967" s="10">
        <v>1193524569</v>
      </c>
      <c r="B967" s="64" t="s">
        <v>61</v>
      </c>
      <c r="C967" s="62" t="s">
        <v>2550</v>
      </c>
      <c r="D967" t="s">
        <v>63</v>
      </c>
      <c r="E967" t="s">
        <v>2962</v>
      </c>
      <c r="F967" s="61">
        <v>36748</v>
      </c>
      <c r="G967" s="15" t="s">
        <v>73</v>
      </c>
      <c r="H967" t="s">
        <v>2963</v>
      </c>
      <c r="I967" s="62" t="s">
        <v>2964</v>
      </c>
      <c r="K967" s="36" t="s">
        <v>495</v>
      </c>
      <c r="L967" t="s">
        <v>69</v>
      </c>
      <c r="M967" s="62" t="s">
        <v>70</v>
      </c>
      <c r="N967" t="s">
        <v>71</v>
      </c>
      <c r="O967" t="str">
        <f>IFERROR(IF(Tbla_actores[[#This Row],[codigo_proyecto]]="","",_xlfn.XLOOKUP(Tbla_actores[[#This Row],[codigo_proyecto]],Proyectos!$A:$A,Proyectos!$C:$C)),"")</f>
        <v>NULOS</v>
      </c>
    </row>
    <row r="968" spans="1:15" ht="14.25" customHeight="1">
      <c r="A968" s="9">
        <v>1015473347</v>
      </c>
      <c r="B968" s="63" t="s">
        <v>61</v>
      </c>
      <c r="C968" s="62" t="s">
        <v>2550</v>
      </c>
      <c r="D968" t="s">
        <v>63</v>
      </c>
      <c r="E968" t="s">
        <v>2965</v>
      </c>
      <c r="F968" s="61">
        <v>35832</v>
      </c>
      <c r="G968" s="15" t="s">
        <v>73</v>
      </c>
      <c r="H968" t="s">
        <v>2966</v>
      </c>
      <c r="I968" s="62" t="s">
        <v>2967</v>
      </c>
      <c r="K968" s="36" t="s">
        <v>495</v>
      </c>
      <c r="L968" t="s">
        <v>69</v>
      </c>
      <c r="M968" s="62" t="s">
        <v>70</v>
      </c>
      <c r="N968" t="s">
        <v>71</v>
      </c>
      <c r="O968" t="str">
        <f>IFERROR(IF(Tbla_actores[[#This Row],[codigo_proyecto]]="","",_xlfn.XLOOKUP(Tbla_actores[[#This Row],[codigo_proyecto]],Proyectos!$A:$A,Proyectos!$C:$C)),"")</f>
        <v>NULOS</v>
      </c>
    </row>
    <row r="969" spans="1:15" ht="14.25" customHeight="1">
      <c r="A969" s="10">
        <v>1007391701</v>
      </c>
      <c r="B969" s="64" t="s">
        <v>61</v>
      </c>
      <c r="C969" s="62" t="s">
        <v>2550</v>
      </c>
      <c r="D969" t="s">
        <v>63</v>
      </c>
      <c r="E969" t="s">
        <v>2968</v>
      </c>
      <c r="F969" s="61">
        <v>36590</v>
      </c>
      <c r="G969" s="15" t="s">
        <v>73</v>
      </c>
      <c r="H969" t="s">
        <v>2969</v>
      </c>
      <c r="I969" s="62" t="s">
        <v>2970</v>
      </c>
      <c r="K969" s="36" t="s">
        <v>495</v>
      </c>
      <c r="L969" t="s">
        <v>69</v>
      </c>
      <c r="M969" s="62" t="s">
        <v>70</v>
      </c>
      <c r="N969" t="s">
        <v>71</v>
      </c>
      <c r="O969" t="str">
        <f>IFERROR(IF(Tbla_actores[[#This Row],[codigo_proyecto]]="","",_xlfn.XLOOKUP(Tbla_actores[[#This Row],[codigo_proyecto]],Proyectos!$A:$A,Proyectos!$C:$C)),"")</f>
        <v>NULOS</v>
      </c>
    </row>
    <row r="970" spans="1:15" ht="14.25" customHeight="1">
      <c r="A970" s="9">
        <v>1032508387</v>
      </c>
      <c r="B970" s="63" t="s">
        <v>61</v>
      </c>
      <c r="C970" s="62" t="s">
        <v>2550</v>
      </c>
      <c r="D970" t="s">
        <v>63</v>
      </c>
      <c r="E970" t="s">
        <v>2971</v>
      </c>
      <c r="F970" s="61">
        <v>36502</v>
      </c>
      <c r="G970" s="15" t="s">
        <v>73</v>
      </c>
      <c r="H970" t="s">
        <v>2972</v>
      </c>
      <c r="I970" s="62" t="s">
        <v>2973</v>
      </c>
      <c r="K970" s="36" t="s">
        <v>495</v>
      </c>
      <c r="L970" t="s">
        <v>69</v>
      </c>
      <c r="M970" s="62" t="s">
        <v>70</v>
      </c>
      <c r="N970" t="s">
        <v>71</v>
      </c>
      <c r="O970" t="str">
        <f>IFERROR(IF(Tbla_actores[[#This Row],[codigo_proyecto]]="","",_xlfn.XLOOKUP(Tbla_actores[[#This Row],[codigo_proyecto]],Proyectos!$A:$A,Proyectos!$C:$C)),"")</f>
        <v>NULOS</v>
      </c>
    </row>
    <row r="971" spans="1:15" ht="14.25" customHeight="1">
      <c r="A971" s="10">
        <v>1026305494</v>
      </c>
      <c r="B971" s="64" t="s">
        <v>61</v>
      </c>
      <c r="C971" s="62" t="s">
        <v>2550</v>
      </c>
      <c r="D971" t="s">
        <v>63</v>
      </c>
      <c r="E971" t="s">
        <v>2974</v>
      </c>
      <c r="F971" s="61">
        <v>36278</v>
      </c>
      <c r="G971" s="15" t="s">
        <v>73</v>
      </c>
      <c r="H971" t="s">
        <v>2975</v>
      </c>
      <c r="I971" s="62" t="s">
        <v>2976</v>
      </c>
      <c r="K971" s="36" t="s">
        <v>495</v>
      </c>
      <c r="L971" t="s">
        <v>69</v>
      </c>
      <c r="M971" s="62" t="s">
        <v>70</v>
      </c>
      <c r="N971" t="s">
        <v>71</v>
      </c>
      <c r="O971" t="str">
        <f>IFERROR(IF(Tbla_actores[[#This Row],[codigo_proyecto]]="","",_xlfn.XLOOKUP(Tbla_actores[[#This Row],[codigo_proyecto]],Proyectos!$A:$A,Proyectos!$C:$C)),"")</f>
        <v>NULOS</v>
      </c>
    </row>
    <row r="972" spans="1:15" ht="14.25" customHeight="1">
      <c r="A972" s="9">
        <v>1073246417</v>
      </c>
      <c r="B972" s="63" t="s">
        <v>61</v>
      </c>
      <c r="C972" s="62" t="s">
        <v>2550</v>
      </c>
      <c r="D972" t="s">
        <v>63</v>
      </c>
      <c r="E972" t="s">
        <v>2977</v>
      </c>
      <c r="F972" s="61">
        <v>35292</v>
      </c>
      <c r="G972" s="15" t="s">
        <v>73</v>
      </c>
      <c r="H972" t="s">
        <v>2978</v>
      </c>
      <c r="I972" s="62" t="s">
        <v>2979</v>
      </c>
      <c r="K972" s="36" t="s">
        <v>495</v>
      </c>
      <c r="L972" t="s">
        <v>69</v>
      </c>
      <c r="M972" s="62" t="s">
        <v>70</v>
      </c>
      <c r="N972" t="s">
        <v>71</v>
      </c>
      <c r="O972" t="str">
        <f>IFERROR(IF(Tbla_actores[[#This Row],[codigo_proyecto]]="","",_xlfn.XLOOKUP(Tbla_actores[[#This Row],[codigo_proyecto]],Proyectos!$A:$A,Proyectos!$C:$C)),"")</f>
        <v>NULOS</v>
      </c>
    </row>
    <row r="973" spans="1:15" ht="14.25" customHeight="1">
      <c r="A973" s="10">
        <v>1019128601</v>
      </c>
      <c r="B973" s="64" t="s">
        <v>61</v>
      </c>
      <c r="C973" s="62" t="s">
        <v>2550</v>
      </c>
      <c r="D973" t="s">
        <v>63</v>
      </c>
      <c r="E973" t="s">
        <v>2980</v>
      </c>
      <c r="F973" s="61">
        <v>35495</v>
      </c>
      <c r="G973" s="15" t="s">
        <v>65</v>
      </c>
      <c r="H973" t="s">
        <v>2981</v>
      </c>
      <c r="I973" s="62" t="s">
        <v>2982</v>
      </c>
      <c r="K973" s="36" t="s">
        <v>495</v>
      </c>
      <c r="L973" t="s">
        <v>69</v>
      </c>
      <c r="M973" s="62" t="s">
        <v>70</v>
      </c>
      <c r="N973" t="s">
        <v>71</v>
      </c>
      <c r="O973" t="str">
        <f>IFERROR(IF(Tbla_actores[[#This Row],[codigo_proyecto]]="","",_xlfn.XLOOKUP(Tbla_actores[[#This Row],[codigo_proyecto]],Proyectos!$A:$A,Proyectos!$C:$C)),"")</f>
        <v>NULOS</v>
      </c>
    </row>
    <row r="974" spans="1:15" ht="14.25" customHeight="1">
      <c r="A974" s="9">
        <v>1032499802</v>
      </c>
      <c r="B974" s="63" t="s">
        <v>61</v>
      </c>
      <c r="C974" s="62" t="s">
        <v>2550</v>
      </c>
      <c r="D974" t="s">
        <v>63</v>
      </c>
      <c r="E974" t="s">
        <v>2983</v>
      </c>
      <c r="F974" s="61">
        <v>36026</v>
      </c>
      <c r="G974" s="15" t="s">
        <v>65</v>
      </c>
      <c r="H974" t="s">
        <v>2984</v>
      </c>
      <c r="I974" s="62" t="s">
        <v>2985</v>
      </c>
      <c r="K974" s="36" t="s">
        <v>495</v>
      </c>
      <c r="L974" t="s">
        <v>69</v>
      </c>
      <c r="M974" s="62" t="s">
        <v>70</v>
      </c>
      <c r="N974" t="s">
        <v>71</v>
      </c>
      <c r="O974" t="str">
        <f>IFERROR(IF(Tbla_actores[[#This Row],[codigo_proyecto]]="","",_xlfn.XLOOKUP(Tbla_actores[[#This Row],[codigo_proyecto]],Proyectos!$A:$A,Proyectos!$C:$C)),"")</f>
        <v>NULOS</v>
      </c>
    </row>
    <row r="975" spans="1:15" ht="14.25" customHeight="1">
      <c r="A975" s="10">
        <v>1082924067</v>
      </c>
      <c r="B975" s="64" t="s">
        <v>61</v>
      </c>
      <c r="C975" s="62" t="s">
        <v>2550</v>
      </c>
      <c r="D975" t="s">
        <v>63</v>
      </c>
      <c r="E975" t="s">
        <v>2986</v>
      </c>
      <c r="F975" s="61">
        <v>36617</v>
      </c>
      <c r="G975" s="15" t="s">
        <v>65</v>
      </c>
      <c r="H975" t="s">
        <v>2987</v>
      </c>
      <c r="I975" s="62" t="s">
        <v>2988</v>
      </c>
      <c r="K975" s="36" t="s">
        <v>495</v>
      </c>
      <c r="L975" t="s">
        <v>69</v>
      </c>
      <c r="M975" s="62" t="s">
        <v>70</v>
      </c>
      <c r="N975" t="s">
        <v>71</v>
      </c>
      <c r="O975" t="str">
        <f>IFERROR(IF(Tbla_actores[[#This Row],[codigo_proyecto]]="","",_xlfn.XLOOKUP(Tbla_actores[[#This Row],[codigo_proyecto]],Proyectos!$A:$A,Proyectos!$C:$C)),"")</f>
        <v>NULOS</v>
      </c>
    </row>
    <row r="976" spans="1:15" ht="14.25" customHeight="1">
      <c r="A976" s="9">
        <v>1019135505</v>
      </c>
      <c r="B976" s="63" t="s">
        <v>61</v>
      </c>
      <c r="C976" s="62" t="s">
        <v>2550</v>
      </c>
      <c r="D976" t="s">
        <v>63</v>
      </c>
      <c r="E976" t="s">
        <v>2989</v>
      </c>
      <c r="F976" s="61">
        <v>35769</v>
      </c>
      <c r="G976" s="15" t="s">
        <v>65</v>
      </c>
      <c r="H976" t="s">
        <v>2990</v>
      </c>
      <c r="I976" s="62" t="s">
        <v>2991</v>
      </c>
      <c r="K976" s="36" t="s">
        <v>495</v>
      </c>
      <c r="L976" t="s">
        <v>69</v>
      </c>
      <c r="M976" s="62" t="s">
        <v>70</v>
      </c>
      <c r="N976" t="s">
        <v>71</v>
      </c>
      <c r="O976" t="str">
        <f>IFERROR(IF(Tbla_actores[[#This Row],[codigo_proyecto]]="","",_xlfn.XLOOKUP(Tbla_actores[[#This Row],[codigo_proyecto]],Proyectos!$A:$A,Proyectos!$C:$C)),"")</f>
        <v>NULOS</v>
      </c>
    </row>
    <row r="977" spans="1:15" ht="14.25" customHeight="1">
      <c r="A977" s="10">
        <v>1233892522</v>
      </c>
      <c r="B977" s="64" t="s">
        <v>61</v>
      </c>
      <c r="C977" s="62" t="s">
        <v>2550</v>
      </c>
      <c r="D977" t="s">
        <v>63</v>
      </c>
      <c r="E977" t="s">
        <v>2992</v>
      </c>
      <c r="F977" s="61">
        <v>35667</v>
      </c>
      <c r="G977" s="15" t="s">
        <v>73</v>
      </c>
      <c r="H977" t="s">
        <v>2993</v>
      </c>
      <c r="I977" s="62" t="s">
        <v>2994</v>
      </c>
      <c r="K977" s="36" t="s">
        <v>495</v>
      </c>
      <c r="L977" t="s">
        <v>69</v>
      </c>
      <c r="M977" s="62" t="s">
        <v>70</v>
      </c>
      <c r="N977" t="s">
        <v>71</v>
      </c>
      <c r="O977" t="str">
        <f>IFERROR(IF(Tbla_actores[[#This Row],[codigo_proyecto]]="","",_xlfn.XLOOKUP(Tbla_actores[[#This Row],[codigo_proyecto]],Proyectos!$A:$A,Proyectos!$C:$C)),"")</f>
        <v>NULOS</v>
      </c>
    </row>
    <row r="978" spans="1:15" ht="14.25" customHeight="1">
      <c r="A978" s="9">
        <v>1144102186</v>
      </c>
      <c r="B978" s="63" t="s">
        <v>61</v>
      </c>
      <c r="C978" s="62" t="s">
        <v>2550</v>
      </c>
      <c r="D978" t="s">
        <v>63</v>
      </c>
      <c r="E978" t="s">
        <v>2995</v>
      </c>
      <c r="F978" s="61">
        <v>35935</v>
      </c>
      <c r="G978" s="15" t="s">
        <v>65</v>
      </c>
      <c r="H978" t="s">
        <v>2996</v>
      </c>
      <c r="I978" s="62" t="s">
        <v>2997</v>
      </c>
      <c r="K978" s="36" t="s">
        <v>495</v>
      </c>
      <c r="L978" t="s">
        <v>69</v>
      </c>
      <c r="M978" s="62" t="s">
        <v>70</v>
      </c>
      <c r="N978" t="s">
        <v>71</v>
      </c>
      <c r="O978" t="str">
        <f>IFERROR(IF(Tbla_actores[[#This Row],[codigo_proyecto]]="","",_xlfn.XLOOKUP(Tbla_actores[[#This Row],[codigo_proyecto]],Proyectos!$A:$A,Proyectos!$C:$C)),"")</f>
        <v>NULOS</v>
      </c>
    </row>
    <row r="979" spans="1:15" ht="14.25" customHeight="1">
      <c r="A979" s="10">
        <v>1233899025</v>
      </c>
      <c r="B979" s="64" t="s">
        <v>61</v>
      </c>
      <c r="C979" s="62" t="s">
        <v>2550</v>
      </c>
      <c r="D979" t="s">
        <v>63</v>
      </c>
      <c r="E979" t="s">
        <v>2998</v>
      </c>
      <c r="F979" s="61">
        <v>35950</v>
      </c>
      <c r="G979" s="15" t="s">
        <v>73</v>
      </c>
      <c r="H979" t="s">
        <v>2999</v>
      </c>
      <c r="I979" s="62" t="s">
        <v>3000</v>
      </c>
      <c r="K979" s="36" t="s">
        <v>495</v>
      </c>
      <c r="L979" t="s">
        <v>69</v>
      </c>
      <c r="M979" s="62" t="s">
        <v>70</v>
      </c>
      <c r="N979" t="s">
        <v>71</v>
      </c>
      <c r="O979" t="str">
        <f>IFERROR(IF(Tbla_actores[[#This Row],[codigo_proyecto]]="","",_xlfn.XLOOKUP(Tbla_actores[[#This Row],[codigo_proyecto]],Proyectos!$A:$A,Proyectos!$C:$C)),"")</f>
        <v>NULOS</v>
      </c>
    </row>
    <row r="980" spans="1:15" ht="14.25" customHeight="1">
      <c r="A980" s="9">
        <v>1014287880</v>
      </c>
      <c r="B980" s="63" t="s">
        <v>61</v>
      </c>
      <c r="C980" s="62" t="s">
        <v>2550</v>
      </c>
      <c r="D980" t="s">
        <v>63</v>
      </c>
      <c r="E980" t="s">
        <v>3001</v>
      </c>
      <c r="F980" s="61">
        <v>35527</v>
      </c>
      <c r="G980" s="15" t="s">
        <v>73</v>
      </c>
      <c r="H980" t="s">
        <v>3002</v>
      </c>
      <c r="I980" s="62" t="s">
        <v>3003</v>
      </c>
      <c r="K980" s="36" t="s">
        <v>495</v>
      </c>
      <c r="L980" t="s">
        <v>69</v>
      </c>
      <c r="M980" s="62" t="s">
        <v>70</v>
      </c>
      <c r="N980" t="s">
        <v>71</v>
      </c>
      <c r="O980" t="str">
        <f>IFERROR(IF(Tbla_actores[[#This Row],[codigo_proyecto]]="","",_xlfn.XLOOKUP(Tbla_actores[[#This Row],[codigo_proyecto]],Proyectos!$A:$A,Proyectos!$C:$C)),"")</f>
        <v>NULOS</v>
      </c>
    </row>
    <row r="981" spans="1:15" ht="14.25" customHeight="1">
      <c r="A981" s="10">
        <v>1032486537</v>
      </c>
      <c r="B981" s="64" t="s">
        <v>61</v>
      </c>
      <c r="C981" s="62" t="s">
        <v>2550</v>
      </c>
      <c r="D981" t="s">
        <v>63</v>
      </c>
      <c r="E981" t="s">
        <v>3004</v>
      </c>
      <c r="F981" s="61">
        <v>35111</v>
      </c>
      <c r="G981" s="15" t="s">
        <v>73</v>
      </c>
      <c r="H981" t="s">
        <v>3005</v>
      </c>
      <c r="I981" s="62" t="s">
        <v>3006</v>
      </c>
      <c r="K981" s="36" t="s">
        <v>495</v>
      </c>
      <c r="L981" t="s">
        <v>69</v>
      </c>
      <c r="M981" s="62" t="s">
        <v>70</v>
      </c>
      <c r="N981" t="s">
        <v>71</v>
      </c>
      <c r="O981" t="str">
        <f>IFERROR(IF(Tbla_actores[[#This Row],[codigo_proyecto]]="","",_xlfn.XLOOKUP(Tbla_actores[[#This Row],[codigo_proyecto]],Proyectos!$A:$A,Proyectos!$C:$C)),"")</f>
        <v>NULOS</v>
      </c>
    </row>
    <row r="982" spans="1:15" ht="14.25" customHeight="1">
      <c r="A982" s="9">
        <v>1069760440</v>
      </c>
      <c r="B982" s="63" t="s">
        <v>61</v>
      </c>
      <c r="C982" s="62" t="s">
        <v>2550</v>
      </c>
      <c r="D982" t="s">
        <v>63</v>
      </c>
      <c r="E982" t="s">
        <v>3007</v>
      </c>
      <c r="F982" s="61">
        <v>35605</v>
      </c>
      <c r="G982" s="15" t="s">
        <v>73</v>
      </c>
      <c r="H982" t="s">
        <v>3008</v>
      </c>
      <c r="I982" s="62" t="s">
        <v>3009</v>
      </c>
      <c r="K982" s="36" t="s">
        <v>495</v>
      </c>
      <c r="L982" t="s">
        <v>69</v>
      </c>
      <c r="M982" s="62" t="s">
        <v>70</v>
      </c>
      <c r="N982" t="s">
        <v>71</v>
      </c>
      <c r="O982" t="str">
        <f>IFERROR(IF(Tbla_actores[[#This Row],[codigo_proyecto]]="","",_xlfn.XLOOKUP(Tbla_actores[[#This Row],[codigo_proyecto]],Proyectos!$A:$A,Proyectos!$C:$C)),"")</f>
        <v>NULOS</v>
      </c>
    </row>
    <row r="983" spans="1:15" ht="14.25" customHeight="1">
      <c r="A983" s="10">
        <v>1049654435</v>
      </c>
      <c r="B983" s="64" t="s">
        <v>61</v>
      </c>
      <c r="C983" s="62" t="s">
        <v>2550</v>
      </c>
      <c r="D983" t="s">
        <v>63</v>
      </c>
      <c r="E983" t="s">
        <v>3010</v>
      </c>
      <c r="F983" s="61">
        <v>35989</v>
      </c>
      <c r="G983" s="15" t="s">
        <v>73</v>
      </c>
      <c r="H983" t="s">
        <v>3011</v>
      </c>
      <c r="I983" s="62" t="s">
        <v>3012</v>
      </c>
      <c r="K983" s="36" t="s">
        <v>495</v>
      </c>
      <c r="L983" t="s">
        <v>69</v>
      </c>
      <c r="M983" s="62" t="s">
        <v>70</v>
      </c>
      <c r="N983" t="s">
        <v>71</v>
      </c>
      <c r="O983" t="str">
        <f>IFERROR(IF(Tbla_actores[[#This Row],[codigo_proyecto]]="","",_xlfn.XLOOKUP(Tbla_actores[[#This Row],[codigo_proyecto]],Proyectos!$A:$A,Proyectos!$C:$C)),"")</f>
        <v>NULOS</v>
      </c>
    </row>
    <row r="984" spans="1:15" ht="14.25" customHeight="1">
      <c r="A984" s="9">
        <v>1088352679</v>
      </c>
      <c r="B984" s="63" t="s">
        <v>61</v>
      </c>
      <c r="C984" s="62" t="s">
        <v>2550</v>
      </c>
      <c r="D984" t="s">
        <v>63</v>
      </c>
      <c r="E984" t="s">
        <v>3013</v>
      </c>
      <c r="F984" s="61">
        <v>36071</v>
      </c>
      <c r="G984" s="15" t="s">
        <v>73</v>
      </c>
      <c r="H984" t="s">
        <v>3014</v>
      </c>
      <c r="I984" s="62" t="s">
        <v>3015</v>
      </c>
      <c r="K984" s="36" t="s">
        <v>495</v>
      </c>
      <c r="L984" t="s">
        <v>69</v>
      </c>
      <c r="M984" s="62" t="s">
        <v>70</v>
      </c>
      <c r="N984" t="s">
        <v>71</v>
      </c>
      <c r="O984" t="str">
        <f>IFERROR(IF(Tbla_actores[[#This Row],[codigo_proyecto]]="","",_xlfn.XLOOKUP(Tbla_actores[[#This Row],[codigo_proyecto]],Proyectos!$A:$A,Proyectos!$C:$C)),"")</f>
        <v>NULOS</v>
      </c>
    </row>
    <row r="985" spans="1:15" ht="14.25" customHeight="1">
      <c r="A985" s="10">
        <v>1083024249</v>
      </c>
      <c r="B985" s="64" t="s">
        <v>61</v>
      </c>
      <c r="C985" s="62" t="s">
        <v>2550</v>
      </c>
      <c r="D985" t="s">
        <v>63</v>
      </c>
      <c r="E985" t="s">
        <v>3016</v>
      </c>
      <c r="F985" s="61">
        <v>35542</v>
      </c>
      <c r="G985" s="15" t="s">
        <v>73</v>
      </c>
      <c r="H985" t="s">
        <v>3017</v>
      </c>
      <c r="I985" s="62" t="s">
        <v>3018</v>
      </c>
      <c r="K985" s="36" t="s">
        <v>495</v>
      </c>
      <c r="L985" t="s">
        <v>69</v>
      </c>
      <c r="M985" s="62" t="s">
        <v>70</v>
      </c>
      <c r="N985" t="s">
        <v>71</v>
      </c>
      <c r="O985" t="str">
        <f>IFERROR(IF(Tbla_actores[[#This Row],[codigo_proyecto]]="","",_xlfn.XLOOKUP(Tbla_actores[[#This Row],[codigo_proyecto]],Proyectos!$A:$A,Proyectos!$C:$C)),"")</f>
        <v>NULOS</v>
      </c>
    </row>
    <row r="986" spans="1:15" ht="14.25" customHeight="1">
      <c r="A986" s="9">
        <v>1018501379</v>
      </c>
      <c r="B986" s="63" t="s">
        <v>61</v>
      </c>
      <c r="C986" s="62" t="s">
        <v>2550</v>
      </c>
      <c r="D986" t="s">
        <v>63</v>
      </c>
      <c r="E986" t="s">
        <v>3019</v>
      </c>
      <c r="F986" s="61">
        <v>35852</v>
      </c>
      <c r="G986" s="15" t="s">
        <v>73</v>
      </c>
      <c r="H986" t="s">
        <v>3020</v>
      </c>
      <c r="I986" s="62" t="s">
        <v>3021</v>
      </c>
      <c r="K986" s="36" t="s">
        <v>495</v>
      </c>
      <c r="L986" t="s">
        <v>69</v>
      </c>
      <c r="M986" s="62" t="s">
        <v>70</v>
      </c>
      <c r="N986" t="s">
        <v>71</v>
      </c>
      <c r="O986" t="str">
        <f>IFERROR(IF(Tbla_actores[[#This Row],[codigo_proyecto]]="","",_xlfn.XLOOKUP(Tbla_actores[[#This Row],[codigo_proyecto]],Proyectos!$A:$A,Proyectos!$C:$C)),"")</f>
        <v>NULOS</v>
      </c>
    </row>
    <row r="987" spans="1:15" ht="14.25" customHeight="1">
      <c r="A987" s="10">
        <v>1015482589</v>
      </c>
      <c r="B987" s="64" t="s">
        <v>61</v>
      </c>
      <c r="C987" s="62" t="s">
        <v>2550</v>
      </c>
      <c r="D987" t="s">
        <v>63</v>
      </c>
      <c r="E987" t="s">
        <v>3022</v>
      </c>
      <c r="F987" s="61">
        <v>36398</v>
      </c>
      <c r="G987" s="15" t="s">
        <v>65</v>
      </c>
      <c r="H987" t="s">
        <v>3023</v>
      </c>
      <c r="I987" s="62" t="s">
        <v>3024</v>
      </c>
      <c r="K987" s="36" t="s">
        <v>495</v>
      </c>
      <c r="L987" t="s">
        <v>69</v>
      </c>
      <c r="M987" s="62" t="s">
        <v>70</v>
      </c>
      <c r="N987" t="s">
        <v>71</v>
      </c>
      <c r="O987" t="str">
        <f>IFERROR(IF(Tbla_actores[[#This Row],[codigo_proyecto]]="","",_xlfn.XLOOKUP(Tbla_actores[[#This Row],[codigo_proyecto]],Proyectos!$A:$A,Proyectos!$C:$C)),"")</f>
        <v>NULOS</v>
      </c>
    </row>
    <row r="988" spans="1:15" ht="14.25" customHeight="1">
      <c r="A988" s="9">
        <v>1007420024</v>
      </c>
      <c r="B988" s="63" t="s">
        <v>61</v>
      </c>
      <c r="C988" s="62" t="s">
        <v>2550</v>
      </c>
      <c r="D988" t="s">
        <v>63</v>
      </c>
      <c r="E988" t="s">
        <v>3025</v>
      </c>
      <c r="F988" s="61">
        <v>36714</v>
      </c>
      <c r="G988" s="15" t="s">
        <v>73</v>
      </c>
      <c r="H988" t="s">
        <v>3026</v>
      </c>
      <c r="I988" s="62" t="s">
        <v>3027</v>
      </c>
      <c r="K988" s="36" t="s">
        <v>495</v>
      </c>
      <c r="L988" t="s">
        <v>69</v>
      </c>
      <c r="M988" s="62" t="s">
        <v>70</v>
      </c>
      <c r="N988" t="s">
        <v>71</v>
      </c>
      <c r="O988" t="str">
        <f>IFERROR(IF(Tbla_actores[[#This Row],[codigo_proyecto]]="","",_xlfn.XLOOKUP(Tbla_actores[[#This Row],[codigo_proyecto]],Proyectos!$A:$A,Proyectos!$C:$C)),"")</f>
        <v>NULOS</v>
      </c>
    </row>
    <row r="989" spans="1:15" ht="14.25" customHeight="1">
      <c r="A989" s="10">
        <v>1007344158</v>
      </c>
      <c r="B989" s="64" t="s">
        <v>61</v>
      </c>
      <c r="C989" s="62" t="s">
        <v>2550</v>
      </c>
      <c r="D989" t="s">
        <v>63</v>
      </c>
      <c r="E989" t="s">
        <v>3028</v>
      </c>
      <c r="F989" s="61">
        <v>36632</v>
      </c>
      <c r="G989" s="15" t="s">
        <v>73</v>
      </c>
      <c r="H989" t="s">
        <v>3029</v>
      </c>
      <c r="I989" s="62" t="s">
        <v>3030</v>
      </c>
      <c r="K989" s="36" t="s">
        <v>495</v>
      </c>
      <c r="L989" t="s">
        <v>69</v>
      </c>
      <c r="M989" s="62" t="s">
        <v>70</v>
      </c>
      <c r="N989" t="s">
        <v>71</v>
      </c>
      <c r="O989" t="str">
        <f>IFERROR(IF(Tbla_actores[[#This Row],[codigo_proyecto]]="","",_xlfn.XLOOKUP(Tbla_actores[[#This Row],[codigo_proyecto]],Proyectos!$A:$A,Proyectos!$C:$C)),"")</f>
        <v>NULOS</v>
      </c>
    </row>
    <row r="990" spans="1:15" ht="14.25" customHeight="1">
      <c r="A990" s="9">
        <v>1019127171</v>
      </c>
      <c r="B990" s="63" t="s">
        <v>61</v>
      </c>
      <c r="C990" s="62" t="s">
        <v>2550</v>
      </c>
      <c r="D990" t="s">
        <v>63</v>
      </c>
      <c r="E990" t="s">
        <v>3031</v>
      </c>
      <c r="F990" s="61">
        <v>35447</v>
      </c>
      <c r="G990" s="15" t="s">
        <v>73</v>
      </c>
      <c r="H990" t="s">
        <v>3032</v>
      </c>
      <c r="I990" s="62" t="s">
        <v>3033</v>
      </c>
      <c r="K990" s="36" t="s">
        <v>495</v>
      </c>
      <c r="L990" t="s">
        <v>69</v>
      </c>
      <c r="M990" s="62" t="s">
        <v>70</v>
      </c>
      <c r="N990" t="s">
        <v>71</v>
      </c>
      <c r="O990" t="str">
        <f>IFERROR(IF(Tbla_actores[[#This Row],[codigo_proyecto]]="","",_xlfn.XLOOKUP(Tbla_actores[[#This Row],[codigo_proyecto]],Proyectos!$A:$A,Proyectos!$C:$C)),"")</f>
        <v>NULOS</v>
      </c>
    </row>
    <row r="991" spans="1:15" ht="14.25" customHeight="1">
      <c r="A991" s="10">
        <v>1075315590</v>
      </c>
      <c r="B991" s="64" t="s">
        <v>61</v>
      </c>
      <c r="C991" s="62" t="s">
        <v>2550</v>
      </c>
      <c r="D991" t="s">
        <v>63</v>
      </c>
      <c r="E991" t="s">
        <v>3034</v>
      </c>
      <c r="F991" s="61">
        <v>36155</v>
      </c>
      <c r="G991" s="15" t="s">
        <v>65</v>
      </c>
      <c r="H991" t="s">
        <v>3035</v>
      </c>
      <c r="I991" s="62" t="s">
        <v>3036</v>
      </c>
      <c r="K991" s="36" t="s">
        <v>495</v>
      </c>
      <c r="L991" t="s">
        <v>69</v>
      </c>
      <c r="M991" s="62" t="s">
        <v>70</v>
      </c>
      <c r="N991" t="s">
        <v>71</v>
      </c>
      <c r="O991" t="str">
        <f>IFERROR(IF(Tbla_actores[[#This Row],[codigo_proyecto]]="","",_xlfn.XLOOKUP(Tbla_actores[[#This Row],[codigo_proyecto]],Proyectos!$A:$A,Proyectos!$C:$C)),"")</f>
        <v>NULOS</v>
      </c>
    </row>
    <row r="992" spans="1:15" ht="14.25" customHeight="1">
      <c r="A992" s="9">
        <v>1018497790</v>
      </c>
      <c r="B992" s="63" t="s">
        <v>61</v>
      </c>
      <c r="C992" s="62" t="s">
        <v>2550</v>
      </c>
      <c r="D992" t="s">
        <v>63</v>
      </c>
      <c r="E992" t="s">
        <v>3037</v>
      </c>
      <c r="F992" s="61">
        <v>35705</v>
      </c>
      <c r="G992" s="15" t="s">
        <v>73</v>
      </c>
      <c r="H992" t="s">
        <v>3038</v>
      </c>
      <c r="I992" s="62" t="s">
        <v>3039</v>
      </c>
      <c r="K992" s="36" t="s">
        <v>495</v>
      </c>
      <c r="L992" t="s">
        <v>69</v>
      </c>
      <c r="M992" s="62" t="s">
        <v>70</v>
      </c>
      <c r="N992" t="s">
        <v>71</v>
      </c>
      <c r="O992" t="str">
        <f>IFERROR(IF(Tbla_actores[[#This Row],[codigo_proyecto]]="","",_xlfn.XLOOKUP(Tbla_actores[[#This Row],[codigo_proyecto]],Proyectos!$A:$A,Proyectos!$C:$C)),"")</f>
        <v>NULOS</v>
      </c>
    </row>
    <row r="993" spans="1:15" ht="14.25" customHeight="1">
      <c r="A993" s="10">
        <v>1014310386</v>
      </c>
      <c r="B993" s="64" t="s">
        <v>61</v>
      </c>
      <c r="C993" s="62" t="s">
        <v>2550</v>
      </c>
      <c r="D993" t="s">
        <v>63</v>
      </c>
      <c r="E993" t="s">
        <v>3040</v>
      </c>
      <c r="F993" s="61">
        <v>36523</v>
      </c>
      <c r="G993" s="15" t="s">
        <v>73</v>
      </c>
      <c r="H993" t="s">
        <v>3041</v>
      </c>
      <c r="I993" s="62" t="s">
        <v>3042</v>
      </c>
      <c r="K993" s="36" t="s">
        <v>1489</v>
      </c>
      <c r="L993" t="s">
        <v>69</v>
      </c>
      <c r="M993" s="62" t="s">
        <v>70</v>
      </c>
      <c r="N993" t="s">
        <v>71</v>
      </c>
      <c r="O993" t="str">
        <f>IFERROR(IF(Tbla_actores[[#This Row],[codigo_proyecto]]="","",_xlfn.XLOOKUP(Tbla_actores[[#This Row],[codigo_proyecto]],Proyectos!$A:$A,Proyectos!$C:$C)),"")</f>
        <v>NULOS</v>
      </c>
    </row>
    <row r="994" spans="1:15" ht="14.25" customHeight="1">
      <c r="A994" s="9">
        <v>1020841855</v>
      </c>
      <c r="B994" s="63" t="s">
        <v>61</v>
      </c>
      <c r="C994" s="62" t="s">
        <v>2550</v>
      </c>
      <c r="D994" t="s">
        <v>63</v>
      </c>
      <c r="E994" t="s">
        <v>3043</v>
      </c>
      <c r="F994" s="61">
        <v>36329</v>
      </c>
      <c r="G994" s="15" t="s">
        <v>73</v>
      </c>
      <c r="H994" t="s">
        <v>3044</v>
      </c>
      <c r="I994" s="62" t="s">
        <v>3045</v>
      </c>
      <c r="K994" s="36" t="s">
        <v>1489</v>
      </c>
      <c r="L994" t="s">
        <v>69</v>
      </c>
      <c r="M994" s="62" t="s">
        <v>70</v>
      </c>
      <c r="N994" t="s">
        <v>71</v>
      </c>
      <c r="O994" t="str">
        <f>IFERROR(IF(Tbla_actores[[#This Row],[codigo_proyecto]]="","",_xlfn.XLOOKUP(Tbla_actores[[#This Row],[codigo_proyecto]],Proyectos!$A:$A,Proyectos!$C:$C)),"")</f>
        <v>NULOS</v>
      </c>
    </row>
    <row r="995" spans="1:15" ht="14.25" customHeight="1">
      <c r="A995" s="10">
        <v>1018515252</v>
      </c>
      <c r="B995" s="64" t="s">
        <v>61</v>
      </c>
      <c r="C995" s="62" t="s">
        <v>2550</v>
      </c>
      <c r="D995" t="s">
        <v>63</v>
      </c>
      <c r="E995" t="s">
        <v>3046</v>
      </c>
      <c r="F995" s="61">
        <v>36538</v>
      </c>
      <c r="G995" s="15" t="s">
        <v>73</v>
      </c>
      <c r="H995" t="s">
        <v>3047</v>
      </c>
      <c r="I995" s="62" t="s">
        <v>3048</v>
      </c>
      <c r="K995" s="36" t="s">
        <v>1489</v>
      </c>
      <c r="L995" t="s">
        <v>69</v>
      </c>
      <c r="M995" s="62" t="s">
        <v>70</v>
      </c>
      <c r="N995" t="s">
        <v>71</v>
      </c>
      <c r="O995" t="str">
        <f>IFERROR(IF(Tbla_actores[[#This Row],[codigo_proyecto]]="","",_xlfn.XLOOKUP(Tbla_actores[[#This Row],[codigo_proyecto]],Proyectos!$A:$A,Proyectos!$C:$C)),"")</f>
        <v>NULOS</v>
      </c>
    </row>
    <row r="996" spans="1:15" ht="14.25" customHeight="1">
      <c r="A996" s="9">
        <v>1018499372</v>
      </c>
      <c r="B996" s="63" t="s">
        <v>61</v>
      </c>
      <c r="C996" s="62" t="s">
        <v>2550</v>
      </c>
      <c r="D996" t="s">
        <v>63</v>
      </c>
      <c r="E996" t="s">
        <v>3049</v>
      </c>
      <c r="F996" s="61">
        <v>35649</v>
      </c>
      <c r="G996" s="15" t="s">
        <v>73</v>
      </c>
      <c r="H996" t="s">
        <v>3050</v>
      </c>
      <c r="I996" s="62" t="s">
        <v>3051</v>
      </c>
      <c r="K996" s="36" t="s">
        <v>1489</v>
      </c>
      <c r="L996" t="s">
        <v>69</v>
      </c>
      <c r="M996" s="62" t="s">
        <v>70</v>
      </c>
      <c r="N996" t="s">
        <v>71</v>
      </c>
      <c r="O996" t="str">
        <f>IFERROR(IF(Tbla_actores[[#This Row],[codigo_proyecto]]="","",_xlfn.XLOOKUP(Tbla_actores[[#This Row],[codigo_proyecto]],Proyectos!$A:$A,Proyectos!$C:$C)),"")</f>
        <v>NULOS</v>
      </c>
    </row>
    <row r="997" spans="1:15" ht="14.25" customHeight="1">
      <c r="A997" s="10">
        <v>1019150809</v>
      </c>
      <c r="B997" s="64" t="s">
        <v>61</v>
      </c>
      <c r="C997" s="62" t="s">
        <v>2550</v>
      </c>
      <c r="D997" t="s">
        <v>63</v>
      </c>
      <c r="E997" t="s">
        <v>3052</v>
      </c>
      <c r="F997" s="61">
        <v>36385</v>
      </c>
      <c r="G997" s="15" t="s">
        <v>73</v>
      </c>
      <c r="H997" t="s">
        <v>3053</v>
      </c>
      <c r="I997" s="62" t="s">
        <v>3054</v>
      </c>
      <c r="K997" s="36" t="s">
        <v>1489</v>
      </c>
      <c r="L997" t="s">
        <v>69</v>
      </c>
      <c r="M997" s="62" t="s">
        <v>70</v>
      </c>
      <c r="N997" t="s">
        <v>71</v>
      </c>
      <c r="O997" t="str">
        <f>IFERROR(IF(Tbla_actores[[#This Row],[codigo_proyecto]]="","",_xlfn.XLOOKUP(Tbla_actores[[#This Row],[codigo_proyecto]],Proyectos!$A:$A,Proyectos!$C:$C)),"")</f>
        <v>NULOS</v>
      </c>
    </row>
    <row r="998" spans="1:15" ht="14.25" customHeight="1">
      <c r="A998" s="9">
        <v>1026304139</v>
      </c>
      <c r="B998" s="63" t="s">
        <v>61</v>
      </c>
      <c r="C998" s="62" t="s">
        <v>2550</v>
      </c>
      <c r="D998" t="s">
        <v>63</v>
      </c>
      <c r="E998" t="s">
        <v>3055</v>
      </c>
      <c r="F998" s="61">
        <v>36140</v>
      </c>
      <c r="G998" s="15" t="s">
        <v>73</v>
      </c>
      <c r="H998" t="s">
        <v>3056</v>
      </c>
      <c r="I998" s="62" t="s">
        <v>3057</v>
      </c>
      <c r="K998" s="36" t="s">
        <v>1489</v>
      </c>
      <c r="L998" t="s">
        <v>69</v>
      </c>
      <c r="M998" s="62" t="s">
        <v>70</v>
      </c>
      <c r="N998" t="s">
        <v>71</v>
      </c>
      <c r="O998" t="str">
        <f>IFERROR(IF(Tbla_actores[[#This Row],[codigo_proyecto]]="","",_xlfn.XLOOKUP(Tbla_actores[[#This Row],[codigo_proyecto]],Proyectos!$A:$A,Proyectos!$C:$C)),"")</f>
        <v>NULOS</v>
      </c>
    </row>
    <row r="999" spans="1:15" ht="14.25" customHeight="1">
      <c r="A999" s="10">
        <v>1024596994</v>
      </c>
      <c r="B999" s="64" t="s">
        <v>61</v>
      </c>
      <c r="C999" s="62" t="s">
        <v>2550</v>
      </c>
      <c r="D999" t="s">
        <v>63</v>
      </c>
      <c r="E999" t="s">
        <v>3058</v>
      </c>
      <c r="F999" s="61">
        <v>36199</v>
      </c>
      <c r="G999" s="15" t="s">
        <v>73</v>
      </c>
      <c r="H999" t="s">
        <v>3059</v>
      </c>
      <c r="I999" s="62" t="s">
        <v>3060</v>
      </c>
      <c r="K999" s="36" t="s">
        <v>1489</v>
      </c>
      <c r="L999" t="s">
        <v>69</v>
      </c>
      <c r="M999" s="62" t="s">
        <v>70</v>
      </c>
      <c r="N999" t="s">
        <v>71</v>
      </c>
      <c r="O999" t="str">
        <f>IFERROR(IF(Tbla_actores[[#This Row],[codigo_proyecto]]="","",_xlfn.XLOOKUP(Tbla_actores[[#This Row],[codigo_proyecto]],Proyectos!$A:$A,Proyectos!$C:$C)),"")</f>
        <v>NULOS</v>
      </c>
    </row>
    <row r="1000" spans="1:15" ht="14.25" customHeight="1">
      <c r="A1000" s="9">
        <v>1032508362</v>
      </c>
      <c r="B1000" s="63" t="s">
        <v>61</v>
      </c>
      <c r="C1000" s="62" t="s">
        <v>2550</v>
      </c>
      <c r="D1000" t="s">
        <v>63</v>
      </c>
      <c r="E1000" t="s">
        <v>3061</v>
      </c>
      <c r="F1000" s="61">
        <v>36504</v>
      </c>
      <c r="G1000" s="15" t="s">
        <v>73</v>
      </c>
      <c r="H1000" t="s">
        <v>3062</v>
      </c>
      <c r="I1000" s="62" t="s">
        <v>3063</v>
      </c>
      <c r="K1000" s="36" t="s">
        <v>1489</v>
      </c>
      <c r="L1000" t="s">
        <v>69</v>
      </c>
      <c r="M1000" s="62" t="s">
        <v>70</v>
      </c>
      <c r="N1000" t="s">
        <v>71</v>
      </c>
      <c r="O1000" t="str">
        <f>IFERROR(IF(Tbla_actores[[#This Row],[codigo_proyecto]]="","",_xlfn.XLOOKUP(Tbla_actores[[#This Row],[codigo_proyecto]],Proyectos!$A:$A,Proyectos!$C:$C)),"")</f>
        <v>NULOS</v>
      </c>
    </row>
    <row r="1001" spans="1:15">
      <c r="A1001" s="10">
        <v>1121967906</v>
      </c>
      <c r="B1001" s="64" t="s">
        <v>61</v>
      </c>
      <c r="C1001" s="62" t="s">
        <v>2550</v>
      </c>
      <c r="D1001" t="s">
        <v>63</v>
      </c>
      <c r="E1001" t="s">
        <v>3064</v>
      </c>
      <c r="F1001" s="61">
        <v>36401</v>
      </c>
      <c r="G1001" s="15" t="s">
        <v>73</v>
      </c>
      <c r="H1001" t="s">
        <v>3065</v>
      </c>
      <c r="I1001" s="62" t="s">
        <v>3066</v>
      </c>
      <c r="K1001" s="36" t="s">
        <v>1489</v>
      </c>
      <c r="L1001" t="s">
        <v>69</v>
      </c>
      <c r="M1001" s="62" t="s">
        <v>70</v>
      </c>
      <c r="N1001" t="s">
        <v>71</v>
      </c>
      <c r="O1001" t="str">
        <f>IFERROR(IF(Tbla_actores[[#This Row],[codigo_proyecto]]="","",_xlfn.XLOOKUP(Tbla_actores[[#This Row],[codigo_proyecto]],Proyectos!$A:$A,Proyectos!$C:$C)),"")</f>
        <v>NULOS</v>
      </c>
    </row>
    <row r="1002" spans="1:15">
      <c r="A1002" s="9">
        <v>1233900184</v>
      </c>
      <c r="B1002" s="63" t="s">
        <v>61</v>
      </c>
      <c r="C1002" s="62" t="s">
        <v>2550</v>
      </c>
      <c r="D1002" t="s">
        <v>63</v>
      </c>
      <c r="E1002" t="s">
        <v>3067</v>
      </c>
      <c r="F1002" s="61">
        <v>36002</v>
      </c>
      <c r="G1002" s="15" t="s">
        <v>73</v>
      </c>
      <c r="H1002" t="s">
        <v>3068</v>
      </c>
      <c r="I1002" s="62" t="s">
        <v>3069</v>
      </c>
      <c r="K1002" s="36" t="s">
        <v>1489</v>
      </c>
      <c r="L1002" t="s">
        <v>69</v>
      </c>
      <c r="M1002" s="62" t="s">
        <v>70</v>
      </c>
      <c r="N1002" t="s">
        <v>71</v>
      </c>
      <c r="O1002" t="str">
        <f>IFERROR(IF(Tbla_actores[[#This Row],[codigo_proyecto]]="","",_xlfn.XLOOKUP(Tbla_actores[[#This Row],[codigo_proyecto]],Proyectos!$A:$A,Proyectos!$C:$C)),"")</f>
        <v>NULOS</v>
      </c>
    </row>
    <row r="1003" spans="1:15">
      <c r="A1003" s="10">
        <v>1032503645</v>
      </c>
      <c r="B1003" s="64" t="s">
        <v>61</v>
      </c>
      <c r="C1003" s="62" t="s">
        <v>2550</v>
      </c>
      <c r="D1003" t="s">
        <v>63</v>
      </c>
      <c r="E1003" t="s">
        <v>3070</v>
      </c>
      <c r="F1003" s="61">
        <v>36244</v>
      </c>
      <c r="G1003" s="15" t="s">
        <v>73</v>
      </c>
      <c r="H1003" t="s">
        <v>3071</v>
      </c>
      <c r="I1003" s="62" t="s">
        <v>3072</v>
      </c>
      <c r="K1003" s="36" t="s">
        <v>1489</v>
      </c>
      <c r="L1003" t="s">
        <v>69</v>
      </c>
      <c r="M1003" s="62" t="s">
        <v>70</v>
      </c>
      <c r="N1003" t="s">
        <v>71</v>
      </c>
      <c r="O1003" t="str">
        <f>IFERROR(IF(Tbla_actores[[#This Row],[codigo_proyecto]]="","",_xlfn.XLOOKUP(Tbla_actores[[#This Row],[codigo_proyecto]],Proyectos!$A:$A,Proyectos!$C:$C)),"")</f>
        <v>NULOS</v>
      </c>
    </row>
    <row r="1004" spans="1:15">
      <c r="A1004" s="9">
        <v>1013689465</v>
      </c>
      <c r="B1004" s="63" t="s">
        <v>61</v>
      </c>
      <c r="C1004" s="62" t="s">
        <v>2550</v>
      </c>
      <c r="D1004" t="s">
        <v>63</v>
      </c>
      <c r="E1004" t="s">
        <v>3073</v>
      </c>
      <c r="F1004" s="61">
        <v>36349</v>
      </c>
      <c r="G1004" s="15" t="s">
        <v>73</v>
      </c>
      <c r="H1004" t="s">
        <v>3074</v>
      </c>
      <c r="I1004" s="62" t="s">
        <v>3075</v>
      </c>
      <c r="K1004" s="36" t="s">
        <v>1489</v>
      </c>
      <c r="L1004" t="s">
        <v>69</v>
      </c>
      <c r="M1004" s="62" t="s">
        <v>70</v>
      </c>
      <c r="N1004" t="s">
        <v>71</v>
      </c>
      <c r="O1004" t="str">
        <f>IFERROR(IF(Tbla_actores[[#This Row],[codigo_proyecto]]="","",_xlfn.XLOOKUP(Tbla_actores[[#This Row],[codigo_proyecto]],Proyectos!$A:$A,Proyectos!$C:$C)),"")</f>
        <v>NULOS</v>
      </c>
    </row>
    <row r="1005" spans="1:15">
      <c r="A1005" s="10">
        <v>1019141868</v>
      </c>
      <c r="B1005" s="64" t="s">
        <v>61</v>
      </c>
      <c r="C1005" s="62" t="s">
        <v>2550</v>
      </c>
      <c r="D1005" t="s">
        <v>63</v>
      </c>
      <c r="E1005" t="s">
        <v>3076</v>
      </c>
      <c r="F1005" s="61">
        <v>36010</v>
      </c>
      <c r="G1005" s="15" t="s">
        <v>73</v>
      </c>
      <c r="H1005" t="s">
        <v>3077</v>
      </c>
      <c r="I1005" s="62" t="s">
        <v>3078</v>
      </c>
      <c r="K1005" s="36" t="s">
        <v>1489</v>
      </c>
      <c r="L1005" t="s">
        <v>69</v>
      </c>
      <c r="M1005" s="62" t="s">
        <v>70</v>
      </c>
      <c r="N1005" t="s">
        <v>71</v>
      </c>
      <c r="O1005" t="str">
        <f>IFERROR(IF(Tbla_actores[[#This Row],[codigo_proyecto]]="","",_xlfn.XLOOKUP(Tbla_actores[[#This Row],[codigo_proyecto]],Proyectos!$A:$A,Proyectos!$C:$C)),"")</f>
        <v>NULOS</v>
      </c>
    </row>
    <row r="1006" spans="1:15">
      <c r="A1006" s="9">
        <v>1018513880</v>
      </c>
      <c r="B1006" s="63" t="s">
        <v>61</v>
      </c>
      <c r="C1006" s="62" t="s">
        <v>2550</v>
      </c>
      <c r="D1006" t="s">
        <v>63</v>
      </c>
      <c r="E1006" t="s">
        <v>3079</v>
      </c>
      <c r="F1006" s="61">
        <v>36448</v>
      </c>
      <c r="G1006" s="15" t="s">
        <v>73</v>
      </c>
      <c r="H1006" t="s">
        <v>3080</v>
      </c>
      <c r="I1006" s="62" t="s">
        <v>3081</v>
      </c>
      <c r="K1006" s="36" t="s">
        <v>1489</v>
      </c>
      <c r="L1006" t="s">
        <v>69</v>
      </c>
      <c r="M1006" s="62" t="s">
        <v>70</v>
      </c>
      <c r="N1006" t="s">
        <v>71</v>
      </c>
      <c r="O1006" t="str">
        <f>IFERROR(IF(Tbla_actores[[#This Row],[codigo_proyecto]]="","",_xlfn.XLOOKUP(Tbla_actores[[#This Row],[codigo_proyecto]],Proyectos!$A:$A,Proyectos!$C:$C)),"")</f>
        <v>NULOS</v>
      </c>
    </row>
    <row r="1007" spans="1:15">
      <c r="A1007" s="10">
        <v>1001856620</v>
      </c>
      <c r="B1007" s="64" t="s">
        <v>61</v>
      </c>
      <c r="C1007" s="62" t="s">
        <v>2550</v>
      </c>
      <c r="D1007" t="s">
        <v>63</v>
      </c>
      <c r="E1007" t="s">
        <v>3082</v>
      </c>
      <c r="F1007" s="61">
        <v>37067</v>
      </c>
      <c r="G1007" s="15" t="s">
        <v>73</v>
      </c>
      <c r="H1007" t="s">
        <v>3083</v>
      </c>
      <c r="I1007" s="62" t="s">
        <v>3084</v>
      </c>
      <c r="K1007" s="36" t="s">
        <v>1489</v>
      </c>
      <c r="L1007" t="s">
        <v>69</v>
      </c>
      <c r="M1007" s="62" t="s">
        <v>70</v>
      </c>
      <c r="N1007" t="s">
        <v>71</v>
      </c>
      <c r="O1007" t="str">
        <f>IFERROR(IF(Tbla_actores[[#This Row],[codigo_proyecto]]="","",_xlfn.XLOOKUP(Tbla_actores[[#This Row],[codigo_proyecto]],Proyectos!$A:$A,Proyectos!$C:$C)),"")</f>
        <v>NULOS</v>
      </c>
    </row>
    <row r="1008" spans="1:15">
      <c r="A1008" s="9">
        <v>1000063500</v>
      </c>
      <c r="B1008" s="63" t="s">
        <v>61</v>
      </c>
      <c r="C1008" s="62" t="s">
        <v>2550</v>
      </c>
      <c r="D1008" t="s">
        <v>63</v>
      </c>
      <c r="E1008" t="s">
        <v>3085</v>
      </c>
      <c r="F1008" s="61">
        <v>36672</v>
      </c>
      <c r="G1008" s="15" t="s">
        <v>73</v>
      </c>
      <c r="H1008" t="s">
        <v>3086</v>
      </c>
      <c r="I1008" s="62" t="s">
        <v>3087</v>
      </c>
      <c r="K1008" s="36" t="s">
        <v>1489</v>
      </c>
      <c r="L1008" t="s">
        <v>69</v>
      </c>
      <c r="M1008" s="62" t="s">
        <v>70</v>
      </c>
      <c r="N1008" t="s">
        <v>71</v>
      </c>
      <c r="O1008" t="str">
        <f>IFERROR(IF(Tbla_actores[[#This Row],[codigo_proyecto]]="","",_xlfn.XLOOKUP(Tbla_actores[[#This Row],[codigo_proyecto]],Proyectos!$A:$A,Proyectos!$C:$C)),"")</f>
        <v>NULOS</v>
      </c>
    </row>
    <row r="1009" spans="1:15">
      <c r="A1009" s="10">
        <v>1018513970</v>
      </c>
      <c r="B1009" s="64" t="s">
        <v>61</v>
      </c>
      <c r="C1009" s="62" t="s">
        <v>2550</v>
      </c>
      <c r="D1009" t="s">
        <v>63</v>
      </c>
      <c r="E1009" t="s">
        <v>3088</v>
      </c>
      <c r="F1009" s="61">
        <v>36452</v>
      </c>
      <c r="G1009" s="15" t="s">
        <v>65</v>
      </c>
      <c r="H1009" t="s">
        <v>3089</v>
      </c>
      <c r="I1009" s="62" t="s">
        <v>3090</v>
      </c>
      <c r="K1009" s="36" t="s">
        <v>1489</v>
      </c>
      <c r="L1009" t="s">
        <v>69</v>
      </c>
      <c r="M1009" s="62" t="s">
        <v>70</v>
      </c>
      <c r="N1009" t="s">
        <v>71</v>
      </c>
      <c r="O1009" t="str">
        <f>IFERROR(IF(Tbla_actores[[#This Row],[codigo_proyecto]]="","",_xlfn.XLOOKUP(Tbla_actores[[#This Row],[codigo_proyecto]],Proyectos!$A:$A,Proyectos!$C:$C)),"")</f>
        <v>NULOS</v>
      </c>
    </row>
    <row r="1010" spans="1:15">
      <c r="A1010" s="9">
        <v>1014302939</v>
      </c>
      <c r="B1010" s="63" t="s">
        <v>61</v>
      </c>
      <c r="C1010" s="62" t="s">
        <v>2550</v>
      </c>
      <c r="D1010" t="s">
        <v>63</v>
      </c>
      <c r="E1010" t="s">
        <v>3091</v>
      </c>
      <c r="F1010" s="61">
        <v>36176</v>
      </c>
      <c r="G1010" s="15" t="s">
        <v>73</v>
      </c>
      <c r="H1010" t="s">
        <v>3092</v>
      </c>
      <c r="I1010" s="62" t="s">
        <v>3093</v>
      </c>
      <c r="K1010" s="36" t="s">
        <v>1489</v>
      </c>
      <c r="L1010" t="s">
        <v>69</v>
      </c>
      <c r="M1010" s="62" t="s">
        <v>70</v>
      </c>
      <c r="N1010" t="s">
        <v>71</v>
      </c>
      <c r="O1010" t="str">
        <f>IFERROR(IF(Tbla_actores[[#This Row],[codigo_proyecto]]="","",_xlfn.XLOOKUP(Tbla_actores[[#This Row],[codigo_proyecto]],Proyectos!$A:$A,Proyectos!$C:$C)),"")</f>
        <v>NULOS</v>
      </c>
    </row>
    <row r="1011" spans="1:15">
      <c r="A1011" s="10">
        <v>1015470380</v>
      </c>
      <c r="B1011" s="64" t="s">
        <v>61</v>
      </c>
      <c r="C1011" s="62" t="s">
        <v>2550</v>
      </c>
      <c r="D1011" t="s">
        <v>63</v>
      </c>
      <c r="E1011" t="s">
        <v>3094</v>
      </c>
      <c r="F1011" s="61">
        <v>35658</v>
      </c>
      <c r="G1011" s="15" t="s">
        <v>73</v>
      </c>
      <c r="H1011" t="s">
        <v>3095</v>
      </c>
      <c r="I1011" s="62" t="s">
        <v>3096</v>
      </c>
      <c r="K1011" s="36" t="s">
        <v>1489</v>
      </c>
      <c r="L1011" t="s">
        <v>69</v>
      </c>
      <c r="M1011" s="62" t="s">
        <v>70</v>
      </c>
      <c r="N1011" t="s">
        <v>71</v>
      </c>
      <c r="O1011" t="str">
        <f>IFERROR(IF(Tbla_actores[[#This Row],[codigo_proyecto]]="","",_xlfn.XLOOKUP(Tbla_actores[[#This Row],[codigo_proyecto]],Proyectos!$A:$A,Proyectos!$C:$C)),"")</f>
        <v>NULOS</v>
      </c>
    </row>
    <row r="1012" spans="1:15">
      <c r="A1012" s="9">
        <v>1016099529</v>
      </c>
      <c r="B1012" s="63" t="s">
        <v>61</v>
      </c>
      <c r="C1012" s="62" t="s">
        <v>2550</v>
      </c>
      <c r="D1012" t="s">
        <v>63</v>
      </c>
      <c r="E1012" t="s">
        <v>3097</v>
      </c>
      <c r="F1012" s="61">
        <v>35814</v>
      </c>
      <c r="G1012" s="15" t="s">
        <v>73</v>
      </c>
      <c r="H1012" t="s">
        <v>3098</v>
      </c>
      <c r="I1012" s="62" t="s">
        <v>3099</v>
      </c>
      <c r="K1012" s="36" t="s">
        <v>1489</v>
      </c>
      <c r="L1012" t="s">
        <v>69</v>
      </c>
      <c r="M1012" s="62" t="s">
        <v>70</v>
      </c>
      <c r="N1012" t="s">
        <v>71</v>
      </c>
      <c r="O1012" t="str">
        <f>IFERROR(IF(Tbla_actores[[#This Row],[codigo_proyecto]]="","",_xlfn.XLOOKUP(Tbla_actores[[#This Row],[codigo_proyecto]],Proyectos!$A:$A,Proyectos!$C:$C)),"")</f>
        <v>NULOS</v>
      </c>
    </row>
    <row r="1013" spans="1:15">
      <c r="A1013" s="10">
        <v>1005873183</v>
      </c>
      <c r="B1013" s="64" t="s">
        <v>61</v>
      </c>
      <c r="C1013" s="62" t="s">
        <v>2550</v>
      </c>
      <c r="D1013" t="s">
        <v>63</v>
      </c>
      <c r="E1013" t="s">
        <v>3100</v>
      </c>
      <c r="F1013" s="61">
        <v>36830</v>
      </c>
      <c r="G1013" s="15" t="s">
        <v>73</v>
      </c>
      <c r="H1013" t="s">
        <v>3101</v>
      </c>
      <c r="I1013" s="62" t="s">
        <v>3102</v>
      </c>
      <c r="K1013" s="36" t="s">
        <v>1489</v>
      </c>
      <c r="L1013" t="s">
        <v>69</v>
      </c>
      <c r="M1013" s="62" t="s">
        <v>70</v>
      </c>
      <c r="N1013" t="s">
        <v>71</v>
      </c>
      <c r="O1013" t="str">
        <f>IFERROR(IF(Tbla_actores[[#This Row],[codigo_proyecto]]="","",_xlfn.XLOOKUP(Tbla_actores[[#This Row],[codigo_proyecto]],Proyectos!$A:$A,Proyectos!$C:$C)),"")</f>
        <v>NULOS</v>
      </c>
    </row>
    <row r="1014" spans="1:15">
      <c r="A1014" s="9">
        <v>1032502684</v>
      </c>
      <c r="B1014" s="63" t="s">
        <v>61</v>
      </c>
      <c r="C1014" s="62" t="s">
        <v>2550</v>
      </c>
      <c r="D1014" t="s">
        <v>63</v>
      </c>
      <c r="E1014" t="s">
        <v>3103</v>
      </c>
      <c r="F1014" s="61">
        <v>36199</v>
      </c>
      <c r="G1014" s="15" t="s">
        <v>73</v>
      </c>
      <c r="H1014" t="s">
        <v>3104</v>
      </c>
      <c r="I1014" s="62" t="s">
        <v>3105</v>
      </c>
      <c r="K1014" s="36" t="s">
        <v>1489</v>
      </c>
      <c r="L1014" t="s">
        <v>69</v>
      </c>
      <c r="M1014" s="62" t="s">
        <v>70</v>
      </c>
      <c r="N1014" t="s">
        <v>71</v>
      </c>
      <c r="O1014" t="str">
        <f>IFERROR(IF(Tbla_actores[[#This Row],[codigo_proyecto]]="","",_xlfn.XLOOKUP(Tbla_actores[[#This Row],[codigo_proyecto]],Proyectos!$A:$A,Proyectos!$C:$C)),"")</f>
        <v>NULOS</v>
      </c>
    </row>
    <row r="1015" spans="1:15">
      <c r="A1015" s="10">
        <v>1010082237</v>
      </c>
      <c r="B1015" s="64" t="s">
        <v>61</v>
      </c>
      <c r="C1015" s="62" t="s">
        <v>2550</v>
      </c>
      <c r="D1015" t="s">
        <v>63</v>
      </c>
      <c r="E1015" t="s">
        <v>3106</v>
      </c>
      <c r="F1015" s="61">
        <v>36609</v>
      </c>
      <c r="G1015" s="15" t="s">
        <v>73</v>
      </c>
      <c r="H1015" t="s">
        <v>3107</v>
      </c>
      <c r="I1015" s="62" t="s">
        <v>3108</v>
      </c>
      <c r="K1015" s="36" t="s">
        <v>1489</v>
      </c>
      <c r="L1015" t="s">
        <v>69</v>
      </c>
      <c r="M1015" s="62" t="s">
        <v>70</v>
      </c>
      <c r="N1015" t="s">
        <v>71</v>
      </c>
      <c r="O1015" t="str">
        <f>IFERROR(IF(Tbla_actores[[#This Row],[codigo_proyecto]]="","",_xlfn.XLOOKUP(Tbla_actores[[#This Row],[codigo_proyecto]],Proyectos!$A:$A,Proyectos!$C:$C)),"")</f>
        <v>NULOS</v>
      </c>
    </row>
    <row r="1016" spans="1:15">
      <c r="A1016" s="9">
        <v>1030695545</v>
      </c>
      <c r="B1016" s="63" t="s">
        <v>61</v>
      </c>
      <c r="C1016" s="62" t="s">
        <v>2550</v>
      </c>
      <c r="D1016" t="s">
        <v>63</v>
      </c>
      <c r="E1016" t="s">
        <v>3109</v>
      </c>
      <c r="F1016" s="61">
        <v>36236</v>
      </c>
      <c r="G1016" s="15" t="s">
        <v>73</v>
      </c>
      <c r="H1016" t="s">
        <v>3110</v>
      </c>
      <c r="I1016" s="62" t="s">
        <v>3111</v>
      </c>
      <c r="K1016" s="36" t="s">
        <v>1489</v>
      </c>
      <c r="L1016" t="s">
        <v>69</v>
      </c>
      <c r="M1016" s="62" t="s">
        <v>70</v>
      </c>
      <c r="N1016" t="s">
        <v>71</v>
      </c>
      <c r="O1016" t="str">
        <f>IFERROR(IF(Tbla_actores[[#This Row],[codigo_proyecto]]="","",_xlfn.XLOOKUP(Tbla_actores[[#This Row],[codigo_proyecto]],Proyectos!$A:$A,Proyectos!$C:$C)),"")</f>
        <v>NULOS</v>
      </c>
    </row>
    <row r="1017" spans="1:15">
      <c r="A1017" s="10">
        <v>1026596819</v>
      </c>
      <c r="B1017" s="64" t="s">
        <v>61</v>
      </c>
      <c r="C1017" s="62" t="s">
        <v>2550</v>
      </c>
      <c r="D1017" t="s">
        <v>63</v>
      </c>
      <c r="E1017" t="s">
        <v>3112</v>
      </c>
      <c r="F1017" s="61">
        <v>36193</v>
      </c>
      <c r="G1017" s="15" t="s">
        <v>65</v>
      </c>
      <c r="H1017" t="s">
        <v>3113</v>
      </c>
      <c r="I1017" s="62" t="s">
        <v>3114</v>
      </c>
      <c r="K1017" s="36" t="s">
        <v>1489</v>
      </c>
      <c r="L1017" t="s">
        <v>69</v>
      </c>
      <c r="M1017" s="62" t="s">
        <v>70</v>
      </c>
      <c r="N1017" t="s">
        <v>71</v>
      </c>
      <c r="O1017" t="str">
        <f>IFERROR(IF(Tbla_actores[[#This Row],[codigo_proyecto]]="","",_xlfn.XLOOKUP(Tbla_actores[[#This Row],[codigo_proyecto]],Proyectos!$A:$A,Proyectos!$C:$C)),"")</f>
        <v>NULOS</v>
      </c>
    </row>
    <row r="1018" spans="1:15">
      <c r="A1018" s="9">
        <v>1004996740</v>
      </c>
      <c r="B1018" s="63" t="s">
        <v>61</v>
      </c>
      <c r="C1018" s="62" t="s">
        <v>2550</v>
      </c>
      <c r="D1018" t="s">
        <v>63</v>
      </c>
      <c r="E1018" t="s">
        <v>3115</v>
      </c>
      <c r="F1018" s="61">
        <v>36538</v>
      </c>
      <c r="G1018" s="15" t="s">
        <v>73</v>
      </c>
      <c r="H1018" t="s">
        <v>3116</v>
      </c>
      <c r="I1018" s="62" t="s">
        <v>3117</v>
      </c>
      <c r="K1018" s="36" t="s">
        <v>1489</v>
      </c>
      <c r="L1018" t="s">
        <v>69</v>
      </c>
      <c r="M1018" s="62" t="s">
        <v>70</v>
      </c>
      <c r="N1018" t="s">
        <v>71</v>
      </c>
      <c r="O1018" t="str">
        <f>IFERROR(IF(Tbla_actores[[#This Row],[codigo_proyecto]]="","",_xlfn.XLOOKUP(Tbla_actores[[#This Row],[codigo_proyecto]],Proyectos!$A:$A,Proyectos!$C:$C)),"")</f>
        <v>NULOS</v>
      </c>
    </row>
    <row r="1019" spans="1:15">
      <c r="A1019" s="10">
        <v>1032484950</v>
      </c>
      <c r="B1019" s="64" t="s">
        <v>61</v>
      </c>
      <c r="C1019" s="62" t="s">
        <v>2550</v>
      </c>
      <c r="D1019" t="s">
        <v>63</v>
      </c>
      <c r="E1019" t="s">
        <v>3118</v>
      </c>
      <c r="F1019" s="61">
        <v>35314</v>
      </c>
      <c r="G1019" s="15" t="s">
        <v>73</v>
      </c>
      <c r="H1019" t="s">
        <v>3119</v>
      </c>
      <c r="I1019" s="62" t="s">
        <v>3120</v>
      </c>
      <c r="K1019" s="36" t="s">
        <v>1489</v>
      </c>
      <c r="L1019" t="s">
        <v>69</v>
      </c>
      <c r="M1019" s="62" t="s">
        <v>70</v>
      </c>
      <c r="N1019" t="s">
        <v>71</v>
      </c>
      <c r="O1019" t="str">
        <f>IFERROR(IF(Tbla_actores[[#This Row],[codigo_proyecto]]="","",_xlfn.XLOOKUP(Tbla_actores[[#This Row],[codigo_proyecto]],Proyectos!$A:$A,Proyectos!$C:$C)),"")</f>
        <v>NULOS</v>
      </c>
    </row>
    <row r="1020" spans="1:15">
      <c r="A1020" s="9">
        <v>1018510039</v>
      </c>
      <c r="B1020" s="63" t="s">
        <v>61</v>
      </c>
      <c r="C1020" s="62" t="s">
        <v>2550</v>
      </c>
      <c r="D1020" t="s">
        <v>63</v>
      </c>
      <c r="E1020" t="s">
        <v>3121</v>
      </c>
      <c r="F1020" s="61">
        <v>36243</v>
      </c>
      <c r="G1020" s="15" t="s">
        <v>73</v>
      </c>
      <c r="H1020" t="s">
        <v>3122</v>
      </c>
      <c r="I1020" s="62" t="s">
        <v>3123</v>
      </c>
      <c r="K1020" s="36" t="s">
        <v>1489</v>
      </c>
      <c r="L1020" t="s">
        <v>69</v>
      </c>
      <c r="M1020" s="62" t="s">
        <v>70</v>
      </c>
      <c r="N1020" t="s">
        <v>71</v>
      </c>
      <c r="O1020" t="str">
        <f>IFERROR(IF(Tbla_actores[[#This Row],[codigo_proyecto]]="","",_xlfn.XLOOKUP(Tbla_actores[[#This Row],[codigo_proyecto]],Proyectos!$A:$A,Proyectos!$C:$C)),"")</f>
        <v>NULOS</v>
      </c>
    </row>
    <row r="1021" spans="1:15">
      <c r="A1021" s="10">
        <v>1026598515</v>
      </c>
      <c r="B1021" s="64" t="s">
        <v>61</v>
      </c>
      <c r="C1021" s="62" t="s">
        <v>2550</v>
      </c>
      <c r="D1021" t="s">
        <v>63</v>
      </c>
      <c r="E1021" t="s">
        <v>3124</v>
      </c>
      <c r="F1021" s="61">
        <v>36397</v>
      </c>
      <c r="G1021" s="15" t="s">
        <v>73</v>
      </c>
      <c r="H1021" t="s">
        <v>3125</v>
      </c>
      <c r="I1021" s="62" t="s">
        <v>3126</v>
      </c>
      <c r="K1021" s="36" t="s">
        <v>1489</v>
      </c>
      <c r="L1021" t="s">
        <v>69</v>
      </c>
      <c r="M1021" s="62" t="s">
        <v>70</v>
      </c>
      <c r="N1021" t="s">
        <v>71</v>
      </c>
      <c r="O1021" t="str">
        <f>IFERROR(IF(Tbla_actores[[#This Row],[codigo_proyecto]]="","",_xlfn.XLOOKUP(Tbla_actores[[#This Row],[codigo_proyecto]],Proyectos!$A:$A,Proyectos!$C:$C)),"")</f>
        <v>NULOS</v>
      </c>
    </row>
    <row r="1022" spans="1:15">
      <c r="A1022" s="9">
        <v>1073522218</v>
      </c>
      <c r="B1022" s="63" t="s">
        <v>61</v>
      </c>
      <c r="C1022" s="62" t="s">
        <v>2550</v>
      </c>
      <c r="D1022" t="s">
        <v>63</v>
      </c>
      <c r="E1022" t="s">
        <v>3127</v>
      </c>
      <c r="F1022" s="61">
        <v>35599</v>
      </c>
      <c r="G1022" s="15" t="s">
        <v>73</v>
      </c>
      <c r="H1022" t="s">
        <v>3128</v>
      </c>
      <c r="I1022" s="62" t="s">
        <v>3129</v>
      </c>
      <c r="K1022" s="36" t="s">
        <v>1489</v>
      </c>
      <c r="L1022" t="s">
        <v>69</v>
      </c>
      <c r="M1022" s="62" t="s">
        <v>70</v>
      </c>
      <c r="N1022" t="s">
        <v>71</v>
      </c>
      <c r="O1022" t="str">
        <f>IFERROR(IF(Tbla_actores[[#This Row],[codigo_proyecto]]="","",_xlfn.XLOOKUP(Tbla_actores[[#This Row],[codigo_proyecto]],Proyectos!$A:$A,Proyectos!$C:$C)),"")</f>
        <v>NULOS</v>
      </c>
    </row>
    <row r="1023" spans="1:15">
      <c r="A1023" s="10">
        <v>1049655825</v>
      </c>
      <c r="B1023" s="64" t="s">
        <v>61</v>
      </c>
      <c r="C1023" s="62" t="s">
        <v>2550</v>
      </c>
      <c r="D1023" t="s">
        <v>63</v>
      </c>
      <c r="E1023" t="s">
        <v>3130</v>
      </c>
      <c r="F1023" s="61">
        <v>36155</v>
      </c>
      <c r="G1023" s="15" t="s">
        <v>73</v>
      </c>
      <c r="H1023" t="s">
        <v>3131</v>
      </c>
      <c r="I1023" s="62" t="s">
        <v>3132</v>
      </c>
      <c r="K1023" s="36" t="s">
        <v>1489</v>
      </c>
      <c r="L1023" t="s">
        <v>69</v>
      </c>
      <c r="M1023" s="62" t="s">
        <v>70</v>
      </c>
      <c r="N1023" t="s">
        <v>71</v>
      </c>
      <c r="O1023" t="str">
        <f>IFERROR(IF(Tbla_actores[[#This Row],[codigo_proyecto]]="","",_xlfn.XLOOKUP(Tbla_actores[[#This Row],[codigo_proyecto]],Proyectos!$A:$A,Proyectos!$C:$C)),"")</f>
        <v>NULOS</v>
      </c>
    </row>
    <row r="1024" spans="1:15">
      <c r="A1024" s="9">
        <v>1000805647</v>
      </c>
      <c r="B1024" s="63" t="s">
        <v>61</v>
      </c>
      <c r="C1024" s="62" t="s">
        <v>2550</v>
      </c>
      <c r="D1024" t="s">
        <v>63</v>
      </c>
      <c r="E1024" t="s">
        <v>3133</v>
      </c>
      <c r="F1024" s="61">
        <v>36614</v>
      </c>
      <c r="G1024" s="15" t="s">
        <v>65</v>
      </c>
      <c r="H1024" t="s">
        <v>3134</v>
      </c>
      <c r="I1024" s="62" t="s">
        <v>3135</v>
      </c>
      <c r="K1024" s="36" t="s">
        <v>1489</v>
      </c>
      <c r="L1024" t="s">
        <v>69</v>
      </c>
      <c r="M1024" s="62" t="s">
        <v>70</v>
      </c>
      <c r="N1024" t="s">
        <v>71</v>
      </c>
      <c r="O1024" t="str">
        <f>IFERROR(IF(Tbla_actores[[#This Row],[codigo_proyecto]]="","",_xlfn.XLOOKUP(Tbla_actores[[#This Row],[codigo_proyecto]],Proyectos!$A:$A,Proyectos!$C:$C)),"")</f>
        <v>NULOS</v>
      </c>
    </row>
    <row r="1025" spans="1:15">
      <c r="A1025" s="10">
        <v>1121955806</v>
      </c>
      <c r="B1025" s="64" t="s">
        <v>61</v>
      </c>
      <c r="C1025" s="62" t="s">
        <v>2550</v>
      </c>
      <c r="D1025" t="s">
        <v>63</v>
      </c>
      <c r="E1025" t="s">
        <v>3136</v>
      </c>
      <c r="F1025" s="61">
        <v>35988</v>
      </c>
      <c r="G1025" s="15" t="s">
        <v>73</v>
      </c>
      <c r="H1025" t="s">
        <v>3137</v>
      </c>
      <c r="I1025" s="62" t="s">
        <v>3138</v>
      </c>
      <c r="K1025" s="36" t="s">
        <v>1489</v>
      </c>
      <c r="L1025" t="s">
        <v>69</v>
      </c>
      <c r="M1025" s="62" t="s">
        <v>70</v>
      </c>
      <c r="N1025" t="s">
        <v>71</v>
      </c>
      <c r="O1025" t="str">
        <f>IFERROR(IF(Tbla_actores[[#This Row],[codigo_proyecto]]="","",_xlfn.XLOOKUP(Tbla_actores[[#This Row],[codigo_proyecto]],Proyectos!$A:$A,Proyectos!$C:$C)),"")</f>
        <v>NULOS</v>
      </c>
    </row>
    <row r="1026" spans="1:15">
      <c r="A1026" s="9">
        <v>1007140807</v>
      </c>
      <c r="B1026" s="63" t="s">
        <v>61</v>
      </c>
      <c r="C1026" s="62" t="s">
        <v>1993</v>
      </c>
      <c r="D1026" t="s">
        <v>63</v>
      </c>
      <c r="E1026" t="s">
        <v>3139</v>
      </c>
      <c r="F1026" s="61">
        <v>36564</v>
      </c>
      <c r="G1026" s="15" t="s">
        <v>73</v>
      </c>
      <c r="H1026" t="s">
        <v>3140</v>
      </c>
      <c r="I1026" s="62" t="s">
        <v>3141</v>
      </c>
      <c r="K1026" s="36" t="s">
        <v>1489</v>
      </c>
      <c r="L1026" t="s">
        <v>69</v>
      </c>
      <c r="M1026" s="62" t="s">
        <v>70</v>
      </c>
      <c r="N1026" t="s">
        <v>71</v>
      </c>
      <c r="O1026" t="str">
        <f>IFERROR(IF(Tbla_actores[[#This Row],[codigo_proyecto]]="","",_xlfn.XLOOKUP(Tbla_actores[[#This Row],[codigo_proyecto]],Proyectos!$A:$A,Proyectos!$C:$C)),"")</f>
        <v>NULOS</v>
      </c>
    </row>
    <row r="1027" spans="1:15">
      <c r="A1027" s="10">
        <v>1015482316</v>
      </c>
      <c r="B1027" s="64" t="s">
        <v>61</v>
      </c>
      <c r="C1027" s="62" t="s">
        <v>2550</v>
      </c>
      <c r="D1027" t="s">
        <v>63</v>
      </c>
      <c r="E1027" t="s">
        <v>3142</v>
      </c>
      <c r="F1027" s="61">
        <v>36373</v>
      </c>
      <c r="G1027" s="15" t="s">
        <v>73</v>
      </c>
      <c r="H1027" t="s">
        <v>3143</v>
      </c>
      <c r="I1027" s="62" t="s">
        <v>3144</v>
      </c>
      <c r="K1027" s="36" t="s">
        <v>1489</v>
      </c>
      <c r="L1027" t="s">
        <v>69</v>
      </c>
      <c r="M1027" s="62" t="s">
        <v>70</v>
      </c>
      <c r="N1027" t="s">
        <v>71</v>
      </c>
      <c r="O1027" t="str">
        <f>IFERROR(IF(Tbla_actores[[#This Row],[codigo_proyecto]]="","",_xlfn.XLOOKUP(Tbla_actores[[#This Row],[codigo_proyecto]],Proyectos!$A:$A,Proyectos!$C:$C)),"")</f>
        <v>NULOS</v>
      </c>
    </row>
    <row r="1028" spans="1:15">
      <c r="A1028" s="9">
        <v>1010221740</v>
      </c>
      <c r="B1028" s="63" t="s">
        <v>61</v>
      </c>
      <c r="C1028" s="62" t="s">
        <v>2550</v>
      </c>
      <c r="D1028" t="s">
        <v>63</v>
      </c>
      <c r="E1028" t="s">
        <v>3145</v>
      </c>
      <c r="F1028" s="61">
        <v>34772</v>
      </c>
      <c r="G1028" s="15" t="s">
        <v>73</v>
      </c>
      <c r="H1028" t="s">
        <v>3146</v>
      </c>
      <c r="I1028" s="62" t="s">
        <v>3147</v>
      </c>
      <c r="K1028" s="36" t="s">
        <v>1489</v>
      </c>
      <c r="L1028" t="s">
        <v>69</v>
      </c>
      <c r="M1028" s="62" t="s">
        <v>70</v>
      </c>
      <c r="N1028" t="s">
        <v>71</v>
      </c>
      <c r="O1028" t="str">
        <f>IFERROR(IF(Tbla_actores[[#This Row],[codigo_proyecto]]="","",_xlfn.XLOOKUP(Tbla_actores[[#This Row],[codigo_proyecto]],Proyectos!$A:$A,Proyectos!$C:$C)),"")</f>
        <v>NULOS</v>
      </c>
    </row>
    <row r="1029" spans="1:15">
      <c r="A1029" s="10">
        <v>1020845584</v>
      </c>
      <c r="B1029" s="64" t="s">
        <v>61</v>
      </c>
      <c r="C1029" s="62" t="s">
        <v>2550</v>
      </c>
      <c r="D1029" t="s">
        <v>63</v>
      </c>
      <c r="E1029" t="s">
        <v>3148</v>
      </c>
      <c r="F1029" s="61">
        <v>36498</v>
      </c>
      <c r="G1029" s="15" t="s">
        <v>73</v>
      </c>
      <c r="H1029" t="s">
        <v>3149</v>
      </c>
      <c r="I1029" s="62" t="s">
        <v>3150</v>
      </c>
      <c r="K1029" s="36" t="s">
        <v>1489</v>
      </c>
      <c r="L1029" t="s">
        <v>69</v>
      </c>
      <c r="M1029" s="62" t="s">
        <v>70</v>
      </c>
      <c r="N1029" t="s">
        <v>71</v>
      </c>
      <c r="O1029" t="str">
        <f>IFERROR(IF(Tbla_actores[[#This Row],[codigo_proyecto]]="","",_xlfn.XLOOKUP(Tbla_actores[[#This Row],[codigo_proyecto]],Proyectos!$A:$A,Proyectos!$C:$C)),"")</f>
        <v>NULOS</v>
      </c>
    </row>
    <row r="1030" spans="1:15">
      <c r="A1030" s="9">
        <v>1018510415</v>
      </c>
      <c r="B1030" s="63" t="s">
        <v>61</v>
      </c>
      <c r="C1030" s="62" t="s">
        <v>1993</v>
      </c>
      <c r="D1030" t="s">
        <v>63</v>
      </c>
      <c r="E1030" t="s">
        <v>3151</v>
      </c>
      <c r="F1030" s="61">
        <v>36004</v>
      </c>
      <c r="G1030" s="15" t="s">
        <v>73</v>
      </c>
      <c r="H1030" t="s">
        <v>3152</v>
      </c>
      <c r="I1030" s="62" t="s">
        <v>3153</v>
      </c>
      <c r="K1030" s="36" t="s">
        <v>1489</v>
      </c>
      <c r="L1030" t="s">
        <v>69</v>
      </c>
      <c r="M1030" s="62" t="s">
        <v>70</v>
      </c>
      <c r="N1030" t="s">
        <v>71</v>
      </c>
      <c r="O1030" t="str">
        <f>IFERROR(IF(Tbla_actores[[#This Row],[codigo_proyecto]]="","",_xlfn.XLOOKUP(Tbla_actores[[#This Row],[codigo_proyecto]],Proyectos!$A:$A,Proyectos!$C:$C)),"")</f>
        <v>NULOS</v>
      </c>
    </row>
    <row r="1031" spans="1:15">
      <c r="A1031" s="10">
        <v>1014299990</v>
      </c>
      <c r="B1031" s="64" t="s">
        <v>61</v>
      </c>
      <c r="C1031" s="62" t="s">
        <v>2550</v>
      </c>
      <c r="D1031" t="s">
        <v>63</v>
      </c>
      <c r="E1031" t="s">
        <v>3154</v>
      </c>
      <c r="F1031" s="61">
        <v>36002</v>
      </c>
      <c r="G1031" s="15" t="s">
        <v>73</v>
      </c>
      <c r="H1031" t="s">
        <v>3155</v>
      </c>
      <c r="I1031" s="62" t="s">
        <v>3156</v>
      </c>
      <c r="K1031" s="36" t="s">
        <v>1489</v>
      </c>
      <c r="L1031" t="s">
        <v>69</v>
      </c>
      <c r="M1031" s="62" t="s">
        <v>70</v>
      </c>
      <c r="N1031" t="s">
        <v>71</v>
      </c>
      <c r="O1031" t="str">
        <f>IFERROR(IF(Tbla_actores[[#This Row],[codigo_proyecto]]="","",_xlfn.XLOOKUP(Tbla_actores[[#This Row],[codigo_proyecto]],Proyectos!$A:$A,Proyectos!$C:$C)),"")</f>
        <v>NULOS</v>
      </c>
    </row>
    <row r="1032" spans="1:15">
      <c r="A1032" s="9">
        <v>1070021827</v>
      </c>
      <c r="B1032" s="63" t="s">
        <v>61</v>
      </c>
      <c r="C1032" s="62" t="s">
        <v>2550</v>
      </c>
      <c r="D1032" t="s">
        <v>63</v>
      </c>
      <c r="E1032" t="s">
        <v>3157</v>
      </c>
      <c r="F1032" s="61">
        <v>36102</v>
      </c>
      <c r="G1032" s="15" t="s">
        <v>73</v>
      </c>
      <c r="H1032" t="s">
        <v>3158</v>
      </c>
      <c r="I1032" s="62" t="s">
        <v>3159</v>
      </c>
      <c r="K1032" s="36" t="s">
        <v>1489</v>
      </c>
      <c r="L1032" t="s">
        <v>69</v>
      </c>
      <c r="M1032" s="62" t="s">
        <v>70</v>
      </c>
      <c r="N1032" t="s">
        <v>71</v>
      </c>
      <c r="O1032" t="str">
        <f>IFERROR(IF(Tbla_actores[[#This Row],[codigo_proyecto]]="","",_xlfn.XLOOKUP(Tbla_actores[[#This Row],[codigo_proyecto]],Proyectos!$A:$A,Proyectos!$C:$C)),"")</f>
        <v>NULOS</v>
      </c>
    </row>
    <row r="1033" spans="1:15">
      <c r="A1033" s="10">
        <v>1069761275</v>
      </c>
      <c r="B1033" s="64" t="s">
        <v>61</v>
      </c>
      <c r="C1033" s="62" t="s">
        <v>2550</v>
      </c>
      <c r="D1033" t="s">
        <v>63</v>
      </c>
      <c r="E1033" t="s">
        <v>3160</v>
      </c>
      <c r="F1033" s="61">
        <v>35722</v>
      </c>
      <c r="G1033" s="15" t="s">
        <v>73</v>
      </c>
      <c r="H1033" t="s">
        <v>3161</v>
      </c>
      <c r="I1033" s="62" t="s">
        <v>3162</v>
      </c>
      <c r="K1033" s="36" t="s">
        <v>1489</v>
      </c>
      <c r="L1033" t="s">
        <v>69</v>
      </c>
      <c r="M1033" s="62" t="s">
        <v>70</v>
      </c>
      <c r="N1033" t="s">
        <v>71</v>
      </c>
      <c r="O1033" t="str">
        <f>IFERROR(IF(Tbla_actores[[#This Row],[codigo_proyecto]]="","",_xlfn.XLOOKUP(Tbla_actores[[#This Row],[codigo_proyecto]],Proyectos!$A:$A,Proyectos!$C:$C)),"")</f>
        <v>NULOS</v>
      </c>
    </row>
    <row r="1034" spans="1:15">
      <c r="A1034" s="9">
        <v>1032504981</v>
      </c>
      <c r="B1034" s="63" t="s">
        <v>61</v>
      </c>
      <c r="C1034" s="62" t="s">
        <v>2550</v>
      </c>
      <c r="D1034" t="s">
        <v>63</v>
      </c>
      <c r="E1034" t="s">
        <v>3163</v>
      </c>
      <c r="F1034" s="61">
        <v>36291</v>
      </c>
      <c r="G1034" s="15" t="s">
        <v>73</v>
      </c>
      <c r="H1034" t="s">
        <v>3164</v>
      </c>
      <c r="I1034" s="62" t="s">
        <v>3165</v>
      </c>
      <c r="K1034" s="36" t="s">
        <v>1489</v>
      </c>
      <c r="L1034" t="s">
        <v>69</v>
      </c>
      <c r="M1034" s="62" t="s">
        <v>70</v>
      </c>
      <c r="N1034" t="s">
        <v>71</v>
      </c>
      <c r="O1034" t="str">
        <f>IFERROR(IF(Tbla_actores[[#This Row],[codigo_proyecto]]="","",_xlfn.XLOOKUP(Tbla_actores[[#This Row],[codigo_proyecto]],Proyectos!$A:$A,Proyectos!$C:$C)),"")</f>
        <v>NULOS</v>
      </c>
    </row>
    <row r="1035" spans="1:15">
      <c r="A1035" s="10">
        <v>1022439733</v>
      </c>
      <c r="B1035" s="64" t="s">
        <v>61</v>
      </c>
      <c r="C1035" s="62" t="s">
        <v>2550</v>
      </c>
      <c r="D1035" t="s">
        <v>63</v>
      </c>
      <c r="E1035" t="s">
        <v>3166</v>
      </c>
      <c r="F1035" s="61">
        <v>36009</v>
      </c>
      <c r="G1035" s="15" t="s">
        <v>65</v>
      </c>
      <c r="H1035" t="s">
        <v>3167</v>
      </c>
      <c r="I1035" s="62" t="s">
        <v>3168</v>
      </c>
      <c r="K1035" s="36" t="s">
        <v>495</v>
      </c>
      <c r="L1035" t="s">
        <v>69</v>
      </c>
      <c r="M1035" s="62" t="s">
        <v>70</v>
      </c>
      <c r="N1035" t="s">
        <v>71</v>
      </c>
      <c r="O1035" t="str">
        <f>IFERROR(IF(Tbla_actores[[#This Row],[codigo_proyecto]]="","",_xlfn.XLOOKUP(Tbla_actores[[#This Row],[codigo_proyecto]],Proyectos!$A:$A,Proyectos!$C:$C)),"")</f>
        <v>NULOS</v>
      </c>
    </row>
    <row r="1036" spans="1:15">
      <c r="A1036" s="9">
        <v>1016107783</v>
      </c>
      <c r="B1036" s="63" t="s">
        <v>61</v>
      </c>
      <c r="C1036" s="62" t="s">
        <v>2550</v>
      </c>
      <c r="D1036" t="s">
        <v>63</v>
      </c>
      <c r="E1036" t="s">
        <v>3169</v>
      </c>
      <c r="F1036" s="61">
        <v>36180</v>
      </c>
      <c r="G1036" s="15" t="s">
        <v>73</v>
      </c>
      <c r="H1036" t="s">
        <v>3170</v>
      </c>
      <c r="I1036" s="62" t="s">
        <v>3171</v>
      </c>
      <c r="K1036" s="36" t="s">
        <v>495</v>
      </c>
      <c r="L1036" t="s">
        <v>69</v>
      </c>
      <c r="M1036" s="62" t="s">
        <v>70</v>
      </c>
      <c r="N1036" t="s">
        <v>71</v>
      </c>
      <c r="O1036" t="str">
        <f>IFERROR(IF(Tbla_actores[[#This Row],[codigo_proyecto]]="","",_xlfn.XLOOKUP(Tbla_actores[[#This Row],[codigo_proyecto]],Proyectos!$A:$A,Proyectos!$C:$C)),"")</f>
        <v>NULOS</v>
      </c>
    </row>
    <row r="1037" spans="1:15">
      <c r="A1037" s="10">
        <v>1020844747</v>
      </c>
      <c r="B1037" s="64" t="s">
        <v>61</v>
      </c>
      <c r="C1037" s="62" t="s">
        <v>2550</v>
      </c>
      <c r="D1037" t="s">
        <v>63</v>
      </c>
      <c r="E1037" t="s">
        <v>3172</v>
      </c>
      <c r="F1037" s="61">
        <v>36474</v>
      </c>
      <c r="G1037" s="15" t="s">
        <v>73</v>
      </c>
      <c r="H1037" t="s">
        <v>3173</v>
      </c>
      <c r="I1037" s="62" t="s">
        <v>3174</v>
      </c>
      <c r="K1037" s="36" t="s">
        <v>495</v>
      </c>
      <c r="L1037" t="s">
        <v>69</v>
      </c>
      <c r="M1037" s="62" t="s">
        <v>70</v>
      </c>
      <c r="N1037" t="s">
        <v>71</v>
      </c>
      <c r="O1037" t="str">
        <f>IFERROR(IF(Tbla_actores[[#This Row],[codigo_proyecto]]="","",_xlfn.XLOOKUP(Tbla_actores[[#This Row],[codigo_proyecto]],Proyectos!$A:$A,Proyectos!$C:$C)),"")</f>
        <v>NULOS</v>
      </c>
    </row>
    <row r="1038" spans="1:15">
      <c r="A1038" s="9">
        <v>1010043195</v>
      </c>
      <c r="B1038" s="63" t="s">
        <v>61</v>
      </c>
      <c r="C1038" s="62" t="s">
        <v>2550</v>
      </c>
      <c r="D1038" t="s">
        <v>63</v>
      </c>
      <c r="E1038" t="s">
        <v>3175</v>
      </c>
      <c r="F1038" s="61">
        <v>36858</v>
      </c>
      <c r="G1038" s="15" t="s">
        <v>73</v>
      </c>
      <c r="H1038" t="s">
        <v>3176</v>
      </c>
      <c r="I1038" s="62" t="s">
        <v>3177</v>
      </c>
      <c r="K1038" s="36" t="s">
        <v>1489</v>
      </c>
      <c r="L1038" t="s">
        <v>69</v>
      </c>
      <c r="M1038" s="62" t="s">
        <v>70</v>
      </c>
      <c r="N1038" t="s">
        <v>71</v>
      </c>
      <c r="O1038" t="str">
        <f>IFERROR(IF(Tbla_actores[[#This Row],[codigo_proyecto]]="","",_xlfn.XLOOKUP(Tbla_actores[[#This Row],[codigo_proyecto]],Proyectos!$A:$A,Proyectos!$C:$C)),"")</f>
        <v>NULOS</v>
      </c>
    </row>
    <row r="1039" spans="1:15">
      <c r="A1039" s="10">
        <v>1032506681</v>
      </c>
      <c r="B1039" s="64" t="s">
        <v>61</v>
      </c>
      <c r="C1039" s="62" t="s">
        <v>2550</v>
      </c>
      <c r="D1039" t="s">
        <v>63</v>
      </c>
      <c r="E1039" t="s">
        <v>3178</v>
      </c>
      <c r="F1039" s="61">
        <v>36396</v>
      </c>
      <c r="G1039" s="15" t="s">
        <v>73</v>
      </c>
      <c r="H1039" t="s">
        <v>3179</v>
      </c>
      <c r="I1039" s="62" t="s">
        <v>3180</v>
      </c>
      <c r="K1039" s="36" t="s">
        <v>1489</v>
      </c>
      <c r="L1039" t="s">
        <v>69</v>
      </c>
      <c r="M1039" s="62" t="s">
        <v>70</v>
      </c>
      <c r="N1039" t="s">
        <v>71</v>
      </c>
      <c r="O1039" t="str">
        <f>IFERROR(IF(Tbla_actores[[#This Row],[codigo_proyecto]]="","",_xlfn.XLOOKUP(Tbla_actores[[#This Row],[codigo_proyecto]],Proyectos!$A:$A,Proyectos!$C:$C)),"")</f>
        <v>NULOS</v>
      </c>
    </row>
    <row r="1040" spans="1:15">
      <c r="A1040" s="9">
        <v>1026307448</v>
      </c>
      <c r="B1040" s="63" t="s">
        <v>61</v>
      </c>
      <c r="C1040" s="62" t="s">
        <v>2550</v>
      </c>
      <c r="D1040" t="s">
        <v>63</v>
      </c>
      <c r="E1040" t="s">
        <v>3181</v>
      </c>
      <c r="F1040" s="61">
        <v>36480</v>
      </c>
      <c r="G1040" s="15" t="s">
        <v>73</v>
      </c>
      <c r="H1040" t="s">
        <v>3182</v>
      </c>
      <c r="I1040" s="62" t="s">
        <v>3183</v>
      </c>
      <c r="K1040" s="36" t="s">
        <v>1489</v>
      </c>
      <c r="L1040" t="s">
        <v>69</v>
      </c>
      <c r="M1040" s="62" t="s">
        <v>70</v>
      </c>
      <c r="N1040" t="s">
        <v>71</v>
      </c>
      <c r="O1040" t="str">
        <f>IFERROR(IF(Tbla_actores[[#This Row],[codigo_proyecto]]="","",_xlfn.XLOOKUP(Tbla_actores[[#This Row],[codigo_proyecto]],Proyectos!$A:$A,Proyectos!$C:$C)),"")</f>
        <v>NULOS</v>
      </c>
    </row>
    <row r="1041" spans="1:15">
      <c r="A1041" s="10">
        <v>1119186278</v>
      </c>
      <c r="B1041" s="64" t="s">
        <v>61</v>
      </c>
      <c r="C1041" s="62" t="s">
        <v>2550</v>
      </c>
      <c r="D1041" t="s">
        <v>63</v>
      </c>
      <c r="E1041" t="s">
        <v>3184</v>
      </c>
      <c r="F1041" s="61">
        <v>36315</v>
      </c>
      <c r="G1041" s="15" t="s">
        <v>73</v>
      </c>
      <c r="H1041" t="s">
        <v>3185</v>
      </c>
      <c r="I1041" s="62" t="s">
        <v>3186</v>
      </c>
      <c r="K1041" s="36" t="s">
        <v>1489</v>
      </c>
      <c r="L1041" t="s">
        <v>69</v>
      </c>
      <c r="M1041" s="62" t="s">
        <v>70</v>
      </c>
      <c r="N1041" t="s">
        <v>71</v>
      </c>
      <c r="O1041" t="str">
        <f>IFERROR(IF(Tbla_actores[[#This Row],[codigo_proyecto]]="","",_xlfn.XLOOKUP(Tbla_actores[[#This Row],[codigo_proyecto]],Proyectos!$A:$A,Proyectos!$C:$C)),"")</f>
        <v>NULOS</v>
      </c>
    </row>
    <row r="1042" spans="1:15">
      <c r="A1042" s="9">
        <v>1018497963</v>
      </c>
      <c r="B1042" s="63" t="s">
        <v>61</v>
      </c>
      <c r="C1042" s="62" t="s">
        <v>2550</v>
      </c>
      <c r="D1042" t="s">
        <v>63</v>
      </c>
      <c r="E1042" t="s">
        <v>3187</v>
      </c>
      <c r="F1042" s="61">
        <v>35711</v>
      </c>
      <c r="G1042" s="15" t="s">
        <v>65</v>
      </c>
      <c r="H1042" t="s">
        <v>3188</v>
      </c>
      <c r="I1042" s="62" t="s">
        <v>3189</v>
      </c>
      <c r="K1042" s="36" t="s">
        <v>495</v>
      </c>
      <c r="L1042" t="s">
        <v>69</v>
      </c>
      <c r="M1042" s="62" t="s">
        <v>70</v>
      </c>
      <c r="N1042" t="s">
        <v>71</v>
      </c>
      <c r="O1042" t="str">
        <f>IFERROR(IF(Tbla_actores[[#This Row],[codigo_proyecto]]="","",_xlfn.XLOOKUP(Tbla_actores[[#This Row],[codigo_proyecto]],Proyectos!$A:$A,Proyectos!$C:$C)),"")</f>
        <v>NULOS</v>
      </c>
    </row>
    <row r="1043" spans="1:15">
      <c r="A1043" s="10">
        <v>1015476049</v>
      </c>
      <c r="B1043" s="64" t="s">
        <v>61</v>
      </c>
      <c r="C1043" s="62" t="s">
        <v>2550</v>
      </c>
      <c r="D1043" t="s">
        <v>63</v>
      </c>
      <c r="E1043" t="s">
        <v>3190</v>
      </c>
      <c r="F1043" s="61">
        <v>35900</v>
      </c>
      <c r="G1043" s="15" t="s">
        <v>73</v>
      </c>
      <c r="H1043" t="s">
        <v>3191</v>
      </c>
      <c r="I1043" s="62" t="s">
        <v>3192</v>
      </c>
      <c r="K1043" s="36" t="s">
        <v>495</v>
      </c>
      <c r="L1043" t="s">
        <v>69</v>
      </c>
      <c r="M1043" s="62" t="s">
        <v>70</v>
      </c>
      <c r="N1043" t="s">
        <v>71</v>
      </c>
      <c r="O1043" t="str">
        <f>IFERROR(IF(Tbla_actores[[#This Row],[codigo_proyecto]]="","",_xlfn.XLOOKUP(Tbla_actores[[#This Row],[codigo_proyecto]],Proyectos!$A:$A,Proyectos!$C:$C)),"")</f>
        <v>NULOS</v>
      </c>
    </row>
    <row r="1044" spans="1:15">
      <c r="A1044" s="9">
        <v>1071171502</v>
      </c>
      <c r="B1044" s="63" t="s">
        <v>61</v>
      </c>
      <c r="C1044" s="62" t="s">
        <v>2550</v>
      </c>
      <c r="D1044" t="s">
        <v>63</v>
      </c>
      <c r="E1044" t="s">
        <v>3193</v>
      </c>
      <c r="F1044" s="61">
        <v>36144</v>
      </c>
      <c r="G1044" s="15" t="s">
        <v>65</v>
      </c>
      <c r="H1044" t="s">
        <v>3194</v>
      </c>
      <c r="I1044" s="62" t="s">
        <v>3195</v>
      </c>
      <c r="K1044" s="36" t="s">
        <v>495</v>
      </c>
      <c r="L1044" t="s">
        <v>69</v>
      </c>
      <c r="M1044" s="62" t="s">
        <v>70</v>
      </c>
      <c r="N1044" t="s">
        <v>71</v>
      </c>
      <c r="O1044" t="str">
        <f>IFERROR(IF(Tbla_actores[[#This Row],[codigo_proyecto]]="","",_xlfn.XLOOKUP(Tbla_actores[[#This Row],[codigo_proyecto]],Proyectos!$A:$A,Proyectos!$C:$C)),"")</f>
        <v>NULOS</v>
      </c>
    </row>
    <row r="1045" spans="1:15">
      <c r="A1045" s="10">
        <v>1018493546</v>
      </c>
      <c r="B1045" s="64" t="s">
        <v>61</v>
      </c>
      <c r="C1045" s="62" t="s">
        <v>2550</v>
      </c>
      <c r="D1045" t="s">
        <v>63</v>
      </c>
      <c r="E1045" t="s">
        <v>3196</v>
      </c>
      <c r="F1045" s="61">
        <v>35522</v>
      </c>
      <c r="G1045" s="15" t="s">
        <v>73</v>
      </c>
      <c r="H1045" t="s">
        <v>3197</v>
      </c>
      <c r="I1045" s="62" t="s">
        <v>3198</v>
      </c>
      <c r="K1045" s="36" t="s">
        <v>495</v>
      </c>
      <c r="L1045" t="s">
        <v>69</v>
      </c>
      <c r="M1045" s="62" t="s">
        <v>70</v>
      </c>
      <c r="N1045" t="s">
        <v>71</v>
      </c>
      <c r="O1045" t="str">
        <f>IFERROR(IF(Tbla_actores[[#This Row],[codigo_proyecto]]="","",_xlfn.XLOOKUP(Tbla_actores[[#This Row],[codigo_proyecto]],Proyectos!$A:$A,Proyectos!$C:$C)),"")</f>
        <v>NULOS</v>
      </c>
    </row>
    <row r="1046" spans="1:15">
      <c r="A1046" s="9">
        <v>1005180518</v>
      </c>
      <c r="B1046" s="63" t="s">
        <v>61</v>
      </c>
      <c r="C1046" s="62" t="s">
        <v>2550</v>
      </c>
      <c r="D1046" t="s">
        <v>63</v>
      </c>
      <c r="E1046" t="s">
        <v>3199</v>
      </c>
      <c r="F1046" s="61">
        <v>37040</v>
      </c>
      <c r="G1046" s="15" t="s">
        <v>65</v>
      </c>
      <c r="H1046" t="s">
        <v>3200</v>
      </c>
      <c r="I1046" s="62" t="s">
        <v>3201</v>
      </c>
      <c r="K1046" s="36" t="s">
        <v>169</v>
      </c>
      <c r="L1046" t="s">
        <v>69</v>
      </c>
      <c r="M1046" s="62" t="s">
        <v>170</v>
      </c>
      <c r="N1046" t="s">
        <v>71</v>
      </c>
      <c r="O1046" t="str">
        <f>IFERROR(IF(Tbla_actores[[#This Row],[codigo_proyecto]]="","",_xlfn.XLOOKUP(Tbla_actores[[#This Row],[codigo_proyecto]],Proyectos!$A:$A,Proyectos!$C:$C)),"")</f>
        <v>NULOS</v>
      </c>
    </row>
    <row r="1047" spans="1:15">
      <c r="A1047" s="10">
        <v>1000285346</v>
      </c>
      <c r="B1047" s="64" t="s">
        <v>61</v>
      </c>
      <c r="C1047" s="62" t="s">
        <v>2550</v>
      </c>
      <c r="D1047" t="s">
        <v>63</v>
      </c>
      <c r="E1047" t="s">
        <v>3202</v>
      </c>
      <c r="F1047" s="61">
        <v>37127</v>
      </c>
      <c r="G1047" s="15" t="s">
        <v>65</v>
      </c>
      <c r="H1047" t="s">
        <v>3203</v>
      </c>
      <c r="I1047" s="62" t="s">
        <v>3204</v>
      </c>
      <c r="K1047" s="36" t="s">
        <v>169</v>
      </c>
      <c r="L1047" t="s">
        <v>69</v>
      </c>
      <c r="M1047" s="62" t="s">
        <v>170</v>
      </c>
      <c r="N1047" t="s">
        <v>71</v>
      </c>
      <c r="O1047" t="str">
        <f>IFERROR(IF(Tbla_actores[[#This Row],[codigo_proyecto]]="","",_xlfn.XLOOKUP(Tbla_actores[[#This Row],[codigo_proyecto]],Proyectos!$A:$A,Proyectos!$C:$C)),"")</f>
        <v>NULOS</v>
      </c>
    </row>
    <row r="1048" spans="1:15">
      <c r="A1048" s="9">
        <v>1004959983</v>
      </c>
      <c r="B1048" s="63" t="s">
        <v>61</v>
      </c>
      <c r="C1048" s="62" t="s">
        <v>2550</v>
      </c>
      <c r="D1048" t="s">
        <v>63</v>
      </c>
      <c r="E1048" t="s">
        <v>3205</v>
      </c>
      <c r="F1048" s="61">
        <v>36683</v>
      </c>
      <c r="G1048" s="15" t="s">
        <v>65</v>
      </c>
      <c r="H1048" t="s">
        <v>3206</v>
      </c>
      <c r="I1048" s="62" t="s">
        <v>3207</v>
      </c>
      <c r="K1048" s="36" t="s">
        <v>169</v>
      </c>
      <c r="L1048" t="s">
        <v>69</v>
      </c>
      <c r="M1048" s="62" t="s">
        <v>170</v>
      </c>
      <c r="N1048" t="s">
        <v>71</v>
      </c>
      <c r="O1048" t="str">
        <f>IFERROR(IF(Tbla_actores[[#This Row],[codigo_proyecto]]="","",_xlfn.XLOOKUP(Tbla_actores[[#This Row],[codigo_proyecto]],Proyectos!$A:$A,Proyectos!$C:$C)),"")</f>
        <v>NULOS</v>
      </c>
    </row>
    <row r="1049" spans="1:15">
      <c r="A1049" s="10">
        <v>1193569850</v>
      </c>
      <c r="B1049" s="64" t="s">
        <v>61</v>
      </c>
      <c r="C1049" s="62" t="s">
        <v>2550</v>
      </c>
      <c r="D1049" t="s">
        <v>63</v>
      </c>
      <c r="E1049" t="s">
        <v>3208</v>
      </c>
      <c r="F1049" s="61">
        <v>37236</v>
      </c>
      <c r="G1049" s="15" t="s">
        <v>73</v>
      </c>
      <c r="H1049" t="s">
        <v>3209</v>
      </c>
      <c r="I1049" s="62" t="s">
        <v>3210</v>
      </c>
      <c r="K1049" s="36" t="s">
        <v>169</v>
      </c>
      <c r="L1049" t="s">
        <v>69</v>
      </c>
      <c r="M1049" s="62" t="s">
        <v>170</v>
      </c>
      <c r="N1049" t="s">
        <v>71</v>
      </c>
      <c r="O1049" t="str">
        <f>IFERROR(IF(Tbla_actores[[#This Row],[codigo_proyecto]]="","",_xlfn.XLOOKUP(Tbla_actores[[#This Row],[codigo_proyecto]],Proyectos!$A:$A,Proyectos!$C:$C)),"")</f>
        <v>NULOS</v>
      </c>
    </row>
    <row r="1050" spans="1:15">
      <c r="A1050" s="9">
        <v>1020828903</v>
      </c>
      <c r="B1050" s="63" t="s">
        <v>61</v>
      </c>
      <c r="C1050" s="62" t="s">
        <v>2550</v>
      </c>
      <c r="D1050" t="s">
        <v>63</v>
      </c>
      <c r="E1050" t="s">
        <v>3211</v>
      </c>
      <c r="F1050" s="61">
        <v>35710</v>
      </c>
      <c r="G1050" s="15" t="s">
        <v>73</v>
      </c>
      <c r="H1050" t="s">
        <v>3212</v>
      </c>
      <c r="I1050" s="62" t="s">
        <v>3213</v>
      </c>
      <c r="K1050" s="36" t="s">
        <v>495</v>
      </c>
      <c r="L1050" t="s">
        <v>69</v>
      </c>
      <c r="M1050" s="62" t="s">
        <v>70</v>
      </c>
      <c r="N1050" t="s">
        <v>71</v>
      </c>
      <c r="O1050" t="str">
        <f>IFERROR(IF(Tbla_actores[[#This Row],[codigo_proyecto]]="","",_xlfn.XLOOKUP(Tbla_actores[[#This Row],[codigo_proyecto]],Proyectos!$A:$A,Proyectos!$C:$C)),"")</f>
        <v>NULOS</v>
      </c>
    </row>
    <row r="1051" spans="1:15">
      <c r="A1051" s="10">
        <v>1032480532</v>
      </c>
      <c r="B1051" s="64" t="s">
        <v>61</v>
      </c>
      <c r="C1051" s="62" t="s">
        <v>2550</v>
      </c>
      <c r="D1051" t="s">
        <v>63</v>
      </c>
      <c r="E1051" t="s">
        <v>3214</v>
      </c>
      <c r="F1051" s="61">
        <v>35154</v>
      </c>
      <c r="G1051" s="15" t="s">
        <v>73</v>
      </c>
      <c r="H1051" t="s">
        <v>3215</v>
      </c>
      <c r="I1051" s="62" t="s">
        <v>3216</v>
      </c>
      <c r="K1051" s="36" t="s">
        <v>495</v>
      </c>
      <c r="L1051" t="s">
        <v>69</v>
      </c>
      <c r="M1051" s="62" t="s">
        <v>70</v>
      </c>
      <c r="N1051" t="s">
        <v>71</v>
      </c>
      <c r="O1051" t="str">
        <f>IFERROR(IF(Tbla_actores[[#This Row],[codigo_proyecto]]="","",_xlfn.XLOOKUP(Tbla_actores[[#This Row],[codigo_proyecto]],Proyectos!$A:$A,Proyectos!$C:$C)),"")</f>
        <v>NULOS</v>
      </c>
    </row>
    <row r="1052" spans="1:15">
      <c r="A1052" s="9">
        <v>1053843109</v>
      </c>
      <c r="B1052" s="63" t="s">
        <v>61</v>
      </c>
      <c r="C1052" s="62" t="s">
        <v>2550</v>
      </c>
      <c r="D1052" t="s">
        <v>63</v>
      </c>
      <c r="E1052" t="s">
        <v>3217</v>
      </c>
      <c r="F1052" s="61">
        <v>34865</v>
      </c>
      <c r="G1052" s="15" t="s">
        <v>73</v>
      </c>
      <c r="H1052" t="s">
        <v>3218</v>
      </c>
      <c r="I1052" s="62" t="s">
        <v>3219</v>
      </c>
      <c r="K1052" s="36" t="s">
        <v>495</v>
      </c>
      <c r="L1052" t="s">
        <v>69</v>
      </c>
      <c r="M1052" s="62" t="s">
        <v>70</v>
      </c>
      <c r="N1052" t="s">
        <v>71</v>
      </c>
      <c r="O1052" t="str">
        <f>IFERROR(IF(Tbla_actores[[#This Row],[codigo_proyecto]]="","",_xlfn.XLOOKUP(Tbla_actores[[#This Row],[codigo_proyecto]],Proyectos!$A:$A,Proyectos!$C:$C)),"")</f>
        <v>NULOS</v>
      </c>
    </row>
    <row r="1053" spans="1:15">
      <c r="A1053" s="10">
        <v>1102879869</v>
      </c>
      <c r="B1053" s="64" t="s">
        <v>61</v>
      </c>
      <c r="C1053" s="62" t="s">
        <v>2550</v>
      </c>
      <c r="D1053" t="s">
        <v>63</v>
      </c>
      <c r="E1053" t="s">
        <v>3220</v>
      </c>
      <c r="F1053" s="61">
        <v>35721</v>
      </c>
      <c r="G1053" s="15" t="s">
        <v>73</v>
      </c>
      <c r="H1053" t="s">
        <v>3221</v>
      </c>
      <c r="I1053" s="62" t="s">
        <v>3222</v>
      </c>
      <c r="K1053" s="36" t="s">
        <v>1489</v>
      </c>
      <c r="L1053" t="s">
        <v>69</v>
      </c>
      <c r="M1053" s="62" t="s">
        <v>70</v>
      </c>
      <c r="N1053" t="s">
        <v>71</v>
      </c>
      <c r="O1053" t="str">
        <f>IFERROR(IF(Tbla_actores[[#This Row],[codigo_proyecto]]="","",_xlfn.XLOOKUP(Tbla_actores[[#This Row],[codigo_proyecto]],Proyectos!$A:$A,Proyectos!$C:$C)),"")</f>
        <v>NULOS</v>
      </c>
    </row>
    <row r="1054" spans="1:15">
      <c r="A1054" s="9">
        <v>569976</v>
      </c>
      <c r="B1054" s="63" t="s">
        <v>61</v>
      </c>
      <c r="C1054" s="62" t="s">
        <v>1993</v>
      </c>
      <c r="D1054" t="s">
        <v>63</v>
      </c>
      <c r="E1054" t="s">
        <v>3223</v>
      </c>
      <c r="F1054" s="61">
        <v>35826</v>
      </c>
      <c r="G1054" s="15" t="s">
        <v>73</v>
      </c>
      <c r="H1054" t="s">
        <v>3224</v>
      </c>
      <c r="I1054" s="62" t="s">
        <v>3225</v>
      </c>
      <c r="K1054" s="36" t="s">
        <v>68</v>
      </c>
      <c r="L1054" t="s">
        <v>69</v>
      </c>
      <c r="M1054" s="62" t="s">
        <v>70</v>
      </c>
      <c r="N1054" t="s">
        <v>71</v>
      </c>
      <c r="O1054" t="str">
        <f>IFERROR(IF(Tbla_actores[[#This Row],[codigo_proyecto]]="","",_xlfn.XLOOKUP(Tbla_actores[[#This Row],[codigo_proyecto]],Proyectos!$A:$A,Proyectos!$C:$C)),"")</f>
        <v>NULOS</v>
      </c>
    </row>
    <row r="1055" spans="1:15">
      <c r="A1055" s="10">
        <v>1001202386</v>
      </c>
      <c r="B1055" s="64" t="s">
        <v>61</v>
      </c>
      <c r="C1055" s="62" t="s">
        <v>2550</v>
      </c>
      <c r="D1055" t="s">
        <v>63</v>
      </c>
      <c r="E1055" t="s">
        <v>3226</v>
      </c>
      <c r="F1055" s="61">
        <v>37356</v>
      </c>
      <c r="G1055" s="15" t="s">
        <v>65</v>
      </c>
      <c r="H1055" t="s">
        <v>3227</v>
      </c>
      <c r="I1055" s="62" t="s">
        <v>3228</v>
      </c>
      <c r="K1055" s="36" t="s">
        <v>169</v>
      </c>
      <c r="L1055" t="s">
        <v>69</v>
      </c>
      <c r="M1055" s="62" t="s">
        <v>170</v>
      </c>
      <c r="N1055" t="s">
        <v>71</v>
      </c>
      <c r="O1055" t="str">
        <f>IFERROR(IF(Tbla_actores[[#This Row],[codigo_proyecto]]="","",_xlfn.XLOOKUP(Tbla_actores[[#This Row],[codigo_proyecto]],Proyectos!$A:$A,Proyectos!$C:$C)),"")</f>
        <v>NULOS</v>
      </c>
    </row>
    <row r="1056" spans="1:15">
      <c r="A1056" s="9">
        <v>1000364306</v>
      </c>
      <c r="B1056" s="63" t="s">
        <v>61</v>
      </c>
      <c r="C1056" s="62" t="s">
        <v>2550</v>
      </c>
      <c r="D1056" t="s">
        <v>63</v>
      </c>
      <c r="E1056" t="s">
        <v>3229</v>
      </c>
      <c r="F1056" s="61">
        <v>37146</v>
      </c>
      <c r="G1056" s="15" t="s">
        <v>65</v>
      </c>
      <c r="H1056" t="s">
        <v>3230</v>
      </c>
      <c r="I1056" s="62" t="s">
        <v>3231</v>
      </c>
      <c r="K1056" s="36" t="s">
        <v>169</v>
      </c>
      <c r="L1056" t="s">
        <v>69</v>
      </c>
      <c r="M1056" s="62" t="s">
        <v>170</v>
      </c>
      <c r="N1056" t="s">
        <v>71</v>
      </c>
      <c r="O1056" t="str">
        <f>IFERROR(IF(Tbla_actores[[#This Row],[codigo_proyecto]]="","",_xlfn.XLOOKUP(Tbla_actores[[#This Row],[codigo_proyecto]],Proyectos!$A:$A,Proyectos!$C:$C)),"")</f>
        <v>NULOS</v>
      </c>
    </row>
    <row r="1057" spans="1:15">
      <c r="A1057" s="10">
        <v>1001217968</v>
      </c>
      <c r="B1057" s="64" t="s">
        <v>61</v>
      </c>
      <c r="C1057" s="62" t="s">
        <v>2550</v>
      </c>
      <c r="D1057" t="s">
        <v>63</v>
      </c>
      <c r="E1057" t="s">
        <v>3232</v>
      </c>
      <c r="F1057" s="61">
        <v>37470</v>
      </c>
      <c r="G1057" s="15" t="s">
        <v>65</v>
      </c>
      <c r="H1057" t="s">
        <v>3233</v>
      </c>
      <c r="I1057" s="62" t="s">
        <v>3234</v>
      </c>
      <c r="K1057" s="36" t="s">
        <v>169</v>
      </c>
      <c r="L1057" t="s">
        <v>69</v>
      </c>
      <c r="M1057" s="62" t="s">
        <v>170</v>
      </c>
      <c r="N1057" t="s">
        <v>71</v>
      </c>
      <c r="O1057" t="str">
        <f>IFERROR(IF(Tbla_actores[[#This Row],[codigo_proyecto]]="","",_xlfn.XLOOKUP(Tbla_actores[[#This Row],[codigo_proyecto]],Proyectos!$A:$A,Proyectos!$C:$C)),"")</f>
        <v>NULOS</v>
      </c>
    </row>
    <row r="1058" spans="1:15">
      <c r="A1058" s="9">
        <v>1067957537</v>
      </c>
      <c r="B1058" s="63" t="s">
        <v>61</v>
      </c>
      <c r="C1058" s="62" t="s">
        <v>2550</v>
      </c>
      <c r="D1058" t="s">
        <v>63</v>
      </c>
      <c r="E1058" t="s">
        <v>3235</v>
      </c>
      <c r="F1058" s="61">
        <v>35772</v>
      </c>
      <c r="G1058" s="15" t="s">
        <v>73</v>
      </c>
      <c r="H1058" t="s">
        <v>3236</v>
      </c>
      <c r="I1058" s="62" t="s">
        <v>3237</v>
      </c>
      <c r="K1058" s="36" t="s">
        <v>495</v>
      </c>
      <c r="L1058" t="s">
        <v>69</v>
      </c>
      <c r="M1058" s="62" t="s">
        <v>70</v>
      </c>
      <c r="N1058" t="s">
        <v>71</v>
      </c>
      <c r="O1058" t="str">
        <f>IFERROR(IF(Tbla_actores[[#This Row],[codigo_proyecto]]="","",_xlfn.XLOOKUP(Tbla_actores[[#This Row],[codigo_proyecto]],Proyectos!$A:$A,Proyectos!$C:$C)),"")</f>
        <v>NULOS</v>
      </c>
    </row>
    <row r="1059" spans="1:15">
      <c r="A1059" s="10">
        <v>1019144271</v>
      </c>
      <c r="B1059" s="64" t="s">
        <v>61</v>
      </c>
      <c r="C1059" s="62" t="s">
        <v>2550</v>
      </c>
      <c r="D1059" t="s">
        <v>63</v>
      </c>
      <c r="E1059" t="s">
        <v>3238</v>
      </c>
      <c r="F1059" s="61">
        <v>36108</v>
      </c>
      <c r="G1059" s="15" t="s">
        <v>73</v>
      </c>
      <c r="H1059" t="s">
        <v>3239</v>
      </c>
      <c r="I1059" s="62" t="s">
        <v>3240</v>
      </c>
      <c r="K1059" s="36" t="s">
        <v>495</v>
      </c>
      <c r="L1059" t="s">
        <v>69</v>
      </c>
      <c r="M1059" s="62" t="s">
        <v>70</v>
      </c>
      <c r="N1059" t="s">
        <v>71</v>
      </c>
      <c r="O1059" t="str">
        <f>IFERROR(IF(Tbla_actores[[#This Row],[codigo_proyecto]]="","",_xlfn.XLOOKUP(Tbla_actores[[#This Row],[codigo_proyecto]],Proyectos!$A:$A,Proyectos!$C:$C)),"")</f>
        <v>NULOS</v>
      </c>
    </row>
    <row r="1060" spans="1:15">
      <c r="A1060" s="9">
        <v>1125350256</v>
      </c>
      <c r="B1060" s="63" t="s">
        <v>61</v>
      </c>
      <c r="C1060" s="62" t="s">
        <v>2550</v>
      </c>
      <c r="D1060" t="s">
        <v>63</v>
      </c>
      <c r="E1060" t="s">
        <v>3241</v>
      </c>
      <c r="F1060" s="61">
        <v>36397</v>
      </c>
      <c r="G1060" s="15" t="s">
        <v>73</v>
      </c>
      <c r="H1060" t="s">
        <v>3242</v>
      </c>
      <c r="I1060" s="62" t="s">
        <v>3243</v>
      </c>
      <c r="K1060" s="36" t="s">
        <v>495</v>
      </c>
      <c r="L1060" t="s">
        <v>69</v>
      </c>
      <c r="M1060" s="62" t="s">
        <v>70</v>
      </c>
      <c r="N1060" t="s">
        <v>71</v>
      </c>
      <c r="O1060" t="str">
        <f>IFERROR(IF(Tbla_actores[[#This Row],[codigo_proyecto]]="","",_xlfn.XLOOKUP(Tbla_actores[[#This Row],[codigo_proyecto]],Proyectos!$A:$A,Proyectos!$C:$C)),"")</f>
        <v>NULOS</v>
      </c>
    </row>
    <row r="1061" spans="1:15">
      <c r="A1061" s="10">
        <v>1015475451</v>
      </c>
      <c r="B1061" s="64" t="s">
        <v>61</v>
      </c>
      <c r="C1061" s="62" t="s">
        <v>2550</v>
      </c>
      <c r="D1061" t="s">
        <v>63</v>
      </c>
      <c r="E1061" t="s">
        <v>3244</v>
      </c>
      <c r="F1061" s="61">
        <v>35708</v>
      </c>
      <c r="G1061" s="15" t="s">
        <v>73</v>
      </c>
      <c r="H1061" t="s">
        <v>3245</v>
      </c>
      <c r="I1061" s="62" t="s">
        <v>3246</v>
      </c>
      <c r="K1061" s="36" t="s">
        <v>495</v>
      </c>
      <c r="L1061" t="s">
        <v>69</v>
      </c>
      <c r="M1061" s="62" t="s">
        <v>70</v>
      </c>
      <c r="N1061" t="s">
        <v>71</v>
      </c>
      <c r="O1061" t="str">
        <f>IFERROR(IF(Tbla_actores[[#This Row],[codigo_proyecto]]="","",_xlfn.XLOOKUP(Tbla_actores[[#This Row],[codigo_proyecto]],Proyectos!$A:$A,Proyectos!$C:$C)),"")</f>
        <v>NULOS</v>
      </c>
    </row>
    <row r="1062" spans="1:15">
      <c r="A1062" s="9">
        <v>1018512262</v>
      </c>
      <c r="B1062" s="63" t="s">
        <v>61</v>
      </c>
      <c r="C1062" s="62" t="s">
        <v>2550</v>
      </c>
      <c r="D1062" t="s">
        <v>63</v>
      </c>
      <c r="E1062" t="s">
        <v>3247</v>
      </c>
      <c r="F1062" s="61">
        <v>36360</v>
      </c>
      <c r="G1062" s="15" t="s">
        <v>73</v>
      </c>
      <c r="H1062" t="s">
        <v>3248</v>
      </c>
      <c r="I1062" s="62" t="s">
        <v>3249</v>
      </c>
      <c r="K1062" s="36" t="s">
        <v>495</v>
      </c>
      <c r="L1062" t="s">
        <v>69</v>
      </c>
      <c r="M1062" s="62" t="s">
        <v>70</v>
      </c>
      <c r="N1062" t="s">
        <v>71</v>
      </c>
      <c r="O1062" t="str">
        <f>IFERROR(IF(Tbla_actores[[#This Row],[codigo_proyecto]]="","",_xlfn.XLOOKUP(Tbla_actores[[#This Row],[codigo_proyecto]],Proyectos!$A:$A,Proyectos!$C:$C)),"")</f>
        <v>NULOS</v>
      </c>
    </row>
    <row r="1063" spans="1:15">
      <c r="A1063" s="10">
        <v>1018505380</v>
      </c>
      <c r="B1063" s="64" t="s">
        <v>61</v>
      </c>
      <c r="C1063" s="62" t="s">
        <v>2550</v>
      </c>
      <c r="D1063" t="s">
        <v>63</v>
      </c>
      <c r="E1063" t="s">
        <v>3250</v>
      </c>
      <c r="F1063" s="61">
        <v>35994</v>
      </c>
      <c r="G1063" s="15" t="s">
        <v>73</v>
      </c>
      <c r="H1063" t="s">
        <v>3251</v>
      </c>
      <c r="I1063" s="62" t="s">
        <v>3252</v>
      </c>
      <c r="K1063" s="36" t="s">
        <v>495</v>
      </c>
      <c r="L1063" t="s">
        <v>69</v>
      </c>
      <c r="M1063" s="62" t="s">
        <v>70</v>
      </c>
      <c r="N1063" t="s">
        <v>71</v>
      </c>
      <c r="O1063" t="str">
        <f>IFERROR(IF(Tbla_actores[[#This Row],[codigo_proyecto]]="","",_xlfn.XLOOKUP(Tbla_actores[[#This Row],[codigo_proyecto]],Proyectos!$A:$A,Proyectos!$C:$C)),"")</f>
        <v>NULOS</v>
      </c>
    </row>
    <row r="1064" spans="1:15">
      <c r="A1064" s="9">
        <v>1020834056</v>
      </c>
      <c r="B1064" s="63" t="s">
        <v>61</v>
      </c>
      <c r="C1064" s="62" t="s">
        <v>2550</v>
      </c>
      <c r="D1064" t="s">
        <v>63</v>
      </c>
      <c r="E1064" t="s">
        <v>3253</v>
      </c>
      <c r="F1064" s="61">
        <v>35986</v>
      </c>
      <c r="G1064" s="15" t="s">
        <v>65</v>
      </c>
      <c r="H1064" t="s">
        <v>3254</v>
      </c>
      <c r="I1064" s="62" t="s">
        <v>3255</v>
      </c>
      <c r="K1064" s="36" t="s">
        <v>495</v>
      </c>
      <c r="L1064" t="s">
        <v>69</v>
      </c>
      <c r="M1064" s="62" t="s">
        <v>70</v>
      </c>
      <c r="N1064" t="s">
        <v>71</v>
      </c>
      <c r="O1064" t="str">
        <f>IFERROR(IF(Tbla_actores[[#This Row],[codigo_proyecto]]="","",_xlfn.XLOOKUP(Tbla_actores[[#This Row],[codigo_proyecto]],Proyectos!$A:$A,Proyectos!$C:$C)),"")</f>
        <v>NULOS</v>
      </c>
    </row>
    <row r="1065" spans="1:15">
      <c r="A1065" s="10">
        <v>1014303291</v>
      </c>
      <c r="B1065" s="64" t="s">
        <v>61</v>
      </c>
      <c r="C1065" s="62" t="s">
        <v>1993</v>
      </c>
      <c r="D1065" t="s">
        <v>63</v>
      </c>
      <c r="E1065" t="s">
        <v>3256</v>
      </c>
      <c r="F1065" s="61">
        <v>36165</v>
      </c>
      <c r="G1065" s="15" t="s">
        <v>65</v>
      </c>
      <c r="H1065" t="s">
        <v>3257</v>
      </c>
      <c r="I1065" s="62" t="s">
        <v>3258</v>
      </c>
      <c r="K1065" s="36" t="s">
        <v>495</v>
      </c>
      <c r="L1065" t="s">
        <v>69</v>
      </c>
      <c r="M1065" s="62" t="s">
        <v>70</v>
      </c>
      <c r="N1065" t="s">
        <v>71</v>
      </c>
      <c r="O1065" t="str">
        <f>IFERROR(IF(Tbla_actores[[#This Row],[codigo_proyecto]]="","",_xlfn.XLOOKUP(Tbla_actores[[#This Row],[codigo_proyecto]],Proyectos!$A:$A,Proyectos!$C:$C)),"")</f>
        <v>NULOS</v>
      </c>
    </row>
    <row r="1066" spans="1:15">
      <c r="A1066" s="9">
        <v>1005093045</v>
      </c>
      <c r="B1066" s="63" t="s">
        <v>61</v>
      </c>
      <c r="C1066" s="62" t="s">
        <v>2550</v>
      </c>
      <c r="D1066" t="s">
        <v>63</v>
      </c>
      <c r="E1066" t="s">
        <v>3259</v>
      </c>
      <c r="F1066" s="61">
        <v>36588</v>
      </c>
      <c r="G1066" s="15" t="s">
        <v>73</v>
      </c>
      <c r="H1066" t="s">
        <v>3260</v>
      </c>
      <c r="I1066" s="62" t="s">
        <v>3261</v>
      </c>
      <c r="K1066" s="36" t="s">
        <v>495</v>
      </c>
      <c r="L1066" t="s">
        <v>69</v>
      </c>
      <c r="M1066" s="62" t="s">
        <v>70</v>
      </c>
      <c r="N1066" t="s">
        <v>71</v>
      </c>
      <c r="O1066" t="str">
        <f>IFERROR(IF(Tbla_actores[[#This Row],[codigo_proyecto]]="","",_xlfn.XLOOKUP(Tbla_actores[[#This Row],[codigo_proyecto]],Proyectos!$A:$A,Proyectos!$C:$C)),"")</f>
        <v>NULOS</v>
      </c>
    </row>
    <row r="1067" spans="1:15">
      <c r="A1067" s="10">
        <v>1007652341</v>
      </c>
      <c r="B1067" s="64" t="s">
        <v>61</v>
      </c>
      <c r="C1067" s="62" t="s">
        <v>2550</v>
      </c>
      <c r="D1067" t="s">
        <v>63</v>
      </c>
      <c r="E1067" t="s">
        <v>3262</v>
      </c>
      <c r="F1067" s="61">
        <v>37117</v>
      </c>
      <c r="G1067" s="15" t="s">
        <v>73</v>
      </c>
      <c r="H1067" t="s">
        <v>3263</v>
      </c>
      <c r="I1067" s="62" t="s">
        <v>3264</v>
      </c>
      <c r="K1067" s="36" t="s">
        <v>169</v>
      </c>
      <c r="L1067" t="s">
        <v>69</v>
      </c>
      <c r="M1067" s="62" t="s">
        <v>170</v>
      </c>
      <c r="N1067" t="s">
        <v>71</v>
      </c>
      <c r="O1067" t="str">
        <f>IFERROR(IF(Tbla_actores[[#This Row],[codigo_proyecto]]="","",_xlfn.XLOOKUP(Tbla_actores[[#This Row],[codigo_proyecto]],Proyectos!$A:$A,Proyectos!$C:$C)),"")</f>
        <v>NULOS</v>
      </c>
    </row>
    <row r="1068" spans="1:15">
      <c r="A1068" s="9">
        <v>1192895712</v>
      </c>
      <c r="B1068" s="63" t="s">
        <v>61</v>
      </c>
      <c r="C1068" s="62" t="s">
        <v>2550</v>
      </c>
      <c r="D1068" t="s">
        <v>63</v>
      </c>
      <c r="E1068" t="s">
        <v>3265</v>
      </c>
      <c r="F1068" s="61">
        <v>37130</v>
      </c>
      <c r="G1068" s="15" t="s">
        <v>73</v>
      </c>
      <c r="H1068" t="s">
        <v>3266</v>
      </c>
      <c r="I1068" s="62" t="s">
        <v>3267</v>
      </c>
      <c r="K1068" s="36" t="s">
        <v>169</v>
      </c>
      <c r="L1068" t="s">
        <v>69</v>
      </c>
      <c r="M1068" s="62" t="s">
        <v>170</v>
      </c>
      <c r="N1068" t="s">
        <v>71</v>
      </c>
      <c r="O1068" t="str">
        <f>IFERROR(IF(Tbla_actores[[#This Row],[codigo_proyecto]]="","",_xlfn.XLOOKUP(Tbla_actores[[#This Row],[codigo_proyecto]],Proyectos!$A:$A,Proyectos!$C:$C)),"")</f>
        <v>NULOS</v>
      </c>
    </row>
    <row r="1069" spans="1:15">
      <c r="A1069" s="10">
        <v>1000288916</v>
      </c>
      <c r="B1069" s="64" t="s">
        <v>61</v>
      </c>
      <c r="C1069" s="62" t="s">
        <v>2550</v>
      </c>
      <c r="D1069" t="s">
        <v>63</v>
      </c>
      <c r="E1069" t="s">
        <v>3268</v>
      </c>
      <c r="F1069" s="61">
        <v>37321</v>
      </c>
      <c r="G1069" s="15" t="s">
        <v>73</v>
      </c>
      <c r="H1069" t="s">
        <v>3269</v>
      </c>
      <c r="I1069" s="62" t="s">
        <v>3270</v>
      </c>
      <c r="K1069" s="36" t="s">
        <v>169</v>
      </c>
      <c r="L1069" t="s">
        <v>69</v>
      </c>
      <c r="M1069" s="62" t="s">
        <v>170</v>
      </c>
      <c r="N1069" t="s">
        <v>71</v>
      </c>
      <c r="O1069" t="str">
        <f>IFERROR(IF(Tbla_actores[[#This Row],[codigo_proyecto]]="","",_xlfn.XLOOKUP(Tbla_actores[[#This Row],[codigo_proyecto]],Proyectos!$A:$A,Proyectos!$C:$C)),"")</f>
        <v>NULOS</v>
      </c>
    </row>
    <row r="1070" spans="1:15">
      <c r="A1070" s="9">
        <v>1018501856</v>
      </c>
      <c r="B1070" s="63" t="s">
        <v>61</v>
      </c>
      <c r="C1070" s="62" t="s">
        <v>2550</v>
      </c>
      <c r="D1070" t="s">
        <v>63</v>
      </c>
      <c r="E1070" t="s">
        <v>3271</v>
      </c>
      <c r="F1070" s="61">
        <v>35867</v>
      </c>
      <c r="G1070" s="15" t="s">
        <v>65</v>
      </c>
      <c r="H1070" t="s">
        <v>3272</v>
      </c>
      <c r="I1070" s="62" t="s">
        <v>3273</v>
      </c>
      <c r="K1070" s="36" t="s">
        <v>495</v>
      </c>
      <c r="L1070" t="s">
        <v>69</v>
      </c>
      <c r="M1070" s="62" t="s">
        <v>70</v>
      </c>
      <c r="N1070" t="s">
        <v>71</v>
      </c>
      <c r="O1070" t="str">
        <f>IFERROR(IF(Tbla_actores[[#This Row],[codigo_proyecto]]="","",_xlfn.XLOOKUP(Tbla_actores[[#This Row],[codigo_proyecto]],Proyectos!$A:$A,Proyectos!$C:$C)),"")</f>
        <v>NULOS</v>
      </c>
    </row>
    <row r="1071" spans="1:15">
      <c r="A1071" s="10">
        <v>1140898094</v>
      </c>
      <c r="B1071" s="64" t="s">
        <v>61</v>
      </c>
      <c r="C1071" s="62" t="s">
        <v>2550</v>
      </c>
      <c r="D1071" t="s">
        <v>63</v>
      </c>
      <c r="E1071" t="s">
        <v>3274</v>
      </c>
      <c r="F1071" s="61">
        <v>35972</v>
      </c>
      <c r="G1071" s="15" t="s">
        <v>65</v>
      </c>
      <c r="H1071" t="s">
        <v>3275</v>
      </c>
      <c r="I1071" s="62" t="s">
        <v>3276</v>
      </c>
      <c r="K1071" s="36" t="s">
        <v>495</v>
      </c>
      <c r="L1071" t="s">
        <v>69</v>
      </c>
      <c r="M1071" s="62" t="s">
        <v>70</v>
      </c>
      <c r="N1071" t="s">
        <v>71</v>
      </c>
      <c r="O1071" t="str">
        <f>IFERROR(IF(Tbla_actores[[#This Row],[codigo_proyecto]]="","",_xlfn.XLOOKUP(Tbla_actores[[#This Row],[codigo_proyecto]],Proyectos!$A:$A,Proyectos!$C:$C)),"")</f>
        <v>NULOS</v>
      </c>
    </row>
    <row r="1072" spans="1:15">
      <c r="A1072" s="9">
        <v>1020824851</v>
      </c>
      <c r="B1072" s="63" t="s">
        <v>61</v>
      </c>
      <c r="C1072" s="62" t="s">
        <v>2550</v>
      </c>
      <c r="D1072" t="s">
        <v>63</v>
      </c>
      <c r="E1072" t="s">
        <v>3277</v>
      </c>
      <c r="F1072" s="61">
        <v>35539</v>
      </c>
      <c r="G1072" s="15" t="s">
        <v>73</v>
      </c>
      <c r="H1072" t="s">
        <v>3278</v>
      </c>
      <c r="I1072" s="62" t="s">
        <v>3279</v>
      </c>
      <c r="K1072" s="36" t="s">
        <v>495</v>
      </c>
      <c r="L1072" t="s">
        <v>69</v>
      </c>
      <c r="M1072" s="62" t="s">
        <v>70</v>
      </c>
      <c r="N1072" t="s">
        <v>71</v>
      </c>
      <c r="O1072" t="str">
        <f>IFERROR(IF(Tbla_actores[[#This Row],[codigo_proyecto]]="","",_xlfn.XLOOKUP(Tbla_actores[[#This Row],[codigo_proyecto]],Proyectos!$A:$A,Proyectos!$C:$C)),"")</f>
        <v>NULOS</v>
      </c>
    </row>
    <row r="1073" spans="1:15">
      <c r="A1073" s="10">
        <v>1018496627</v>
      </c>
      <c r="B1073" s="64" t="s">
        <v>61</v>
      </c>
      <c r="C1073" s="62" t="s">
        <v>2550</v>
      </c>
      <c r="D1073" t="s">
        <v>63</v>
      </c>
      <c r="E1073" t="s">
        <v>3280</v>
      </c>
      <c r="F1073" s="61">
        <v>35666</v>
      </c>
      <c r="G1073" s="15" t="s">
        <v>73</v>
      </c>
      <c r="H1073" t="s">
        <v>3281</v>
      </c>
      <c r="I1073" s="62" t="s">
        <v>3282</v>
      </c>
      <c r="K1073" s="36" t="s">
        <v>495</v>
      </c>
      <c r="L1073" t="s">
        <v>69</v>
      </c>
      <c r="M1073" s="62" t="s">
        <v>70</v>
      </c>
      <c r="N1073" t="s">
        <v>71</v>
      </c>
      <c r="O1073" t="str">
        <f>IFERROR(IF(Tbla_actores[[#This Row],[codigo_proyecto]]="","",_xlfn.XLOOKUP(Tbla_actores[[#This Row],[codigo_proyecto]],Proyectos!$A:$A,Proyectos!$C:$C)),"")</f>
        <v>NULOS</v>
      </c>
    </row>
    <row r="1074" spans="1:15">
      <c r="A1074" s="9">
        <v>1023981132</v>
      </c>
      <c r="B1074" s="63" t="s">
        <v>61</v>
      </c>
      <c r="C1074" s="62" t="s">
        <v>2550</v>
      </c>
      <c r="D1074" t="s">
        <v>63</v>
      </c>
      <c r="E1074" t="s">
        <v>3283</v>
      </c>
      <c r="F1074" s="61">
        <v>36541</v>
      </c>
      <c r="G1074" s="15" t="s">
        <v>65</v>
      </c>
      <c r="H1074" t="s">
        <v>3284</v>
      </c>
      <c r="I1074" s="62" t="s">
        <v>3285</v>
      </c>
      <c r="K1074" s="36" t="s">
        <v>1489</v>
      </c>
      <c r="L1074" t="s">
        <v>69</v>
      </c>
      <c r="M1074" s="62" t="s">
        <v>70</v>
      </c>
      <c r="N1074" t="s">
        <v>71</v>
      </c>
      <c r="O1074" t="str">
        <f>IFERROR(IF(Tbla_actores[[#This Row],[codigo_proyecto]]="","",_xlfn.XLOOKUP(Tbla_actores[[#This Row],[codigo_proyecto]],Proyectos!$A:$A,Proyectos!$C:$C)),"")</f>
        <v>NULOS</v>
      </c>
    </row>
    <row r="1075" spans="1:15">
      <c r="A1075" s="10">
        <v>1001173262</v>
      </c>
      <c r="B1075" s="64" t="s">
        <v>61</v>
      </c>
      <c r="C1075" s="62" t="s">
        <v>2550</v>
      </c>
      <c r="D1075" t="s">
        <v>63</v>
      </c>
      <c r="E1075" t="s">
        <v>3286</v>
      </c>
      <c r="F1075" s="61">
        <v>36614</v>
      </c>
      <c r="G1075" s="15" t="s">
        <v>73</v>
      </c>
      <c r="H1075" t="s">
        <v>3287</v>
      </c>
      <c r="I1075" s="62" t="s">
        <v>3288</v>
      </c>
      <c r="K1075" s="36" t="s">
        <v>1489</v>
      </c>
      <c r="L1075" t="s">
        <v>69</v>
      </c>
      <c r="M1075" s="62" t="s">
        <v>70</v>
      </c>
      <c r="N1075" t="s">
        <v>71</v>
      </c>
      <c r="O1075" t="str">
        <f>IFERROR(IF(Tbla_actores[[#This Row],[codigo_proyecto]]="","",_xlfn.XLOOKUP(Tbla_actores[[#This Row],[codigo_proyecto]],Proyectos!$A:$A,Proyectos!$C:$C)),"")</f>
        <v>NULOS</v>
      </c>
    </row>
    <row r="1076" spans="1:15">
      <c r="A1076" s="9">
        <v>1019148913</v>
      </c>
      <c r="B1076" s="63" t="s">
        <v>61</v>
      </c>
      <c r="C1076" s="62" t="s">
        <v>2550</v>
      </c>
      <c r="D1076" t="s">
        <v>63</v>
      </c>
      <c r="E1076" t="s">
        <v>3289</v>
      </c>
      <c r="F1076" s="61">
        <v>36301</v>
      </c>
      <c r="G1076" s="15" t="s">
        <v>65</v>
      </c>
      <c r="H1076" t="s">
        <v>3290</v>
      </c>
      <c r="I1076" s="62" t="s">
        <v>3291</v>
      </c>
      <c r="K1076" s="36" t="s">
        <v>1489</v>
      </c>
      <c r="L1076" t="s">
        <v>69</v>
      </c>
      <c r="M1076" s="62" t="s">
        <v>70</v>
      </c>
      <c r="N1076" t="s">
        <v>71</v>
      </c>
      <c r="O1076" t="str">
        <f>IFERROR(IF(Tbla_actores[[#This Row],[codigo_proyecto]]="","",_xlfn.XLOOKUP(Tbla_actores[[#This Row],[codigo_proyecto]],Proyectos!$A:$A,Proyectos!$C:$C)),"")</f>
        <v>NULOS</v>
      </c>
    </row>
    <row r="1077" spans="1:15">
      <c r="A1077" s="10">
        <v>1006125129</v>
      </c>
      <c r="B1077" s="64" t="s">
        <v>61</v>
      </c>
      <c r="C1077" s="62" t="s">
        <v>2550</v>
      </c>
      <c r="D1077" t="s">
        <v>63</v>
      </c>
      <c r="E1077" t="s">
        <v>3292</v>
      </c>
      <c r="F1077" s="61">
        <v>36483</v>
      </c>
      <c r="G1077" s="15" t="s">
        <v>73</v>
      </c>
      <c r="H1077" t="s">
        <v>3293</v>
      </c>
      <c r="I1077" s="62" t="s">
        <v>3294</v>
      </c>
      <c r="K1077" s="36" t="s">
        <v>1489</v>
      </c>
      <c r="L1077" t="s">
        <v>69</v>
      </c>
      <c r="M1077" s="62" t="s">
        <v>70</v>
      </c>
      <c r="N1077" t="s">
        <v>71</v>
      </c>
      <c r="O1077" t="str">
        <f>IFERROR(IF(Tbla_actores[[#This Row],[codigo_proyecto]]="","",_xlfn.XLOOKUP(Tbla_actores[[#This Row],[codigo_proyecto]],Proyectos!$A:$A,Proyectos!$C:$C)),"")</f>
        <v>NULOS</v>
      </c>
    </row>
    <row r="1078" spans="1:15">
      <c r="A1078" s="9">
        <v>1077036643</v>
      </c>
      <c r="B1078" s="63" t="s">
        <v>61</v>
      </c>
      <c r="C1078" s="62" t="s">
        <v>2550</v>
      </c>
      <c r="D1078" t="s">
        <v>63</v>
      </c>
      <c r="E1078" t="s">
        <v>3295</v>
      </c>
      <c r="F1078" s="61">
        <v>36503</v>
      </c>
      <c r="G1078" s="15" t="s">
        <v>65</v>
      </c>
      <c r="H1078" t="s">
        <v>3296</v>
      </c>
      <c r="I1078" s="62" t="s">
        <v>3297</v>
      </c>
      <c r="K1078" s="36" t="s">
        <v>1489</v>
      </c>
      <c r="L1078" t="s">
        <v>69</v>
      </c>
      <c r="M1078" s="62" t="s">
        <v>70</v>
      </c>
      <c r="N1078" t="s">
        <v>71</v>
      </c>
      <c r="O1078" t="str">
        <f>IFERROR(IF(Tbla_actores[[#This Row],[codigo_proyecto]]="","",_xlfn.XLOOKUP(Tbla_actores[[#This Row],[codigo_proyecto]],Proyectos!$A:$A,Proyectos!$C:$C)),"")</f>
        <v>NULOS</v>
      </c>
    </row>
    <row r="1079" spans="1:15">
      <c r="A1079" s="10">
        <v>1007379493</v>
      </c>
      <c r="B1079" s="64" t="s">
        <v>61</v>
      </c>
      <c r="C1079" s="62" t="s">
        <v>2550</v>
      </c>
      <c r="D1079" t="s">
        <v>63</v>
      </c>
      <c r="E1079" t="s">
        <v>3298</v>
      </c>
      <c r="F1079" s="61">
        <v>36691</v>
      </c>
      <c r="G1079" s="15" t="s">
        <v>73</v>
      </c>
      <c r="H1079" t="s">
        <v>3299</v>
      </c>
      <c r="I1079" s="62" t="s">
        <v>3300</v>
      </c>
      <c r="K1079" s="36" t="s">
        <v>1489</v>
      </c>
      <c r="L1079" t="s">
        <v>69</v>
      </c>
      <c r="M1079" s="62" t="s">
        <v>70</v>
      </c>
      <c r="N1079" t="s">
        <v>71</v>
      </c>
      <c r="O1079" t="str">
        <f>IFERROR(IF(Tbla_actores[[#This Row],[codigo_proyecto]]="","",_xlfn.XLOOKUP(Tbla_actores[[#This Row],[codigo_proyecto]],Proyectos!$A:$A,Proyectos!$C:$C)),"")</f>
        <v>NULOS</v>
      </c>
    </row>
    <row r="1080" spans="1:15">
      <c r="A1080" s="9">
        <v>1007355145</v>
      </c>
      <c r="B1080" s="63" t="s">
        <v>61</v>
      </c>
      <c r="C1080" s="62" t="s">
        <v>2550</v>
      </c>
      <c r="D1080" t="s">
        <v>63</v>
      </c>
      <c r="E1080" t="s">
        <v>3301</v>
      </c>
      <c r="F1080" s="61">
        <v>36825</v>
      </c>
      <c r="G1080" s="15" t="s">
        <v>73</v>
      </c>
      <c r="H1080" t="s">
        <v>3302</v>
      </c>
      <c r="I1080" s="62" t="s">
        <v>3303</v>
      </c>
      <c r="K1080" s="36" t="s">
        <v>1489</v>
      </c>
      <c r="L1080" t="s">
        <v>69</v>
      </c>
      <c r="M1080" s="62" t="s">
        <v>70</v>
      </c>
      <c r="N1080" t="s">
        <v>71</v>
      </c>
      <c r="O1080" t="str">
        <f>IFERROR(IF(Tbla_actores[[#This Row],[codigo_proyecto]]="","",_xlfn.XLOOKUP(Tbla_actores[[#This Row],[codigo_proyecto]],Proyectos!$A:$A,Proyectos!$C:$C)),"")</f>
        <v>NULOS</v>
      </c>
    </row>
    <row r="1081" spans="1:15">
      <c r="A1081" s="10">
        <v>1006874023</v>
      </c>
      <c r="B1081" s="64" t="s">
        <v>61</v>
      </c>
      <c r="C1081" s="62" t="s">
        <v>2550</v>
      </c>
      <c r="D1081" t="s">
        <v>63</v>
      </c>
      <c r="E1081" t="s">
        <v>3304</v>
      </c>
      <c r="F1081" s="61">
        <v>36675</v>
      </c>
      <c r="G1081" s="15" t="s">
        <v>73</v>
      </c>
      <c r="H1081" t="s">
        <v>3305</v>
      </c>
      <c r="I1081" s="62" t="s">
        <v>3306</v>
      </c>
      <c r="K1081" s="36" t="s">
        <v>1489</v>
      </c>
      <c r="L1081" t="s">
        <v>69</v>
      </c>
      <c r="M1081" s="62" t="s">
        <v>70</v>
      </c>
      <c r="N1081" t="s">
        <v>71</v>
      </c>
      <c r="O1081" t="str">
        <f>IFERROR(IF(Tbla_actores[[#This Row],[codigo_proyecto]]="","",_xlfn.XLOOKUP(Tbla_actores[[#This Row],[codigo_proyecto]],Proyectos!$A:$A,Proyectos!$C:$C)),"")</f>
        <v>NULOS</v>
      </c>
    </row>
    <row r="1082" spans="1:15">
      <c r="A1082" s="9">
        <v>1016100892</v>
      </c>
      <c r="B1082" s="63" t="s">
        <v>61</v>
      </c>
      <c r="C1082" s="62" t="s">
        <v>2550</v>
      </c>
      <c r="D1082" t="s">
        <v>63</v>
      </c>
      <c r="E1082" t="s">
        <v>3307</v>
      </c>
      <c r="F1082" s="61">
        <v>35873</v>
      </c>
      <c r="G1082" s="15" t="s">
        <v>73</v>
      </c>
      <c r="H1082" t="s">
        <v>3308</v>
      </c>
      <c r="I1082" s="62" t="s">
        <v>3309</v>
      </c>
      <c r="K1082" s="36" t="s">
        <v>1489</v>
      </c>
      <c r="L1082" t="s">
        <v>69</v>
      </c>
      <c r="M1082" s="62" t="s">
        <v>70</v>
      </c>
      <c r="N1082" t="s">
        <v>71</v>
      </c>
      <c r="O1082" t="str">
        <f>IFERROR(IF(Tbla_actores[[#This Row],[codigo_proyecto]]="","",_xlfn.XLOOKUP(Tbla_actores[[#This Row],[codigo_proyecto]],Proyectos!$A:$A,Proyectos!$C:$C)),"")</f>
        <v>NULOS</v>
      </c>
    </row>
    <row r="1083" spans="1:15">
      <c r="A1083" s="10">
        <v>1007365828</v>
      </c>
      <c r="B1083" s="64" t="s">
        <v>61</v>
      </c>
      <c r="C1083" s="62" t="s">
        <v>2550</v>
      </c>
      <c r="D1083" t="s">
        <v>63</v>
      </c>
      <c r="E1083" t="s">
        <v>3310</v>
      </c>
      <c r="F1083" s="61">
        <v>36466</v>
      </c>
      <c r="G1083" s="15" t="s">
        <v>65</v>
      </c>
      <c r="H1083" t="s">
        <v>3311</v>
      </c>
      <c r="I1083" s="62" t="s">
        <v>3312</v>
      </c>
      <c r="K1083" s="36" t="s">
        <v>1489</v>
      </c>
      <c r="L1083" t="s">
        <v>69</v>
      </c>
      <c r="M1083" s="62" t="s">
        <v>70</v>
      </c>
      <c r="N1083" t="s">
        <v>71</v>
      </c>
      <c r="O1083" t="str">
        <f>IFERROR(IF(Tbla_actores[[#This Row],[codigo_proyecto]]="","",_xlfn.XLOOKUP(Tbla_actores[[#This Row],[codigo_proyecto]],Proyectos!$A:$A,Proyectos!$C:$C)),"")</f>
        <v>NULOS</v>
      </c>
    </row>
    <row r="1084" spans="1:15">
      <c r="A1084" s="9">
        <v>1000148387</v>
      </c>
      <c r="B1084" s="63" t="s">
        <v>61</v>
      </c>
      <c r="C1084" s="62" t="s">
        <v>2550</v>
      </c>
      <c r="D1084" t="s">
        <v>63</v>
      </c>
      <c r="E1084" t="s">
        <v>3313</v>
      </c>
      <c r="F1084" s="61">
        <v>36808</v>
      </c>
      <c r="G1084" s="15" t="s">
        <v>73</v>
      </c>
      <c r="H1084" t="s">
        <v>3314</v>
      </c>
      <c r="I1084" s="62" t="s">
        <v>3315</v>
      </c>
      <c r="K1084" s="36" t="s">
        <v>1489</v>
      </c>
      <c r="L1084" t="s">
        <v>69</v>
      </c>
      <c r="M1084" s="62" t="s">
        <v>70</v>
      </c>
      <c r="N1084" t="s">
        <v>71</v>
      </c>
      <c r="O1084" t="str">
        <f>IFERROR(IF(Tbla_actores[[#This Row],[codigo_proyecto]]="","",_xlfn.XLOOKUP(Tbla_actores[[#This Row],[codigo_proyecto]],Proyectos!$A:$A,Proyectos!$C:$C)),"")</f>
        <v>NULOS</v>
      </c>
    </row>
    <row r="1085" spans="1:15">
      <c r="A1085" s="10">
        <v>1000158039</v>
      </c>
      <c r="B1085" s="64" t="s">
        <v>61</v>
      </c>
      <c r="C1085" s="62" t="s">
        <v>2550</v>
      </c>
      <c r="D1085" t="s">
        <v>63</v>
      </c>
      <c r="E1085" t="s">
        <v>3316</v>
      </c>
      <c r="F1085" s="61">
        <v>36848</v>
      </c>
      <c r="G1085" s="15" t="s">
        <v>73</v>
      </c>
      <c r="H1085" t="s">
        <v>3317</v>
      </c>
      <c r="I1085" s="62" t="s">
        <v>3318</v>
      </c>
      <c r="K1085" s="36" t="s">
        <v>1489</v>
      </c>
      <c r="L1085" t="s">
        <v>69</v>
      </c>
      <c r="M1085" s="62" t="s">
        <v>70</v>
      </c>
      <c r="N1085" t="s">
        <v>71</v>
      </c>
      <c r="O1085" t="str">
        <f>IFERROR(IF(Tbla_actores[[#This Row],[codigo_proyecto]]="","",_xlfn.XLOOKUP(Tbla_actores[[#This Row],[codigo_proyecto]],Proyectos!$A:$A,Proyectos!$C:$C)),"")</f>
        <v>NULOS</v>
      </c>
    </row>
    <row r="1086" spans="1:15">
      <c r="A1086" s="9">
        <v>1065656578</v>
      </c>
      <c r="B1086" s="63" t="s">
        <v>61</v>
      </c>
      <c r="C1086" s="62" t="s">
        <v>3319</v>
      </c>
      <c r="D1086" t="s">
        <v>63</v>
      </c>
      <c r="E1086" t="s">
        <v>3320</v>
      </c>
      <c r="F1086" s="61">
        <v>34206</v>
      </c>
      <c r="G1086" s="15" t="s">
        <v>73</v>
      </c>
      <c r="H1086" t="s">
        <v>3321</v>
      </c>
      <c r="I1086" s="62" t="s">
        <v>3322</v>
      </c>
      <c r="K1086" s="36" t="s">
        <v>1489</v>
      </c>
      <c r="L1086" t="s">
        <v>69</v>
      </c>
      <c r="M1086" s="62" t="s">
        <v>70</v>
      </c>
      <c r="N1086" t="s">
        <v>71</v>
      </c>
      <c r="O1086" t="str">
        <f>IFERROR(IF(Tbla_actores[[#This Row],[codigo_proyecto]]="","",_xlfn.XLOOKUP(Tbla_actores[[#This Row],[codigo_proyecto]],Proyectos!$A:$A,Proyectos!$C:$C)),"")</f>
        <v>NULOS</v>
      </c>
    </row>
    <row r="1087" spans="1:15">
      <c r="A1087" s="10">
        <v>1075315636</v>
      </c>
      <c r="B1087" s="64" t="s">
        <v>61</v>
      </c>
      <c r="C1087" s="62" t="s">
        <v>3319</v>
      </c>
      <c r="D1087" t="s">
        <v>63</v>
      </c>
      <c r="E1087" t="s">
        <v>3323</v>
      </c>
      <c r="F1087" s="61">
        <v>36158</v>
      </c>
      <c r="G1087" s="15" t="s">
        <v>65</v>
      </c>
      <c r="H1087" t="s">
        <v>3324</v>
      </c>
      <c r="I1087" s="62" t="s">
        <v>3325</v>
      </c>
      <c r="K1087" s="36" t="s">
        <v>1489</v>
      </c>
      <c r="L1087" t="s">
        <v>69</v>
      </c>
      <c r="M1087" s="62" t="s">
        <v>70</v>
      </c>
      <c r="N1087" t="s">
        <v>71</v>
      </c>
      <c r="O1087" t="str">
        <f>IFERROR(IF(Tbla_actores[[#This Row],[codigo_proyecto]]="","",_xlfn.XLOOKUP(Tbla_actores[[#This Row],[codigo_proyecto]],Proyectos!$A:$A,Proyectos!$C:$C)),"")</f>
        <v>NULOS</v>
      </c>
    </row>
    <row r="1088" spans="1:15">
      <c r="A1088" s="9">
        <v>1136889705</v>
      </c>
      <c r="B1088" s="63" t="s">
        <v>61</v>
      </c>
      <c r="C1088" s="62" t="s">
        <v>3319</v>
      </c>
      <c r="D1088" t="s">
        <v>63</v>
      </c>
      <c r="E1088" t="s">
        <v>3326</v>
      </c>
      <c r="F1088" s="61">
        <v>36316</v>
      </c>
      <c r="G1088" s="15" t="s">
        <v>65</v>
      </c>
      <c r="H1088" t="s">
        <v>3327</v>
      </c>
      <c r="I1088" s="62" t="s">
        <v>3328</v>
      </c>
      <c r="K1088" s="36" t="s">
        <v>1489</v>
      </c>
      <c r="L1088" t="s">
        <v>69</v>
      </c>
      <c r="M1088" s="62" t="s">
        <v>70</v>
      </c>
      <c r="N1088" t="s">
        <v>71</v>
      </c>
      <c r="O1088" t="str">
        <f>IFERROR(IF(Tbla_actores[[#This Row],[codigo_proyecto]]="","",_xlfn.XLOOKUP(Tbla_actores[[#This Row],[codigo_proyecto]],Proyectos!$A:$A,Proyectos!$C:$C)),"")</f>
        <v>NULOS</v>
      </c>
    </row>
    <row r="1089" spans="1:15">
      <c r="A1089" s="10">
        <v>1092386515</v>
      </c>
      <c r="B1089" s="64" t="s">
        <v>61</v>
      </c>
      <c r="C1089" s="62" t="s">
        <v>3329</v>
      </c>
      <c r="D1089" t="s">
        <v>63</v>
      </c>
      <c r="E1089" t="s">
        <v>3330</v>
      </c>
      <c r="F1089" s="61">
        <v>35964</v>
      </c>
      <c r="G1089" s="15" t="s">
        <v>65</v>
      </c>
      <c r="H1089" t="s">
        <v>3331</v>
      </c>
      <c r="I1089" s="62" t="s">
        <v>3332</v>
      </c>
      <c r="K1089" s="36" t="s">
        <v>1489</v>
      </c>
      <c r="L1089" t="s">
        <v>69</v>
      </c>
      <c r="M1089" s="62" t="s">
        <v>70</v>
      </c>
      <c r="N1089" t="s">
        <v>71</v>
      </c>
      <c r="O1089" t="str">
        <f>IFERROR(IF(Tbla_actores[[#This Row],[codigo_proyecto]]="","",_xlfn.XLOOKUP(Tbla_actores[[#This Row],[codigo_proyecto]],Proyectos!$A:$A,Proyectos!$C:$C)),"")</f>
        <v>NULOS</v>
      </c>
    </row>
    <row r="1090" spans="1:15">
      <c r="A1090" s="9">
        <v>1032487362</v>
      </c>
      <c r="B1090" s="63" t="s">
        <v>61</v>
      </c>
      <c r="C1090" s="62" t="s">
        <v>3329</v>
      </c>
      <c r="D1090" t="s">
        <v>63</v>
      </c>
      <c r="E1090" t="s">
        <v>3333</v>
      </c>
      <c r="F1090" s="61">
        <v>35389</v>
      </c>
      <c r="G1090" s="15" t="s">
        <v>73</v>
      </c>
      <c r="H1090" t="s">
        <v>3334</v>
      </c>
      <c r="I1090" s="62" t="s">
        <v>3335</v>
      </c>
      <c r="K1090" s="36" t="s">
        <v>68</v>
      </c>
      <c r="L1090" t="s">
        <v>69</v>
      </c>
      <c r="M1090" s="62" t="s">
        <v>70</v>
      </c>
      <c r="N1090" t="s">
        <v>71</v>
      </c>
      <c r="O1090" t="str">
        <f>IFERROR(IF(Tbla_actores[[#This Row],[codigo_proyecto]]="","",_xlfn.XLOOKUP(Tbla_actores[[#This Row],[codigo_proyecto]],Proyectos!$A:$A,Proyectos!$C:$C)),"")</f>
        <v>NULOS</v>
      </c>
    </row>
    <row r="1091" spans="1:15">
      <c r="A1091" s="10">
        <v>1010000252</v>
      </c>
      <c r="B1091" s="64" t="s">
        <v>61</v>
      </c>
      <c r="C1091" s="62" t="s">
        <v>3329</v>
      </c>
      <c r="D1091" t="s">
        <v>63</v>
      </c>
      <c r="E1091" t="s">
        <v>3336</v>
      </c>
      <c r="F1091" s="61">
        <v>36682</v>
      </c>
      <c r="G1091" s="15" t="s">
        <v>73</v>
      </c>
      <c r="H1091" t="s">
        <v>3337</v>
      </c>
      <c r="I1091" s="62" t="s">
        <v>3338</v>
      </c>
      <c r="K1091" s="36" t="s">
        <v>68</v>
      </c>
      <c r="L1091" t="s">
        <v>69</v>
      </c>
      <c r="M1091" s="62" t="s">
        <v>70</v>
      </c>
      <c r="N1091" t="s">
        <v>71</v>
      </c>
      <c r="O1091" t="str">
        <f>IFERROR(IF(Tbla_actores[[#This Row],[codigo_proyecto]]="","",_xlfn.XLOOKUP(Tbla_actores[[#This Row],[codigo_proyecto]],Proyectos!$A:$A,Proyectos!$C:$C)),"")</f>
        <v>NULOS</v>
      </c>
    </row>
    <row r="1092" spans="1:15">
      <c r="A1092" s="9">
        <v>1018514169</v>
      </c>
      <c r="B1092" s="63" t="s">
        <v>61</v>
      </c>
      <c r="C1092" s="62" t="s">
        <v>3329</v>
      </c>
      <c r="D1092" t="s">
        <v>63</v>
      </c>
      <c r="E1092" t="s">
        <v>3339</v>
      </c>
      <c r="F1092" s="61">
        <v>36461</v>
      </c>
      <c r="G1092" s="15" t="s">
        <v>73</v>
      </c>
      <c r="H1092" t="s">
        <v>3340</v>
      </c>
      <c r="I1092" s="62" t="s">
        <v>3341</v>
      </c>
      <c r="K1092" s="36" t="s">
        <v>68</v>
      </c>
      <c r="L1092" t="s">
        <v>69</v>
      </c>
      <c r="M1092" s="62" t="s">
        <v>70</v>
      </c>
      <c r="N1092" t="s">
        <v>71</v>
      </c>
      <c r="O1092" t="str">
        <f>IFERROR(IF(Tbla_actores[[#This Row],[codigo_proyecto]]="","",_xlfn.XLOOKUP(Tbla_actores[[#This Row],[codigo_proyecto]],Proyectos!$A:$A,Proyectos!$C:$C)),"")</f>
        <v>NULOS</v>
      </c>
    </row>
    <row r="1093" spans="1:15">
      <c r="A1093" s="10">
        <v>1032497365</v>
      </c>
      <c r="B1093" s="64" t="s">
        <v>61</v>
      </c>
      <c r="C1093" s="62" t="s">
        <v>3329</v>
      </c>
      <c r="D1093" t="s">
        <v>63</v>
      </c>
      <c r="E1093" t="s">
        <v>3342</v>
      </c>
      <c r="F1093" s="61">
        <v>35902</v>
      </c>
      <c r="G1093" s="15" t="s">
        <v>73</v>
      </c>
      <c r="H1093" t="s">
        <v>3343</v>
      </c>
      <c r="I1093" s="62" t="s">
        <v>3344</v>
      </c>
      <c r="K1093" s="36" t="s">
        <v>68</v>
      </c>
      <c r="L1093" t="s">
        <v>69</v>
      </c>
      <c r="M1093" s="62" t="s">
        <v>70</v>
      </c>
      <c r="N1093" t="s">
        <v>71</v>
      </c>
      <c r="O1093" t="str">
        <f>IFERROR(IF(Tbla_actores[[#This Row],[codigo_proyecto]]="","",_xlfn.XLOOKUP(Tbla_actores[[#This Row],[codigo_proyecto]],Proyectos!$A:$A,Proyectos!$C:$C)),"")</f>
        <v>NULOS</v>
      </c>
    </row>
    <row r="1094" spans="1:15">
      <c r="A1094" s="9">
        <v>1116872698</v>
      </c>
      <c r="B1094" s="63" t="s">
        <v>61</v>
      </c>
      <c r="C1094" s="62" t="s">
        <v>3329</v>
      </c>
      <c r="D1094" t="s">
        <v>63</v>
      </c>
      <c r="E1094" t="s">
        <v>3345</v>
      </c>
      <c r="F1094" s="61">
        <v>36150</v>
      </c>
      <c r="G1094" s="15" t="s">
        <v>73</v>
      </c>
      <c r="H1094" t="s">
        <v>3346</v>
      </c>
      <c r="I1094" s="62" t="s">
        <v>3347</v>
      </c>
      <c r="K1094" s="36" t="s">
        <v>68</v>
      </c>
      <c r="L1094" t="s">
        <v>69</v>
      </c>
      <c r="M1094" s="62" t="s">
        <v>70</v>
      </c>
      <c r="N1094" t="s">
        <v>71</v>
      </c>
      <c r="O1094" t="str">
        <f>IFERROR(IF(Tbla_actores[[#This Row],[codigo_proyecto]]="","",_xlfn.XLOOKUP(Tbla_actores[[#This Row],[codigo_proyecto]],Proyectos!$A:$A,Proyectos!$C:$C)),"")</f>
        <v>NULOS</v>
      </c>
    </row>
    <row r="1095" spans="1:15">
      <c r="A1095" s="10">
        <v>1000970928</v>
      </c>
      <c r="B1095" s="64" t="s">
        <v>61</v>
      </c>
      <c r="C1095" s="62" t="s">
        <v>3329</v>
      </c>
      <c r="D1095" t="s">
        <v>63</v>
      </c>
      <c r="E1095" t="s">
        <v>3348</v>
      </c>
      <c r="F1095" s="61">
        <v>36770</v>
      </c>
      <c r="G1095" s="15" t="s">
        <v>73</v>
      </c>
      <c r="H1095" t="s">
        <v>3349</v>
      </c>
      <c r="I1095" s="62" t="s">
        <v>3350</v>
      </c>
      <c r="K1095" s="36" t="s">
        <v>68</v>
      </c>
      <c r="L1095" t="s">
        <v>69</v>
      </c>
      <c r="M1095" s="62" t="s">
        <v>70</v>
      </c>
      <c r="N1095" t="s">
        <v>71</v>
      </c>
      <c r="O1095" t="str">
        <f>IFERROR(IF(Tbla_actores[[#This Row],[codigo_proyecto]]="","",_xlfn.XLOOKUP(Tbla_actores[[#This Row],[codigo_proyecto]],Proyectos!$A:$A,Proyectos!$C:$C)),"")</f>
        <v>NULOS</v>
      </c>
    </row>
    <row r="1096" spans="1:15">
      <c r="A1096" s="9">
        <v>1010006857</v>
      </c>
      <c r="B1096" s="63" t="s">
        <v>61</v>
      </c>
      <c r="C1096" s="62" t="s">
        <v>3329</v>
      </c>
      <c r="D1096" t="s">
        <v>63</v>
      </c>
      <c r="E1096" t="s">
        <v>3351</v>
      </c>
      <c r="F1096" s="61">
        <v>36903</v>
      </c>
      <c r="G1096" s="15" t="s">
        <v>65</v>
      </c>
      <c r="H1096" t="s">
        <v>3352</v>
      </c>
      <c r="I1096" s="62" t="s">
        <v>3353</v>
      </c>
      <c r="K1096" s="36" t="s">
        <v>68</v>
      </c>
      <c r="L1096" t="s">
        <v>69</v>
      </c>
      <c r="M1096" s="62" t="s">
        <v>70</v>
      </c>
      <c r="N1096" t="s">
        <v>71</v>
      </c>
      <c r="O1096" t="str">
        <f>IFERROR(IF(Tbla_actores[[#This Row],[codigo_proyecto]]="","",_xlfn.XLOOKUP(Tbla_actores[[#This Row],[codigo_proyecto]],Proyectos!$A:$A,Proyectos!$C:$C)),"")</f>
        <v>NULOS</v>
      </c>
    </row>
    <row r="1097" spans="1:15">
      <c r="A1097" s="10">
        <v>1007249213</v>
      </c>
      <c r="B1097" s="64" t="s">
        <v>61</v>
      </c>
      <c r="C1097" s="62" t="s">
        <v>3329</v>
      </c>
      <c r="D1097" t="s">
        <v>63</v>
      </c>
      <c r="E1097" t="s">
        <v>3354</v>
      </c>
      <c r="F1097" s="61">
        <v>36560</v>
      </c>
      <c r="G1097" s="15" t="s">
        <v>65</v>
      </c>
      <c r="H1097" t="s">
        <v>3355</v>
      </c>
      <c r="I1097" s="62" t="s">
        <v>3356</v>
      </c>
      <c r="K1097" s="36" t="s">
        <v>68</v>
      </c>
      <c r="L1097" t="s">
        <v>69</v>
      </c>
      <c r="M1097" s="62" t="s">
        <v>70</v>
      </c>
      <c r="N1097" t="s">
        <v>71</v>
      </c>
      <c r="O1097" t="str">
        <f>IFERROR(IF(Tbla_actores[[#This Row],[codigo_proyecto]]="","",_xlfn.XLOOKUP(Tbla_actores[[#This Row],[codigo_proyecto]],Proyectos!$A:$A,Proyectos!$C:$C)),"")</f>
        <v>NULOS</v>
      </c>
    </row>
    <row r="1098" spans="1:15">
      <c r="A1098" s="9">
        <v>1019129550</v>
      </c>
      <c r="B1098" s="63" t="s">
        <v>61</v>
      </c>
      <c r="C1098" s="62" t="s">
        <v>3329</v>
      </c>
      <c r="D1098" t="s">
        <v>63</v>
      </c>
      <c r="E1098" t="s">
        <v>3357</v>
      </c>
      <c r="F1098" s="61">
        <v>35492</v>
      </c>
      <c r="G1098" s="15" t="s">
        <v>73</v>
      </c>
      <c r="H1098" t="s">
        <v>3358</v>
      </c>
      <c r="I1098" s="62" t="s">
        <v>3359</v>
      </c>
      <c r="K1098" s="36" t="s">
        <v>68</v>
      </c>
      <c r="L1098" t="s">
        <v>69</v>
      </c>
      <c r="M1098" s="62" t="s">
        <v>70</v>
      </c>
      <c r="N1098" t="s">
        <v>71</v>
      </c>
      <c r="O1098" t="str">
        <f>IFERROR(IF(Tbla_actores[[#This Row],[codigo_proyecto]]="","",_xlfn.XLOOKUP(Tbla_actores[[#This Row],[codigo_proyecto]],Proyectos!$A:$A,Proyectos!$C:$C)),"")</f>
        <v>NULOS</v>
      </c>
    </row>
    <row r="1099" spans="1:15">
      <c r="A1099" s="10">
        <v>1019133423</v>
      </c>
      <c r="B1099" s="64" t="s">
        <v>61</v>
      </c>
      <c r="C1099" s="62" t="s">
        <v>3329</v>
      </c>
      <c r="D1099" t="s">
        <v>63</v>
      </c>
      <c r="E1099" t="s">
        <v>3360</v>
      </c>
      <c r="F1099" s="61">
        <v>35662</v>
      </c>
      <c r="G1099" s="15" t="s">
        <v>73</v>
      </c>
      <c r="H1099" t="s">
        <v>3361</v>
      </c>
      <c r="I1099" s="62" t="s">
        <v>3362</v>
      </c>
      <c r="K1099" s="36" t="s">
        <v>68</v>
      </c>
      <c r="L1099" t="s">
        <v>69</v>
      </c>
      <c r="M1099" s="62" t="s">
        <v>70</v>
      </c>
      <c r="N1099" t="s">
        <v>71</v>
      </c>
      <c r="O1099" t="str">
        <f>IFERROR(IF(Tbla_actores[[#This Row],[codigo_proyecto]]="","",_xlfn.XLOOKUP(Tbla_actores[[#This Row],[codigo_proyecto]],Proyectos!$A:$A,Proyectos!$C:$C)),"")</f>
        <v>NULOS</v>
      </c>
    </row>
    <row r="1100" spans="1:15">
      <c r="A1100" s="9">
        <v>1026307384</v>
      </c>
      <c r="B1100" s="63" t="s">
        <v>61</v>
      </c>
      <c r="C1100" s="62" t="s">
        <v>3329</v>
      </c>
      <c r="D1100" t="s">
        <v>63</v>
      </c>
      <c r="E1100" t="s">
        <v>3363</v>
      </c>
      <c r="F1100" s="61">
        <v>36485</v>
      </c>
      <c r="G1100" s="15" t="s">
        <v>73</v>
      </c>
      <c r="H1100" t="s">
        <v>3364</v>
      </c>
      <c r="I1100" s="62" t="s">
        <v>3365</v>
      </c>
      <c r="K1100" s="36" t="s">
        <v>68</v>
      </c>
      <c r="L1100" t="s">
        <v>69</v>
      </c>
      <c r="M1100" s="62" t="s">
        <v>70</v>
      </c>
      <c r="N1100" t="s">
        <v>71</v>
      </c>
      <c r="O1100" t="str">
        <f>IFERROR(IF(Tbla_actores[[#This Row],[codigo_proyecto]]="","",_xlfn.XLOOKUP(Tbla_actores[[#This Row],[codigo_proyecto]],Proyectos!$A:$A,Proyectos!$C:$C)),"")</f>
        <v>NULOS</v>
      </c>
    </row>
    <row r="1101" spans="1:15">
      <c r="A1101" s="10">
        <v>1032501463</v>
      </c>
      <c r="B1101" s="64" t="s">
        <v>61</v>
      </c>
      <c r="C1101" s="62" t="s">
        <v>3329</v>
      </c>
      <c r="D1101" t="s">
        <v>63</v>
      </c>
      <c r="E1101" t="s">
        <v>3366</v>
      </c>
      <c r="F1101" s="61">
        <v>36124</v>
      </c>
      <c r="G1101" s="15" t="s">
        <v>73</v>
      </c>
      <c r="H1101" t="s">
        <v>3367</v>
      </c>
      <c r="I1101" s="62" t="s">
        <v>3368</v>
      </c>
      <c r="K1101" s="36" t="s">
        <v>68</v>
      </c>
      <c r="L1101" t="s">
        <v>69</v>
      </c>
      <c r="M1101" s="62" t="s">
        <v>70</v>
      </c>
      <c r="N1101" t="s">
        <v>71</v>
      </c>
      <c r="O1101" t="str">
        <f>IFERROR(IF(Tbla_actores[[#This Row],[codigo_proyecto]]="","",_xlfn.XLOOKUP(Tbla_actores[[#This Row],[codigo_proyecto]],Proyectos!$A:$A,Proyectos!$C:$C)),"")</f>
        <v>NULOS</v>
      </c>
    </row>
    <row r="1102" spans="1:15">
      <c r="A1102" s="9">
        <v>1019124610</v>
      </c>
      <c r="B1102" s="63" t="s">
        <v>61</v>
      </c>
      <c r="C1102" s="62" t="s">
        <v>3329</v>
      </c>
      <c r="D1102" t="s">
        <v>63</v>
      </c>
      <c r="E1102" t="s">
        <v>3369</v>
      </c>
      <c r="F1102" s="61">
        <v>35163</v>
      </c>
      <c r="G1102" s="15" t="s">
        <v>73</v>
      </c>
      <c r="H1102" t="s">
        <v>3370</v>
      </c>
      <c r="I1102" s="62" t="s">
        <v>3371</v>
      </c>
      <c r="K1102" s="36" t="s">
        <v>68</v>
      </c>
      <c r="L1102" t="s">
        <v>69</v>
      </c>
      <c r="M1102" s="62" t="s">
        <v>70</v>
      </c>
      <c r="N1102" t="s">
        <v>71</v>
      </c>
      <c r="O1102" t="str">
        <f>IFERROR(IF(Tbla_actores[[#This Row],[codigo_proyecto]]="","",_xlfn.XLOOKUP(Tbla_actores[[#This Row],[codigo_proyecto]],Proyectos!$A:$A,Proyectos!$C:$C)),"")</f>
        <v>NULOS</v>
      </c>
    </row>
    <row r="1103" spans="1:15">
      <c r="A1103" s="10">
        <v>746497</v>
      </c>
      <c r="B1103" s="64" t="s">
        <v>61</v>
      </c>
      <c r="C1103" s="62" t="s">
        <v>3329</v>
      </c>
      <c r="D1103" t="s">
        <v>63</v>
      </c>
      <c r="E1103" t="s">
        <v>3372</v>
      </c>
      <c r="F1103" s="61" t="s">
        <v>1433</v>
      </c>
      <c r="G1103" s="15" t="s">
        <v>1433</v>
      </c>
      <c r="H1103" t="s">
        <v>1433</v>
      </c>
      <c r="I1103" s="62" t="s">
        <v>1433</v>
      </c>
      <c r="K1103" s="36" t="s">
        <v>68</v>
      </c>
      <c r="L1103" t="s">
        <v>69</v>
      </c>
      <c r="M1103" s="62" t="s">
        <v>2558</v>
      </c>
      <c r="N1103" t="s">
        <v>71</v>
      </c>
      <c r="O1103" t="str">
        <f>IFERROR(IF(Tbla_actores[[#This Row],[codigo_proyecto]]="","",_xlfn.XLOOKUP(Tbla_actores[[#This Row],[codigo_proyecto]],Proyectos!$A:$A,Proyectos!$C:$C)),"")</f>
        <v>NULOS</v>
      </c>
    </row>
    <row r="1104" spans="1:15">
      <c r="A1104" s="9">
        <v>1004910794</v>
      </c>
      <c r="B1104" s="63" t="s">
        <v>61</v>
      </c>
      <c r="C1104" s="62" t="s">
        <v>3329</v>
      </c>
      <c r="D1104" t="s">
        <v>63</v>
      </c>
      <c r="E1104" t="s">
        <v>3373</v>
      </c>
      <c r="F1104" s="61">
        <v>37043</v>
      </c>
      <c r="G1104" s="15" t="s">
        <v>73</v>
      </c>
      <c r="H1104" t="s">
        <v>3374</v>
      </c>
      <c r="I1104" s="62" t="s">
        <v>3375</v>
      </c>
      <c r="K1104" s="36" t="s">
        <v>68</v>
      </c>
      <c r="L1104" t="s">
        <v>69</v>
      </c>
      <c r="M1104" s="62" t="s">
        <v>70</v>
      </c>
      <c r="N1104" t="s">
        <v>71</v>
      </c>
      <c r="O1104" t="str">
        <f>IFERROR(IF(Tbla_actores[[#This Row],[codigo_proyecto]]="","",_xlfn.XLOOKUP(Tbla_actores[[#This Row],[codigo_proyecto]],Proyectos!$A:$A,Proyectos!$C:$C)),"")</f>
        <v>NULOS</v>
      </c>
    </row>
    <row r="1105" spans="1:15">
      <c r="A1105" s="10">
        <v>1016086751</v>
      </c>
      <c r="B1105" s="64" t="s">
        <v>61</v>
      </c>
      <c r="C1105" s="62" t="s">
        <v>3329</v>
      </c>
      <c r="D1105" t="s">
        <v>63</v>
      </c>
      <c r="E1105" t="s">
        <v>3376</v>
      </c>
      <c r="F1105" s="61">
        <v>35243</v>
      </c>
      <c r="G1105" s="15" t="s">
        <v>65</v>
      </c>
      <c r="H1105" t="s">
        <v>3377</v>
      </c>
      <c r="I1105" s="62" t="s">
        <v>3378</v>
      </c>
      <c r="K1105" s="36" t="s">
        <v>68</v>
      </c>
      <c r="L1105" t="s">
        <v>69</v>
      </c>
      <c r="M1105" s="62" t="s">
        <v>70</v>
      </c>
      <c r="N1105" t="s">
        <v>71</v>
      </c>
      <c r="O1105" t="str">
        <f>IFERROR(IF(Tbla_actores[[#This Row],[codigo_proyecto]]="","",_xlfn.XLOOKUP(Tbla_actores[[#This Row],[codigo_proyecto]],Proyectos!$A:$A,Proyectos!$C:$C)),"")</f>
        <v>NULOS</v>
      </c>
    </row>
    <row r="1106" spans="1:15">
      <c r="A1106" s="9">
        <v>1098721983</v>
      </c>
      <c r="B1106" s="63" t="s">
        <v>61</v>
      </c>
      <c r="C1106" s="62" t="s">
        <v>3329</v>
      </c>
      <c r="D1106" t="s">
        <v>63</v>
      </c>
      <c r="E1106" t="s">
        <v>3379</v>
      </c>
      <c r="F1106" s="61">
        <v>33742</v>
      </c>
      <c r="G1106" s="15" t="s">
        <v>73</v>
      </c>
      <c r="H1106" t="s">
        <v>3380</v>
      </c>
      <c r="I1106" s="62" t="s">
        <v>3381</v>
      </c>
      <c r="K1106" s="36" t="s">
        <v>68</v>
      </c>
      <c r="L1106" t="s">
        <v>69</v>
      </c>
      <c r="M1106" s="62" t="s">
        <v>70</v>
      </c>
      <c r="N1106" t="s">
        <v>71</v>
      </c>
      <c r="O1106" t="str">
        <f>IFERROR(IF(Tbla_actores[[#This Row],[codigo_proyecto]]="","",_xlfn.XLOOKUP(Tbla_actores[[#This Row],[codigo_proyecto]],Proyectos!$A:$A,Proyectos!$C:$C)),"")</f>
        <v>NULOS</v>
      </c>
    </row>
    <row r="1107" spans="1:15">
      <c r="A1107" s="10">
        <v>1032500407</v>
      </c>
      <c r="B1107" s="64" t="s">
        <v>61</v>
      </c>
      <c r="C1107" s="62" t="s">
        <v>3329</v>
      </c>
      <c r="D1107" t="s">
        <v>63</v>
      </c>
      <c r="E1107" t="s">
        <v>3382</v>
      </c>
      <c r="F1107" s="61">
        <v>36055</v>
      </c>
      <c r="G1107" s="15" t="s">
        <v>73</v>
      </c>
      <c r="H1107" t="s">
        <v>3383</v>
      </c>
      <c r="I1107" s="62" t="s">
        <v>3384</v>
      </c>
      <c r="K1107" s="36" t="s">
        <v>68</v>
      </c>
      <c r="L1107" t="s">
        <v>69</v>
      </c>
      <c r="M1107" s="62" t="s">
        <v>70</v>
      </c>
      <c r="N1107" t="s">
        <v>71</v>
      </c>
      <c r="O1107" t="str">
        <f>IFERROR(IF(Tbla_actores[[#This Row],[codigo_proyecto]]="","",_xlfn.XLOOKUP(Tbla_actores[[#This Row],[codigo_proyecto]],Proyectos!$A:$A,Proyectos!$C:$C)),"")</f>
        <v>NULOS</v>
      </c>
    </row>
    <row r="1108" spans="1:15">
      <c r="A1108" s="9">
        <v>1032507770</v>
      </c>
      <c r="B1108" s="63" t="s">
        <v>61</v>
      </c>
      <c r="C1108" s="62" t="s">
        <v>3329</v>
      </c>
      <c r="D1108" t="s">
        <v>63</v>
      </c>
      <c r="E1108" t="s">
        <v>3385</v>
      </c>
      <c r="F1108" s="61">
        <v>36456</v>
      </c>
      <c r="G1108" s="15" t="s">
        <v>73</v>
      </c>
      <c r="H1108" t="s">
        <v>3386</v>
      </c>
      <c r="I1108" s="62" t="s">
        <v>3387</v>
      </c>
      <c r="K1108" s="36" t="s">
        <v>68</v>
      </c>
      <c r="L1108" t="s">
        <v>69</v>
      </c>
      <c r="M1108" s="62" t="s">
        <v>70</v>
      </c>
      <c r="N1108" t="s">
        <v>71</v>
      </c>
      <c r="O1108" t="str">
        <f>IFERROR(IF(Tbla_actores[[#This Row],[codigo_proyecto]]="","",_xlfn.XLOOKUP(Tbla_actores[[#This Row],[codigo_proyecto]],Proyectos!$A:$A,Proyectos!$C:$C)),"")</f>
        <v>NULOS</v>
      </c>
    </row>
    <row r="1109" spans="1:15">
      <c r="A1109" s="10">
        <v>1000987714</v>
      </c>
      <c r="B1109" s="64" t="s">
        <v>61</v>
      </c>
      <c r="C1109" s="62" t="s">
        <v>3329</v>
      </c>
      <c r="D1109" t="s">
        <v>63</v>
      </c>
      <c r="E1109" t="s">
        <v>3388</v>
      </c>
      <c r="F1109" s="61">
        <v>37123</v>
      </c>
      <c r="G1109" s="15" t="s">
        <v>73</v>
      </c>
      <c r="H1109" t="s">
        <v>3389</v>
      </c>
      <c r="I1109" s="62" t="s">
        <v>3390</v>
      </c>
      <c r="K1109" s="36" t="s">
        <v>68</v>
      </c>
      <c r="L1109" t="s">
        <v>69</v>
      </c>
      <c r="M1109" s="62" t="s">
        <v>70</v>
      </c>
      <c r="N1109" t="s">
        <v>71</v>
      </c>
      <c r="O1109" t="str">
        <f>IFERROR(IF(Tbla_actores[[#This Row],[codigo_proyecto]]="","",_xlfn.XLOOKUP(Tbla_actores[[#This Row],[codigo_proyecto]],Proyectos!$A:$A,Proyectos!$C:$C)),"")</f>
        <v>NULOS</v>
      </c>
    </row>
    <row r="1110" spans="1:15">
      <c r="A1110" s="9">
        <v>1192817456</v>
      </c>
      <c r="B1110" s="63" t="s">
        <v>61</v>
      </c>
      <c r="C1110" s="62" t="s">
        <v>3329</v>
      </c>
      <c r="D1110" t="s">
        <v>63</v>
      </c>
      <c r="E1110" t="s">
        <v>3391</v>
      </c>
      <c r="F1110" s="61">
        <v>36871</v>
      </c>
      <c r="G1110" s="15" t="s">
        <v>73</v>
      </c>
      <c r="H1110" t="s">
        <v>3392</v>
      </c>
      <c r="I1110" s="62" t="s">
        <v>3393</v>
      </c>
      <c r="K1110" s="36" t="s">
        <v>68</v>
      </c>
      <c r="L1110" t="s">
        <v>69</v>
      </c>
      <c r="M1110" s="62" t="s">
        <v>70</v>
      </c>
      <c r="N1110" t="s">
        <v>71</v>
      </c>
      <c r="O1110" t="str">
        <f>IFERROR(IF(Tbla_actores[[#This Row],[codigo_proyecto]]="","",_xlfn.XLOOKUP(Tbla_actores[[#This Row],[codigo_proyecto]],Proyectos!$A:$A,Proyectos!$C:$C)),"")</f>
        <v>NULOS</v>
      </c>
    </row>
    <row r="1111" spans="1:15">
      <c r="A1111" s="10">
        <v>1003801668</v>
      </c>
      <c r="B1111" s="64" t="s">
        <v>61</v>
      </c>
      <c r="C1111" s="62" t="s">
        <v>3329</v>
      </c>
      <c r="D1111" t="s">
        <v>63</v>
      </c>
      <c r="E1111" t="s">
        <v>3394</v>
      </c>
      <c r="F1111" s="61">
        <v>36744</v>
      </c>
      <c r="G1111" s="15" t="s">
        <v>73</v>
      </c>
      <c r="H1111" t="s">
        <v>3395</v>
      </c>
      <c r="I1111" s="62" t="s">
        <v>3396</v>
      </c>
      <c r="K1111" s="36" t="s">
        <v>68</v>
      </c>
      <c r="L1111" t="s">
        <v>69</v>
      </c>
      <c r="M1111" s="62" t="s">
        <v>70</v>
      </c>
      <c r="N1111" t="s">
        <v>71</v>
      </c>
      <c r="O1111" t="str">
        <f>IFERROR(IF(Tbla_actores[[#This Row],[codigo_proyecto]]="","",_xlfn.XLOOKUP(Tbla_actores[[#This Row],[codigo_proyecto]],Proyectos!$A:$A,Proyectos!$C:$C)),"")</f>
        <v>NULOS</v>
      </c>
    </row>
    <row r="1112" spans="1:15">
      <c r="A1112" s="9">
        <v>1007681906</v>
      </c>
      <c r="B1112" s="63" t="s">
        <v>61</v>
      </c>
      <c r="C1112" s="62" t="s">
        <v>3329</v>
      </c>
      <c r="D1112" t="s">
        <v>63</v>
      </c>
      <c r="E1112" t="s">
        <v>3397</v>
      </c>
      <c r="F1112" s="61">
        <v>36729</v>
      </c>
      <c r="G1112" s="15" t="s">
        <v>73</v>
      </c>
      <c r="H1112" t="s">
        <v>3398</v>
      </c>
      <c r="I1112" s="62" t="s">
        <v>3399</v>
      </c>
      <c r="K1112" s="36" t="s">
        <v>68</v>
      </c>
      <c r="L1112" t="s">
        <v>69</v>
      </c>
      <c r="M1112" s="62" t="s">
        <v>70</v>
      </c>
      <c r="N1112" t="s">
        <v>71</v>
      </c>
      <c r="O1112" t="str">
        <f>IFERROR(IF(Tbla_actores[[#This Row],[codigo_proyecto]]="","",_xlfn.XLOOKUP(Tbla_actores[[#This Row],[codigo_proyecto]],Proyectos!$A:$A,Proyectos!$C:$C)),"")</f>
        <v>NULOS</v>
      </c>
    </row>
    <row r="1113" spans="1:15">
      <c r="A1113" s="10">
        <v>1018513976</v>
      </c>
      <c r="B1113" s="64" t="s">
        <v>61</v>
      </c>
      <c r="C1113" s="62" t="s">
        <v>3329</v>
      </c>
      <c r="D1113" t="s">
        <v>63</v>
      </c>
      <c r="E1113" t="s">
        <v>3400</v>
      </c>
      <c r="F1113" s="61">
        <v>36440</v>
      </c>
      <c r="G1113" s="15" t="s">
        <v>73</v>
      </c>
      <c r="H1113" t="s">
        <v>3401</v>
      </c>
      <c r="I1113" s="62" t="s">
        <v>3402</v>
      </c>
      <c r="K1113" s="36" t="s">
        <v>68</v>
      </c>
      <c r="L1113" t="s">
        <v>69</v>
      </c>
      <c r="M1113" s="62" t="s">
        <v>70</v>
      </c>
      <c r="N1113" t="s">
        <v>71</v>
      </c>
      <c r="O1113" t="str">
        <f>IFERROR(IF(Tbla_actores[[#This Row],[codigo_proyecto]]="","",_xlfn.XLOOKUP(Tbla_actores[[#This Row],[codigo_proyecto]],Proyectos!$A:$A,Proyectos!$C:$C)),"")</f>
        <v>NULOS</v>
      </c>
    </row>
    <row r="1114" spans="1:15">
      <c r="A1114" s="9">
        <v>1071171996</v>
      </c>
      <c r="B1114" s="63" t="s">
        <v>61</v>
      </c>
      <c r="C1114" s="62" t="s">
        <v>3329</v>
      </c>
      <c r="D1114" t="s">
        <v>63</v>
      </c>
      <c r="E1114" t="s">
        <v>3403</v>
      </c>
      <c r="F1114" s="61">
        <v>36388</v>
      </c>
      <c r="G1114" s="15" t="s">
        <v>73</v>
      </c>
      <c r="H1114" t="s">
        <v>3404</v>
      </c>
      <c r="I1114" s="62" t="s">
        <v>3405</v>
      </c>
      <c r="K1114" s="36" t="s">
        <v>68</v>
      </c>
      <c r="L1114" t="s">
        <v>69</v>
      </c>
      <c r="M1114" s="62" t="s">
        <v>70</v>
      </c>
      <c r="N1114" t="s">
        <v>71</v>
      </c>
      <c r="O1114" t="str">
        <f>IFERROR(IF(Tbla_actores[[#This Row],[codigo_proyecto]]="","",_xlfn.XLOOKUP(Tbla_actores[[#This Row],[codigo_proyecto]],Proyectos!$A:$A,Proyectos!$C:$C)),"")</f>
        <v>NULOS</v>
      </c>
    </row>
    <row r="1115" spans="1:15">
      <c r="A1115" s="10">
        <v>1010043682</v>
      </c>
      <c r="B1115" s="64" t="s">
        <v>61</v>
      </c>
      <c r="C1115" s="62" t="s">
        <v>3329</v>
      </c>
      <c r="D1115" t="s">
        <v>63</v>
      </c>
      <c r="E1115" t="s">
        <v>3406</v>
      </c>
      <c r="F1115" s="61">
        <v>36730</v>
      </c>
      <c r="G1115" s="15" t="s">
        <v>73</v>
      </c>
      <c r="H1115" t="s">
        <v>3407</v>
      </c>
      <c r="I1115" s="62" t="s">
        <v>3408</v>
      </c>
      <c r="K1115" s="36" t="s">
        <v>68</v>
      </c>
      <c r="L1115" t="s">
        <v>69</v>
      </c>
      <c r="M1115" s="62" t="s">
        <v>70</v>
      </c>
      <c r="N1115" t="s">
        <v>71</v>
      </c>
      <c r="O1115" t="str">
        <f>IFERROR(IF(Tbla_actores[[#This Row],[codigo_proyecto]]="","",_xlfn.XLOOKUP(Tbla_actores[[#This Row],[codigo_proyecto]],Proyectos!$A:$A,Proyectos!$C:$C)),"")</f>
        <v>NULOS</v>
      </c>
    </row>
    <row r="1116" spans="1:15">
      <c r="A1116" s="9">
        <v>1220472049</v>
      </c>
      <c r="B1116" s="63" t="s">
        <v>61</v>
      </c>
      <c r="C1116" s="62" t="s">
        <v>3329</v>
      </c>
      <c r="D1116" t="s">
        <v>63</v>
      </c>
      <c r="E1116" t="s">
        <v>3409</v>
      </c>
      <c r="F1116" s="61">
        <v>35140</v>
      </c>
      <c r="G1116" s="15" t="s">
        <v>73</v>
      </c>
      <c r="H1116" t="s">
        <v>3410</v>
      </c>
      <c r="I1116" s="62" t="s">
        <v>3411</v>
      </c>
      <c r="K1116" s="36" t="s">
        <v>68</v>
      </c>
      <c r="L1116" t="s">
        <v>69</v>
      </c>
      <c r="M1116" s="62" t="s">
        <v>70</v>
      </c>
      <c r="N1116" t="s">
        <v>71</v>
      </c>
      <c r="O1116" t="str">
        <f>IFERROR(IF(Tbla_actores[[#This Row],[codigo_proyecto]]="","",_xlfn.XLOOKUP(Tbla_actores[[#This Row],[codigo_proyecto]],Proyectos!$A:$A,Proyectos!$C:$C)),"")</f>
        <v>NULOS</v>
      </c>
    </row>
    <row r="1117" spans="1:15">
      <c r="A1117" s="10">
        <v>1001309582</v>
      </c>
      <c r="B1117" s="64" t="s">
        <v>61</v>
      </c>
      <c r="C1117" s="62" t="s">
        <v>3329</v>
      </c>
      <c r="D1117" t="s">
        <v>63</v>
      </c>
      <c r="E1117" t="s">
        <v>3412</v>
      </c>
      <c r="F1117" s="61">
        <v>36775</v>
      </c>
      <c r="G1117" s="15" t="s">
        <v>73</v>
      </c>
      <c r="H1117" t="s">
        <v>3413</v>
      </c>
      <c r="I1117" s="62" t="s">
        <v>3414</v>
      </c>
      <c r="K1117" s="36" t="s">
        <v>68</v>
      </c>
      <c r="L1117" t="s">
        <v>69</v>
      </c>
      <c r="M1117" s="62" t="s">
        <v>70</v>
      </c>
      <c r="N1117" t="s">
        <v>71</v>
      </c>
      <c r="O1117" t="str">
        <f>IFERROR(IF(Tbla_actores[[#This Row],[codigo_proyecto]]="","",_xlfn.XLOOKUP(Tbla_actores[[#This Row],[codigo_proyecto]],Proyectos!$A:$A,Proyectos!$C:$C)),"")</f>
        <v>NULOS</v>
      </c>
    </row>
    <row r="1118" spans="1:15">
      <c r="A1118" s="9">
        <v>1007196594</v>
      </c>
      <c r="B1118" s="63" t="s">
        <v>61</v>
      </c>
      <c r="C1118" s="62" t="s">
        <v>3329</v>
      </c>
      <c r="D1118" t="s">
        <v>63</v>
      </c>
      <c r="E1118" t="s">
        <v>3415</v>
      </c>
      <c r="F1118" s="61">
        <v>36879</v>
      </c>
      <c r="G1118" s="15" t="s">
        <v>73</v>
      </c>
      <c r="H1118" t="s">
        <v>3416</v>
      </c>
      <c r="I1118" s="62" t="s">
        <v>3417</v>
      </c>
      <c r="K1118" s="36" t="s">
        <v>68</v>
      </c>
      <c r="L1118" t="s">
        <v>69</v>
      </c>
      <c r="M1118" s="62" t="s">
        <v>70</v>
      </c>
      <c r="N1118" t="s">
        <v>71</v>
      </c>
      <c r="O1118" t="str">
        <f>IFERROR(IF(Tbla_actores[[#This Row],[codigo_proyecto]]="","",_xlfn.XLOOKUP(Tbla_actores[[#This Row],[codigo_proyecto]],Proyectos!$A:$A,Proyectos!$C:$C)),"")</f>
        <v>NULOS</v>
      </c>
    </row>
    <row r="1119" spans="1:15">
      <c r="A1119" s="10">
        <v>1001089950</v>
      </c>
      <c r="B1119" s="64" t="s">
        <v>61</v>
      </c>
      <c r="C1119" s="62" t="s">
        <v>3329</v>
      </c>
      <c r="D1119" t="s">
        <v>63</v>
      </c>
      <c r="E1119" t="s">
        <v>3418</v>
      </c>
      <c r="F1119" s="61">
        <v>36535</v>
      </c>
      <c r="G1119" s="15" t="s">
        <v>65</v>
      </c>
      <c r="H1119" t="s">
        <v>3419</v>
      </c>
      <c r="I1119" s="62" t="s">
        <v>3420</v>
      </c>
      <c r="K1119" s="36" t="s">
        <v>68</v>
      </c>
      <c r="L1119" t="s">
        <v>69</v>
      </c>
      <c r="M1119" s="62" t="s">
        <v>70</v>
      </c>
      <c r="N1119" t="s">
        <v>71</v>
      </c>
      <c r="O1119" t="str">
        <f>IFERROR(IF(Tbla_actores[[#This Row],[codigo_proyecto]]="","",_xlfn.XLOOKUP(Tbla_actores[[#This Row],[codigo_proyecto]],Proyectos!$A:$A,Proyectos!$C:$C)),"")</f>
        <v>NULOS</v>
      </c>
    </row>
    <row r="1120" spans="1:15">
      <c r="A1120" s="9">
        <v>1090533734</v>
      </c>
      <c r="B1120" s="63" t="s">
        <v>61</v>
      </c>
      <c r="C1120" s="62" t="s">
        <v>3329</v>
      </c>
      <c r="D1120" t="s">
        <v>63</v>
      </c>
      <c r="E1120" t="s">
        <v>3421</v>
      </c>
      <c r="F1120" s="61">
        <v>36504</v>
      </c>
      <c r="G1120" s="15" t="s">
        <v>73</v>
      </c>
      <c r="H1120" t="s">
        <v>3422</v>
      </c>
      <c r="I1120" s="62" t="s">
        <v>3423</v>
      </c>
      <c r="K1120" s="36" t="s">
        <v>68</v>
      </c>
      <c r="L1120" t="s">
        <v>69</v>
      </c>
      <c r="M1120" s="62" t="s">
        <v>70</v>
      </c>
      <c r="N1120" t="s">
        <v>71</v>
      </c>
      <c r="O1120" t="str">
        <f>IFERROR(IF(Tbla_actores[[#This Row],[codigo_proyecto]]="","",_xlfn.XLOOKUP(Tbla_actores[[#This Row],[codigo_proyecto]],Proyectos!$A:$A,Proyectos!$C:$C)),"")</f>
        <v>NULOS</v>
      </c>
    </row>
    <row r="1121" spans="1:15">
      <c r="A1121" s="10">
        <v>1020839430</v>
      </c>
      <c r="B1121" s="64" t="s">
        <v>61</v>
      </c>
      <c r="C1121" s="62" t="s">
        <v>3329</v>
      </c>
      <c r="D1121" t="s">
        <v>63</v>
      </c>
      <c r="E1121" t="s">
        <v>3424</v>
      </c>
      <c r="F1121" s="61">
        <v>36218</v>
      </c>
      <c r="G1121" s="15" t="s">
        <v>73</v>
      </c>
      <c r="H1121" t="s">
        <v>3425</v>
      </c>
      <c r="I1121" s="62" t="s">
        <v>3426</v>
      </c>
      <c r="K1121" s="36" t="s">
        <v>68</v>
      </c>
      <c r="L1121" t="s">
        <v>69</v>
      </c>
      <c r="M1121" s="62" t="s">
        <v>70</v>
      </c>
      <c r="N1121" t="s">
        <v>71</v>
      </c>
      <c r="O1121" t="str">
        <f>IFERROR(IF(Tbla_actores[[#This Row],[codigo_proyecto]]="","",_xlfn.XLOOKUP(Tbla_actores[[#This Row],[codigo_proyecto]],Proyectos!$A:$A,Proyectos!$C:$C)),"")</f>
        <v>NULOS</v>
      </c>
    </row>
    <row r="1122" spans="1:15">
      <c r="A1122" s="9">
        <v>1152223486</v>
      </c>
      <c r="B1122" s="63" t="s">
        <v>61</v>
      </c>
      <c r="C1122" s="62" t="s">
        <v>3329</v>
      </c>
      <c r="D1122" t="s">
        <v>63</v>
      </c>
      <c r="E1122" t="s">
        <v>3427</v>
      </c>
      <c r="F1122" s="61">
        <v>36155</v>
      </c>
      <c r="G1122" s="15" t="s">
        <v>73</v>
      </c>
      <c r="H1122" t="s">
        <v>3428</v>
      </c>
      <c r="I1122" s="62" t="s">
        <v>3429</v>
      </c>
      <c r="K1122" s="36" t="s">
        <v>68</v>
      </c>
      <c r="L1122" t="s">
        <v>69</v>
      </c>
      <c r="M1122" s="62" t="s">
        <v>70</v>
      </c>
      <c r="N1122" t="s">
        <v>71</v>
      </c>
      <c r="O1122" t="str">
        <f>IFERROR(IF(Tbla_actores[[#This Row],[codigo_proyecto]]="","",_xlfn.XLOOKUP(Tbla_actores[[#This Row],[codigo_proyecto]],Proyectos!$A:$A,Proyectos!$C:$C)),"")</f>
        <v>NULOS</v>
      </c>
    </row>
    <row r="1123" spans="1:15">
      <c r="A1123" s="10">
        <v>1010089472</v>
      </c>
      <c r="B1123" s="64" t="s">
        <v>61</v>
      </c>
      <c r="C1123" s="62" t="s">
        <v>3329</v>
      </c>
      <c r="D1123" t="s">
        <v>63</v>
      </c>
      <c r="E1123" t="s">
        <v>3430</v>
      </c>
      <c r="F1123" s="61">
        <v>36558</v>
      </c>
      <c r="G1123" s="15" t="s">
        <v>73</v>
      </c>
      <c r="H1123" t="s">
        <v>3431</v>
      </c>
      <c r="I1123" s="62" t="s">
        <v>3432</v>
      </c>
      <c r="K1123" s="36" t="s">
        <v>68</v>
      </c>
      <c r="L1123" t="s">
        <v>69</v>
      </c>
      <c r="M1123" s="62" t="s">
        <v>70</v>
      </c>
      <c r="N1123" t="s">
        <v>71</v>
      </c>
      <c r="O1123" t="str">
        <f>IFERROR(IF(Tbla_actores[[#This Row],[codigo_proyecto]]="","",_xlfn.XLOOKUP(Tbla_actores[[#This Row],[codigo_proyecto]],Proyectos!$A:$A,Proyectos!$C:$C)),"")</f>
        <v>NULOS</v>
      </c>
    </row>
    <row r="1124" spans="1:15">
      <c r="A1124" s="9">
        <v>1193459613</v>
      </c>
      <c r="B1124" s="63" t="s">
        <v>61</v>
      </c>
      <c r="C1124" s="62" t="s">
        <v>3329</v>
      </c>
      <c r="D1124" t="s">
        <v>63</v>
      </c>
      <c r="E1124" t="s">
        <v>3433</v>
      </c>
      <c r="F1124" s="61">
        <v>36673</v>
      </c>
      <c r="G1124" s="15" t="s">
        <v>65</v>
      </c>
      <c r="H1124" t="s">
        <v>3434</v>
      </c>
      <c r="I1124" s="62" t="s">
        <v>3435</v>
      </c>
      <c r="K1124" s="36" t="s">
        <v>68</v>
      </c>
      <c r="L1124" t="s">
        <v>69</v>
      </c>
      <c r="M1124" s="62" t="s">
        <v>70</v>
      </c>
      <c r="N1124" t="s">
        <v>71</v>
      </c>
      <c r="O1124" t="str">
        <f>IFERROR(IF(Tbla_actores[[#This Row],[codigo_proyecto]]="","",_xlfn.XLOOKUP(Tbla_actores[[#This Row],[codigo_proyecto]],Proyectos!$A:$A,Proyectos!$C:$C)),"")</f>
        <v>NULOS</v>
      </c>
    </row>
    <row r="1125" spans="1:15">
      <c r="A1125" s="10">
        <v>1002461208</v>
      </c>
      <c r="B1125" s="64" t="s">
        <v>61</v>
      </c>
      <c r="C1125" s="62" t="s">
        <v>3329</v>
      </c>
      <c r="D1125" t="s">
        <v>63</v>
      </c>
      <c r="E1125" t="s">
        <v>3436</v>
      </c>
      <c r="F1125" s="61">
        <v>36608</v>
      </c>
      <c r="G1125" s="15" t="s">
        <v>73</v>
      </c>
      <c r="H1125" t="s">
        <v>3437</v>
      </c>
      <c r="I1125" s="62" t="s">
        <v>3438</v>
      </c>
      <c r="K1125" s="36" t="s">
        <v>68</v>
      </c>
      <c r="L1125" t="s">
        <v>69</v>
      </c>
      <c r="M1125" s="62" t="s">
        <v>70</v>
      </c>
      <c r="N1125" t="s">
        <v>71</v>
      </c>
      <c r="O1125" t="str">
        <f>IFERROR(IF(Tbla_actores[[#This Row],[codigo_proyecto]]="","",_xlfn.XLOOKUP(Tbla_actores[[#This Row],[codigo_proyecto]],Proyectos!$A:$A,Proyectos!$C:$C)),"")</f>
        <v>NULOS</v>
      </c>
    </row>
    <row r="1126" spans="1:15">
      <c r="A1126" s="9">
        <v>1016099405</v>
      </c>
      <c r="B1126" s="63" t="s">
        <v>61</v>
      </c>
      <c r="C1126" s="62" t="s">
        <v>3329</v>
      </c>
      <c r="D1126" t="s">
        <v>63</v>
      </c>
      <c r="E1126" t="s">
        <v>3439</v>
      </c>
      <c r="F1126" s="61">
        <v>35806</v>
      </c>
      <c r="G1126" s="15" t="s">
        <v>73</v>
      </c>
      <c r="H1126" t="s">
        <v>3440</v>
      </c>
      <c r="I1126" s="62" t="s">
        <v>3441</v>
      </c>
      <c r="K1126" s="36" t="s">
        <v>68</v>
      </c>
      <c r="L1126" t="s">
        <v>69</v>
      </c>
      <c r="M1126" s="62" t="s">
        <v>70</v>
      </c>
      <c r="N1126" t="s">
        <v>71</v>
      </c>
      <c r="O1126" t="str">
        <f>IFERROR(IF(Tbla_actores[[#This Row],[codigo_proyecto]]="","",_xlfn.XLOOKUP(Tbla_actores[[#This Row],[codigo_proyecto]],Proyectos!$A:$A,Proyectos!$C:$C)),"")</f>
        <v>NULOS</v>
      </c>
    </row>
    <row r="1127" spans="1:15">
      <c r="A1127" s="10">
        <v>1000251685</v>
      </c>
      <c r="B1127" s="64" t="s">
        <v>61</v>
      </c>
      <c r="C1127" s="62" t="s">
        <v>3329</v>
      </c>
      <c r="D1127" t="s">
        <v>63</v>
      </c>
      <c r="E1127" t="s">
        <v>3442</v>
      </c>
      <c r="F1127" s="61">
        <v>36546</v>
      </c>
      <c r="G1127" s="15" t="s">
        <v>73</v>
      </c>
      <c r="H1127" t="s">
        <v>3443</v>
      </c>
      <c r="I1127" s="62" t="s">
        <v>3444</v>
      </c>
      <c r="K1127" s="36" t="s">
        <v>68</v>
      </c>
      <c r="L1127" t="s">
        <v>69</v>
      </c>
      <c r="M1127" s="62" t="s">
        <v>70</v>
      </c>
      <c r="N1127" t="s">
        <v>71</v>
      </c>
      <c r="O1127" t="str">
        <f>IFERROR(IF(Tbla_actores[[#This Row],[codigo_proyecto]]="","",_xlfn.XLOOKUP(Tbla_actores[[#This Row],[codigo_proyecto]],Proyectos!$A:$A,Proyectos!$C:$C)),"")</f>
        <v>NULOS</v>
      </c>
    </row>
    <row r="1128" spans="1:15">
      <c r="A1128" s="9">
        <v>1018504328</v>
      </c>
      <c r="B1128" s="63" t="s">
        <v>61</v>
      </c>
      <c r="C1128" s="62" t="s">
        <v>3329</v>
      </c>
      <c r="D1128" t="s">
        <v>63</v>
      </c>
      <c r="E1128" t="s">
        <v>3445</v>
      </c>
      <c r="F1128" s="61">
        <v>35986</v>
      </c>
      <c r="G1128" s="15" t="s">
        <v>73</v>
      </c>
      <c r="H1128" t="s">
        <v>3446</v>
      </c>
      <c r="I1128" s="62" t="s">
        <v>3447</v>
      </c>
      <c r="K1128" s="36" t="s">
        <v>68</v>
      </c>
      <c r="L1128" t="s">
        <v>69</v>
      </c>
      <c r="M1128" s="62" t="s">
        <v>70</v>
      </c>
      <c r="N1128" t="s">
        <v>71</v>
      </c>
      <c r="O1128" t="str">
        <f>IFERROR(IF(Tbla_actores[[#This Row],[codigo_proyecto]]="","",_xlfn.XLOOKUP(Tbla_actores[[#This Row],[codigo_proyecto]],Proyectos!$A:$A,Proyectos!$C:$C)),"")</f>
        <v>NULOS</v>
      </c>
    </row>
    <row r="1129" spans="1:15">
      <c r="A1129" s="10">
        <v>1032508256</v>
      </c>
      <c r="B1129" s="64" t="s">
        <v>61</v>
      </c>
      <c r="C1129" s="62" t="s">
        <v>3329</v>
      </c>
      <c r="D1129" t="s">
        <v>63</v>
      </c>
      <c r="E1129" t="s">
        <v>3448</v>
      </c>
      <c r="F1129" s="61">
        <v>36476</v>
      </c>
      <c r="G1129" s="15" t="s">
        <v>73</v>
      </c>
      <c r="H1129" t="s">
        <v>3449</v>
      </c>
      <c r="I1129" s="62" t="s">
        <v>3450</v>
      </c>
      <c r="K1129" s="36" t="s">
        <v>68</v>
      </c>
      <c r="L1129" t="s">
        <v>69</v>
      </c>
      <c r="M1129" s="62" t="s">
        <v>70</v>
      </c>
      <c r="N1129" t="s">
        <v>71</v>
      </c>
      <c r="O1129" t="str">
        <f>IFERROR(IF(Tbla_actores[[#This Row],[codigo_proyecto]]="","",_xlfn.XLOOKUP(Tbla_actores[[#This Row],[codigo_proyecto]],Proyectos!$A:$A,Proyectos!$C:$C)),"")</f>
        <v>NULOS</v>
      </c>
    </row>
    <row r="1130" spans="1:15">
      <c r="A1130" s="9">
        <v>1000179761</v>
      </c>
      <c r="B1130" s="63" t="s">
        <v>61</v>
      </c>
      <c r="C1130" s="62" t="s">
        <v>3329</v>
      </c>
      <c r="D1130" t="s">
        <v>63</v>
      </c>
      <c r="E1130" t="s">
        <v>3451</v>
      </c>
      <c r="F1130" s="61">
        <v>36866</v>
      </c>
      <c r="G1130" s="15" t="s">
        <v>73</v>
      </c>
      <c r="H1130" t="s">
        <v>3452</v>
      </c>
      <c r="I1130" s="62" t="s">
        <v>3453</v>
      </c>
      <c r="K1130" s="36" t="s">
        <v>68</v>
      </c>
      <c r="L1130" t="s">
        <v>69</v>
      </c>
      <c r="M1130" s="62" t="s">
        <v>70</v>
      </c>
      <c r="N1130" t="s">
        <v>71</v>
      </c>
      <c r="O1130" t="str">
        <f>IFERROR(IF(Tbla_actores[[#This Row],[codigo_proyecto]]="","",_xlfn.XLOOKUP(Tbla_actores[[#This Row],[codigo_proyecto]],Proyectos!$A:$A,Proyectos!$C:$C)),"")</f>
        <v>NULOS</v>
      </c>
    </row>
    <row r="1131" spans="1:15">
      <c r="A1131" s="10">
        <v>1001342462</v>
      </c>
      <c r="B1131" s="64" t="s">
        <v>61</v>
      </c>
      <c r="C1131" s="62" t="s">
        <v>3329</v>
      </c>
      <c r="D1131" t="s">
        <v>63</v>
      </c>
      <c r="E1131" t="s">
        <v>3454</v>
      </c>
      <c r="F1131" s="61">
        <v>36693</v>
      </c>
      <c r="G1131" s="15" t="s">
        <v>73</v>
      </c>
      <c r="H1131" t="s">
        <v>3455</v>
      </c>
      <c r="I1131" s="62" t="s">
        <v>3456</v>
      </c>
      <c r="K1131" s="36" t="s">
        <v>68</v>
      </c>
      <c r="L1131" t="s">
        <v>69</v>
      </c>
      <c r="M1131" s="62" t="s">
        <v>70</v>
      </c>
      <c r="N1131" t="s">
        <v>71</v>
      </c>
      <c r="O1131" t="str">
        <f>IFERROR(IF(Tbla_actores[[#This Row],[codigo_proyecto]]="","",_xlfn.XLOOKUP(Tbla_actores[[#This Row],[codigo_proyecto]],Proyectos!$A:$A,Proyectos!$C:$C)),"")</f>
        <v>NULOS</v>
      </c>
    </row>
    <row r="1132" spans="1:15">
      <c r="A1132" s="9">
        <v>1004133795</v>
      </c>
      <c r="B1132" s="63" t="s">
        <v>61</v>
      </c>
      <c r="C1132" s="62" t="s">
        <v>3329</v>
      </c>
      <c r="D1132" t="s">
        <v>63</v>
      </c>
      <c r="E1132" t="s">
        <v>3457</v>
      </c>
      <c r="F1132" s="61">
        <v>36700</v>
      </c>
      <c r="G1132" s="15" t="s">
        <v>73</v>
      </c>
      <c r="H1132" t="s">
        <v>3458</v>
      </c>
      <c r="I1132" s="62" t="s">
        <v>3459</v>
      </c>
      <c r="K1132" s="36" t="s">
        <v>68</v>
      </c>
      <c r="L1132" t="s">
        <v>69</v>
      </c>
      <c r="M1132" s="62" t="s">
        <v>70</v>
      </c>
      <c r="N1132" t="s">
        <v>71</v>
      </c>
      <c r="O1132" t="str">
        <f>IFERROR(IF(Tbla_actores[[#This Row],[codigo_proyecto]]="","",_xlfn.XLOOKUP(Tbla_actores[[#This Row],[codigo_proyecto]],Proyectos!$A:$A,Proyectos!$C:$C)),"")</f>
        <v>NULOS</v>
      </c>
    </row>
    <row r="1133" spans="1:15">
      <c r="A1133" s="10">
        <v>1018507316</v>
      </c>
      <c r="B1133" s="64" t="s">
        <v>61</v>
      </c>
      <c r="C1133" s="62" t="s">
        <v>3329</v>
      </c>
      <c r="D1133" t="s">
        <v>63</v>
      </c>
      <c r="E1133" t="s">
        <v>3460</v>
      </c>
      <c r="F1133" s="61">
        <v>36123</v>
      </c>
      <c r="G1133" s="15" t="s">
        <v>73</v>
      </c>
      <c r="H1133" t="s">
        <v>3461</v>
      </c>
      <c r="I1133" s="62" t="s">
        <v>3462</v>
      </c>
      <c r="K1133" s="36" t="s">
        <v>68</v>
      </c>
      <c r="L1133" t="s">
        <v>69</v>
      </c>
      <c r="M1133" s="62" t="s">
        <v>70</v>
      </c>
      <c r="N1133" t="s">
        <v>71</v>
      </c>
      <c r="O1133" t="str">
        <f>IFERROR(IF(Tbla_actores[[#This Row],[codigo_proyecto]]="","",_xlfn.XLOOKUP(Tbla_actores[[#This Row],[codigo_proyecto]],Proyectos!$A:$A,Proyectos!$C:$C)),"")</f>
        <v>NULOS</v>
      </c>
    </row>
    <row r="1134" spans="1:15">
      <c r="A1134" s="9">
        <v>1026304116</v>
      </c>
      <c r="B1134" s="63" t="s">
        <v>61</v>
      </c>
      <c r="C1134" s="62" t="s">
        <v>3329</v>
      </c>
      <c r="D1134" t="s">
        <v>63</v>
      </c>
      <c r="E1134" t="s">
        <v>3463</v>
      </c>
      <c r="F1134" s="61">
        <v>36177</v>
      </c>
      <c r="G1134" s="15" t="s">
        <v>73</v>
      </c>
      <c r="H1134" t="s">
        <v>3464</v>
      </c>
      <c r="I1134" s="62" t="s">
        <v>3465</v>
      </c>
      <c r="K1134" s="36" t="s">
        <v>68</v>
      </c>
      <c r="L1134" t="s">
        <v>69</v>
      </c>
      <c r="M1134" s="62" t="s">
        <v>70</v>
      </c>
      <c r="N1134" t="s">
        <v>71</v>
      </c>
      <c r="O1134" t="str">
        <f>IFERROR(IF(Tbla_actores[[#This Row],[codigo_proyecto]]="","",_xlfn.XLOOKUP(Tbla_actores[[#This Row],[codigo_proyecto]],Proyectos!$A:$A,Proyectos!$C:$C)),"")</f>
        <v>NULOS</v>
      </c>
    </row>
    <row r="1135" spans="1:15">
      <c r="A1135" s="10">
        <v>1121958517</v>
      </c>
      <c r="B1135" s="64" t="s">
        <v>61</v>
      </c>
      <c r="C1135" s="62" t="s">
        <v>3329</v>
      </c>
      <c r="D1135" t="s">
        <v>63</v>
      </c>
      <c r="E1135" t="s">
        <v>3466</v>
      </c>
      <c r="F1135" s="61">
        <v>36100</v>
      </c>
      <c r="G1135" s="15" t="s">
        <v>73</v>
      </c>
      <c r="H1135" t="s">
        <v>3467</v>
      </c>
      <c r="I1135" s="62" t="s">
        <v>3468</v>
      </c>
      <c r="K1135" s="36" t="s">
        <v>68</v>
      </c>
      <c r="L1135" t="s">
        <v>69</v>
      </c>
      <c r="M1135" s="62" t="s">
        <v>70</v>
      </c>
      <c r="N1135" t="s">
        <v>71</v>
      </c>
      <c r="O1135" t="str">
        <f>IFERROR(IF(Tbla_actores[[#This Row],[codigo_proyecto]]="","",_xlfn.XLOOKUP(Tbla_actores[[#This Row],[codigo_proyecto]],Proyectos!$A:$A,Proyectos!$C:$C)),"")</f>
        <v>NULOS</v>
      </c>
    </row>
    <row r="1136" spans="1:15">
      <c r="A1136" s="9">
        <v>1000467146</v>
      </c>
      <c r="B1136" s="63" t="s">
        <v>61</v>
      </c>
      <c r="C1136" s="62" t="s">
        <v>3329</v>
      </c>
      <c r="D1136" t="s">
        <v>63</v>
      </c>
      <c r="E1136" t="s">
        <v>3469</v>
      </c>
      <c r="F1136" s="61">
        <v>36865</v>
      </c>
      <c r="G1136" s="15" t="s">
        <v>73</v>
      </c>
      <c r="H1136" t="s">
        <v>3470</v>
      </c>
      <c r="I1136" s="62" t="s">
        <v>3471</v>
      </c>
      <c r="K1136" s="36" t="s">
        <v>68</v>
      </c>
      <c r="L1136" t="s">
        <v>69</v>
      </c>
      <c r="M1136" s="62" t="s">
        <v>70</v>
      </c>
      <c r="N1136" t="s">
        <v>71</v>
      </c>
      <c r="O1136" t="str">
        <f>IFERROR(IF(Tbla_actores[[#This Row],[codigo_proyecto]]="","",_xlfn.XLOOKUP(Tbla_actores[[#This Row],[codigo_proyecto]],Proyectos!$A:$A,Proyectos!$C:$C)),"")</f>
        <v>NULOS</v>
      </c>
    </row>
    <row r="1137" spans="1:15">
      <c r="A1137" s="10">
        <v>1010119661</v>
      </c>
      <c r="B1137" s="64" t="s">
        <v>61</v>
      </c>
      <c r="C1137" s="62" t="s">
        <v>3329</v>
      </c>
      <c r="D1137" t="s">
        <v>63</v>
      </c>
      <c r="E1137" t="s">
        <v>3472</v>
      </c>
      <c r="F1137" s="61">
        <v>36747</v>
      </c>
      <c r="G1137" s="15" t="s">
        <v>73</v>
      </c>
      <c r="H1137" t="s">
        <v>3473</v>
      </c>
      <c r="I1137" s="62" t="s">
        <v>3474</v>
      </c>
      <c r="K1137" s="36" t="s">
        <v>68</v>
      </c>
      <c r="L1137" t="s">
        <v>69</v>
      </c>
      <c r="M1137" s="62" t="s">
        <v>70</v>
      </c>
      <c r="N1137" t="s">
        <v>71</v>
      </c>
      <c r="O1137" t="str">
        <f>IFERROR(IF(Tbla_actores[[#This Row],[codigo_proyecto]]="","",_xlfn.XLOOKUP(Tbla_actores[[#This Row],[codigo_proyecto]],Proyectos!$A:$A,Proyectos!$C:$C)),"")</f>
        <v>NULOS</v>
      </c>
    </row>
    <row r="1138" spans="1:15">
      <c r="A1138" s="9">
        <v>1032508915</v>
      </c>
      <c r="B1138" s="63" t="s">
        <v>61</v>
      </c>
      <c r="C1138" s="62" t="s">
        <v>3329</v>
      </c>
      <c r="D1138" t="s">
        <v>63</v>
      </c>
      <c r="E1138" t="s">
        <v>3475</v>
      </c>
      <c r="F1138" s="61">
        <v>36268</v>
      </c>
      <c r="G1138" s="15" t="s">
        <v>73</v>
      </c>
      <c r="H1138" t="s">
        <v>3476</v>
      </c>
      <c r="I1138" s="62" t="s">
        <v>3477</v>
      </c>
      <c r="K1138" s="36" t="s">
        <v>68</v>
      </c>
      <c r="L1138" t="s">
        <v>69</v>
      </c>
      <c r="M1138" s="62" t="s">
        <v>70</v>
      </c>
      <c r="N1138" t="s">
        <v>71</v>
      </c>
      <c r="O1138" t="str">
        <f>IFERROR(IF(Tbla_actores[[#This Row],[codigo_proyecto]]="","",_xlfn.XLOOKUP(Tbla_actores[[#This Row],[codigo_proyecto]],Proyectos!$A:$A,Proyectos!$C:$C)),"")</f>
        <v>NULOS</v>
      </c>
    </row>
    <row r="1139" spans="1:15">
      <c r="A1139" s="10">
        <v>1001067219</v>
      </c>
      <c r="B1139" s="64" t="s">
        <v>61</v>
      </c>
      <c r="C1139" s="62" t="s">
        <v>3329</v>
      </c>
      <c r="D1139" t="s">
        <v>63</v>
      </c>
      <c r="E1139" t="s">
        <v>3478</v>
      </c>
      <c r="F1139" s="61">
        <v>36939</v>
      </c>
      <c r="G1139" s="15" t="s">
        <v>65</v>
      </c>
      <c r="H1139" t="s">
        <v>3479</v>
      </c>
      <c r="I1139" s="62" t="s">
        <v>3480</v>
      </c>
      <c r="K1139" s="36" t="s">
        <v>169</v>
      </c>
      <c r="L1139" t="s">
        <v>69</v>
      </c>
      <c r="M1139" s="62" t="s">
        <v>170</v>
      </c>
      <c r="N1139" t="s">
        <v>71</v>
      </c>
      <c r="O1139" t="str">
        <f>IFERROR(IF(Tbla_actores[[#This Row],[codigo_proyecto]]="","",_xlfn.XLOOKUP(Tbla_actores[[#This Row],[codigo_proyecto]],Proyectos!$A:$A,Proyectos!$C:$C)),"")</f>
        <v>NULOS</v>
      </c>
    </row>
    <row r="1140" spans="1:15">
      <c r="A1140" s="9">
        <v>1007327725</v>
      </c>
      <c r="B1140" s="63" t="s">
        <v>61</v>
      </c>
      <c r="C1140" s="62" t="s">
        <v>3329</v>
      </c>
      <c r="D1140" t="s">
        <v>63</v>
      </c>
      <c r="E1140" t="s">
        <v>3481</v>
      </c>
      <c r="F1140" s="61">
        <v>36817</v>
      </c>
      <c r="G1140" s="15" t="s">
        <v>73</v>
      </c>
      <c r="H1140" t="s">
        <v>3482</v>
      </c>
      <c r="I1140" s="62" t="s">
        <v>3483</v>
      </c>
      <c r="K1140" s="36" t="s">
        <v>169</v>
      </c>
      <c r="L1140" t="s">
        <v>69</v>
      </c>
      <c r="M1140" s="62" t="s">
        <v>170</v>
      </c>
      <c r="N1140" t="s">
        <v>71</v>
      </c>
      <c r="O1140" t="str">
        <f>IFERROR(IF(Tbla_actores[[#This Row],[codigo_proyecto]]="","",_xlfn.XLOOKUP(Tbla_actores[[#This Row],[codigo_proyecto]],Proyectos!$A:$A,Proyectos!$C:$C)),"")</f>
        <v>NULOS</v>
      </c>
    </row>
    <row r="1141" spans="1:15">
      <c r="A1141" s="10">
        <v>1022438611</v>
      </c>
      <c r="B1141" s="64" t="s">
        <v>61</v>
      </c>
      <c r="C1141" s="62" t="s">
        <v>3329</v>
      </c>
      <c r="D1141" t="s">
        <v>63</v>
      </c>
      <c r="E1141" t="s">
        <v>3484</v>
      </c>
      <c r="F1141" s="61">
        <v>36078</v>
      </c>
      <c r="G1141" s="15" t="s">
        <v>73</v>
      </c>
      <c r="H1141" t="s">
        <v>3485</v>
      </c>
      <c r="I1141" s="62" t="s">
        <v>3486</v>
      </c>
      <c r="K1141" s="36" t="s">
        <v>169</v>
      </c>
      <c r="L1141" t="s">
        <v>69</v>
      </c>
      <c r="M1141" s="62" t="s">
        <v>170</v>
      </c>
      <c r="N1141" t="s">
        <v>71</v>
      </c>
      <c r="O1141" t="str">
        <f>IFERROR(IF(Tbla_actores[[#This Row],[codigo_proyecto]]="","",_xlfn.XLOOKUP(Tbla_actores[[#This Row],[codigo_proyecto]],Proyectos!$A:$A,Proyectos!$C:$C)),"")</f>
        <v>NULOS</v>
      </c>
    </row>
    <row r="1142" spans="1:15">
      <c r="A1142" s="9">
        <v>1000611668</v>
      </c>
      <c r="B1142" s="63" t="s">
        <v>61</v>
      </c>
      <c r="C1142" s="62" t="s">
        <v>3329</v>
      </c>
      <c r="D1142" t="s">
        <v>63</v>
      </c>
      <c r="E1142" t="s">
        <v>3487</v>
      </c>
      <c r="F1142" s="61">
        <v>36776</v>
      </c>
      <c r="G1142" s="15" t="s">
        <v>73</v>
      </c>
      <c r="H1142" t="s">
        <v>3488</v>
      </c>
      <c r="I1142" s="62" t="s">
        <v>3489</v>
      </c>
      <c r="K1142" s="36" t="s">
        <v>169</v>
      </c>
      <c r="L1142" t="s">
        <v>69</v>
      </c>
      <c r="M1142" s="62" t="s">
        <v>170</v>
      </c>
      <c r="N1142" t="s">
        <v>71</v>
      </c>
      <c r="O1142" t="str">
        <f>IFERROR(IF(Tbla_actores[[#This Row],[codigo_proyecto]]="","",_xlfn.XLOOKUP(Tbla_actores[[#This Row],[codigo_proyecto]],Proyectos!$A:$A,Proyectos!$C:$C)),"")</f>
        <v>NULOS</v>
      </c>
    </row>
    <row r="1143" spans="1:15">
      <c r="A1143" s="10">
        <v>1020844815</v>
      </c>
      <c r="B1143" s="64" t="s">
        <v>61</v>
      </c>
      <c r="C1143" s="62" t="s">
        <v>3329</v>
      </c>
      <c r="D1143" t="s">
        <v>63</v>
      </c>
      <c r="E1143" t="s">
        <v>3490</v>
      </c>
      <c r="F1143" s="61">
        <v>36486</v>
      </c>
      <c r="G1143" s="15" t="s">
        <v>65</v>
      </c>
      <c r="H1143" t="s">
        <v>3491</v>
      </c>
      <c r="I1143" s="62" t="s">
        <v>3492</v>
      </c>
      <c r="K1143" s="36" t="s">
        <v>169</v>
      </c>
      <c r="L1143" t="s">
        <v>69</v>
      </c>
      <c r="M1143" s="62" t="s">
        <v>170</v>
      </c>
      <c r="N1143" t="s">
        <v>71</v>
      </c>
      <c r="O1143" t="str">
        <f>IFERROR(IF(Tbla_actores[[#This Row],[codigo_proyecto]]="","",_xlfn.XLOOKUP(Tbla_actores[[#This Row],[codigo_proyecto]],Proyectos!$A:$A,Proyectos!$C:$C)),"")</f>
        <v>NULOS</v>
      </c>
    </row>
    <row r="1144" spans="1:15">
      <c r="A1144" s="9">
        <v>1000270174</v>
      </c>
      <c r="B1144" s="63" t="s">
        <v>61</v>
      </c>
      <c r="C1144" s="62" t="s">
        <v>3329</v>
      </c>
      <c r="D1144" t="s">
        <v>63</v>
      </c>
      <c r="E1144" t="s">
        <v>3493</v>
      </c>
      <c r="F1144" s="61">
        <v>36560</v>
      </c>
      <c r="G1144" s="15" t="s">
        <v>65</v>
      </c>
      <c r="H1144" t="s">
        <v>3494</v>
      </c>
      <c r="I1144" s="62" t="s">
        <v>3495</v>
      </c>
      <c r="K1144" s="36" t="s">
        <v>169</v>
      </c>
      <c r="L1144" t="s">
        <v>69</v>
      </c>
      <c r="M1144" s="62" t="s">
        <v>170</v>
      </c>
      <c r="N1144" t="s">
        <v>71</v>
      </c>
      <c r="O1144" t="str">
        <f>IFERROR(IF(Tbla_actores[[#This Row],[codigo_proyecto]]="","",_xlfn.XLOOKUP(Tbla_actores[[#This Row],[codigo_proyecto]],Proyectos!$A:$A,Proyectos!$C:$C)),"")</f>
        <v>NULOS</v>
      </c>
    </row>
    <row r="1145" spans="1:15">
      <c r="A1145" s="10">
        <v>1018498049</v>
      </c>
      <c r="B1145" s="64" t="s">
        <v>61</v>
      </c>
      <c r="C1145" s="62" t="s">
        <v>3329</v>
      </c>
      <c r="D1145" t="s">
        <v>63</v>
      </c>
      <c r="E1145" t="s">
        <v>3496</v>
      </c>
      <c r="F1145" s="61">
        <v>35711</v>
      </c>
      <c r="G1145" s="15" t="s">
        <v>65</v>
      </c>
      <c r="H1145" t="s">
        <v>3497</v>
      </c>
      <c r="I1145" s="62" t="s">
        <v>3498</v>
      </c>
      <c r="K1145" s="36" t="s">
        <v>169</v>
      </c>
      <c r="L1145" t="s">
        <v>69</v>
      </c>
      <c r="M1145" s="62" t="s">
        <v>170</v>
      </c>
      <c r="N1145" t="s">
        <v>71</v>
      </c>
      <c r="O1145" t="str">
        <f>IFERROR(IF(Tbla_actores[[#This Row],[codigo_proyecto]]="","",_xlfn.XLOOKUP(Tbla_actores[[#This Row],[codigo_proyecto]],Proyectos!$A:$A,Proyectos!$C:$C)),"")</f>
        <v>NULOS</v>
      </c>
    </row>
    <row r="1146" spans="1:15">
      <c r="A1146" s="9">
        <v>1232892705</v>
      </c>
      <c r="B1146" s="63" t="s">
        <v>61</v>
      </c>
      <c r="C1146" s="62" t="s">
        <v>3329</v>
      </c>
      <c r="D1146" t="s">
        <v>63</v>
      </c>
      <c r="E1146" t="s">
        <v>3499</v>
      </c>
      <c r="F1146" s="61">
        <v>36522</v>
      </c>
      <c r="G1146" s="15" t="s">
        <v>73</v>
      </c>
      <c r="H1146" t="s">
        <v>3500</v>
      </c>
      <c r="I1146" s="62" t="s">
        <v>3501</v>
      </c>
      <c r="K1146" s="36" t="s">
        <v>169</v>
      </c>
      <c r="L1146" t="s">
        <v>69</v>
      </c>
      <c r="M1146" s="62" t="s">
        <v>170</v>
      </c>
      <c r="N1146" t="s">
        <v>71</v>
      </c>
      <c r="O1146" t="str">
        <f>IFERROR(IF(Tbla_actores[[#This Row],[codigo_proyecto]]="","",_xlfn.XLOOKUP(Tbla_actores[[#This Row],[codigo_proyecto]],Proyectos!$A:$A,Proyectos!$C:$C)),"")</f>
        <v>NULOS</v>
      </c>
    </row>
    <row r="1147" spans="1:15">
      <c r="A1147" s="10">
        <v>1019150468</v>
      </c>
      <c r="B1147" s="64" t="s">
        <v>61</v>
      </c>
      <c r="C1147" s="62" t="s">
        <v>3329</v>
      </c>
      <c r="D1147" t="s">
        <v>63</v>
      </c>
      <c r="E1147" t="s">
        <v>3502</v>
      </c>
      <c r="F1147" s="61">
        <v>36367</v>
      </c>
      <c r="G1147" s="15" t="s">
        <v>65</v>
      </c>
      <c r="H1147" t="s">
        <v>3503</v>
      </c>
      <c r="I1147" s="62" t="s">
        <v>3504</v>
      </c>
      <c r="K1147" s="36" t="s">
        <v>169</v>
      </c>
      <c r="L1147" t="s">
        <v>69</v>
      </c>
      <c r="M1147" s="62" t="s">
        <v>170</v>
      </c>
      <c r="N1147" t="s">
        <v>71</v>
      </c>
      <c r="O1147" t="str">
        <f>IFERROR(IF(Tbla_actores[[#This Row],[codigo_proyecto]]="","",_xlfn.XLOOKUP(Tbla_actores[[#This Row],[codigo_proyecto]],Proyectos!$A:$A,Proyectos!$C:$C)),"")</f>
        <v>NULOS</v>
      </c>
    </row>
    <row r="1148" spans="1:15">
      <c r="A1148" s="9">
        <v>1020823176</v>
      </c>
      <c r="B1148" s="63" t="s">
        <v>61</v>
      </c>
      <c r="C1148" s="62" t="s">
        <v>3329</v>
      </c>
      <c r="D1148" t="s">
        <v>63</v>
      </c>
      <c r="E1148" t="s">
        <v>3505</v>
      </c>
      <c r="F1148" s="61">
        <v>35474</v>
      </c>
      <c r="G1148" s="15" t="s">
        <v>73</v>
      </c>
      <c r="H1148" t="s">
        <v>3506</v>
      </c>
      <c r="I1148" s="62" t="s">
        <v>3507</v>
      </c>
      <c r="K1148" s="36" t="s">
        <v>169</v>
      </c>
      <c r="L1148" t="s">
        <v>69</v>
      </c>
      <c r="M1148" s="62" t="s">
        <v>170</v>
      </c>
      <c r="N1148" t="s">
        <v>71</v>
      </c>
      <c r="O1148" t="str">
        <f>IFERROR(IF(Tbla_actores[[#This Row],[codigo_proyecto]]="","",_xlfn.XLOOKUP(Tbla_actores[[#This Row],[codigo_proyecto]],Proyectos!$A:$A,Proyectos!$C:$C)),"")</f>
        <v>NULOS</v>
      </c>
    </row>
    <row r="1149" spans="1:15">
      <c r="A1149" s="10">
        <v>1018509517</v>
      </c>
      <c r="B1149" s="64" t="s">
        <v>61</v>
      </c>
      <c r="C1149" s="62" t="s">
        <v>3329</v>
      </c>
      <c r="D1149" t="s">
        <v>63</v>
      </c>
      <c r="E1149" t="s">
        <v>3508</v>
      </c>
      <c r="F1149" s="61">
        <v>36222</v>
      </c>
      <c r="G1149" s="15" t="s">
        <v>65</v>
      </c>
      <c r="H1149" t="s">
        <v>3509</v>
      </c>
      <c r="I1149" s="62" t="s">
        <v>3510</v>
      </c>
      <c r="K1149" s="36" t="s">
        <v>169</v>
      </c>
      <c r="L1149" t="s">
        <v>69</v>
      </c>
      <c r="M1149" s="62" t="s">
        <v>170</v>
      </c>
      <c r="N1149" t="s">
        <v>71</v>
      </c>
      <c r="O1149" t="str">
        <f>IFERROR(IF(Tbla_actores[[#This Row],[codigo_proyecto]]="","",_xlfn.XLOOKUP(Tbla_actores[[#This Row],[codigo_proyecto]],Proyectos!$A:$A,Proyectos!$C:$C)),"")</f>
        <v>NULOS</v>
      </c>
    </row>
    <row r="1150" spans="1:15">
      <c r="A1150" s="9">
        <v>1007375235</v>
      </c>
      <c r="B1150" s="63" t="s">
        <v>61</v>
      </c>
      <c r="C1150" s="62" t="s">
        <v>3329</v>
      </c>
      <c r="D1150" t="s">
        <v>63</v>
      </c>
      <c r="E1150" t="s">
        <v>3511</v>
      </c>
      <c r="F1150" s="61">
        <v>36610</v>
      </c>
      <c r="G1150" s="15" t="s">
        <v>65</v>
      </c>
      <c r="H1150" t="s">
        <v>3512</v>
      </c>
      <c r="I1150" s="62" t="s">
        <v>3513</v>
      </c>
      <c r="K1150" s="36" t="s">
        <v>169</v>
      </c>
      <c r="L1150" t="s">
        <v>69</v>
      </c>
      <c r="M1150" s="62" t="s">
        <v>170</v>
      </c>
      <c r="N1150" t="s">
        <v>71</v>
      </c>
      <c r="O1150" t="str">
        <f>IFERROR(IF(Tbla_actores[[#This Row],[codigo_proyecto]]="","",_xlfn.XLOOKUP(Tbla_actores[[#This Row],[codigo_proyecto]],Proyectos!$A:$A,Proyectos!$C:$C)),"")</f>
        <v>NULOS</v>
      </c>
    </row>
    <row r="1151" spans="1:15">
      <c r="A1151" s="10">
        <v>1020838991</v>
      </c>
      <c r="B1151" s="64" t="s">
        <v>61</v>
      </c>
      <c r="C1151" s="62" t="s">
        <v>3329</v>
      </c>
      <c r="D1151" t="s">
        <v>63</v>
      </c>
      <c r="E1151" t="s">
        <v>3514</v>
      </c>
      <c r="F1151" s="61">
        <v>36202</v>
      </c>
      <c r="G1151" s="15" t="s">
        <v>65</v>
      </c>
      <c r="H1151" t="s">
        <v>3515</v>
      </c>
      <c r="I1151" s="62" t="s">
        <v>3516</v>
      </c>
      <c r="K1151" s="36" t="s">
        <v>169</v>
      </c>
      <c r="L1151" t="s">
        <v>69</v>
      </c>
      <c r="M1151" s="62" t="s">
        <v>170</v>
      </c>
      <c r="N1151" t="s">
        <v>71</v>
      </c>
      <c r="O1151" t="str">
        <f>IFERROR(IF(Tbla_actores[[#This Row],[codigo_proyecto]]="","",_xlfn.XLOOKUP(Tbla_actores[[#This Row],[codigo_proyecto]],Proyectos!$A:$A,Proyectos!$C:$C)),"")</f>
        <v>NULOS</v>
      </c>
    </row>
    <row r="1152" spans="1:15">
      <c r="A1152" s="9">
        <v>1010091261</v>
      </c>
      <c r="B1152" s="63" t="s">
        <v>61</v>
      </c>
      <c r="C1152" s="62" t="s">
        <v>3329</v>
      </c>
      <c r="D1152" t="s">
        <v>63</v>
      </c>
      <c r="E1152" t="s">
        <v>3517</v>
      </c>
      <c r="F1152" s="61">
        <v>36674</v>
      </c>
      <c r="G1152" s="15" t="s">
        <v>65</v>
      </c>
      <c r="H1152" t="s">
        <v>3518</v>
      </c>
      <c r="I1152" s="62" t="s">
        <v>3519</v>
      </c>
      <c r="K1152" s="36" t="s">
        <v>169</v>
      </c>
      <c r="L1152" t="s">
        <v>69</v>
      </c>
      <c r="M1152" s="62" t="s">
        <v>170</v>
      </c>
      <c r="N1152" t="s">
        <v>71</v>
      </c>
      <c r="O1152" t="str">
        <f>IFERROR(IF(Tbla_actores[[#This Row],[codigo_proyecto]]="","",_xlfn.XLOOKUP(Tbla_actores[[#This Row],[codigo_proyecto]],Proyectos!$A:$A,Proyectos!$C:$C)),"")</f>
        <v>NULOS</v>
      </c>
    </row>
    <row r="1153" spans="1:15">
      <c r="A1153" s="10">
        <v>1000617853</v>
      </c>
      <c r="B1153" s="64" t="s">
        <v>61</v>
      </c>
      <c r="C1153" s="62" t="s">
        <v>3329</v>
      </c>
      <c r="D1153" t="s">
        <v>63</v>
      </c>
      <c r="E1153" t="s">
        <v>3520</v>
      </c>
      <c r="F1153" s="61">
        <v>36649</v>
      </c>
      <c r="G1153" s="15" t="s">
        <v>65</v>
      </c>
      <c r="H1153" t="s">
        <v>3521</v>
      </c>
      <c r="I1153" s="62" t="s">
        <v>3519</v>
      </c>
      <c r="K1153" s="36" t="s">
        <v>169</v>
      </c>
      <c r="L1153" t="s">
        <v>69</v>
      </c>
      <c r="M1153" s="62" t="s">
        <v>170</v>
      </c>
      <c r="N1153" t="s">
        <v>71</v>
      </c>
      <c r="O1153" t="str">
        <f>IFERROR(IF(Tbla_actores[[#This Row],[codigo_proyecto]]="","",_xlfn.XLOOKUP(Tbla_actores[[#This Row],[codigo_proyecto]],Proyectos!$A:$A,Proyectos!$C:$C)),"")</f>
        <v>NULOS</v>
      </c>
    </row>
    <row r="1154" spans="1:15">
      <c r="A1154" s="9">
        <v>1098778041</v>
      </c>
      <c r="B1154" s="63" t="s">
        <v>61</v>
      </c>
      <c r="C1154" s="62" t="s">
        <v>3329</v>
      </c>
      <c r="D1154" t="s">
        <v>63</v>
      </c>
      <c r="E1154" t="s">
        <v>3522</v>
      </c>
      <c r="F1154" s="61">
        <v>34966</v>
      </c>
      <c r="G1154" s="15" t="s">
        <v>73</v>
      </c>
      <c r="H1154" t="s">
        <v>3523</v>
      </c>
      <c r="I1154" s="62" t="s">
        <v>3524</v>
      </c>
      <c r="K1154" s="36" t="s">
        <v>169</v>
      </c>
      <c r="L1154" t="s">
        <v>69</v>
      </c>
      <c r="M1154" s="62" t="s">
        <v>170</v>
      </c>
      <c r="N1154" t="s">
        <v>71</v>
      </c>
      <c r="O1154" t="str">
        <f>IFERROR(IF(Tbla_actores[[#This Row],[codigo_proyecto]]="","",_xlfn.XLOOKUP(Tbla_actores[[#This Row],[codigo_proyecto]],Proyectos!$A:$A,Proyectos!$C:$C)),"")</f>
        <v>NULOS</v>
      </c>
    </row>
    <row r="1155" spans="1:15">
      <c r="A1155" s="10">
        <v>1030591459</v>
      </c>
      <c r="B1155" s="64" t="s">
        <v>61</v>
      </c>
      <c r="C1155" s="62" t="s">
        <v>3329</v>
      </c>
      <c r="D1155" t="s">
        <v>63</v>
      </c>
      <c r="E1155" t="s">
        <v>3525</v>
      </c>
      <c r="F1155" s="61">
        <v>33348</v>
      </c>
      <c r="G1155" s="15" t="s">
        <v>65</v>
      </c>
      <c r="H1155" t="s">
        <v>3526</v>
      </c>
      <c r="I1155" s="62" t="s">
        <v>3527</v>
      </c>
      <c r="K1155" s="36" t="s">
        <v>169</v>
      </c>
      <c r="L1155" t="s">
        <v>69</v>
      </c>
      <c r="M1155" s="62" t="s">
        <v>170</v>
      </c>
      <c r="N1155" t="s">
        <v>71</v>
      </c>
      <c r="O1155" t="str">
        <f>IFERROR(IF(Tbla_actores[[#This Row],[codigo_proyecto]]="","",_xlfn.XLOOKUP(Tbla_actores[[#This Row],[codigo_proyecto]],Proyectos!$A:$A,Proyectos!$C:$C)),"")</f>
        <v>NULOS</v>
      </c>
    </row>
    <row r="1156" spans="1:15">
      <c r="A1156" s="9">
        <v>1047501359</v>
      </c>
      <c r="B1156" s="63" t="s">
        <v>61</v>
      </c>
      <c r="C1156" s="62" t="s">
        <v>3329</v>
      </c>
      <c r="D1156" t="s">
        <v>63</v>
      </c>
      <c r="E1156" t="s">
        <v>3528</v>
      </c>
      <c r="F1156" s="61">
        <v>35864</v>
      </c>
      <c r="G1156" s="15" t="s">
        <v>73</v>
      </c>
      <c r="H1156" t="s">
        <v>3529</v>
      </c>
      <c r="I1156" s="62" t="s">
        <v>3530</v>
      </c>
      <c r="K1156" s="36" t="s">
        <v>169</v>
      </c>
      <c r="L1156" t="s">
        <v>69</v>
      </c>
      <c r="M1156" s="62" t="s">
        <v>170</v>
      </c>
      <c r="N1156" t="s">
        <v>71</v>
      </c>
      <c r="O1156" t="str">
        <f>IFERROR(IF(Tbla_actores[[#This Row],[codigo_proyecto]]="","",_xlfn.XLOOKUP(Tbla_actores[[#This Row],[codigo_proyecto]],Proyectos!$A:$A,Proyectos!$C:$C)),"")</f>
        <v>NULOS</v>
      </c>
    </row>
    <row r="1157" spans="1:15">
      <c r="A1157" s="10">
        <v>1020802360</v>
      </c>
      <c r="B1157" s="64" t="s">
        <v>61</v>
      </c>
      <c r="C1157" s="62" t="s">
        <v>3329</v>
      </c>
      <c r="D1157" t="s">
        <v>63</v>
      </c>
      <c r="E1157" t="s">
        <v>3531</v>
      </c>
      <c r="F1157" s="61">
        <v>34750</v>
      </c>
      <c r="G1157" s="15" t="s">
        <v>65</v>
      </c>
      <c r="H1157" t="s">
        <v>3532</v>
      </c>
      <c r="I1157" s="62" t="s">
        <v>3533</v>
      </c>
      <c r="K1157" s="36" t="s">
        <v>169</v>
      </c>
      <c r="L1157" t="s">
        <v>69</v>
      </c>
      <c r="M1157" s="62" t="s">
        <v>170</v>
      </c>
      <c r="N1157" t="s">
        <v>71</v>
      </c>
      <c r="O1157" t="str">
        <f>IFERROR(IF(Tbla_actores[[#This Row],[codigo_proyecto]]="","",_xlfn.XLOOKUP(Tbla_actores[[#This Row],[codigo_proyecto]],Proyectos!$A:$A,Proyectos!$C:$C)),"")</f>
        <v>NULOS</v>
      </c>
    </row>
    <row r="1158" spans="1:15">
      <c r="A1158" s="9">
        <v>1032462197</v>
      </c>
      <c r="B1158" s="63" t="s">
        <v>61</v>
      </c>
      <c r="C1158" s="62" t="s">
        <v>3329</v>
      </c>
      <c r="D1158" t="s">
        <v>63</v>
      </c>
      <c r="E1158" t="s">
        <v>3534</v>
      </c>
      <c r="F1158" s="61">
        <v>34371</v>
      </c>
      <c r="G1158" s="15" t="s">
        <v>73</v>
      </c>
      <c r="H1158" t="s">
        <v>3535</v>
      </c>
      <c r="I1158" s="62" t="s">
        <v>3536</v>
      </c>
      <c r="K1158" s="36" t="s">
        <v>169</v>
      </c>
      <c r="L1158" t="s">
        <v>69</v>
      </c>
      <c r="M1158" s="62" t="s">
        <v>170</v>
      </c>
      <c r="N1158" t="s">
        <v>71</v>
      </c>
      <c r="O1158" t="str">
        <f>IFERROR(IF(Tbla_actores[[#This Row],[codigo_proyecto]]="","",_xlfn.XLOOKUP(Tbla_actores[[#This Row],[codigo_proyecto]],Proyectos!$A:$A,Proyectos!$C:$C)),"")</f>
        <v>NULOS</v>
      </c>
    </row>
    <row r="1159" spans="1:15">
      <c r="A1159" s="10">
        <v>1020844578</v>
      </c>
      <c r="B1159" s="64" t="s">
        <v>61</v>
      </c>
      <c r="C1159" s="62" t="s">
        <v>3329</v>
      </c>
      <c r="D1159" t="s">
        <v>63</v>
      </c>
      <c r="E1159" t="s">
        <v>3537</v>
      </c>
      <c r="F1159" s="61">
        <v>36471</v>
      </c>
      <c r="G1159" s="15" t="s">
        <v>73</v>
      </c>
      <c r="H1159" t="s">
        <v>3538</v>
      </c>
      <c r="I1159" s="62" t="s">
        <v>3539</v>
      </c>
      <c r="K1159" s="36" t="s">
        <v>169</v>
      </c>
      <c r="L1159" t="s">
        <v>69</v>
      </c>
      <c r="M1159" s="62" t="s">
        <v>170</v>
      </c>
      <c r="N1159" t="s">
        <v>71</v>
      </c>
      <c r="O1159" t="str">
        <f>IFERROR(IF(Tbla_actores[[#This Row],[codigo_proyecto]]="","",_xlfn.XLOOKUP(Tbla_actores[[#This Row],[codigo_proyecto]],Proyectos!$A:$A,Proyectos!$C:$C)),"")</f>
        <v>NULOS</v>
      </c>
    </row>
    <row r="1160" spans="1:15">
      <c r="A1160" s="9">
        <v>1001277732</v>
      </c>
      <c r="B1160" s="63" t="s">
        <v>61</v>
      </c>
      <c r="C1160" s="62" t="s">
        <v>3329</v>
      </c>
      <c r="D1160" t="s">
        <v>63</v>
      </c>
      <c r="E1160" t="s">
        <v>3540</v>
      </c>
      <c r="F1160" s="61">
        <v>36647</v>
      </c>
      <c r="G1160" s="15" t="s">
        <v>65</v>
      </c>
      <c r="H1160" t="s">
        <v>3541</v>
      </c>
      <c r="I1160" s="62" t="s">
        <v>3542</v>
      </c>
      <c r="K1160" s="36" t="s">
        <v>169</v>
      </c>
      <c r="L1160" t="s">
        <v>69</v>
      </c>
      <c r="M1160" s="62" t="s">
        <v>170</v>
      </c>
      <c r="N1160" t="s">
        <v>71</v>
      </c>
      <c r="O1160" t="str">
        <f>IFERROR(IF(Tbla_actores[[#This Row],[codigo_proyecto]]="","",_xlfn.XLOOKUP(Tbla_actores[[#This Row],[codigo_proyecto]],Proyectos!$A:$A,Proyectos!$C:$C)),"")</f>
        <v>NULOS</v>
      </c>
    </row>
    <row r="1161" spans="1:15">
      <c r="A1161" s="10">
        <v>1018513129</v>
      </c>
      <c r="B1161" s="64" t="s">
        <v>61</v>
      </c>
      <c r="C1161" s="62" t="s">
        <v>3329</v>
      </c>
      <c r="D1161" t="s">
        <v>63</v>
      </c>
      <c r="E1161" t="s">
        <v>3543</v>
      </c>
      <c r="F1161" s="61">
        <v>36402</v>
      </c>
      <c r="G1161" s="15" t="s">
        <v>65</v>
      </c>
      <c r="H1161" t="s">
        <v>3544</v>
      </c>
      <c r="I1161" s="62" t="s">
        <v>3545</v>
      </c>
      <c r="K1161" s="36" t="s">
        <v>169</v>
      </c>
      <c r="L1161" t="s">
        <v>69</v>
      </c>
      <c r="M1161" s="62" t="s">
        <v>170</v>
      </c>
      <c r="N1161" t="s">
        <v>71</v>
      </c>
      <c r="O1161" t="str">
        <f>IFERROR(IF(Tbla_actores[[#This Row],[codigo_proyecto]]="","",_xlfn.XLOOKUP(Tbla_actores[[#This Row],[codigo_proyecto]],Proyectos!$A:$A,Proyectos!$C:$C)),"")</f>
        <v>NULOS</v>
      </c>
    </row>
    <row r="1162" spans="1:15">
      <c r="A1162" s="9">
        <v>1010037769</v>
      </c>
      <c r="B1162" s="63" t="s">
        <v>61</v>
      </c>
      <c r="C1162" s="62" t="s">
        <v>3329</v>
      </c>
      <c r="D1162" t="s">
        <v>63</v>
      </c>
      <c r="E1162" t="s">
        <v>3546</v>
      </c>
      <c r="F1162" s="61">
        <v>36788</v>
      </c>
      <c r="G1162" s="15" t="s">
        <v>65</v>
      </c>
      <c r="H1162" t="s">
        <v>3547</v>
      </c>
      <c r="I1162" s="62" t="s">
        <v>3548</v>
      </c>
      <c r="K1162" s="36" t="s">
        <v>169</v>
      </c>
      <c r="L1162" t="s">
        <v>69</v>
      </c>
      <c r="M1162" s="62" t="s">
        <v>170</v>
      </c>
      <c r="N1162" t="s">
        <v>71</v>
      </c>
      <c r="O1162" t="str">
        <f>IFERROR(IF(Tbla_actores[[#This Row],[codigo_proyecto]]="","",_xlfn.XLOOKUP(Tbla_actores[[#This Row],[codigo_proyecto]],Proyectos!$A:$A,Proyectos!$C:$C)),"")</f>
        <v>NULOS</v>
      </c>
    </row>
    <row r="1163" spans="1:15">
      <c r="A1163" s="10">
        <v>1010054419</v>
      </c>
      <c r="B1163" s="64" t="s">
        <v>61</v>
      </c>
      <c r="C1163" s="62" t="s">
        <v>3329</v>
      </c>
      <c r="D1163" t="s">
        <v>63</v>
      </c>
      <c r="E1163" t="s">
        <v>3549</v>
      </c>
      <c r="F1163" s="61">
        <v>36671</v>
      </c>
      <c r="G1163" s="15" t="s">
        <v>65</v>
      </c>
      <c r="H1163" t="s">
        <v>3550</v>
      </c>
      <c r="I1163" s="62" t="s">
        <v>3551</v>
      </c>
      <c r="K1163" s="36" t="s">
        <v>169</v>
      </c>
      <c r="L1163" t="s">
        <v>69</v>
      </c>
      <c r="M1163" s="62" t="s">
        <v>170</v>
      </c>
      <c r="N1163" t="s">
        <v>71</v>
      </c>
      <c r="O1163" t="str">
        <f>IFERROR(IF(Tbla_actores[[#This Row],[codigo_proyecto]]="","",_xlfn.XLOOKUP(Tbla_actores[[#This Row],[codigo_proyecto]],Proyectos!$A:$A,Proyectos!$C:$C)),"")</f>
        <v>NULOS</v>
      </c>
    </row>
    <row r="1164" spans="1:15">
      <c r="A1164" s="9">
        <v>1022443468</v>
      </c>
      <c r="B1164" s="63" t="s">
        <v>61</v>
      </c>
      <c r="C1164" s="62" t="s">
        <v>3329</v>
      </c>
      <c r="D1164" t="s">
        <v>63</v>
      </c>
      <c r="E1164" t="s">
        <v>3552</v>
      </c>
      <c r="F1164" s="61">
        <v>36304</v>
      </c>
      <c r="G1164" s="15" t="s">
        <v>73</v>
      </c>
      <c r="H1164" t="s">
        <v>3553</v>
      </c>
      <c r="I1164" s="62" t="s">
        <v>3554</v>
      </c>
      <c r="K1164" s="36" t="s">
        <v>169</v>
      </c>
      <c r="L1164" t="s">
        <v>69</v>
      </c>
      <c r="M1164" s="62" t="s">
        <v>170</v>
      </c>
      <c r="N1164" t="s">
        <v>71</v>
      </c>
      <c r="O1164" t="str">
        <f>IFERROR(IF(Tbla_actores[[#This Row],[codigo_proyecto]]="","",_xlfn.XLOOKUP(Tbla_actores[[#This Row],[codigo_proyecto]],Proyectos!$A:$A,Proyectos!$C:$C)),"")</f>
        <v>NULOS</v>
      </c>
    </row>
    <row r="1165" spans="1:15">
      <c r="A1165" s="10">
        <v>1001272469</v>
      </c>
      <c r="B1165" s="64" t="s">
        <v>61</v>
      </c>
      <c r="C1165" s="62" t="s">
        <v>3329</v>
      </c>
      <c r="D1165" t="s">
        <v>63</v>
      </c>
      <c r="E1165" t="s">
        <v>3555</v>
      </c>
      <c r="F1165" s="61">
        <v>36723</v>
      </c>
      <c r="G1165" s="15" t="s">
        <v>65</v>
      </c>
      <c r="H1165" t="s">
        <v>3556</v>
      </c>
      <c r="I1165" s="62" t="s">
        <v>3557</v>
      </c>
      <c r="K1165" s="36" t="s">
        <v>169</v>
      </c>
      <c r="L1165" t="s">
        <v>69</v>
      </c>
      <c r="M1165" s="62" t="s">
        <v>170</v>
      </c>
      <c r="N1165" t="s">
        <v>71</v>
      </c>
      <c r="O1165" t="str">
        <f>IFERROR(IF(Tbla_actores[[#This Row],[codigo_proyecto]]="","",_xlfn.XLOOKUP(Tbla_actores[[#This Row],[codigo_proyecto]],Proyectos!$A:$A,Proyectos!$C:$C)),"")</f>
        <v>NULOS</v>
      </c>
    </row>
    <row r="1166" spans="1:15">
      <c r="A1166" s="9">
        <v>1019141368</v>
      </c>
      <c r="B1166" s="63" t="s">
        <v>61</v>
      </c>
      <c r="C1166" s="62" t="s">
        <v>3329</v>
      </c>
      <c r="D1166" t="s">
        <v>63</v>
      </c>
      <c r="E1166" t="s">
        <v>3558</v>
      </c>
      <c r="F1166" s="61">
        <v>35984</v>
      </c>
      <c r="G1166" s="15" t="s">
        <v>65</v>
      </c>
      <c r="H1166" t="s">
        <v>3559</v>
      </c>
      <c r="I1166" s="62" t="s">
        <v>3560</v>
      </c>
      <c r="K1166" s="36" t="s">
        <v>169</v>
      </c>
      <c r="L1166" t="s">
        <v>69</v>
      </c>
      <c r="M1166" s="62" t="s">
        <v>170</v>
      </c>
      <c r="N1166" t="s">
        <v>71</v>
      </c>
      <c r="O1166" t="str">
        <f>IFERROR(IF(Tbla_actores[[#This Row],[codigo_proyecto]]="","",_xlfn.XLOOKUP(Tbla_actores[[#This Row],[codigo_proyecto]],Proyectos!$A:$A,Proyectos!$C:$C)),"")</f>
        <v>NULOS</v>
      </c>
    </row>
    <row r="1167" spans="1:15">
      <c r="A1167" s="10">
        <v>1018502569</v>
      </c>
      <c r="B1167" s="64" t="s">
        <v>61</v>
      </c>
      <c r="C1167" s="62" t="s">
        <v>3329</v>
      </c>
      <c r="D1167" t="s">
        <v>63</v>
      </c>
      <c r="E1167" t="s">
        <v>3561</v>
      </c>
      <c r="F1167" s="61">
        <v>35893</v>
      </c>
      <c r="G1167" s="15" t="s">
        <v>65</v>
      </c>
      <c r="H1167" t="s">
        <v>3562</v>
      </c>
      <c r="I1167" s="62" t="s">
        <v>3563</v>
      </c>
      <c r="K1167" s="36" t="s">
        <v>169</v>
      </c>
      <c r="L1167" t="s">
        <v>69</v>
      </c>
      <c r="M1167" s="62" t="s">
        <v>170</v>
      </c>
      <c r="N1167" t="s">
        <v>71</v>
      </c>
      <c r="O1167" t="str">
        <f>IFERROR(IF(Tbla_actores[[#This Row],[codigo_proyecto]]="","",_xlfn.XLOOKUP(Tbla_actores[[#This Row],[codigo_proyecto]],Proyectos!$A:$A,Proyectos!$C:$C)),"")</f>
        <v>NULOS</v>
      </c>
    </row>
    <row r="1168" spans="1:15">
      <c r="A1168" s="9">
        <v>1014309188</v>
      </c>
      <c r="B1168" s="63" t="s">
        <v>61</v>
      </c>
      <c r="C1168" s="62" t="s">
        <v>3329</v>
      </c>
      <c r="D1168" t="s">
        <v>63</v>
      </c>
      <c r="E1168" t="s">
        <v>3564</v>
      </c>
      <c r="F1168" s="61">
        <v>36373</v>
      </c>
      <c r="G1168" s="15" t="s">
        <v>73</v>
      </c>
      <c r="H1168" t="s">
        <v>3565</v>
      </c>
      <c r="I1168" s="62" t="s">
        <v>3566</v>
      </c>
      <c r="K1168" s="36" t="s">
        <v>169</v>
      </c>
      <c r="L1168" t="s">
        <v>69</v>
      </c>
      <c r="M1168" s="62" t="s">
        <v>170</v>
      </c>
      <c r="N1168" t="s">
        <v>71</v>
      </c>
      <c r="O1168" t="str">
        <f>IFERROR(IF(Tbla_actores[[#This Row],[codigo_proyecto]]="","",_xlfn.XLOOKUP(Tbla_actores[[#This Row],[codigo_proyecto]],Proyectos!$A:$A,Proyectos!$C:$C)),"")</f>
        <v>NULOS</v>
      </c>
    </row>
    <row r="1169" spans="1:15">
      <c r="A1169" s="10">
        <v>1020827074</v>
      </c>
      <c r="B1169" s="64" t="s">
        <v>61</v>
      </c>
      <c r="C1169" s="62" t="s">
        <v>3329</v>
      </c>
      <c r="D1169" t="s">
        <v>63</v>
      </c>
      <c r="E1169" t="s">
        <v>3567</v>
      </c>
      <c r="F1169" s="61">
        <v>35620</v>
      </c>
      <c r="G1169" s="15" t="s">
        <v>73</v>
      </c>
      <c r="H1169" t="s">
        <v>3568</v>
      </c>
      <c r="I1169" s="62" t="s">
        <v>3569</v>
      </c>
      <c r="K1169" s="36" t="s">
        <v>169</v>
      </c>
      <c r="L1169" t="s">
        <v>69</v>
      </c>
      <c r="M1169" s="62" t="s">
        <v>170</v>
      </c>
      <c r="N1169" t="s">
        <v>71</v>
      </c>
      <c r="O1169" t="str">
        <f>IFERROR(IF(Tbla_actores[[#This Row],[codigo_proyecto]]="","",_xlfn.XLOOKUP(Tbla_actores[[#This Row],[codigo_proyecto]],Proyectos!$A:$A,Proyectos!$C:$C)),"")</f>
        <v>NULOS</v>
      </c>
    </row>
    <row r="1170" spans="1:15">
      <c r="A1170" s="9">
        <v>1013690447</v>
      </c>
      <c r="B1170" s="63" t="s">
        <v>61</v>
      </c>
      <c r="C1170" s="62" t="s">
        <v>3329</v>
      </c>
      <c r="D1170" t="s">
        <v>63</v>
      </c>
      <c r="E1170" t="s">
        <v>3570</v>
      </c>
      <c r="F1170" s="61">
        <v>36380</v>
      </c>
      <c r="G1170" s="15" t="s">
        <v>65</v>
      </c>
      <c r="H1170" t="s">
        <v>3571</v>
      </c>
      <c r="I1170" s="62" t="s">
        <v>3572</v>
      </c>
      <c r="K1170" s="36" t="s">
        <v>169</v>
      </c>
      <c r="L1170" t="s">
        <v>69</v>
      </c>
      <c r="M1170" s="62" t="s">
        <v>170</v>
      </c>
      <c r="N1170" t="s">
        <v>71</v>
      </c>
      <c r="O1170" t="str">
        <f>IFERROR(IF(Tbla_actores[[#This Row],[codigo_proyecto]]="","",_xlfn.XLOOKUP(Tbla_actores[[#This Row],[codigo_proyecto]],Proyectos!$A:$A,Proyectos!$C:$C)),"")</f>
        <v>NULOS</v>
      </c>
    </row>
    <row r="1171" spans="1:15">
      <c r="A1171" s="10">
        <v>1001083652</v>
      </c>
      <c r="B1171" s="64" t="s">
        <v>61</v>
      </c>
      <c r="C1171" s="62" t="s">
        <v>3329</v>
      </c>
      <c r="D1171" t="s">
        <v>63</v>
      </c>
      <c r="E1171" t="s">
        <v>3573</v>
      </c>
      <c r="F1171" s="61">
        <v>36924</v>
      </c>
      <c r="G1171" s="15" t="s">
        <v>73</v>
      </c>
      <c r="H1171" t="s">
        <v>3574</v>
      </c>
      <c r="I1171" s="62" t="s">
        <v>3575</v>
      </c>
      <c r="K1171" s="36" t="s">
        <v>169</v>
      </c>
      <c r="L1171" t="s">
        <v>69</v>
      </c>
      <c r="M1171" s="62" t="s">
        <v>170</v>
      </c>
      <c r="N1171" t="s">
        <v>71</v>
      </c>
      <c r="O1171" t="str">
        <f>IFERROR(IF(Tbla_actores[[#This Row],[codigo_proyecto]]="","",_xlfn.XLOOKUP(Tbla_actores[[#This Row],[codigo_proyecto]],Proyectos!$A:$A,Proyectos!$C:$C)),"")</f>
        <v>NULOS</v>
      </c>
    </row>
    <row r="1172" spans="1:15">
      <c r="A1172" s="9">
        <v>1000588679</v>
      </c>
      <c r="B1172" s="63" t="s">
        <v>61</v>
      </c>
      <c r="C1172" s="62" t="s">
        <v>3329</v>
      </c>
      <c r="D1172" t="s">
        <v>63</v>
      </c>
      <c r="E1172" t="s">
        <v>3576</v>
      </c>
      <c r="F1172" s="61">
        <v>36611</v>
      </c>
      <c r="G1172" s="15" t="s">
        <v>65</v>
      </c>
      <c r="H1172" t="s">
        <v>3577</v>
      </c>
      <c r="I1172" s="62" t="s">
        <v>3578</v>
      </c>
      <c r="K1172" s="36" t="s">
        <v>169</v>
      </c>
      <c r="L1172" t="s">
        <v>69</v>
      </c>
      <c r="M1172" s="62" t="s">
        <v>170</v>
      </c>
      <c r="N1172" t="s">
        <v>71</v>
      </c>
      <c r="O1172" t="str">
        <f>IFERROR(IF(Tbla_actores[[#This Row],[codigo_proyecto]]="","",_xlfn.XLOOKUP(Tbla_actores[[#This Row],[codigo_proyecto]],Proyectos!$A:$A,Proyectos!$C:$C)),"")</f>
        <v>NULOS</v>
      </c>
    </row>
    <row r="1173" spans="1:15">
      <c r="A1173" s="10">
        <v>1020842290</v>
      </c>
      <c r="B1173" s="64" t="s">
        <v>61</v>
      </c>
      <c r="C1173" s="62" t="s">
        <v>3329</v>
      </c>
      <c r="D1173" t="s">
        <v>63</v>
      </c>
      <c r="E1173" t="s">
        <v>3579</v>
      </c>
      <c r="F1173" s="61">
        <v>36325</v>
      </c>
      <c r="G1173" s="15" t="s">
        <v>65</v>
      </c>
      <c r="H1173" t="s">
        <v>3580</v>
      </c>
      <c r="I1173" s="62" t="s">
        <v>3581</v>
      </c>
      <c r="K1173" s="36" t="s">
        <v>169</v>
      </c>
      <c r="L1173" t="s">
        <v>69</v>
      </c>
      <c r="M1173" s="62" t="s">
        <v>170</v>
      </c>
      <c r="N1173" t="s">
        <v>71</v>
      </c>
      <c r="O1173" t="str">
        <f>IFERROR(IF(Tbla_actores[[#This Row],[codigo_proyecto]]="","",_xlfn.XLOOKUP(Tbla_actores[[#This Row],[codigo_proyecto]],Proyectos!$A:$A,Proyectos!$C:$C)),"")</f>
        <v>NULOS</v>
      </c>
    </row>
    <row r="1174" spans="1:15">
      <c r="A1174" s="9">
        <v>1000619062</v>
      </c>
      <c r="B1174" s="63" t="s">
        <v>61</v>
      </c>
      <c r="C1174" s="62" t="s">
        <v>3329</v>
      </c>
      <c r="D1174" t="s">
        <v>63</v>
      </c>
      <c r="E1174" t="s">
        <v>3582</v>
      </c>
      <c r="F1174" s="61">
        <v>36464</v>
      </c>
      <c r="G1174" s="15" t="s">
        <v>65</v>
      </c>
      <c r="H1174" t="s">
        <v>3583</v>
      </c>
      <c r="I1174" s="62" t="s">
        <v>3584</v>
      </c>
      <c r="K1174" s="36" t="s">
        <v>169</v>
      </c>
      <c r="L1174" t="s">
        <v>69</v>
      </c>
      <c r="M1174" s="62" t="s">
        <v>170</v>
      </c>
      <c r="N1174" t="s">
        <v>71</v>
      </c>
      <c r="O1174" t="str">
        <f>IFERROR(IF(Tbla_actores[[#This Row],[codigo_proyecto]]="","",_xlfn.XLOOKUP(Tbla_actores[[#This Row],[codigo_proyecto]],Proyectos!$A:$A,Proyectos!$C:$C)),"")</f>
        <v>NULOS</v>
      </c>
    </row>
    <row r="1175" spans="1:15">
      <c r="A1175" s="10">
        <v>1000458191</v>
      </c>
      <c r="B1175" s="64" t="s">
        <v>61</v>
      </c>
      <c r="C1175" s="62" t="s">
        <v>3329</v>
      </c>
      <c r="D1175" t="s">
        <v>63</v>
      </c>
      <c r="E1175" t="s">
        <v>3585</v>
      </c>
      <c r="F1175" s="61">
        <v>36775</v>
      </c>
      <c r="G1175" s="15" t="s">
        <v>73</v>
      </c>
      <c r="H1175" t="s">
        <v>3586</v>
      </c>
      <c r="I1175" s="62" t="s">
        <v>3587</v>
      </c>
      <c r="K1175" s="36" t="s">
        <v>169</v>
      </c>
      <c r="L1175" t="s">
        <v>69</v>
      </c>
      <c r="M1175" s="62" t="s">
        <v>170</v>
      </c>
      <c r="N1175" t="s">
        <v>71</v>
      </c>
      <c r="O1175" t="str">
        <f>IFERROR(IF(Tbla_actores[[#This Row],[codigo_proyecto]]="","",_xlfn.XLOOKUP(Tbla_actores[[#This Row],[codigo_proyecto]],Proyectos!$A:$A,Proyectos!$C:$C)),"")</f>
        <v>NULOS</v>
      </c>
    </row>
    <row r="1176" spans="1:15">
      <c r="A1176" s="9">
        <v>1005369562</v>
      </c>
      <c r="B1176" s="63" t="s">
        <v>61</v>
      </c>
      <c r="C1176" s="62" t="s">
        <v>3329</v>
      </c>
      <c r="D1176" t="s">
        <v>63</v>
      </c>
      <c r="E1176" t="s">
        <v>3588</v>
      </c>
      <c r="F1176" s="61">
        <v>36921</v>
      </c>
      <c r="G1176" s="15" t="s">
        <v>65</v>
      </c>
      <c r="H1176" t="s">
        <v>3589</v>
      </c>
      <c r="I1176" s="62" t="s">
        <v>3590</v>
      </c>
      <c r="K1176" s="36" t="s">
        <v>169</v>
      </c>
      <c r="L1176" t="s">
        <v>69</v>
      </c>
      <c r="M1176" s="62" t="s">
        <v>170</v>
      </c>
      <c r="N1176" t="s">
        <v>71</v>
      </c>
      <c r="O1176" t="str">
        <f>IFERROR(IF(Tbla_actores[[#This Row],[codigo_proyecto]]="","",_xlfn.XLOOKUP(Tbla_actores[[#This Row],[codigo_proyecto]],Proyectos!$A:$A,Proyectos!$C:$C)),"")</f>
        <v>NULOS</v>
      </c>
    </row>
    <row r="1177" spans="1:15">
      <c r="A1177" s="10">
        <v>1000588488</v>
      </c>
      <c r="B1177" s="64" t="s">
        <v>61</v>
      </c>
      <c r="C1177" s="62" t="s">
        <v>3329</v>
      </c>
      <c r="D1177" t="s">
        <v>63</v>
      </c>
      <c r="E1177" t="s">
        <v>3591</v>
      </c>
      <c r="F1177" s="61">
        <v>36857</v>
      </c>
      <c r="G1177" s="15" t="s">
        <v>65</v>
      </c>
      <c r="H1177" t="s">
        <v>3592</v>
      </c>
      <c r="I1177" s="62" t="s">
        <v>3593</v>
      </c>
      <c r="K1177" s="36" t="s">
        <v>169</v>
      </c>
      <c r="L1177" t="s">
        <v>69</v>
      </c>
      <c r="M1177" s="62" t="s">
        <v>170</v>
      </c>
      <c r="N1177" t="s">
        <v>71</v>
      </c>
      <c r="O1177" t="str">
        <f>IFERROR(IF(Tbla_actores[[#This Row],[codigo_proyecto]]="","",_xlfn.XLOOKUP(Tbla_actores[[#This Row],[codigo_proyecto]],Proyectos!$A:$A,Proyectos!$C:$C)),"")</f>
        <v>NULOS</v>
      </c>
    </row>
    <row r="1178" spans="1:15">
      <c r="A1178" s="9">
        <v>1019145210</v>
      </c>
      <c r="B1178" s="63" t="s">
        <v>61</v>
      </c>
      <c r="C1178" s="62" t="s">
        <v>3329</v>
      </c>
      <c r="D1178" t="s">
        <v>63</v>
      </c>
      <c r="E1178" t="s">
        <v>3594</v>
      </c>
      <c r="F1178" s="61">
        <v>36151</v>
      </c>
      <c r="G1178" s="15" t="s">
        <v>65</v>
      </c>
      <c r="H1178" t="s">
        <v>3595</v>
      </c>
      <c r="I1178" s="62" t="s">
        <v>3596</v>
      </c>
      <c r="K1178" s="36" t="s">
        <v>169</v>
      </c>
      <c r="L1178" t="s">
        <v>69</v>
      </c>
      <c r="M1178" s="62" t="s">
        <v>170</v>
      </c>
      <c r="N1178" t="s">
        <v>71</v>
      </c>
      <c r="O1178" t="str">
        <f>IFERROR(IF(Tbla_actores[[#This Row],[codigo_proyecto]]="","",_xlfn.XLOOKUP(Tbla_actores[[#This Row],[codigo_proyecto]],Proyectos!$A:$A,Proyectos!$C:$C)),"")</f>
        <v>NULOS</v>
      </c>
    </row>
    <row r="1179" spans="1:15">
      <c r="A1179" s="10">
        <v>1020839585</v>
      </c>
      <c r="B1179" s="64" t="s">
        <v>61</v>
      </c>
      <c r="C1179" s="62" t="s">
        <v>3329</v>
      </c>
      <c r="D1179" t="s">
        <v>63</v>
      </c>
      <c r="E1179" t="s">
        <v>3597</v>
      </c>
      <c r="F1179" s="61">
        <v>36225</v>
      </c>
      <c r="G1179" s="15" t="s">
        <v>65</v>
      </c>
      <c r="H1179" t="s">
        <v>3598</v>
      </c>
      <c r="I1179" s="62" t="s">
        <v>3599</v>
      </c>
      <c r="K1179" s="36" t="s">
        <v>169</v>
      </c>
      <c r="L1179" t="s">
        <v>69</v>
      </c>
      <c r="M1179" s="62" t="s">
        <v>170</v>
      </c>
      <c r="N1179" t="s">
        <v>71</v>
      </c>
      <c r="O1179" t="str">
        <f>IFERROR(IF(Tbla_actores[[#This Row],[codigo_proyecto]]="","",_xlfn.XLOOKUP(Tbla_actores[[#This Row],[codigo_proyecto]],Proyectos!$A:$A,Proyectos!$C:$C)),"")</f>
        <v>NULOS</v>
      </c>
    </row>
    <row r="1180" spans="1:15">
      <c r="A1180" s="9">
        <v>1032490020</v>
      </c>
      <c r="B1180" s="63" t="s">
        <v>61</v>
      </c>
      <c r="C1180" s="62" t="s">
        <v>3329</v>
      </c>
      <c r="D1180" t="s">
        <v>63</v>
      </c>
      <c r="E1180" t="s">
        <v>3600</v>
      </c>
      <c r="F1180" s="61">
        <v>35525</v>
      </c>
      <c r="G1180" s="15" t="s">
        <v>65</v>
      </c>
      <c r="H1180" t="s">
        <v>3601</v>
      </c>
      <c r="I1180" s="62" t="s">
        <v>3602</v>
      </c>
      <c r="K1180" s="36" t="s">
        <v>169</v>
      </c>
      <c r="L1180" t="s">
        <v>69</v>
      </c>
      <c r="M1180" s="62" t="s">
        <v>170</v>
      </c>
      <c r="N1180" t="s">
        <v>71</v>
      </c>
      <c r="O1180" t="str">
        <f>IFERROR(IF(Tbla_actores[[#This Row],[codigo_proyecto]]="","",_xlfn.XLOOKUP(Tbla_actores[[#This Row],[codigo_proyecto]],Proyectos!$A:$A,Proyectos!$C:$C)),"")</f>
        <v>NULOS</v>
      </c>
    </row>
    <row r="1181" spans="1:15">
      <c r="A1181" s="10">
        <v>1032501980</v>
      </c>
      <c r="B1181" s="64" t="s">
        <v>61</v>
      </c>
      <c r="C1181" s="62" t="s">
        <v>3329</v>
      </c>
      <c r="D1181" t="s">
        <v>63</v>
      </c>
      <c r="E1181" t="s">
        <v>3603</v>
      </c>
      <c r="F1181" s="61">
        <v>36145</v>
      </c>
      <c r="G1181" s="15" t="s">
        <v>73</v>
      </c>
      <c r="H1181" t="s">
        <v>3604</v>
      </c>
      <c r="I1181" s="62" t="s">
        <v>3605</v>
      </c>
      <c r="K1181" s="36" t="s">
        <v>169</v>
      </c>
      <c r="L1181" t="s">
        <v>69</v>
      </c>
      <c r="M1181" s="62" t="s">
        <v>170</v>
      </c>
      <c r="N1181" t="s">
        <v>71</v>
      </c>
      <c r="O1181" t="str">
        <f>IFERROR(IF(Tbla_actores[[#This Row],[codigo_proyecto]]="","",_xlfn.XLOOKUP(Tbla_actores[[#This Row],[codigo_proyecto]],Proyectos!$A:$A,Proyectos!$C:$C)),"")</f>
        <v>NULOS</v>
      </c>
    </row>
    <row r="1182" spans="1:15">
      <c r="A1182" s="9">
        <v>1019122020</v>
      </c>
      <c r="B1182" s="63" t="s">
        <v>61</v>
      </c>
      <c r="C1182" s="62" t="s">
        <v>3329</v>
      </c>
      <c r="D1182" t="s">
        <v>63</v>
      </c>
      <c r="E1182" t="s">
        <v>3606</v>
      </c>
      <c r="F1182" s="61">
        <v>35292</v>
      </c>
      <c r="G1182" s="15" t="s">
        <v>73</v>
      </c>
      <c r="H1182" t="s">
        <v>3607</v>
      </c>
      <c r="I1182" s="62" t="s">
        <v>3608</v>
      </c>
      <c r="K1182" s="36" t="s">
        <v>169</v>
      </c>
      <c r="L1182" t="s">
        <v>69</v>
      </c>
      <c r="M1182" s="62" t="s">
        <v>170</v>
      </c>
      <c r="N1182" t="s">
        <v>71</v>
      </c>
      <c r="O1182" t="str">
        <f>IFERROR(IF(Tbla_actores[[#This Row],[codigo_proyecto]]="","",_xlfn.XLOOKUP(Tbla_actores[[#This Row],[codigo_proyecto]],Proyectos!$A:$A,Proyectos!$C:$C)),"")</f>
        <v>NULOS</v>
      </c>
    </row>
    <row r="1183" spans="1:15">
      <c r="A1183" s="10">
        <v>1020830865</v>
      </c>
      <c r="B1183" s="64" t="s">
        <v>61</v>
      </c>
      <c r="C1183" s="62" t="s">
        <v>3329</v>
      </c>
      <c r="D1183" t="s">
        <v>63</v>
      </c>
      <c r="E1183" t="s">
        <v>3609</v>
      </c>
      <c r="F1183" s="61">
        <v>35851</v>
      </c>
      <c r="G1183" s="15" t="s">
        <v>73</v>
      </c>
      <c r="H1183" t="s">
        <v>3610</v>
      </c>
      <c r="I1183" s="62" t="s">
        <v>3611</v>
      </c>
      <c r="K1183" s="36" t="s">
        <v>169</v>
      </c>
      <c r="L1183" t="s">
        <v>69</v>
      </c>
      <c r="M1183" s="62" t="s">
        <v>170</v>
      </c>
      <c r="N1183" t="s">
        <v>71</v>
      </c>
      <c r="O1183" t="str">
        <f>IFERROR(IF(Tbla_actores[[#This Row],[codigo_proyecto]]="","",_xlfn.XLOOKUP(Tbla_actores[[#This Row],[codigo_proyecto]],Proyectos!$A:$A,Proyectos!$C:$C)),"")</f>
        <v>NULOS</v>
      </c>
    </row>
    <row r="1184" spans="1:15">
      <c r="A1184" s="9">
        <v>1072672957</v>
      </c>
      <c r="B1184" s="63" t="s">
        <v>61</v>
      </c>
      <c r="C1184" s="62" t="s">
        <v>3329</v>
      </c>
      <c r="D1184" t="s">
        <v>63</v>
      </c>
      <c r="E1184" t="s">
        <v>3612</v>
      </c>
      <c r="F1184" s="61">
        <v>36293</v>
      </c>
      <c r="G1184" s="15" t="s">
        <v>73</v>
      </c>
      <c r="H1184" t="s">
        <v>3613</v>
      </c>
      <c r="I1184" s="62" t="s">
        <v>3614</v>
      </c>
      <c r="K1184" s="36" t="s">
        <v>169</v>
      </c>
      <c r="L1184" t="s">
        <v>69</v>
      </c>
      <c r="M1184" s="62" t="s">
        <v>170</v>
      </c>
      <c r="N1184" t="s">
        <v>71</v>
      </c>
      <c r="O1184" t="str">
        <f>IFERROR(IF(Tbla_actores[[#This Row],[codigo_proyecto]]="","",_xlfn.XLOOKUP(Tbla_actores[[#This Row],[codigo_proyecto]],Proyectos!$A:$A,Proyectos!$C:$C)),"")</f>
        <v>NULOS</v>
      </c>
    </row>
    <row r="1185" spans="1:15">
      <c r="A1185" s="10">
        <v>1121954005</v>
      </c>
      <c r="B1185" s="64" t="s">
        <v>61</v>
      </c>
      <c r="C1185" s="62" t="s">
        <v>3329</v>
      </c>
      <c r="D1185" t="s">
        <v>63</v>
      </c>
      <c r="E1185" t="s">
        <v>3615</v>
      </c>
      <c r="F1185" s="61">
        <v>35923</v>
      </c>
      <c r="G1185" s="15" t="s">
        <v>65</v>
      </c>
      <c r="H1185" t="s">
        <v>3616</v>
      </c>
      <c r="I1185" s="62" t="s">
        <v>3617</v>
      </c>
      <c r="K1185" s="36" t="s">
        <v>169</v>
      </c>
      <c r="L1185" t="s">
        <v>69</v>
      </c>
      <c r="M1185" s="62" t="s">
        <v>170</v>
      </c>
      <c r="N1185" t="s">
        <v>71</v>
      </c>
      <c r="O1185" t="str">
        <f>IFERROR(IF(Tbla_actores[[#This Row],[codigo_proyecto]]="","",_xlfn.XLOOKUP(Tbla_actores[[#This Row],[codigo_proyecto]],Proyectos!$A:$A,Proyectos!$C:$C)),"")</f>
        <v>NULOS</v>
      </c>
    </row>
    <row r="1186" spans="1:15">
      <c r="A1186" s="9">
        <v>1019132032</v>
      </c>
      <c r="B1186" s="63" t="s">
        <v>61</v>
      </c>
      <c r="C1186" s="62" t="s">
        <v>3329</v>
      </c>
      <c r="D1186" t="s">
        <v>63</v>
      </c>
      <c r="E1186" t="s">
        <v>3618</v>
      </c>
      <c r="F1186" s="61">
        <v>35639</v>
      </c>
      <c r="G1186" s="15" t="s">
        <v>73</v>
      </c>
      <c r="H1186" t="s">
        <v>3619</v>
      </c>
      <c r="I1186" s="62" t="s">
        <v>3620</v>
      </c>
      <c r="K1186" s="36" t="s">
        <v>169</v>
      </c>
      <c r="L1186" t="s">
        <v>69</v>
      </c>
      <c r="M1186" s="62" t="s">
        <v>170</v>
      </c>
      <c r="N1186" t="s">
        <v>71</v>
      </c>
      <c r="O1186" t="str">
        <f>IFERROR(IF(Tbla_actores[[#This Row],[codigo_proyecto]]="","",_xlfn.XLOOKUP(Tbla_actores[[#This Row],[codigo_proyecto]],Proyectos!$A:$A,Proyectos!$C:$C)),"")</f>
        <v>NULOS</v>
      </c>
    </row>
    <row r="1187" spans="1:15">
      <c r="A1187" s="10">
        <v>1000800876</v>
      </c>
      <c r="B1187" s="64" t="s">
        <v>61</v>
      </c>
      <c r="C1187" s="62" t="s">
        <v>3329</v>
      </c>
      <c r="D1187" t="s">
        <v>63</v>
      </c>
      <c r="E1187" t="s">
        <v>3621</v>
      </c>
      <c r="F1187" s="61">
        <v>36612</v>
      </c>
      <c r="G1187" s="15" t="s">
        <v>65</v>
      </c>
      <c r="H1187" t="s">
        <v>3622</v>
      </c>
      <c r="I1187" s="62" t="s">
        <v>3623</v>
      </c>
      <c r="K1187" s="36" t="s">
        <v>169</v>
      </c>
      <c r="L1187" t="s">
        <v>69</v>
      </c>
      <c r="M1187" s="62" t="s">
        <v>170</v>
      </c>
      <c r="N1187" t="s">
        <v>71</v>
      </c>
      <c r="O1187" t="str">
        <f>IFERROR(IF(Tbla_actores[[#This Row],[codigo_proyecto]]="","",_xlfn.XLOOKUP(Tbla_actores[[#This Row],[codigo_proyecto]],Proyectos!$A:$A,Proyectos!$C:$C)),"")</f>
        <v>NULOS</v>
      </c>
    </row>
    <row r="1188" spans="1:15">
      <c r="A1188" s="9">
        <v>1016111314</v>
      </c>
      <c r="B1188" s="63" t="s">
        <v>61</v>
      </c>
      <c r="C1188" s="62" t="s">
        <v>3329</v>
      </c>
      <c r="D1188" t="s">
        <v>63</v>
      </c>
      <c r="E1188" t="s">
        <v>3624</v>
      </c>
      <c r="F1188" s="61">
        <v>36342</v>
      </c>
      <c r="G1188" s="15" t="s">
        <v>65</v>
      </c>
      <c r="H1188" t="s">
        <v>3625</v>
      </c>
      <c r="I1188" s="62" t="s">
        <v>3626</v>
      </c>
      <c r="K1188" s="36" t="s">
        <v>169</v>
      </c>
      <c r="L1188" t="s">
        <v>69</v>
      </c>
      <c r="M1188" s="62" t="s">
        <v>170</v>
      </c>
      <c r="N1188" t="s">
        <v>71</v>
      </c>
      <c r="O1188" t="str">
        <f>IFERROR(IF(Tbla_actores[[#This Row],[codigo_proyecto]]="","",_xlfn.XLOOKUP(Tbla_actores[[#This Row],[codigo_proyecto]],Proyectos!$A:$A,Proyectos!$C:$C)),"")</f>
        <v>NULOS</v>
      </c>
    </row>
    <row r="1189" spans="1:15">
      <c r="A1189" s="10">
        <v>1000269063</v>
      </c>
      <c r="B1189" s="64" t="s">
        <v>61</v>
      </c>
      <c r="C1189" s="62" t="s">
        <v>3329</v>
      </c>
      <c r="D1189" t="s">
        <v>63</v>
      </c>
      <c r="E1189" t="s">
        <v>3627</v>
      </c>
      <c r="F1189" s="61">
        <v>36003</v>
      </c>
      <c r="G1189" s="15" t="s">
        <v>65</v>
      </c>
      <c r="H1189" t="s">
        <v>3628</v>
      </c>
      <c r="I1189" s="62" t="s">
        <v>3629</v>
      </c>
      <c r="K1189" s="36" t="s">
        <v>169</v>
      </c>
      <c r="L1189" t="s">
        <v>69</v>
      </c>
      <c r="M1189" s="62" t="s">
        <v>170</v>
      </c>
      <c r="N1189" t="s">
        <v>71</v>
      </c>
      <c r="O1189" t="str">
        <f>IFERROR(IF(Tbla_actores[[#This Row],[codigo_proyecto]]="","",_xlfn.XLOOKUP(Tbla_actores[[#This Row],[codigo_proyecto]],Proyectos!$A:$A,Proyectos!$C:$C)),"")</f>
        <v>NULOS</v>
      </c>
    </row>
    <row r="1190" spans="1:15">
      <c r="A1190" s="9">
        <v>1001089795</v>
      </c>
      <c r="B1190" s="63" t="s">
        <v>61</v>
      </c>
      <c r="C1190" s="62" t="s">
        <v>3329</v>
      </c>
      <c r="D1190" t="s">
        <v>63</v>
      </c>
      <c r="E1190" t="s">
        <v>3630</v>
      </c>
      <c r="F1190" s="61">
        <v>36423</v>
      </c>
      <c r="G1190" s="15" t="s">
        <v>65</v>
      </c>
      <c r="H1190" t="s">
        <v>3631</v>
      </c>
      <c r="I1190" s="62" t="s">
        <v>3632</v>
      </c>
      <c r="K1190" s="36" t="s">
        <v>169</v>
      </c>
      <c r="L1190" t="s">
        <v>69</v>
      </c>
      <c r="M1190" s="62" t="s">
        <v>170</v>
      </c>
      <c r="N1190" t="s">
        <v>71</v>
      </c>
      <c r="O1190" t="str">
        <f>IFERROR(IF(Tbla_actores[[#This Row],[codigo_proyecto]]="","",_xlfn.XLOOKUP(Tbla_actores[[#This Row],[codigo_proyecto]],Proyectos!$A:$A,Proyectos!$C:$C)),"")</f>
        <v>NULOS</v>
      </c>
    </row>
    <row r="1191" spans="1:15">
      <c r="A1191" s="10">
        <v>1016098799</v>
      </c>
      <c r="B1191" s="64" t="s">
        <v>61</v>
      </c>
      <c r="C1191" s="62" t="s">
        <v>3329</v>
      </c>
      <c r="D1191" t="s">
        <v>63</v>
      </c>
      <c r="E1191" t="s">
        <v>3633</v>
      </c>
      <c r="F1191" s="61">
        <v>35778</v>
      </c>
      <c r="G1191" s="15" t="s">
        <v>73</v>
      </c>
      <c r="H1191" t="s">
        <v>3634</v>
      </c>
      <c r="I1191" s="62" t="s">
        <v>1519</v>
      </c>
      <c r="K1191" s="36" t="s">
        <v>169</v>
      </c>
      <c r="L1191" t="s">
        <v>69</v>
      </c>
      <c r="M1191" s="62" t="s">
        <v>170</v>
      </c>
      <c r="N1191" t="s">
        <v>71</v>
      </c>
      <c r="O1191" t="str">
        <f>IFERROR(IF(Tbla_actores[[#This Row],[codigo_proyecto]]="","",_xlfn.XLOOKUP(Tbla_actores[[#This Row],[codigo_proyecto]],Proyectos!$A:$A,Proyectos!$C:$C)),"")</f>
        <v>NULOS</v>
      </c>
    </row>
    <row r="1192" spans="1:15">
      <c r="A1192" s="9">
        <v>1004417380</v>
      </c>
      <c r="B1192" s="63" t="s">
        <v>61</v>
      </c>
      <c r="C1192" s="62" t="s">
        <v>3329</v>
      </c>
      <c r="D1192" t="s">
        <v>63</v>
      </c>
      <c r="E1192" t="s">
        <v>3635</v>
      </c>
      <c r="F1192" s="61">
        <v>36447</v>
      </c>
      <c r="G1192" s="15" t="s">
        <v>73</v>
      </c>
      <c r="H1192" t="s">
        <v>3636</v>
      </c>
      <c r="I1192" s="62" t="s">
        <v>3637</v>
      </c>
      <c r="K1192" s="36" t="s">
        <v>169</v>
      </c>
      <c r="L1192" t="s">
        <v>69</v>
      </c>
      <c r="M1192" s="62" t="s">
        <v>170</v>
      </c>
      <c r="N1192" t="s">
        <v>71</v>
      </c>
      <c r="O1192" t="str">
        <f>IFERROR(IF(Tbla_actores[[#This Row],[codigo_proyecto]]="","",_xlfn.XLOOKUP(Tbla_actores[[#This Row],[codigo_proyecto]],Proyectos!$A:$A,Proyectos!$C:$C)),"")</f>
        <v>NULOS</v>
      </c>
    </row>
    <row r="1193" spans="1:15">
      <c r="A1193" s="10">
        <v>1030698323</v>
      </c>
      <c r="B1193" s="64" t="s">
        <v>61</v>
      </c>
      <c r="C1193" s="62" t="s">
        <v>3329</v>
      </c>
      <c r="D1193" t="s">
        <v>63</v>
      </c>
      <c r="E1193" t="s">
        <v>3638</v>
      </c>
      <c r="F1193" s="61">
        <v>36367</v>
      </c>
      <c r="G1193" s="15" t="s">
        <v>65</v>
      </c>
      <c r="H1193" t="s">
        <v>3639</v>
      </c>
      <c r="I1193" s="62" t="s">
        <v>3640</v>
      </c>
      <c r="K1193" s="36" t="s">
        <v>169</v>
      </c>
      <c r="L1193" t="s">
        <v>69</v>
      </c>
      <c r="M1193" s="62" t="s">
        <v>170</v>
      </c>
      <c r="N1193" t="s">
        <v>71</v>
      </c>
      <c r="O1193" t="str">
        <f>IFERROR(IF(Tbla_actores[[#This Row],[codigo_proyecto]]="","",_xlfn.XLOOKUP(Tbla_actores[[#This Row],[codigo_proyecto]],Proyectos!$A:$A,Proyectos!$C:$C)),"")</f>
        <v>NULOS</v>
      </c>
    </row>
    <row r="1194" spans="1:15">
      <c r="A1194" s="9">
        <v>1026599844</v>
      </c>
      <c r="B1194" s="63" t="s">
        <v>61</v>
      </c>
      <c r="C1194" s="62" t="s">
        <v>3329</v>
      </c>
      <c r="D1194" t="s">
        <v>63</v>
      </c>
      <c r="E1194" t="s">
        <v>3641</v>
      </c>
      <c r="F1194" s="61">
        <v>36498</v>
      </c>
      <c r="G1194" s="15" t="s">
        <v>65</v>
      </c>
      <c r="H1194" t="s">
        <v>3642</v>
      </c>
      <c r="I1194" s="62" t="s">
        <v>3643</v>
      </c>
      <c r="K1194" s="36" t="s">
        <v>169</v>
      </c>
      <c r="L1194" t="s">
        <v>69</v>
      </c>
      <c r="M1194" s="62" t="s">
        <v>170</v>
      </c>
      <c r="N1194" t="s">
        <v>71</v>
      </c>
      <c r="O1194" t="str">
        <f>IFERROR(IF(Tbla_actores[[#This Row],[codigo_proyecto]]="","",_xlfn.XLOOKUP(Tbla_actores[[#This Row],[codigo_proyecto]],Proyectos!$A:$A,Proyectos!$C:$C)),"")</f>
        <v>NULOS</v>
      </c>
    </row>
    <row r="1195" spans="1:15">
      <c r="A1195" s="10">
        <v>1016110631</v>
      </c>
      <c r="B1195" s="64" t="s">
        <v>61</v>
      </c>
      <c r="C1195" s="62" t="s">
        <v>3329</v>
      </c>
      <c r="D1195" t="s">
        <v>63</v>
      </c>
      <c r="E1195" t="s">
        <v>3644</v>
      </c>
      <c r="F1195" s="61">
        <v>36316</v>
      </c>
      <c r="G1195" s="15" t="s">
        <v>65</v>
      </c>
      <c r="H1195" t="s">
        <v>3645</v>
      </c>
      <c r="I1195" s="62" t="s">
        <v>3646</v>
      </c>
      <c r="K1195" s="36" t="s">
        <v>169</v>
      </c>
      <c r="L1195" t="s">
        <v>69</v>
      </c>
      <c r="M1195" s="62" t="s">
        <v>170</v>
      </c>
      <c r="N1195" t="s">
        <v>71</v>
      </c>
      <c r="O1195" t="str">
        <f>IFERROR(IF(Tbla_actores[[#This Row],[codigo_proyecto]]="","",_xlfn.XLOOKUP(Tbla_actores[[#This Row],[codigo_proyecto]],Proyectos!$A:$A,Proyectos!$C:$C)),"")</f>
        <v>NULOS</v>
      </c>
    </row>
    <row r="1196" spans="1:15">
      <c r="A1196" s="9">
        <v>1022443632</v>
      </c>
      <c r="B1196" s="63" t="s">
        <v>61</v>
      </c>
      <c r="C1196" s="62" t="s">
        <v>3329</v>
      </c>
      <c r="D1196" t="s">
        <v>63</v>
      </c>
      <c r="E1196" t="s">
        <v>3647</v>
      </c>
      <c r="F1196" s="61">
        <v>36313</v>
      </c>
      <c r="G1196" s="15" t="s">
        <v>73</v>
      </c>
      <c r="H1196" t="s">
        <v>3648</v>
      </c>
      <c r="I1196" s="62" t="s">
        <v>3649</v>
      </c>
      <c r="K1196" s="36" t="s">
        <v>169</v>
      </c>
      <c r="L1196" t="s">
        <v>69</v>
      </c>
      <c r="M1196" s="62" t="s">
        <v>170</v>
      </c>
      <c r="N1196" t="s">
        <v>71</v>
      </c>
      <c r="O1196" t="str">
        <f>IFERROR(IF(Tbla_actores[[#This Row],[codigo_proyecto]]="","",_xlfn.XLOOKUP(Tbla_actores[[#This Row],[codigo_proyecto]],Proyectos!$A:$A,Proyectos!$C:$C)),"")</f>
        <v>NULOS</v>
      </c>
    </row>
    <row r="1197" spans="1:15">
      <c r="A1197" s="10">
        <v>1010216298</v>
      </c>
      <c r="B1197" s="64" t="s">
        <v>61</v>
      </c>
      <c r="C1197" s="62" t="s">
        <v>3329</v>
      </c>
      <c r="D1197" t="s">
        <v>63</v>
      </c>
      <c r="E1197" t="s">
        <v>3650</v>
      </c>
      <c r="F1197" s="61">
        <v>34464</v>
      </c>
      <c r="G1197" s="15" t="s">
        <v>73</v>
      </c>
      <c r="H1197" t="s">
        <v>3651</v>
      </c>
      <c r="I1197" s="62" t="s">
        <v>3652</v>
      </c>
      <c r="K1197" s="36" t="s">
        <v>169</v>
      </c>
      <c r="L1197" t="s">
        <v>69</v>
      </c>
      <c r="M1197" s="62" t="s">
        <v>170</v>
      </c>
      <c r="N1197" t="s">
        <v>71</v>
      </c>
      <c r="O1197" t="str">
        <f>IFERROR(IF(Tbla_actores[[#This Row],[codigo_proyecto]]="","",_xlfn.XLOOKUP(Tbla_actores[[#This Row],[codigo_proyecto]],Proyectos!$A:$A,Proyectos!$C:$C)),"")</f>
        <v>NULOS</v>
      </c>
    </row>
    <row r="1198" spans="1:15">
      <c r="A1198" s="9">
        <v>1026586960</v>
      </c>
      <c r="B1198" s="63" t="s">
        <v>61</v>
      </c>
      <c r="C1198" s="62" t="s">
        <v>3329</v>
      </c>
      <c r="D1198" t="s">
        <v>63</v>
      </c>
      <c r="E1198" t="s">
        <v>3653</v>
      </c>
      <c r="F1198" s="61">
        <v>35203</v>
      </c>
      <c r="G1198" s="15" t="s">
        <v>65</v>
      </c>
      <c r="H1198" t="s">
        <v>3654</v>
      </c>
      <c r="I1198" s="62" t="s">
        <v>3655</v>
      </c>
      <c r="K1198" s="36" t="s">
        <v>169</v>
      </c>
      <c r="L1198" t="s">
        <v>69</v>
      </c>
      <c r="M1198" s="62" t="s">
        <v>170</v>
      </c>
      <c r="N1198" t="s">
        <v>71</v>
      </c>
      <c r="O1198" t="str">
        <f>IFERROR(IF(Tbla_actores[[#This Row],[codigo_proyecto]]="","",_xlfn.XLOOKUP(Tbla_actores[[#This Row],[codigo_proyecto]],Proyectos!$A:$A,Proyectos!$C:$C)),"")</f>
        <v>NULOS</v>
      </c>
    </row>
    <row r="1199" spans="1:15">
      <c r="A1199" s="10">
        <v>1020837446</v>
      </c>
      <c r="B1199" s="64" t="s">
        <v>61</v>
      </c>
      <c r="C1199" s="62" t="s">
        <v>3329</v>
      </c>
      <c r="D1199" t="s">
        <v>63</v>
      </c>
      <c r="E1199" t="s">
        <v>3656</v>
      </c>
      <c r="F1199" s="61">
        <v>36138</v>
      </c>
      <c r="G1199" s="15" t="s">
        <v>65</v>
      </c>
      <c r="H1199" t="s">
        <v>3657</v>
      </c>
      <c r="I1199" s="62" t="s">
        <v>3658</v>
      </c>
      <c r="K1199" s="36" t="s">
        <v>169</v>
      </c>
      <c r="L1199" t="s">
        <v>69</v>
      </c>
      <c r="M1199" s="62" t="s">
        <v>170</v>
      </c>
      <c r="N1199" t="s">
        <v>71</v>
      </c>
      <c r="O1199" t="str">
        <f>IFERROR(IF(Tbla_actores[[#This Row],[codigo_proyecto]]="","",_xlfn.XLOOKUP(Tbla_actores[[#This Row],[codigo_proyecto]],Proyectos!$A:$A,Proyectos!$C:$C)),"")</f>
        <v>NULOS</v>
      </c>
    </row>
    <row r="1200" spans="1:15">
      <c r="A1200" s="9">
        <v>1018506612</v>
      </c>
      <c r="B1200" s="63" t="s">
        <v>61</v>
      </c>
      <c r="C1200" s="62" t="s">
        <v>3329</v>
      </c>
      <c r="D1200" t="s">
        <v>63</v>
      </c>
      <c r="E1200" t="s">
        <v>3659</v>
      </c>
      <c r="F1200" s="61">
        <v>36096</v>
      </c>
      <c r="G1200" s="15" t="s">
        <v>73</v>
      </c>
      <c r="H1200" t="s">
        <v>3660</v>
      </c>
      <c r="I1200" s="62" t="s">
        <v>3661</v>
      </c>
      <c r="K1200" s="36" t="s">
        <v>169</v>
      </c>
      <c r="L1200" t="s">
        <v>69</v>
      </c>
      <c r="M1200" s="62" t="s">
        <v>170</v>
      </c>
      <c r="N1200" t="s">
        <v>71</v>
      </c>
      <c r="O1200" t="str">
        <f>IFERROR(IF(Tbla_actores[[#This Row],[codigo_proyecto]]="","",_xlfn.XLOOKUP(Tbla_actores[[#This Row],[codigo_proyecto]],Proyectos!$A:$A,Proyectos!$C:$C)),"")</f>
        <v>NULOS</v>
      </c>
    </row>
    <row r="1201" spans="1:15">
      <c r="A1201" s="10">
        <v>1019140283</v>
      </c>
      <c r="B1201" s="64" t="s">
        <v>61</v>
      </c>
      <c r="C1201" s="62" t="s">
        <v>3329</v>
      </c>
      <c r="D1201" t="s">
        <v>63</v>
      </c>
      <c r="E1201" t="s">
        <v>3662</v>
      </c>
      <c r="F1201" s="61">
        <v>35943</v>
      </c>
      <c r="G1201" s="15" t="s">
        <v>65</v>
      </c>
      <c r="H1201" t="s">
        <v>3663</v>
      </c>
      <c r="I1201" s="62" t="s">
        <v>3664</v>
      </c>
      <c r="K1201" s="36" t="s">
        <v>169</v>
      </c>
      <c r="L1201" t="s">
        <v>69</v>
      </c>
      <c r="M1201" s="62" t="s">
        <v>170</v>
      </c>
      <c r="N1201" t="s">
        <v>71</v>
      </c>
      <c r="O1201" t="str">
        <f>IFERROR(IF(Tbla_actores[[#This Row],[codigo_proyecto]]="","",_xlfn.XLOOKUP(Tbla_actores[[#This Row],[codigo_proyecto]],Proyectos!$A:$A,Proyectos!$C:$C)),"")</f>
        <v>NULOS</v>
      </c>
    </row>
    <row r="1202" spans="1:15">
      <c r="A1202" s="9">
        <v>1020833785</v>
      </c>
      <c r="B1202" s="63" t="s">
        <v>61</v>
      </c>
      <c r="C1202" s="62" t="s">
        <v>3329</v>
      </c>
      <c r="D1202" t="s">
        <v>63</v>
      </c>
      <c r="E1202" t="s">
        <v>3665</v>
      </c>
      <c r="F1202" s="61">
        <v>35975</v>
      </c>
      <c r="G1202" s="15" t="s">
        <v>65</v>
      </c>
      <c r="H1202" t="s">
        <v>3666</v>
      </c>
      <c r="I1202" s="62" t="s">
        <v>3667</v>
      </c>
      <c r="K1202" s="36" t="s">
        <v>169</v>
      </c>
      <c r="L1202" t="s">
        <v>69</v>
      </c>
      <c r="M1202" s="62" t="s">
        <v>170</v>
      </c>
      <c r="N1202" t="s">
        <v>71</v>
      </c>
      <c r="O1202" t="str">
        <f>IFERROR(IF(Tbla_actores[[#This Row],[codigo_proyecto]]="","",_xlfn.XLOOKUP(Tbla_actores[[#This Row],[codigo_proyecto]],Proyectos!$A:$A,Proyectos!$C:$C)),"")</f>
        <v>NULOS</v>
      </c>
    </row>
    <row r="1203" spans="1:15">
      <c r="A1203" s="10">
        <v>1005333041</v>
      </c>
      <c r="B1203" s="64" t="s">
        <v>61</v>
      </c>
      <c r="C1203" s="62" t="s">
        <v>3329</v>
      </c>
      <c r="D1203" t="s">
        <v>63</v>
      </c>
      <c r="E1203" t="s">
        <v>3668</v>
      </c>
      <c r="F1203" s="61">
        <v>36666</v>
      </c>
      <c r="G1203" s="15" t="s">
        <v>65</v>
      </c>
      <c r="H1203" t="s">
        <v>3669</v>
      </c>
      <c r="I1203" s="62" t="s">
        <v>3670</v>
      </c>
      <c r="K1203" s="36" t="s">
        <v>169</v>
      </c>
      <c r="L1203" t="s">
        <v>69</v>
      </c>
      <c r="M1203" s="62" t="s">
        <v>170</v>
      </c>
      <c r="N1203" t="s">
        <v>71</v>
      </c>
      <c r="O1203" t="str">
        <f>IFERROR(IF(Tbla_actores[[#This Row],[codigo_proyecto]]="","",_xlfn.XLOOKUP(Tbla_actores[[#This Row],[codigo_proyecto]],Proyectos!$A:$A,Proyectos!$C:$C)),"")</f>
        <v>NULOS</v>
      </c>
    </row>
    <row r="1204" spans="1:15">
      <c r="A1204" s="9">
        <v>1234093579</v>
      </c>
      <c r="B1204" s="63" t="s">
        <v>61</v>
      </c>
      <c r="C1204" s="62" t="s">
        <v>3329</v>
      </c>
      <c r="D1204" t="s">
        <v>63</v>
      </c>
      <c r="E1204" t="s">
        <v>3671</v>
      </c>
      <c r="F1204" s="61">
        <v>36157</v>
      </c>
      <c r="G1204" s="15" t="s">
        <v>73</v>
      </c>
      <c r="H1204" t="s">
        <v>3672</v>
      </c>
      <c r="I1204" s="62" t="s">
        <v>3673</v>
      </c>
      <c r="K1204" s="36" t="s">
        <v>169</v>
      </c>
      <c r="L1204" t="s">
        <v>69</v>
      </c>
      <c r="M1204" s="62" t="s">
        <v>170</v>
      </c>
      <c r="N1204" t="s">
        <v>71</v>
      </c>
      <c r="O1204" t="str">
        <f>IFERROR(IF(Tbla_actores[[#This Row],[codigo_proyecto]]="","",_xlfn.XLOOKUP(Tbla_actores[[#This Row],[codigo_proyecto]],Proyectos!$A:$A,Proyectos!$C:$C)),"")</f>
        <v>NULOS</v>
      </c>
    </row>
    <row r="1205" spans="1:15">
      <c r="A1205" s="10">
        <v>1020827554</v>
      </c>
      <c r="B1205" s="64" t="s">
        <v>61</v>
      </c>
      <c r="C1205" s="62" t="s">
        <v>3329</v>
      </c>
      <c r="D1205" t="s">
        <v>63</v>
      </c>
      <c r="E1205" t="s">
        <v>3674</v>
      </c>
      <c r="F1205" s="61">
        <v>35655</v>
      </c>
      <c r="G1205" s="15" t="s">
        <v>73</v>
      </c>
      <c r="H1205" t="s">
        <v>3675</v>
      </c>
      <c r="I1205" s="62" t="s">
        <v>3676</v>
      </c>
      <c r="K1205" s="36" t="s">
        <v>169</v>
      </c>
      <c r="L1205" t="s">
        <v>69</v>
      </c>
      <c r="M1205" s="62" t="s">
        <v>170</v>
      </c>
      <c r="N1205" t="s">
        <v>71</v>
      </c>
      <c r="O1205" t="str">
        <f>IFERROR(IF(Tbla_actores[[#This Row],[codigo_proyecto]]="","",_xlfn.XLOOKUP(Tbla_actores[[#This Row],[codigo_proyecto]],Proyectos!$A:$A,Proyectos!$C:$C)),"")</f>
        <v>NULOS</v>
      </c>
    </row>
    <row r="1206" spans="1:15">
      <c r="A1206" s="9">
        <v>1098410657</v>
      </c>
      <c r="B1206" s="63" t="s">
        <v>61</v>
      </c>
      <c r="C1206" s="62" t="s">
        <v>3329</v>
      </c>
      <c r="D1206" t="s">
        <v>63</v>
      </c>
      <c r="E1206" t="s">
        <v>3677</v>
      </c>
      <c r="F1206" s="61">
        <v>36321</v>
      </c>
      <c r="G1206" s="15" t="s">
        <v>73</v>
      </c>
      <c r="H1206" t="s">
        <v>3678</v>
      </c>
      <c r="I1206" s="62" t="s">
        <v>3679</v>
      </c>
      <c r="K1206" s="36" t="s">
        <v>169</v>
      </c>
      <c r="L1206" t="s">
        <v>69</v>
      </c>
      <c r="M1206" s="62" t="s">
        <v>170</v>
      </c>
      <c r="N1206" t="s">
        <v>71</v>
      </c>
      <c r="O1206" t="str">
        <f>IFERROR(IF(Tbla_actores[[#This Row],[codigo_proyecto]]="","",_xlfn.XLOOKUP(Tbla_actores[[#This Row],[codigo_proyecto]],Proyectos!$A:$A,Proyectos!$C:$C)),"")</f>
        <v>NULOS</v>
      </c>
    </row>
    <row r="1207" spans="1:15">
      <c r="A1207" s="10">
        <v>1030691693</v>
      </c>
      <c r="B1207" s="64" t="s">
        <v>61</v>
      </c>
      <c r="C1207" s="62" t="s">
        <v>3329</v>
      </c>
      <c r="D1207" t="s">
        <v>63</v>
      </c>
      <c r="E1207" t="s">
        <v>3680</v>
      </c>
      <c r="F1207" s="61">
        <v>36071</v>
      </c>
      <c r="G1207" s="15" t="s">
        <v>73</v>
      </c>
      <c r="H1207" t="s">
        <v>3681</v>
      </c>
      <c r="I1207" s="62" t="s">
        <v>3682</v>
      </c>
      <c r="K1207" s="36" t="s">
        <v>169</v>
      </c>
      <c r="L1207" t="s">
        <v>69</v>
      </c>
      <c r="M1207" s="62" t="s">
        <v>170</v>
      </c>
      <c r="N1207" t="s">
        <v>71</v>
      </c>
      <c r="O1207" t="str">
        <f>IFERROR(IF(Tbla_actores[[#This Row],[codigo_proyecto]]="","",_xlfn.XLOOKUP(Tbla_actores[[#This Row],[codigo_proyecto]],Proyectos!$A:$A,Proyectos!$C:$C)),"")</f>
        <v>NULOS</v>
      </c>
    </row>
    <row r="1208" spans="1:15">
      <c r="A1208" s="9">
        <v>1018501240</v>
      </c>
      <c r="B1208" s="63" t="s">
        <v>61</v>
      </c>
      <c r="C1208" s="62" t="s">
        <v>3329</v>
      </c>
      <c r="D1208" t="s">
        <v>63</v>
      </c>
      <c r="E1208" t="s">
        <v>3683</v>
      </c>
      <c r="F1208" s="61">
        <v>35665</v>
      </c>
      <c r="G1208" s="15" t="s">
        <v>65</v>
      </c>
      <c r="H1208" t="s">
        <v>3684</v>
      </c>
      <c r="I1208" s="62" t="s">
        <v>3685</v>
      </c>
      <c r="K1208" s="36" t="s">
        <v>169</v>
      </c>
      <c r="L1208" t="s">
        <v>69</v>
      </c>
      <c r="M1208" s="62" t="s">
        <v>170</v>
      </c>
      <c r="N1208" t="s">
        <v>71</v>
      </c>
      <c r="O1208" t="str">
        <f>IFERROR(IF(Tbla_actores[[#This Row],[codigo_proyecto]]="","",_xlfn.XLOOKUP(Tbla_actores[[#This Row],[codigo_proyecto]],Proyectos!$A:$A,Proyectos!$C:$C)),"")</f>
        <v>NULOS</v>
      </c>
    </row>
    <row r="1209" spans="1:15">
      <c r="A1209" s="10">
        <v>1121937859</v>
      </c>
      <c r="B1209" s="64" t="s">
        <v>61</v>
      </c>
      <c r="C1209" s="62" t="s">
        <v>3329</v>
      </c>
      <c r="D1209" t="s">
        <v>63</v>
      </c>
      <c r="E1209" t="s">
        <v>3686</v>
      </c>
      <c r="F1209" s="61">
        <v>35320</v>
      </c>
      <c r="G1209" s="15" t="s">
        <v>73</v>
      </c>
      <c r="H1209" t="s">
        <v>3687</v>
      </c>
      <c r="I1209" s="62" t="s">
        <v>3688</v>
      </c>
      <c r="K1209" s="36" t="s">
        <v>169</v>
      </c>
      <c r="L1209" t="s">
        <v>69</v>
      </c>
      <c r="M1209" s="62" t="s">
        <v>170</v>
      </c>
      <c r="N1209" t="s">
        <v>71</v>
      </c>
      <c r="O1209" t="str">
        <f>IFERROR(IF(Tbla_actores[[#This Row],[codigo_proyecto]]="","",_xlfn.XLOOKUP(Tbla_actores[[#This Row],[codigo_proyecto]],Proyectos!$A:$A,Proyectos!$C:$C)),"")</f>
        <v>NULOS</v>
      </c>
    </row>
    <row r="1210" spans="1:15">
      <c r="A1210" s="9">
        <v>1052411692</v>
      </c>
      <c r="B1210" s="63" t="s">
        <v>61</v>
      </c>
      <c r="C1210" s="62" t="s">
        <v>3329</v>
      </c>
      <c r="D1210" t="s">
        <v>63</v>
      </c>
      <c r="E1210" t="s">
        <v>3689</v>
      </c>
      <c r="F1210" s="61">
        <v>35774</v>
      </c>
      <c r="G1210" s="15" t="s">
        <v>73</v>
      </c>
      <c r="H1210" t="s">
        <v>3690</v>
      </c>
      <c r="I1210" s="62" t="s">
        <v>3691</v>
      </c>
      <c r="K1210" s="36" t="s">
        <v>169</v>
      </c>
      <c r="L1210" t="s">
        <v>69</v>
      </c>
      <c r="M1210" s="62" t="s">
        <v>170</v>
      </c>
      <c r="N1210" t="s">
        <v>71</v>
      </c>
      <c r="O1210" t="str">
        <f>IFERROR(IF(Tbla_actores[[#This Row],[codigo_proyecto]]="","",_xlfn.XLOOKUP(Tbla_actores[[#This Row],[codigo_proyecto]],Proyectos!$A:$A,Proyectos!$C:$C)),"")</f>
        <v>NULOS</v>
      </c>
    </row>
    <row r="1211" spans="1:15">
      <c r="A1211" s="10">
        <v>1052413088</v>
      </c>
      <c r="B1211" s="64" t="s">
        <v>61</v>
      </c>
      <c r="C1211" s="62" t="s">
        <v>3329</v>
      </c>
      <c r="D1211" t="s">
        <v>63</v>
      </c>
      <c r="E1211" t="s">
        <v>3692</v>
      </c>
      <c r="F1211" s="61">
        <v>35901</v>
      </c>
      <c r="G1211" s="15" t="s">
        <v>65</v>
      </c>
      <c r="H1211" t="s">
        <v>3693</v>
      </c>
      <c r="I1211" s="62" t="s">
        <v>3694</v>
      </c>
      <c r="K1211" s="36" t="s">
        <v>169</v>
      </c>
      <c r="L1211" t="s">
        <v>69</v>
      </c>
      <c r="M1211" s="62" t="s">
        <v>170</v>
      </c>
      <c r="N1211" t="s">
        <v>71</v>
      </c>
      <c r="O1211" t="str">
        <f>IFERROR(IF(Tbla_actores[[#This Row],[codigo_proyecto]]="","",_xlfn.XLOOKUP(Tbla_actores[[#This Row],[codigo_proyecto]],Proyectos!$A:$A,Proyectos!$C:$C)),"")</f>
        <v>NULOS</v>
      </c>
    </row>
    <row r="1212" spans="1:15">
      <c r="A1212" s="9">
        <v>1010004525</v>
      </c>
      <c r="B1212" s="63" t="s">
        <v>61</v>
      </c>
      <c r="C1212" s="62" t="s">
        <v>3329</v>
      </c>
      <c r="D1212" t="s">
        <v>63</v>
      </c>
      <c r="E1212" t="s">
        <v>3695</v>
      </c>
      <c r="F1212" s="61">
        <v>36367</v>
      </c>
      <c r="G1212" s="15" t="s">
        <v>73</v>
      </c>
      <c r="H1212" t="s">
        <v>3696</v>
      </c>
      <c r="I1212" s="62" t="s">
        <v>3697</v>
      </c>
      <c r="K1212" s="36" t="s">
        <v>169</v>
      </c>
      <c r="L1212" t="s">
        <v>69</v>
      </c>
      <c r="M1212" s="62" t="s">
        <v>170</v>
      </c>
      <c r="N1212" t="s">
        <v>71</v>
      </c>
      <c r="O1212" t="str">
        <f>IFERROR(IF(Tbla_actores[[#This Row],[codigo_proyecto]]="","",_xlfn.XLOOKUP(Tbla_actores[[#This Row],[codigo_proyecto]],Proyectos!$A:$A,Proyectos!$C:$C)),"")</f>
        <v>NULOS</v>
      </c>
    </row>
    <row r="1213" spans="1:15">
      <c r="A1213" s="10">
        <v>1032501530</v>
      </c>
      <c r="B1213" s="64" t="s">
        <v>61</v>
      </c>
      <c r="C1213" s="62" t="s">
        <v>2550</v>
      </c>
      <c r="D1213" t="s">
        <v>63</v>
      </c>
      <c r="E1213" t="s">
        <v>3698</v>
      </c>
      <c r="F1213" s="61">
        <v>36131</v>
      </c>
      <c r="G1213" s="15" t="s">
        <v>65</v>
      </c>
      <c r="H1213" t="s">
        <v>3699</v>
      </c>
      <c r="I1213" s="62" t="s">
        <v>3700</v>
      </c>
      <c r="K1213" s="36" t="s">
        <v>169</v>
      </c>
      <c r="L1213" t="s">
        <v>69</v>
      </c>
      <c r="M1213" s="62" t="s">
        <v>170</v>
      </c>
      <c r="N1213" t="s">
        <v>71</v>
      </c>
      <c r="O1213" t="str">
        <f>IFERROR(IF(Tbla_actores[[#This Row],[codigo_proyecto]]="","",_xlfn.XLOOKUP(Tbla_actores[[#This Row],[codigo_proyecto]],Proyectos!$A:$A,Proyectos!$C:$C)),"")</f>
        <v>NULOS</v>
      </c>
    </row>
    <row r="1214" spans="1:15">
      <c r="A1214" s="9">
        <v>1020820078</v>
      </c>
      <c r="B1214" s="63" t="s">
        <v>61</v>
      </c>
      <c r="C1214" s="62" t="s">
        <v>3329</v>
      </c>
      <c r="D1214" t="s">
        <v>63</v>
      </c>
      <c r="E1214" t="s">
        <v>3701</v>
      </c>
      <c r="F1214" s="61">
        <v>35371</v>
      </c>
      <c r="G1214" s="15" t="s">
        <v>73</v>
      </c>
      <c r="H1214" t="s">
        <v>3702</v>
      </c>
      <c r="I1214" s="62" t="s">
        <v>3703</v>
      </c>
      <c r="K1214" s="36" t="s">
        <v>169</v>
      </c>
      <c r="L1214" t="s">
        <v>69</v>
      </c>
      <c r="M1214" s="62" t="s">
        <v>170</v>
      </c>
      <c r="N1214" t="s">
        <v>71</v>
      </c>
      <c r="O1214" t="str">
        <f>IFERROR(IF(Tbla_actores[[#This Row],[codigo_proyecto]]="","",_xlfn.XLOOKUP(Tbla_actores[[#This Row],[codigo_proyecto]],Proyectos!$A:$A,Proyectos!$C:$C)),"")</f>
        <v>NULOS</v>
      </c>
    </row>
    <row r="1215" spans="1:15">
      <c r="A1215" s="10">
        <v>1032496902</v>
      </c>
      <c r="B1215" s="64" t="s">
        <v>61</v>
      </c>
      <c r="C1215" s="62" t="s">
        <v>3329</v>
      </c>
      <c r="D1215" t="s">
        <v>63</v>
      </c>
      <c r="E1215" t="s">
        <v>3704</v>
      </c>
      <c r="F1215" s="61">
        <v>35874</v>
      </c>
      <c r="G1215" s="15" t="s">
        <v>65</v>
      </c>
      <c r="H1215" t="s">
        <v>3705</v>
      </c>
      <c r="I1215" s="62" t="s">
        <v>3706</v>
      </c>
      <c r="K1215" s="36" t="s">
        <v>169</v>
      </c>
      <c r="L1215" t="s">
        <v>69</v>
      </c>
      <c r="M1215" s="62" t="s">
        <v>170</v>
      </c>
      <c r="N1215" t="s">
        <v>71</v>
      </c>
      <c r="O1215" t="str">
        <f>IFERROR(IF(Tbla_actores[[#This Row],[codigo_proyecto]]="","",_xlfn.XLOOKUP(Tbla_actores[[#This Row],[codigo_proyecto]],Proyectos!$A:$A,Proyectos!$C:$C)),"")</f>
        <v>NULOS</v>
      </c>
    </row>
    <row r="1216" spans="1:15">
      <c r="A1216" s="9">
        <v>1020832655</v>
      </c>
      <c r="B1216" s="63" t="s">
        <v>61</v>
      </c>
      <c r="C1216" s="62" t="s">
        <v>3329</v>
      </c>
      <c r="D1216" t="s">
        <v>63</v>
      </c>
      <c r="E1216" t="s">
        <v>3707</v>
      </c>
      <c r="F1216" s="61">
        <v>35928</v>
      </c>
      <c r="G1216" s="15" t="s">
        <v>73</v>
      </c>
      <c r="H1216" t="s">
        <v>3708</v>
      </c>
      <c r="I1216" s="62" t="s">
        <v>3709</v>
      </c>
      <c r="K1216" s="36" t="s">
        <v>169</v>
      </c>
      <c r="L1216" t="s">
        <v>69</v>
      </c>
      <c r="M1216" s="62" t="s">
        <v>170</v>
      </c>
      <c r="N1216" t="s">
        <v>71</v>
      </c>
      <c r="O1216" t="str">
        <f>IFERROR(IF(Tbla_actores[[#This Row],[codigo_proyecto]]="","",_xlfn.XLOOKUP(Tbla_actores[[#This Row],[codigo_proyecto]],Proyectos!$A:$A,Proyectos!$C:$C)),"")</f>
        <v>NULOS</v>
      </c>
    </row>
    <row r="1217" spans="1:15">
      <c r="A1217" s="10">
        <v>1010248377</v>
      </c>
      <c r="B1217" s="64" t="s">
        <v>61</v>
      </c>
      <c r="C1217" s="62" t="s">
        <v>3329</v>
      </c>
      <c r="D1217" t="s">
        <v>63</v>
      </c>
      <c r="E1217" t="s">
        <v>3710</v>
      </c>
      <c r="F1217" s="61">
        <v>36490</v>
      </c>
      <c r="G1217" s="15" t="s">
        <v>73</v>
      </c>
      <c r="H1217" t="s">
        <v>3711</v>
      </c>
      <c r="I1217" s="62" t="s">
        <v>3712</v>
      </c>
      <c r="K1217" s="36" t="s">
        <v>169</v>
      </c>
      <c r="L1217" t="s">
        <v>69</v>
      </c>
      <c r="M1217" s="62" t="s">
        <v>170</v>
      </c>
      <c r="N1217" t="s">
        <v>71</v>
      </c>
      <c r="O1217" t="str">
        <f>IFERROR(IF(Tbla_actores[[#This Row],[codigo_proyecto]]="","",_xlfn.XLOOKUP(Tbla_actores[[#This Row],[codigo_proyecto]],Proyectos!$A:$A,Proyectos!$C:$C)),"")</f>
        <v>NULOS</v>
      </c>
    </row>
    <row r="1218" spans="1:15">
      <c r="A1218" s="9">
        <v>1032493988</v>
      </c>
      <c r="B1218" s="63" t="s">
        <v>61</v>
      </c>
      <c r="C1218" s="62" t="s">
        <v>3329</v>
      </c>
      <c r="D1218" t="s">
        <v>63</v>
      </c>
      <c r="E1218" t="s">
        <v>3713</v>
      </c>
      <c r="F1218" s="61">
        <v>35720</v>
      </c>
      <c r="G1218" s="15" t="s">
        <v>73</v>
      </c>
      <c r="H1218" t="s">
        <v>3714</v>
      </c>
      <c r="I1218" s="62" t="s">
        <v>3715</v>
      </c>
      <c r="K1218" s="36" t="s">
        <v>169</v>
      </c>
      <c r="L1218" t="s">
        <v>69</v>
      </c>
      <c r="M1218" s="62" t="s">
        <v>170</v>
      </c>
      <c r="N1218" t="s">
        <v>71</v>
      </c>
      <c r="O1218" t="str">
        <f>IFERROR(IF(Tbla_actores[[#This Row],[codigo_proyecto]]="","",_xlfn.XLOOKUP(Tbla_actores[[#This Row],[codigo_proyecto]],Proyectos!$A:$A,Proyectos!$C:$C)),"")</f>
        <v>NULOS</v>
      </c>
    </row>
    <row r="1219" spans="1:15">
      <c r="A1219" s="10">
        <v>1015479365</v>
      </c>
      <c r="B1219" s="64" t="s">
        <v>61</v>
      </c>
      <c r="C1219" s="62" t="s">
        <v>3329</v>
      </c>
      <c r="D1219" t="s">
        <v>63</v>
      </c>
      <c r="E1219" t="s">
        <v>3716</v>
      </c>
      <c r="F1219" s="61">
        <v>36184</v>
      </c>
      <c r="G1219" s="15" t="s">
        <v>65</v>
      </c>
      <c r="H1219" t="s">
        <v>3717</v>
      </c>
      <c r="I1219" s="62" t="s">
        <v>3718</v>
      </c>
      <c r="K1219" s="36" t="s">
        <v>169</v>
      </c>
      <c r="L1219" t="s">
        <v>69</v>
      </c>
      <c r="M1219" s="62" t="s">
        <v>170</v>
      </c>
      <c r="N1219" t="s">
        <v>71</v>
      </c>
      <c r="O1219" t="str">
        <f>IFERROR(IF(Tbla_actores[[#This Row],[codigo_proyecto]]="","",_xlfn.XLOOKUP(Tbla_actores[[#This Row],[codigo_proyecto]],Proyectos!$A:$A,Proyectos!$C:$C)),"")</f>
        <v>NULOS</v>
      </c>
    </row>
    <row r="1220" spans="1:15">
      <c r="A1220" s="9">
        <v>1022437578</v>
      </c>
      <c r="B1220" s="63" t="s">
        <v>61</v>
      </c>
      <c r="C1220" s="62" t="s">
        <v>3329</v>
      </c>
      <c r="D1220" t="s">
        <v>63</v>
      </c>
      <c r="E1220" t="s">
        <v>3719</v>
      </c>
      <c r="F1220" s="61">
        <v>35969</v>
      </c>
      <c r="G1220" s="15" t="s">
        <v>73</v>
      </c>
      <c r="H1220" t="s">
        <v>3720</v>
      </c>
      <c r="I1220" s="62" t="s">
        <v>3721</v>
      </c>
      <c r="K1220" s="36" t="s">
        <v>495</v>
      </c>
      <c r="L1220" t="s">
        <v>69</v>
      </c>
      <c r="M1220" s="62" t="s">
        <v>70</v>
      </c>
      <c r="N1220" t="s">
        <v>71</v>
      </c>
      <c r="O1220" t="str">
        <f>IFERROR(IF(Tbla_actores[[#This Row],[codigo_proyecto]]="","",_xlfn.XLOOKUP(Tbla_actores[[#This Row],[codigo_proyecto]],Proyectos!$A:$A,Proyectos!$C:$C)),"")</f>
        <v>NULOS</v>
      </c>
    </row>
    <row r="1221" spans="1:15">
      <c r="A1221" s="10">
        <v>1015454725</v>
      </c>
      <c r="B1221" s="64" t="s">
        <v>61</v>
      </c>
      <c r="C1221" s="62" t="s">
        <v>3329</v>
      </c>
      <c r="D1221" t="s">
        <v>63</v>
      </c>
      <c r="E1221" t="s">
        <v>3722</v>
      </c>
      <c r="F1221" s="61">
        <v>34839</v>
      </c>
      <c r="G1221" s="15" t="s">
        <v>73</v>
      </c>
      <c r="H1221" t="s">
        <v>3723</v>
      </c>
      <c r="I1221" s="62" t="s">
        <v>3724</v>
      </c>
      <c r="K1221" s="36" t="s">
        <v>495</v>
      </c>
      <c r="L1221" t="s">
        <v>69</v>
      </c>
      <c r="M1221" s="62" t="s">
        <v>70</v>
      </c>
      <c r="N1221" t="s">
        <v>71</v>
      </c>
      <c r="O1221" t="str">
        <f>IFERROR(IF(Tbla_actores[[#This Row],[codigo_proyecto]]="","",_xlfn.XLOOKUP(Tbla_actores[[#This Row],[codigo_proyecto]],Proyectos!$A:$A,Proyectos!$C:$C)),"")</f>
        <v>NULOS</v>
      </c>
    </row>
    <row r="1222" spans="1:15">
      <c r="A1222" s="9">
        <v>1193397157</v>
      </c>
      <c r="B1222" s="63" t="s">
        <v>61</v>
      </c>
      <c r="C1222" s="62" t="s">
        <v>3329</v>
      </c>
      <c r="D1222" t="s">
        <v>63</v>
      </c>
      <c r="E1222" t="s">
        <v>3725</v>
      </c>
      <c r="F1222" s="61">
        <v>36687</v>
      </c>
      <c r="G1222" s="15" t="s">
        <v>73</v>
      </c>
      <c r="H1222" t="s">
        <v>3726</v>
      </c>
      <c r="I1222" s="62" t="s">
        <v>3727</v>
      </c>
      <c r="K1222" s="36" t="s">
        <v>495</v>
      </c>
      <c r="L1222" t="s">
        <v>69</v>
      </c>
      <c r="M1222" s="62" t="s">
        <v>70</v>
      </c>
      <c r="N1222" t="s">
        <v>71</v>
      </c>
      <c r="O1222" t="str">
        <f>IFERROR(IF(Tbla_actores[[#This Row],[codigo_proyecto]]="","",_xlfn.XLOOKUP(Tbla_actores[[#This Row],[codigo_proyecto]],Proyectos!$A:$A,Proyectos!$C:$C)),"")</f>
        <v>NULOS</v>
      </c>
    </row>
    <row r="1223" spans="1:15">
      <c r="A1223" s="10">
        <v>1000363959</v>
      </c>
      <c r="B1223" s="64" t="s">
        <v>61</v>
      </c>
      <c r="C1223" s="62" t="s">
        <v>3329</v>
      </c>
      <c r="D1223" t="s">
        <v>63</v>
      </c>
      <c r="E1223" t="s">
        <v>3728</v>
      </c>
      <c r="F1223" s="61">
        <v>36336</v>
      </c>
      <c r="G1223" s="15" t="s">
        <v>73</v>
      </c>
      <c r="H1223" t="s">
        <v>3729</v>
      </c>
      <c r="I1223" s="62" t="s">
        <v>3730</v>
      </c>
      <c r="K1223" s="36" t="s">
        <v>495</v>
      </c>
      <c r="L1223" t="s">
        <v>69</v>
      </c>
      <c r="M1223" s="62" t="s">
        <v>70</v>
      </c>
      <c r="N1223" t="s">
        <v>71</v>
      </c>
      <c r="O1223" t="str">
        <f>IFERROR(IF(Tbla_actores[[#This Row],[codigo_proyecto]]="","",_xlfn.XLOOKUP(Tbla_actores[[#This Row],[codigo_proyecto]],Proyectos!$A:$A,Proyectos!$C:$C)),"")</f>
        <v>NULOS</v>
      </c>
    </row>
    <row r="1224" spans="1:15">
      <c r="A1224" s="9">
        <v>1000615245</v>
      </c>
      <c r="B1224" s="63" t="s">
        <v>61</v>
      </c>
      <c r="C1224" s="62" t="s">
        <v>3329</v>
      </c>
      <c r="D1224" t="s">
        <v>63</v>
      </c>
      <c r="E1224" t="s">
        <v>3731</v>
      </c>
      <c r="F1224" s="61">
        <v>36390</v>
      </c>
      <c r="G1224" s="15" t="s">
        <v>65</v>
      </c>
      <c r="H1224" t="s">
        <v>3732</v>
      </c>
      <c r="I1224" s="62" t="s">
        <v>3733</v>
      </c>
      <c r="K1224" s="36" t="s">
        <v>495</v>
      </c>
      <c r="L1224" t="s">
        <v>69</v>
      </c>
      <c r="M1224" s="62" t="s">
        <v>70</v>
      </c>
      <c r="N1224" t="s">
        <v>71</v>
      </c>
      <c r="O1224" t="str">
        <f>IFERROR(IF(Tbla_actores[[#This Row],[codigo_proyecto]]="","",_xlfn.XLOOKUP(Tbla_actores[[#This Row],[codigo_proyecto]],Proyectos!$A:$A,Proyectos!$C:$C)),"")</f>
        <v>NULOS</v>
      </c>
    </row>
    <row r="1225" spans="1:15">
      <c r="A1225" s="10">
        <v>1032507536</v>
      </c>
      <c r="B1225" s="64" t="s">
        <v>61</v>
      </c>
      <c r="C1225" s="62" t="s">
        <v>3329</v>
      </c>
      <c r="D1225" t="s">
        <v>63</v>
      </c>
      <c r="E1225" t="s">
        <v>3734</v>
      </c>
      <c r="F1225" s="61">
        <v>36454</v>
      </c>
      <c r="G1225" s="15" t="s">
        <v>73</v>
      </c>
      <c r="H1225" t="s">
        <v>3735</v>
      </c>
      <c r="I1225" s="62" t="s">
        <v>3736</v>
      </c>
      <c r="K1225" s="36" t="s">
        <v>495</v>
      </c>
      <c r="L1225" t="s">
        <v>69</v>
      </c>
      <c r="M1225" s="62" t="s">
        <v>70</v>
      </c>
      <c r="N1225" t="s">
        <v>71</v>
      </c>
      <c r="O1225" t="str">
        <f>IFERROR(IF(Tbla_actores[[#This Row],[codigo_proyecto]]="","",_xlfn.XLOOKUP(Tbla_actores[[#This Row],[codigo_proyecto]],Proyectos!$A:$A,Proyectos!$C:$C)),"")</f>
        <v>NULOS</v>
      </c>
    </row>
    <row r="1226" spans="1:15">
      <c r="A1226" s="9">
        <v>1014298762</v>
      </c>
      <c r="B1226" s="63" t="s">
        <v>61</v>
      </c>
      <c r="C1226" s="62" t="s">
        <v>3329</v>
      </c>
      <c r="D1226" t="s">
        <v>63</v>
      </c>
      <c r="E1226" t="s">
        <v>3737</v>
      </c>
      <c r="F1226" s="61">
        <v>35980</v>
      </c>
      <c r="G1226" s="15" t="s">
        <v>73</v>
      </c>
      <c r="H1226" t="s">
        <v>3738</v>
      </c>
      <c r="I1226" s="62" t="s">
        <v>3739</v>
      </c>
      <c r="K1226" s="36" t="s">
        <v>495</v>
      </c>
      <c r="L1226" t="s">
        <v>69</v>
      </c>
      <c r="M1226" s="62" t="s">
        <v>70</v>
      </c>
      <c r="N1226" t="s">
        <v>71</v>
      </c>
      <c r="O1226" t="str">
        <f>IFERROR(IF(Tbla_actores[[#This Row],[codigo_proyecto]]="","",_xlfn.XLOOKUP(Tbla_actores[[#This Row],[codigo_proyecto]],Proyectos!$A:$A,Proyectos!$C:$C)),"")</f>
        <v>NULOS</v>
      </c>
    </row>
    <row r="1227" spans="1:15">
      <c r="A1227" s="10">
        <v>1070989102</v>
      </c>
      <c r="B1227" s="64" t="s">
        <v>61</v>
      </c>
      <c r="C1227" s="62" t="s">
        <v>3329</v>
      </c>
      <c r="D1227" t="s">
        <v>63</v>
      </c>
      <c r="E1227" t="s">
        <v>3740</v>
      </c>
      <c r="F1227" s="61">
        <v>36356</v>
      </c>
      <c r="G1227" s="15" t="s">
        <v>73</v>
      </c>
      <c r="H1227" t="s">
        <v>3741</v>
      </c>
      <c r="I1227" s="62" t="s">
        <v>3742</v>
      </c>
      <c r="K1227" s="36" t="s">
        <v>495</v>
      </c>
      <c r="L1227" t="s">
        <v>69</v>
      </c>
      <c r="M1227" s="62" t="s">
        <v>70</v>
      </c>
      <c r="N1227" t="s">
        <v>71</v>
      </c>
      <c r="O1227" t="str">
        <f>IFERROR(IF(Tbla_actores[[#This Row],[codigo_proyecto]]="","",_xlfn.XLOOKUP(Tbla_actores[[#This Row],[codigo_proyecto]],Proyectos!$A:$A,Proyectos!$C:$C)),"")</f>
        <v>NULOS</v>
      </c>
    </row>
    <row r="1228" spans="1:15">
      <c r="A1228" s="9">
        <v>1125809889</v>
      </c>
      <c r="B1228" s="63" t="s">
        <v>61</v>
      </c>
      <c r="C1228" s="62" t="s">
        <v>3329</v>
      </c>
      <c r="D1228" t="s">
        <v>63</v>
      </c>
      <c r="E1228" t="s">
        <v>3743</v>
      </c>
      <c r="F1228" s="61">
        <v>36287</v>
      </c>
      <c r="G1228" s="15" t="s">
        <v>73</v>
      </c>
      <c r="H1228" t="s">
        <v>3744</v>
      </c>
      <c r="I1228" s="62" t="s">
        <v>3745</v>
      </c>
      <c r="K1228" s="36" t="s">
        <v>495</v>
      </c>
      <c r="L1228" t="s">
        <v>69</v>
      </c>
      <c r="M1228" s="62" t="s">
        <v>70</v>
      </c>
      <c r="N1228" t="s">
        <v>71</v>
      </c>
      <c r="O1228" t="str">
        <f>IFERROR(IF(Tbla_actores[[#This Row],[codigo_proyecto]]="","",_xlfn.XLOOKUP(Tbla_actores[[#This Row],[codigo_proyecto]],Proyectos!$A:$A,Proyectos!$C:$C)),"")</f>
        <v>NULOS</v>
      </c>
    </row>
    <row r="1229" spans="1:15">
      <c r="A1229" s="10">
        <v>1006873700</v>
      </c>
      <c r="B1229" s="64" t="s">
        <v>61</v>
      </c>
      <c r="C1229" s="62" t="s">
        <v>3329</v>
      </c>
      <c r="D1229" t="s">
        <v>63</v>
      </c>
      <c r="E1229" t="s">
        <v>3746</v>
      </c>
      <c r="F1229" s="61">
        <v>37481</v>
      </c>
      <c r="G1229" s="15" t="s">
        <v>73</v>
      </c>
      <c r="H1229" t="s">
        <v>3747</v>
      </c>
      <c r="I1229" s="62" t="s">
        <v>3748</v>
      </c>
      <c r="K1229" s="36" t="s">
        <v>495</v>
      </c>
      <c r="L1229" t="s">
        <v>69</v>
      </c>
      <c r="M1229" s="62" t="s">
        <v>70</v>
      </c>
      <c r="N1229" t="s">
        <v>71</v>
      </c>
      <c r="O1229" t="str">
        <f>IFERROR(IF(Tbla_actores[[#This Row],[codigo_proyecto]]="","",_xlfn.XLOOKUP(Tbla_actores[[#This Row],[codigo_proyecto]],Proyectos!$A:$A,Proyectos!$C:$C)),"")</f>
        <v>NULOS</v>
      </c>
    </row>
    <row r="1230" spans="1:15">
      <c r="A1230" s="9">
        <v>1007826365</v>
      </c>
      <c r="B1230" s="63" t="s">
        <v>61</v>
      </c>
      <c r="C1230" s="62" t="s">
        <v>3329</v>
      </c>
      <c r="D1230" t="s">
        <v>63</v>
      </c>
      <c r="E1230" t="s">
        <v>3749</v>
      </c>
      <c r="F1230" s="61">
        <v>36863</v>
      </c>
      <c r="G1230" s="15" t="s">
        <v>73</v>
      </c>
      <c r="H1230" t="s">
        <v>3750</v>
      </c>
      <c r="I1230" s="62" t="s">
        <v>3751</v>
      </c>
      <c r="K1230" s="36" t="s">
        <v>495</v>
      </c>
      <c r="L1230" t="s">
        <v>69</v>
      </c>
      <c r="M1230" s="62" t="s">
        <v>70</v>
      </c>
      <c r="N1230" t="s">
        <v>71</v>
      </c>
      <c r="O1230" t="str">
        <f>IFERROR(IF(Tbla_actores[[#This Row],[codigo_proyecto]]="","",_xlfn.XLOOKUP(Tbla_actores[[#This Row],[codigo_proyecto]],Proyectos!$A:$A,Proyectos!$C:$C)),"")</f>
        <v>NULOS</v>
      </c>
    </row>
    <row r="1231" spans="1:15">
      <c r="A1231" s="10">
        <v>1018504109</v>
      </c>
      <c r="B1231" s="64" t="s">
        <v>61</v>
      </c>
      <c r="C1231" s="62" t="s">
        <v>3329</v>
      </c>
      <c r="D1231" t="s">
        <v>63</v>
      </c>
      <c r="E1231" t="s">
        <v>3752</v>
      </c>
      <c r="F1231" s="61">
        <v>35976</v>
      </c>
      <c r="G1231" s="15" t="s">
        <v>65</v>
      </c>
      <c r="H1231" t="s">
        <v>3753</v>
      </c>
      <c r="I1231" s="62" t="s">
        <v>3754</v>
      </c>
      <c r="K1231" s="36" t="s">
        <v>495</v>
      </c>
      <c r="L1231" t="s">
        <v>69</v>
      </c>
      <c r="M1231" s="62" t="s">
        <v>70</v>
      </c>
      <c r="N1231" t="s">
        <v>71</v>
      </c>
      <c r="O1231" t="str">
        <f>IFERROR(IF(Tbla_actores[[#This Row],[codigo_proyecto]]="","",_xlfn.XLOOKUP(Tbla_actores[[#This Row],[codigo_proyecto]],Proyectos!$A:$A,Proyectos!$C:$C)),"")</f>
        <v>NULOS</v>
      </c>
    </row>
    <row r="1232" spans="1:15">
      <c r="A1232" s="9">
        <v>1095837615</v>
      </c>
      <c r="B1232" s="63" t="s">
        <v>61</v>
      </c>
      <c r="C1232" s="62" t="s">
        <v>3329</v>
      </c>
      <c r="D1232" t="s">
        <v>63</v>
      </c>
      <c r="E1232" t="s">
        <v>3755</v>
      </c>
      <c r="F1232" s="61">
        <v>35849</v>
      </c>
      <c r="G1232" s="15" t="s">
        <v>73</v>
      </c>
      <c r="H1232" t="s">
        <v>3756</v>
      </c>
      <c r="I1232" s="62" t="s">
        <v>3757</v>
      </c>
      <c r="K1232" s="36" t="s">
        <v>495</v>
      </c>
      <c r="L1232" t="s">
        <v>69</v>
      </c>
      <c r="M1232" s="62" t="s">
        <v>70</v>
      </c>
      <c r="N1232" t="s">
        <v>71</v>
      </c>
      <c r="O1232" t="str">
        <f>IFERROR(IF(Tbla_actores[[#This Row],[codigo_proyecto]]="","",_xlfn.XLOOKUP(Tbla_actores[[#This Row],[codigo_proyecto]],Proyectos!$A:$A,Proyectos!$C:$C)),"")</f>
        <v>NULOS</v>
      </c>
    </row>
    <row r="1233" spans="1:15">
      <c r="A1233" s="10">
        <v>1019148886</v>
      </c>
      <c r="B1233" s="64" t="s">
        <v>61</v>
      </c>
      <c r="C1233" s="62" t="s">
        <v>3329</v>
      </c>
      <c r="D1233" t="s">
        <v>63</v>
      </c>
      <c r="E1233" t="s">
        <v>3758</v>
      </c>
      <c r="F1233" s="61">
        <v>36301</v>
      </c>
      <c r="G1233" s="15" t="s">
        <v>65</v>
      </c>
      <c r="H1233" t="s">
        <v>3759</v>
      </c>
      <c r="I1233" s="62" t="s">
        <v>3760</v>
      </c>
      <c r="K1233" s="36" t="s">
        <v>495</v>
      </c>
      <c r="L1233" t="s">
        <v>69</v>
      </c>
      <c r="M1233" s="62" t="s">
        <v>70</v>
      </c>
      <c r="N1233" t="s">
        <v>71</v>
      </c>
      <c r="O1233" t="str">
        <f>IFERROR(IF(Tbla_actores[[#This Row],[codigo_proyecto]]="","",_xlfn.XLOOKUP(Tbla_actores[[#This Row],[codigo_proyecto]],Proyectos!$A:$A,Proyectos!$C:$C)),"")</f>
        <v>NULOS</v>
      </c>
    </row>
    <row r="1234" spans="1:15">
      <c r="A1234" s="9">
        <v>1030692454</v>
      </c>
      <c r="B1234" s="63" t="s">
        <v>61</v>
      </c>
      <c r="C1234" s="62" t="s">
        <v>3329</v>
      </c>
      <c r="D1234" t="s">
        <v>63</v>
      </c>
      <c r="E1234" t="s">
        <v>3761</v>
      </c>
      <c r="F1234" s="61">
        <v>36135</v>
      </c>
      <c r="G1234" s="15" t="s">
        <v>73</v>
      </c>
      <c r="H1234" t="s">
        <v>3762</v>
      </c>
      <c r="I1234" s="62" t="s">
        <v>3763</v>
      </c>
      <c r="K1234" s="36" t="s">
        <v>495</v>
      </c>
      <c r="L1234" t="s">
        <v>69</v>
      </c>
      <c r="M1234" s="62" t="s">
        <v>70</v>
      </c>
      <c r="N1234" t="s">
        <v>71</v>
      </c>
      <c r="O1234" t="str">
        <f>IFERROR(IF(Tbla_actores[[#This Row],[codigo_proyecto]]="","",_xlfn.XLOOKUP(Tbla_actores[[#This Row],[codigo_proyecto]],Proyectos!$A:$A,Proyectos!$C:$C)),"")</f>
        <v>NULOS</v>
      </c>
    </row>
    <row r="1235" spans="1:15">
      <c r="A1235" s="10">
        <v>1090528606</v>
      </c>
      <c r="B1235" s="64" t="s">
        <v>61</v>
      </c>
      <c r="C1235" s="62" t="s">
        <v>3329</v>
      </c>
      <c r="D1235" t="s">
        <v>63</v>
      </c>
      <c r="E1235" t="s">
        <v>3764</v>
      </c>
      <c r="F1235" s="61">
        <v>36349</v>
      </c>
      <c r="G1235" s="15" t="s">
        <v>65</v>
      </c>
      <c r="H1235" t="s">
        <v>3765</v>
      </c>
      <c r="I1235" s="62" t="s">
        <v>3766</v>
      </c>
      <c r="K1235" s="36" t="s">
        <v>495</v>
      </c>
      <c r="L1235" t="s">
        <v>69</v>
      </c>
      <c r="M1235" s="62" t="s">
        <v>70</v>
      </c>
      <c r="N1235" t="s">
        <v>71</v>
      </c>
      <c r="O1235" t="str">
        <f>IFERROR(IF(Tbla_actores[[#This Row],[codigo_proyecto]]="","",_xlfn.XLOOKUP(Tbla_actores[[#This Row],[codigo_proyecto]],Proyectos!$A:$A,Proyectos!$C:$C)),"")</f>
        <v>NULOS</v>
      </c>
    </row>
    <row r="1236" spans="1:15">
      <c r="A1236" s="9">
        <v>1124530044</v>
      </c>
      <c r="B1236" s="63" t="s">
        <v>61</v>
      </c>
      <c r="C1236" s="62" t="s">
        <v>3329</v>
      </c>
      <c r="D1236" t="s">
        <v>63</v>
      </c>
      <c r="E1236" t="s">
        <v>3767</v>
      </c>
      <c r="F1236" s="61">
        <v>35940</v>
      </c>
      <c r="G1236" s="15" t="s">
        <v>65</v>
      </c>
      <c r="H1236" t="s">
        <v>3768</v>
      </c>
      <c r="I1236" s="62" t="s">
        <v>3769</v>
      </c>
      <c r="K1236" s="36" t="s">
        <v>495</v>
      </c>
      <c r="L1236" t="s">
        <v>69</v>
      </c>
      <c r="M1236" s="62" t="s">
        <v>70</v>
      </c>
      <c r="N1236" t="s">
        <v>71</v>
      </c>
      <c r="O1236" t="str">
        <f>IFERROR(IF(Tbla_actores[[#This Row],[codigo_proyecto]]="","",_xlfn.XLOOKUP(Tbla_actores[[#This Row],[codigo_proyecto]],Proyectos!$A:$A,Proyectos!$C:$C)),"")</f>
        <v>NULOS</v>
      </c>
    </row>
    <row r="1237" spans="1:15">
      <c r="A1237" s="10">
        <v>1032492959</v>
      </c>
      <c r="B1237" s="64" t="s">
        <v>61</v>
      </c>
      <c r="C1237" s="62" t="s">
        <v>3329</v>
      </c>
      <c r="D1237" t="s">
        <v>63</v>
      </c>
      <c r="E1237" t="s">
        <v>3770</v>
      </c>
      <c r="F1237" s="61">
        <v>35655</v>
      </c>
      <c r="G1237" s="15" t="s">
        <v>65</v>
      </c>
      <c r="H1237" t="s">
        <v>3771</v>
      </c>
      <c r="I1237" s="62" t="s">
        <v>3772</v>
      </c>
      <c r="K1237" s="36" t="s">
        <v>495</v>
      </c>
      <c r="L1237" t="s">
        <v>69</v>
      </c>
      <c r="M1237" s="62" t="s">
        <v>70</v>
      </c>
      <c r="N1237" t="s">
        <v>71</v>
      </c>
      <c r="O1237" t="str">
        <f>IFERROR(IF(Tbla_actores[[#This Row],[codigo_proyecto]]="","",_xlfn.XLOOKUP(Tbla_actores[[#This Row],[codigo_proyecto]],Proyectos!$A:$A,Proyectos!$C:$C)),"")</f>
        <v>NULOS</v>
      </c>
    </row>
    <row r="1238" spans="1:15">
      <c r="A1238" s="9">
        <v>1018503872</v>
      </c>
      <c r="B1238" s="63" t="s">
        <v>61</v>
      </c>
      <c r="C1238" s="62" t="s">
        <v>3329</v>
      </c>
      <c r="D1238" t="s">
        <v>63</v>
      </c>
      <c r="E1238" t="s">
        <v>3773</v>
      </c>
      <c r="F1238" s="61">
        <v>35965</v>
      </c>
      <c r="G1238" s="15" t="s">
        <v>73</v>
      </c>
      <c r="H1238" t="s">
        <v>3774</v>
      </c>
      <c r="I1238" s="62" t="s">
        <v>3775</v>
      </c>
      <c r="K1238" s="36" t="s">
        <v>495</v>
      </c>
      <c r="L1238" t="s">
        <v>69</v>
      </c>
      <c r="M1238" s="62" t="s">
        <v>70</v>
      </c>
      <c r="N1238" t="s">
        <v>71</v>
      </c>
      <c r="O1238" t="str">
        <f>IFERROR(IF(Tbla_actores[[#This Row],[codigo_proyecto]]="","",_xlfn.XLOOKUP(Tbla_actores[[#This Row],[codigo_proyecto]],Proyectos!$A:$A,Proyectos!$C:$C)),"")</f>
        <v>NULOS</v>
      </c>
    </row>
    <row r="1239" spans="1:15">
      <c r="A1239" s="10">
        <v>1015464846</v>
      </c>
      <c r="B1239" s="64" t="s">
        <v>61</v>
      </c>
      <c r="C1239" s="62" t="s">
        <v>3329</v>
      </c>
      <c r="D1239" t="s">
        <v>63</v>
      </c>
      <c r="E1239" t="s">
        <v>3776</v>
      </c>
      <c r="F1239" s="61">
        <v>35321</v>
      </c>
      <c r="G1239" s="15" t="s">
        <v>73</v>
      </c>
      <c r="H1239" t="s">
        <v>3777</v>
      </c>
      <c r="I1239" s="62" t="s">
        <v>3778</v>
      </c>
      <c r="K1239" s="36" t="s">
        <v>495</v>
      </c>
      <c r="L1239" t="s">
        <v>69</v>
      </c>
      <c r="M1239" s="62" t="s">
        <v>70</v>
      </c>
      <c r="N1239" t="s">
        <v>71</v>
      </c>
      <c r="O1239" t="str">
        <f>IFERROR(IF(Tbla_actores[[#This Row],[codigo_proyecto]]="","",_xlfn.XLOOKUP(Tbla_actores[[#This Row],[codigo_proyecto]],Proyectos!$A:$A,Proyectos!$C:$C)),"")</f>
        <v>NULOS</v>
      </c>
    </row>
    <row r="1240" spans="1:15">
      <c r="A1240" s="9">
        <v>1019143564</v>
      </c>
      <c r="B1240" s="63" t="s">
        <v>61</v>
      </c>
      <c r="C1240" s="62" t="s">
        <v>3329</v>
      </c>
      <c r="D1240" t="s">
        <v>63</v>
      </c>
      <c r="E1240" t="s">
        <v>3779</v>
      </c>
      <c r="F1240" s="61">
        <v>36082</v>
      </c>
      <c r="G1240" s="15" t="s">
        <v>65</v>
      </c>
      <c r="H1240" t="s">
        <v>3780</v>
      </c>
      <c r="I1240" s="62" t="s">
        <v>3781</v>
      </c>
      <c r="K1240" s="36" t="s">
        <v>495</v>
      </c>
      <c r="L1240" t="s">
        <v>69</v>
      </c>
      <c r="M1240" s="62" t="s">
        <v>70</v>
      </c>
      <c r="N1240" t="s">
        <v>71</v>
      </c>
      <c r="O1240" t="str">
        <f>IFERROR(IF(Tbla_actores[[#This Row],[codigo_proyecto]]="","",_xlfn.XLOOKUP(Tbla_actores[[#This Row],[codigo_proyecto]],Proyectos!$A:$A,Proyectos!$C:$C)),"")</f>
        <v>NULOS</v>
      </c>
    </row>
    <row r="1241" spans="1:15">
      <c r="A1241" s="10">
        <v>1010238275</v>
      </c>
      <c r="B1241" s="64" t="s">
        <v>61</v>
      </c>
      <c r="C1241" s="62" t="s">
        <v>3329</v>
      </c>
      <c r="D1241" t="s">
        <v>63</v>
      </c>
      <c r="E1241" t="s">
        <v>3782</v>
      </c>
      <c r="F1241" s="61">
        <v>35855</v>
      </c>
      <c r="G1241" s="15" t="s">
        <v>73</v>
      </c>
      <c r="H1241" t="s">
        <v>3783</v>
      </c>
      <c r="I1241" s="62" t="s">
        <v>3784</v>
      </c>
      <c r="K1241" s="36" t="s">
        <v>495</v>
      </c>
      <c r="L1241" t="s">
        <v>69</v>
      </c>
      <c r="M1241" s="62" t="s">
        <v>70</v>
      </c>
      <c r="N1241" t="s">
        <v>71</v>
      </c>
      <c r="O1241" t="str">
        <f>IFERROR(IF(Tbla_actores[[#This Row],[codigo_proyecto]]="","",_xlfn.XLOOKUP(Tbla_actores[[#This Row],[codigo_proyecto]],Proyectos!$A:$A,Proyectos!$C:$C)),"")</f>
        <v>NULOS</v>
      </c>
    </row>
    <row r="1242" spans="1:15">
      <c r="A1242" s="9">
        <v>1002394100</v>
      </c>
      <c r="B1242" s="63" t="s">
        <v>61</v>
      </c>
      <c r="C1242" s="62" t="s">
        <v>3329</v>
      </c>
      <c r="D1242" t="s">
        <v>63</v>
      </c>
      <c r="E1242" t="s">
        <v>3785</v>
      </c>
      <c r="F1242" s="61">
        <v>36689</v>
      </c>
      <c r="G1242" s="15" t="s">
        <v>73</v>
      </c>
      <c r="H1242" t="s">
        <v>3786</v>
      </c>
      <c r="I1242" s="62" t="s">
        <v>3787</v>
      </c>
      <c r="K1242" s="36" t="s">
        <v>495</v>
      </c>
      <c r="L1242" t="s">
        <v>69</v>
      </c>
      <c r="M1242" s="62" t="s">
        <v>70</v>
      </c>
      <c r="N1242" t="s">
        <v>71</v>
      </c>
      <c r="O1242" t="str">
        <f>IFERROR(IF(Tbla_actores[[#This Row],[codigo_proyecto]]="","",_xlfn.XLOOKUP(Tbla_actores[[#This Row],[codigo_proyecto]],Proyectos!$A:$A,Proyectos!$C:$C)),"")</f>
        <v>NULOS</v>
      </c>
    </row>
    <row r="1243" spans="1:15">
      <c r="A1243" s="10">
        <v>1047511656</v>
      </c>
      <c r="B1243" s="64" t="s">
        <v>61</v>
      </c>
      <c r="C1243" s="62" t="s">
        <v>3329</v>
      </c>
      <c r="D1243" t="s">
        <v>63</v>
      </c>
      <c r="E1243" t="s">
        <v>3788</v>
      </c>
      <c r="F1243" s="61">
        <v>36518</v>
      </c>
      <c r="G1243" s="15" t="s">
        <v>73</v>
      </c>
      <c r="H1243" t="s">
        <v>3789</v>
      </c>
      <c r="I1243" s="62" t="s">
        <v>3790</v>
      </c>
      <c r="K1243" s="36" t="s">
        <v>495</v>
      </c>
      <c r="L1243" t="s">
        <v>69</v>
      </c>
      <c r="M1243" s="62" t="s">
        <v>70</v>
      </c>
      <c r="N1243" t="s">
        <v>71</v>
      </c>
      <c r="O1243" t="str">
        <f>IFERROR(IF(Tbla_actores[[#This Row],[codigo_proyecto]]="","",_xlfn.XLOOKUP(Tbla_actores[[#This Row],[codigo_proyecto]],Proyectos!$A:$A,Proyectos!$C:$C)),"")</f>
        <v>NULOS</v>
      </c>
    </row>
    <row r="1244" spans="1:15">
      <c r="A1244" s="9">
        <v>1020820745</v>
      </c>
      <c r="B1244" s="63" t="s">
        <v>61</v>
      </c>
      <c r="C1244" s="62" t="s">
        <v>3329</v>
      </c>
      <c r="D1244" t="s">
        <v>63</v>
      </c>
      <c r="E1244" t="s">
        <v>3791</v>
      </c>
      <c r="F1244" s="61">
        <v>35397</v>
      </c>
      <c r="G1244" s="15" t="s">
        <v>73</v>
      </c>
      <c r="H1244" t="s">
        <v>3792</v>
      </c>
      <c r="I1244" s="62" t="s">
        <v>3793</v>
      </c>
      <c r="K1244" s="36" t="s">
        <v>495</v>
      </c>
      <c r="L1244" t="s">
        <v>69</v>
      </c>
      <c r="M1244" s="62" t="s">
        <v>70</v>
      </c>
      <c r="N1244" t="s">
        <v>71</v>
      </c>
      <c r="O1244" t="str">
        <f>IFERROR(IF(Tbla_actores[[#This Row],[codigo_proyecto]]="","",_xlfn.XLOOKUP(Tbla_actores[[#This Row],[codigo_proyecto]],Proyectos!$A:$A,Proyectos!$C:$C)),"")</f>
        <v>NULOS</v>
      </c>
    </row>
    <row r="1245" spans="1:15">
      <c r="A1245" s="10">
        <v>1018494285</v>
      </c>
      <c r="B1245" s="64" t="s">
        <v>61</v>
      </c>
      <c r="C1245" s="62" t="s">
        <v>3329</v>
      </c>
      <c r="D1245" t="s">
        <v>63</v>
      </c>
      <c r="E1245" t="s">
        <v>3794</v>
      </c>
      <c r="F1245" s="61">
        <v>35564</v>
      </c>
      <c r="G1245" s="15" t="s">
        <v>73</v>
      </c>
      <c r="H1245" t="s">
        <v>3795</v>
      </c>
      <c r="I1245" s="62" t="s">
        <v>3796</v>
      </c>
      <c r="K1245" s="36" t="s">
        <v>495</v>
      </c>
      <c r="L1245" t="s">
        <v>69</v>
      </c>
      <c r="M1245" s="62" t="s">
        <v>70</v>
      </c>
      <c r="N1245" t="s">
        <v>71</v>
      </c>
      <c r="O1245" t="str">
        <f>IFERROR(IF(Tbla_actores[[#This Row],[codigo_proyecto]]="","",_xlfn.XLOOKUP(Tbla_actores[[#This Row],[codigo_proyecto]],Proyectos!$A:$A,Proyectos!$C:$C)),"")</f>
        <v>NULOS</v>
      </c>
    </row>
    <row r="1246" spans="1:15">
      <c r="A1246" s="9">
        <v>1151962421</v>
      </c>
      <c r="B1246" s="63" t="s">
        <v>61</v>
      </c>
      <c r="C1246" s="62" t="s">
        <v>3329</v>
      </c>
      <c r="D1246" t="s">
        <v>63</v>
      </c>
      <c r="E1246" t="s">
        <v>3797</v>
      </c>
      <c r="F1246" s="61">
        <v>35637</v>
      </c>
      <c r="G1246" s="15" t="s">
        <v>73</v>
      </c>
      <c r="H1246" t="s">
        <v>3798</v>
      </c>
      <c r="I1246" s="62" t="s">
        <v>3799</v>
      </c>
      <c r="K1246" s="36" t="s">
        <v>495</v>
      </c>
      <c r="L1246" t="s">
        <v>69</v>
      </c>
      <c r="M1246" s="62" t="s">
        <v>70</v>
      </c>
      <c r="N1246" t="s">
        <v>71</v>
      </c>
      <c r="O1246" t="str">
        <f>IFERROR(IF(Tbla_actores[[#This Row],[codigo_proyecto]]="","",_xlfn.XLOOKUP(Tbla_actores[[#This Row],[codigo_proyecto]],Proyectos!$A:$A,Proyectos!$C:$C)),"")</f>
        <v>NULOS</v>
      </c>
    </row>
    <row r="1247" spans="1:15">
      <c r="A1247" s="10">
        <v>1019135656</v>
      </c>
      <c r="B1247" s="64" t="s">
        <v>61</v>
      </c>
      <c r="C1247" s="62" t="s">
        <v>3329</v>
      </c>
      <c r="D1247" t="s">
        <v>63</v>
      </c>
      <c r="E1247" t="s">
        <v>3800</v>
      </c>
      <c r="F1247" s="61">
        <v>35767</v>
      </c>
      <c r="G1247" s="15" t="s">
        <v>73</v>
      </c>
      <c r="H1247" t="s">
        <v>3801</v>
      </c>
      <c r="I1247" s="62" t="s">
        <v>3802</v>
      </c>
      <c r="K1247" s="36" t="s">
        <v>495</v>
      </c>
      <c r="L1247" t="s">
        <v>69</v>
      </c>
      <c r="M1247" s="62" t="s">
        <v>70</v>
      </c>
      <c r="N1247" t="s">
        <v>71</v>
      </c>
      <c r="O1247" t="str">
        <f>IFERROR(IF(Tbla_actores[[#This Row],[codigo_proyecto]]="","",_xlfn.XLOOKUP(Tbla_actores[[#This Row],[codigo_proyecto]],Proyectos!$A:$A,Proyectos!$C:$C)),"")</f>
        <v>NULOS</v>
      </c>
    </row>
    <row r="1248" spans="1:15">
      <c r="A1248" s="9">
        <v>1003243884</v>
      </c>
      <c r="B1248" s="63" t="s">
        <v>61</v>
      </c>
      <c r="C1248" s="62" t="s">
        <v>3329</v>
      </c>
      <c r="D1248" t="s">
        <v>63</v>
      </c>
      <c r="E1248" t="s">
        <v>3803</v>
      </c>
      <c r="F1248" s="61">
        <v>36641</v>
      </c>
      <c r="G1248" s="15" t="s">
        <v>73</v>
      </c>
      <c r="H1248" t="s">
        <v>3804</v>
      </c>
      <c r="I1248" s="62" t="s">
        <v>3805</v>
      </c>
      <c r="K1248" s="36" t="s">
        <v>495</v>
      </c>
      <c r="L1248" t="s">
        <v>69</v>
      </c>
      <c r="M1248" s="62" t="s">
        <v>70</v>
      </c>
      <c r="N1248" t="s">
        <v>71</v>
      </c>
      <c r="O1248" t="str">
        <f>IFERROR(IF(Tbla_actores[[#This Row],[codigo_proyecto]]="","",_xlfn.XLOOKUP(Tbla_actores[[#This Row],[codigo_proyecto]],Proyectos!$A:$A,Proyectos!$C:$C)),"")</f>
        <v>NULOS</v>
      </c>
    </row>
    <row r="1249" spans="1:15">
      <c r="A1249" s="10">
        <v>1032499527</v>
      </c>
      <c r="B1249" s="64" t="s">
        <v>61</v>
      </c>
      <c r="C1249" s="62" t="s">
        <v>3329</v>
      </c>
      <c r="D1249" t="s">
        <v>63</v>
      </c>
      <c r="E1249" t="s">
        <v>3806</v>
      </c>
      <c r="F1249" s="61">
        <v>36027</v>
      </c>
      <c r="G1249" s="15" t="s">
        <v>73</v>
      </c>
      <c r="H1249" t="s">
        <v>3807</v>
      </c>
      <c r="I1249" s="62" t="s">
        <v>3808</v>
      </c>
      <c r="K1249" s="36" t="s">
        <v>495</v>
      </c>
      <c r="L1249" t="s">
        <v>69</v>
      </c>
      <c r="M1249" s="62" t="s">
        <v>70</v>
      </c>
      <c r="N1249" t="s">
        <v>71</v>
      </c>
      <c r="O1249" t="str">
        <f>IFERROR(IF(Tbla_actores[[#This Row],[codigo_proyecto]]="","",_xlfn.XLOOKUP(Tbla_actores[[#This Row],[codigo_proyecto]],Proyectos!$A:$A,Proyectos!$C:$C)),"")</f>
        <v>NULOS</v>
      </c>
    </row>
    <row r="1250" spans="1:15">
      <c r="A1250" s="9">
        <v>1016107148</v>
      </c>
      <c r="B1250" s="63" t="s">
        <v>61</v>
      </c>
      <c r="C1250" s="62" t="s">
        <v>3329</v>
      </c>
      <c r="D1250" t="s">
        <v>63</v>
      </c>
      <c r="E1250" t="s">
        <v>3809</v>
      </c>
      <c r="F1250" s="61">
        <v>36152</v>
      </c>
      <c r="G1250" s="15" t="s">
        <v>65</v>
      </c>
      <c r="H1250" t="s">
        <v>3810</v>
      </c>
      <c r="I1250" s="62" t="s">
        <v>3811</v>
      </c>
      <c r="K1250" s="36" t="s">
        <v>495</v>
      </c>
      <c r="L1250" t="s">
        <v>69</v>
      </c>
      <c r="M1250" s="62" t="s">
        <v>70</v>
      </c>
      <c r="N1250" t="s">
        <v>71</v>
      </c>
      <c r="O1250" t="str">
        <f>IFERROR(IF(Tbla_actores[[#This Row],[codigo_proyecto]]="","",_xlfn.XLOOKUP(Tbla_actores[[#This Row],[codigo_proyecto]],Proyectos!$A:$A,Proyectos!$C:$C)),"")</f>
        <v>NULOS</v>
      </c>
    </row>
    <row r="1251" spans="1:15">
      <c r="A1251" s="10">
        <v>1019130556</v>
      </c>
      <c r="B1251" s="64" t="s">
        <v>61</v>
      </c>
      <c r="C1251" s="62" t="s">
        <v>3329</v>
      </c>
      <c r="D1251" t="s">
        <v>63</v>
      </c>
      <c r="E1251" t="s">
        <v>3812</v>
      </c>
      <c r="F1251" s="61">
        <v>35589</v>
      </c>
      <c r="G1251" s="15" t="s">
        <v>65</v>
      </c>
      <c r="H1251" t="s">
        <v>3813</v>
      </c>
      <c r="I1251" s="62" t="s">
        <v>3814</v>
      </c>
      <c r="K1251" s="36" t="s">
        <v>495</v>
      </c>
      <c r="L1251" t="s">
        <v>69</v>
      </c>
      <c r="M1251" s="62" t="s">
        <v>70</v>
      </c>
      <c r="N1251" t="s">
        <v>71</v>
      </c>
      <c r="O1251" t="str">
        <f>IFERROR(IF(Tbla_actores[[#This Row],[codigo_proyecto]]="","",_xlfn.XLOOKUP(Tbla_actores[[#This Row],[codigo_proyecto]],Proyectos!$A:$A,Proyectos!$C:$C)),"")</f>
        <v>NULOS</v>
      </c>
    </row>
    <row r="1252" spans="1:15">
      <c r="A1252" s="9">
        <v>1026593422</v>
      </c>
      <c r="B1252" s="63" t="s">
        <v>61</v>
      </c>
      <c r="C1252" s="62" t="s">
        <v>3329</v>
      </c>
      <c r="D1252" t="s">
        <v>63</v>
      </c>
      <c r="E1252" t="s">
        <v>3815</v>
      </c>
      <c r="F1252" s="61">
        <v>35818</v>
      </c>
      <c r="G1252" s="15" t="s">
        <v>65</v>
      </c>
      <c r="H1252" t="s">
        <v>3816</v>
      </c>
      <c r="I1252" s="62" t="s">
        <v>3817</v>
      </c>
      <c r="K1252" s="36" t="s">
        <v>495</v>
      </c>
      <c r="L1252" t="s">
        <v>69</v>
      </c>
      <c r="M1252" s="62" t="s">
        <v>70</v>
      </c>
      <c r="N1252" t="s">
        <v>71</v>
      </c>
      <c r="O1252" t="str">
        <f>IFERROR(IF(Tbla_actores[[#This Row],[codigo_proyecto]]="","",_xlfn.XLOOKUP(Tbla_actores[[#This Row],[codigo_proyecto]],Proyectos!$A:$A,Proyectos!$C:$C)),"")</f>
        <v>NULOS</v>
      </c>
    </row>
    <row r="1253" spans="1:15">
      <c r="A1253" s="10">
        <v>1032506326</v>
      </c>
      <c r="B1253" s="64" t="s">
        <v>61</v>
      </c>
      <c r="C1253" s="62" t="s">
        <v>3329</v>
      </c>
      <c r="D1253" t="s">
        <v>63</v>
      </c>
      <c r="E1253" t="s">
        <v>3818</v>
      </c>
      <c r="F1253" s="61">
        <v>36365</v>
      </c>
      <c r="G1253" s="15" t="s">
        <v>73</v>
      </c>
      <c r="H1253" t="s">
        <v>3819</v>
      </c>
      <c r="I1253" s="62" t="s">
        <v>3820</v>
      </c>
      <c r="K1253" s="36" t="s">
        <v>495</v>
      </c>
      <c r="L1253" t="s">
        <v>69</v>
      </c>
      <c r="M1253" s="62" t="s">
        <v>70</v>
      </c>
      <c r="N1253" t="s">
        <v>71</v>
      </c>
      <c r="O1253" t="str">
        <f>IFERROR(IF(Tbla_actores[[#This Row],[codigo_proyecto]]="","",_xlfn.XLOOKUP(Tbla_actores[[#This Row],[codigo_proyecto]],Proyectos!$A:$A,Proyectos!$C:$C)),"")</f>
        <v>NULOS</v>
      </c>
    </row>
    <row r="1254" spans="1:15">
      <c r="A1254" s="9">
        <v>1019137327</v>
      </c>
      <c r="B1254" s="63" t="s">
        <v>61</v>
      </c>
      <c r="C1254" s="62" t="s">
        <v>3329</v>
      </c>
      <c r="D1254" t="s">
        <v>63</v>
      </c>
      <c r="E1254" t="s">
        <v>3821</v>
      </c>
      <c r="F1254" s="61">
        <v>35829</v>
      </c>
      <c r="G1254" s="15" t="s">
        <v>73</v>
      </c>
      <c r="H1254" t="s">
        <v>3822</v>
      </c>
      <c r="I1254" s="62" t="s">
        <v>3823</v>
      </c>
      <c r="K1254" s="36" t="s">
        <v>495</v>
      </c>
      <c r="L1254" t="s">
        <v>69</v>
      </c>
      <c r="M1254" s="62" t="s">
        <v>70</v>
      </c>
      <c r="N1254" t="s">
        <v>71</v>
      </c>
      <c r="O1254" t="str">
        <f>IFERROR(IF(Tbla_actores[[#This Row],[codigo_proyecto]]="","",_xlfn.XLOOKUP(Tbla_actores[[#This Row],[codigo_proyecto]],Proyectos!$A:$A,Proyectos!$C:$C)),"")</f>
        <v>NULOS</v>
      </c>
    </row>
    <row r="1255" spans="1:15">
      <c r="A1255" s="10">
        <v>1032506757</v>
      </c>
      <c r="B1255" s="64" t="s">
        <v>61</v>
      </c>
      <c r="C1255" s="62" t="s">
        <v>3329</v>
      </c>
      <c r="D1255" t="s">
        <v>63</v>
      </c>
      <c r="E1255" t="s">
        <v>3824</v>
      </c>
      <c r="F1255" s="61">
        <v>36414</v>
      </c>
      <c r="G1255" s="15" t="s">
        <v>73</v>
      </c>
      <c r="H1255" t="s">
        <v>3825</v>
      </c>
      <c r="I1255" s="62" t="s">
        <v>3826</v>
      </c>
      <c r="K1255" s="36" t="s">
        <v>495</v>
      </c>
      <c r="L1255" t="s">
        <v>69</v>
      </c>
      <c r="M1255" s="62" t="s">
        <v>70</v>
      </c>
      <c r="N1255" t="s">
        <v>71</v>
      </c>
      <c r="O1255" t="str">
        <f>IFERROR(IF(Tbla_actores[[#This Row],[codigo_proyecto]]="","",_xlfn.XLOOKUP(Tbla_actores[[#This Row],[codigo_proyecto]],Proyectos!$A:$A,Proyectos!$C:$C)),"")</f>
        <v>NULOS</v>
      </c>
    </row>
    <row r="1256" spans="1:15">
      <c r="A1256" s="9">
        <v>1032507816</v>
      </c>
      <c r="B1256" s="63" t="s">
        <v>61</v>
      </c>
      <c r="C1256" s="62" t="s">
        <v>3329</v>
      </c>
      <c r="D1256" t="s">
        <v>63</v>
      </c>
      <c r="E1256" t="s">
        <v>3827</v>
      </c>
      <c r="F1256" s="61">
        <v>36472</v>
      </c>
      <c r="G1256" s="15" t="s">
        <v>73</v>
      </c>
      <c r="H1256" t="s">
        <v>3828</v>
      </c>
      <c r="I1256" s="62" t="s">
        <v>3829</v>
      </c>
      <c r="K1256" s="36" t="s">
        <v>495</v>
      </c>
      <c r="L1256" t="s">
        <v>69</v>
      </c>
      <c r="M1256" s="62" t="s">
        <v>70</v>
      </c>
      <c r="N1256" t="s">
        <v>71</v>
      </c>
      <c r="O1256" t="str">
        <f>IFERROR(IF(Tbla_actores[[#This Row],[codigo_proyecto]]="","",_xlfn.XLOOKUP(Tbla_actores[[#This Row],[codigo_proyecto]],Proyectos!$A:$A,Proyectos!$C:$C)),"")</f>
        <v>NULOS</v>
      </c>
    </row>
    <row r="1257" spans="1:15">
      <c r="A1257" s="10">
        <v>1026305130</v>
      </c>
      <c r="B1257" s="64" t="s">
        <v>61</v>
      </c>
      <c r="C1257" s="62" t="s">
        <v>3329</v>
      </c>
      <c r="D1257" t="s">
        <v>63</v>
      </c>
      <c r="E1257" t="s">
        <v>3830</v>
      </c>
      <c r="F1257" s="61">
        <v>36249</v>
      </c>
      <c r="G1257" s="15" t="s">
        <v>65</v>
      </c>
      <c r="H1257" t="s">
        <v>3831</v>
      </c>
      <c r="I1257" s="62" t="s">
        <v>3832</v>
      </c>
      <c r="K1257" s="36" t="s">
        <v>495</v>
      </c>
      <c r="L1257" t="s">
        <v>69</v>
      </c>
      <c r="M1257" s="62" t="s">
        <v>70</v>
      </c>
      <c r="N1257" t="s">
        <v>71</v>
      </c>
      <c r="O1257" t="str">
        <f>IFERROR(IF(Tbla_actores[[#This Row],[codigo_proyecto]]="","",_xlfn.XLOOKUP(Tbla_actores[[#This Row],[codigo_proyecto]],Proyectos!$A:$A,Proyectos!$C:$C)),"")</f>
        <v>NULOS</v>
      </c>
    </row>
    <row r="1258" spans="1:15">
      <c r="A1258" s="9">
        <v>1004921609</v>
      </c>
      <c r="B1258" s="63" t="s">
        <v>61</v>
      </c>
      <c r="C1258" s="62" t="s">
        <v>3329</v>
      </c>
      <c r="D1258" t="s">
        <v>63</v>
      </c>
      <c r="E1258" t="s">
        <v>3833</v>
      </c>
      <c r="F1258" s="61">
        <v>36628</v>
      </c>
      <c r="G1258" s="15" t="s">
        <v>73</v>
      </c>
      <c r="H1258" t="s">
        <v>3834</v>
      </c>
      <c r="I1258" s="62" t="s">
        <v>3835</v>
      </c>
      <c r="K1258" s="36" t="s">
        <v>495</v>
      </c>
      <c r="L1258" t="s">
        <v>69</v>
      </c>
      <c r="M1258" s="62" t="s">
        <v>70</v>
      </c>
      <c r="N1258" t="s">
        <v>71</v>
      </c>
      <c r="O1258" t="str">
        <f>IFERROR(IF(Tbla_actores[[#This Row],[codigo_proyecto]]="","",_xlfn.XLOOKUP(Tbla_actores[[#This Row],[codigo_proyecto]],Proyectos!$A:$A,Proyectos!$C:$C)),"")</f>
        <v>NULOS</v>
      </c>
    </row>
    <row r="1259" spans="1:15">
      <c r="A1259" s="10">
        <v>1019146501</v>
      </c>
      <c r="B1259" s="64" t="s">
        <v>61</v>
      </c>
      <c r="C1259" s="62" t="s">
        <v>3329</v>
      </c>
      <c r="D1259" t="s">
        <v>63</v>
      </c>
      <c r="E1259" t="s">
        <v>3836</v>
      </c>
      <c r="F1259" s="61">
        <v>36189</v>
      </c>
      <c r="G1259" s="15" t="s">
        <v>65</v>
      </c>
      <c r="H1259" t="s">
        <v>3837</v>
      </c>
      <c r="I1259" s="62" t="s">
        <v>3838</v>
      </c>
      <c r="K1259" s="36" t="s">
        <v>495</v>
      </c>
      <c r="L1259" t="s">
        <v>69</v>
      </c>
      <c r="M1259" s="62" t="s">
        <v>70</v>
      </c>
      <c r="N1259" t="s">
        <v>71</v>
      </c>
      <c r="O1259" t="str">
        <f>IFERROR(IF(Tbla_actores[[#This Row],[codigo_proyecto]]="","",_xlfn.XLOOKUP(Tbla_actores[[#This Row],[codigo_proyecto]],Proyectos!$A:$A,Proyectos!$C:$C)),"")</f>
        <v>NULOS</v>
      </c>
    </row>
    <row r="1260" spans="1:15">
      <c r="A1260" s="9">
        <v>1003560694</v>
      </c>
      <c r="B1260" s="63" t="s">
        <v>61</v>
      </c>
      <c r="C1260" s="62" t="s">
        <v>3329</v>
      </c>
      <c r="D1260" t="s">
        <v>63</v>
      </c>
      <c r="E1260" t="s">
        <v>3839</v>
      </c>
      <c r="F1260" s="61">
        <v>36871</v>
      </c>
      <c r="G1260" s="15" t="s">
        <v>65</v>
      </c>
      <c r="H1260" t="s">
        <v>3840</v>
      </c>
      <c r="I1260" s="62" t="s">
        <v>3841</v>
      </c>
      <c r="K1260" s="36" t="s">
        <v>495</v>
      </c>
      <c r="L1260" t="s">
        <v>69</v>
      </c>
      <c r="M1260" s="62" t="s">
        <v>70</v>
      </c>
      <c r="N1260" t="s">
        <v>71</v>
      </c>
      <c r="O1260" t="str">
        <f>IFERROR(IF(Tbla_actores[[#This Row],[codigo_proyecto]]="","",_xlfn.XLOOKUP(Tbla_actores[[#This Row],[codigo_proyecto]],Proyectos!$A:$A,Proyectos!$C:$C)),"")</f>
        <v>NULOS</v>
      </c>
    </row>
    <row r="1261" spans="1:15">
      <c r="A1261" s="10">
        <v>1000062875</v>
      </c>
      <c r="B1261" s="64" t="s">
        <v>61</v>
      </c>
      <c r="C1261" s="62" t="s">
        <v>3329</v>
      </c>
      <c r="D1261" t="s">
        <v>63</v>
      </c>
      <c r="E1261" t="s">
        <v>3842</v>
      </c>
      <c r="F1261" s="61">
        <v>36638</v>
      </c>
      <c r="G1261" s="15" t="s">
        <v>73</v>
      </c>
      <c r="H1261" t="s">
        <v>3843</v>
      </c>
      <c r="I1261" s="62" t="s">
        <v>1540</v>
      </c>
      <c r="K1261" s="36" t="s">
        <v>495</v>
      </c>
      <c r="L1261" t="s">
        <v>69</v>
      </c>
      <c r="M1261" s="62" t="s">
        <v>70</v>
      </c>
      <c r="N1261" t="s">
        <v>71</v>
      </c>
      <c r="O1261" t="str">
        <f>IFERROR(IF(Tbla_actores[[#This Row],[codigo_proyecto]]="","",_xlfn.XLOOKUP(Tbla_actores[[#This Row],[codigo_proyecto]],Proyectos!$A:$A,Proyectos!$C:$C)),"")</f>
        <v>NULOS</v>
      </c>
    </row>
    <row r="1262" spans="1:15">
      <c r="A1262" s="9">
        <v>1015468483</v>
      </c>
      <c r="B1262" s="63" t="s">
        <v>61</v>
      </c>
      <c r="C1262" s="62" t="s">
        <v>3329</v>
      </c>
      <c r="D1262" t="s">
        <v>63</v>
      </c>
      <c r="E1262" t="s">
        <v>3844</v>
      </c>
      <c r="F1262" s="61">
        <v>35555</v>
      </c>
      <c r="G1262" s="15" t="s">
        <v>73</v>
      </c>
      <c r="H1262" t="s">
        <v>3845</v>
      </c>
      <c r="I1262" s="62" t="s">
        <v>3846</v>
      </c>
      <c r="K1262" s="36" t="s">
        <v>495</v>
      </c>
      <c r="L1262" t="s">
        <v>69</v>
      </c>
      <c r="M1262" s="62" t="s">
        <v>70</v>
      </c>
      <c r="N1262" t="s">
        <v>71</v>
      </c>
      <c r="O1262" t="str">
        <f>IFERROR(IF(Tbla_actores[[#This Row],[codigo_proyecto]]="","",_xlfn.XLOOKUP(Tbla_actores[[#This Row],[codigo_proyecto]],Proyectos!$A:$A,Proyectos!$C:$C)),"")</f>
        <v>NULOS</v>
      </c>
    </row>
    <row r="1263" spans="1:15">
      <c r="A1263" s="10">
        <v>1018506767</v>
      </c>
      <c r="B1263" s="64" t="s">
        <v>61</v>
      </c>
      <c r="C1263" s="62" t="s">
        <v>3329</v>
      </c>
      <c r="D1263" t="s">
        <v>63</v>
      </c>
      <c r="E1263" t="s">
        <v>3847</v>
      </c>
      <c r="F1263" s="61">
        <v>36052</v>
      </c>
      <c r="G1263" s="15" t="s">
        <v>73</v>
      </c>
      <c r="H1263" t="s">
        <v>3848</v>
      </c>
      <c r="I1263" s="62" t="s">
        <v>3849</v>
      </c>
      <c r="K1263" s="36" t="s">
        <v>495</v>
      </c>
      <c r="L1263" t="s">
        <v>69</v>
      </c>
      <c r="M1263" s="62" t="s">
        <v>70</v>
      </c>
      <c r="N1263" t="s">
        <v>71</v>
      </c>
      <c r="O1263" t="str">
        <f>IFERROR(IF(Tbla_actores[[#This Row],[codigo_proyecto]]="","",_xlfn.XLOOKUP(Tbla_actores[[#This Row],[codigo_proyecto]],Proyectos!$A:$A,Proyectos!$C:$C)),"")</f>
        <v>NULOS</v>
      </c>
    </row>
    <row r="1264" spans="1:15">
      <c r="A1264" s="9">
        <v>1032495109</v>
      </c>
      <c r="B1264" s="63" t="s">
        <v>61</v>
      </c>
      <c r="C1264" s="62" t="s">
        <v>3329</v>
      </c>
      <c r="D1264" t="s">
        <v>63</v>
      </c>
      <c r="E1264" t="s">
        <v>3850</v>
      </c>
      <c r="F1264" s="61">
        <v>35766</v>
      </c>
      <c r="G1264" s="15" t="s">
        <v>73</v>
      </c>
      <c r="H1264" t="s">
        <v>3851</v>
      </c>
      <c r="I1264" s="62" t="s">
        <v>3852</v>
      </c>
      <c r="K1264" s="36" t="s">
        <v>495</v>
      </c>
      <c r="L1264" t="s">
        <v>69</v>
      </c>
      <c r="M1264" s="62" t="s">
        <v>70</v>
      </c>
      <c r="N1264" t="s">
        <v>71</v>
      </c>
      <c r="O1264" t="str">
        <f>IFERROR(IF(Tbla_actores[[#This Row],[codigo_proyecto]]="","",_xlfn.XLOOKUP(Tbla_actores[[#This Row],[codigo_proyecto]],Proyectos!$A:$A,Proyectos!$C:$C)),"")</f>
        <v>NULOS</v>
      </c>
    </row>
    <row r="1265" spans="1:15">
      <c r="A1265" s="10">
        <v>1047495541</v>
      </c>
      <c r="B1265" s="64" t="s">
        <v>61</v>
      </c>
      <c r="C1265" s="62" t="s">
        <v>3329</v>
      </c>
      <c r="D1265" t="s">
        <v>63</v>
      </c>
      <c r="E1265" t="s">
        <v>3853</v>
      </c>
      <c r="F1265" s="61">
        <v>35561</v>
      </c>
      <c r="G1265" s="15" t="s">
        <v>73</v>
      </c>
      <c r="H1265" t="s">
        <v>3854</v>
      </c>
      <c r="I1265" s="62" t="s">
        <v>3855</v>
      </c>
      <c r="K1265" s="36" t="s">
        <v>495</v>
      </c>
      <c r="L1265" t="s">
        <v>69</v>
      </c>
      <c r="M1265" s="62" t="s">
        <v>70</v>
      </c>
      <c r="N1265" t="s">
        <v>71</v>
      </c>
      <c r="O1265" t="str">
        <f>IFERROR(IF(Tbla_actores[[#This Row],[codigo_proyecto]]="","",_xlfn.XLOOKUP(Tbla_actores[[#This Row],[codigo_proyecto]],Proyectos!$A:$A,Proyectos!$C:$C)),"")</f>
        <v>NULOS</v>
      </c>
    </row>
    <row r="1266" spans="1:15">
      <c r="A1266" s="9">
        <v>1007678991</v>
      </c>
      <c r="B1266" s="63" t="s">
        <v>61</v>
      </c>
      <c r="C1266" s="62" t="s">
        <v>3329</v>
      </c>
      <c r="D1266" t="s">
        <v>63</v>
      </c>
      <c r="E1266" t="s">
        <v>3856</v>
      </c>
      <c r="F1266" s="61">
        <v>36531</v>
      </c>
      <c r="G1266" s="15" t="s">
        <v>73</v>
      </c>
      <c r="H1266" t="s">
        <v>3857</v>
      </c>
      <c r="I1266" s="62" t="s">
        <v>3858</v>
      </c>
      <c r="K1266" s="36" t="s">
        <v>495</v>
      </c>
      <c r="L1266" t="s">
        <v>69</v>
      </c>
      <c r="M1266" s="62" t="s">
        <v>70</v>
      </c>
      <c r="N1266" t="s">
        <v>71</v>
      </c>
      <c r="O1266" t="str">
        <f>IFERROR(IF(Tbla_actores[[#This Row],[codigo_proyecto]]="","",_xlfn.XLOOKUP(Tbla_actores[[#This Row],[codigo_proyecto]],Proyectos!$A:$A,Proyectos!$C:$C)),"")</f>
        <v>NULOS</v>
      </c>
    </row>
    <row r="1267" spans="1:15">
      <c r="A1267" s="10">
        <v>1018511858</v>
      </c>
      <c r="B1267" s="64" t="s">
        <v>61</v>
      </c>
      <c r="C1267" s="62" t="s">
        <v>3329</v>
      </c>
      <c r="D1267" t="s">
        <v>63</v>
      </c>
      <c r="E1267" t="s">
        <v>3859</v>
      </c>
      <c r="F1267" s="61">
        <v>36338</v>
      </c>
      <c r="G1267" s="15" t="s">
        <v>73</v>
      </c>
      <c r="H1267" t="s">
        <v>3860</v>
      </c>
      <c r="I1267" s="62" t="s">
        <v>3861</v>
      </c>
      <c r="K1267" s="36" t="s">
        <v>495</v>
      </c>
      <c r="L1267" t="s">
        <v>69</v>
      </c>
      <c r="M1267" s="62" t="s">
        <v>70</v>
      </c>
      <c r="N1267" t="s">
        <v>71</v>
      </c>
      <c r="O1267" t="str">
        <f>IFERROR(IF(Tbla_actores[[#This Row],[codigo_proyecto]]="","",_xlfn.XLOOKUP(Tbla_actores[[#This Row],[codigo_proyecto]],Proyectos!$A:$A,Proyectos!$C:$C)),"")</f>
        <v>NULOS</v>
      </c>
    </row>
    <row r="1268" spans="1:15">
      <c r="A1268" s="9">
        <v>1026303059</v>
      </c>
      <c r="B1268" s="63" t="s">
        <v>61</v>
      </c>
      <c r="C1268" s="62" t="s">
        <v>3329</v>
      </c>
      <c r="D1268" t="s">
        <v>63</v>
      </c>
      <c r="E1268" t="s">
        <v>3862</v>
      </c>
      <c r="F1268" s="61">
        <v>36071</v>
      </c>
      <c r="G1268" s="15" t="s">
        <v>73</v>
      </c>
      <c r="H1268" t="s">
        <v>3863</v>
      </c>
      <c r="I1268" s="62" t="s">
        <v>3864</v>
      </c>
      <c r="K1268" s="36" t="s">
        <v>495</v>
      </c>
      <c r="L1268" t="s">
        <v>69</v>
      </c>
      <c r="M1268" s="62" t="s">
        <v>70</v>
      </c>
      <c r="N1268" t="s">
        <v>71</v>
      </c>
      <c r="O1268" t="str">
        <f>IFERROR(IF(Tbla_actores[[#This Row],[codigo_proyecto]]="","",_xlfn.XLOOKUP(Tbla_actores[[#This Row],[codigo_proyecto]],Proyectos!$A:$A,Proyectos!$C:$C)),"")</f>
        <v>NULOS</v>
      </c>
    </row>
    <row r="1269" spans="1:15">
      <c r="A1269" s="10">
        <v>1075312150</v>
      </c>
      <c r="B1269" s="64" t="s">
        <v>61</v>
      </c>
      <c r="C1269" s="62" t="s">
        <v>3329</v>
      </c>
      <c r="D1269" t="s">
        <v>63</v>
      </c>
      <c r="E1269" t="s">
        <v>3865</v>
      </c>
      <c r="F1269" s="61">
        <v>35968</v>
      </c>
      <c r="G1269" s="15" t="s">
        <v>73</v>
      </c>
      <c r="H1269" t="s">
        <v>3866</v>
      </c>
      <c r="I1269" s="62" t="s">
        <v>3867</v>
      </c>
      <c r="K1269" s="36" t="s">
        <v>495</v>
      </c>
      <c r="L1269" t="s">
        <v>69</v>
      </c>
      <c r="M1269" s="62" t="s">
        <v>70</v>
      </c>
      <c r="N1269" t="s">
        <v>71</v>
      </c>
      <c r="O1269" t="str">
        <f>IFERROR(IF(Tbla_actores[[#This Row],[codigo_proyecto]]="","",_xlfn.XLOOKUP(Tbla_actores[[#This Row],[codigo_proyecto]],Proyectos!$A:$A,Proyectos!$C:$C)),"")</f>
        <v>NULOS</v>
      </c>
    </row>
    <row r="1270" spans="1:15">
      <c r="A1270" s="9">
        <v>1193515092</v>
      </c>
      <c r="B1270" s="63" t="s">
        <v>61</v>
      </c>
      <c r="C1270" s="62" t="s">
        <v>3329</v>
      </c>
      <c r="D1270" t="s">
        <v>63</v>
      </c>
      <c r="E1270" t="s">
        <v>3868</v>
      </c>
      <c r="F1270" s="61">
        <v>36187</v>
      </c>
      <c r="G1270" s="15" t="s">
        <v>73</v>
      </c>
      <c r="H1270" t="s">
        <v>3869</v>
      </c>
      <c r="I1270" s="62" t="s">
        <v>3870</v>
      </c>
      <c r="K1270" s="36" t="s">
        <v>495</v>
      </c>
      <c r="L1270" t="s">
        <v>69</v>
      </c>
      <c r="M1270" s="62" t="s">
        <v>70</v>
      </c>
      <c r="N1270" t="s">
        <v>71</v>
      </c>
      <c r="O1270" t="str">
        <f>IFERROR(IF(Tbla_actores[[#This Row],[codigo_proyecto]]="","",_xlfn.XLOOKUP(Tbla_actores[[#This Row],[codigo_proyecto]],Proyectos!$A:$A,Proyectos!$C:$C)),"")</f>
        <v>NULOS</v>
      </c>
    </row>
    <row r="1271" spans="1:15">
      <c r="A1271" s="10">
        <v>1033816558</v>
      </c>
      <c r="B1271" s="64" t="s">
        <v>61</v>
      </c>
      <c r="C1271" s="62" t="s">
        <v>3329</v>
      </c>
      <c r="D1271" t="s">
        <v>63</v>
      </c>
      <c r="E1271" t="s">
        <v>3871</v>
      </c>
      <c r="F1271" s="61">
        <v>36034</v>
      </c>
      <c r="G1271" s="15" t="s">
        <v>65</v>
      </c>
      <c r="H1271" t="s">
        <v>3872</v>
      </c>
      <c r="I1271" s="62" t="s">
        <v>3873</v>
      </c>
      <c r="K1271" s="36" t="s">
        <v>495</v>
      </c>
      <c r="L1271" t="s">
        <v>69</v>
      </c>
      <c r="M1271" s="62" t="s">
        <v>70</v>
      </c>
      <c r="N1271" t="s">
        <v>71</v>
      </c>
      <c r="O1271" t="str">
        <f>IFERROR(IF(Tbla_actores[[#This Row],[codigo_proyecto]]="","",_xlfn.XLOOKUP(Tbla_actores[[#This Row],[codigo_proyecto]],Proyectos!$A:$A,Proyectos!$C:$C)),"")</f>
        <v>NULOS</v>
      </c>
    </row>
    <row r="1272" spans="1:15">
      <c r="A1272" s="9">
        <v>1070990167</v>
      </c>
      <c r="B1272" s="63" t="s">
        <v>61</v>
      </c>
      <c r="C1272" s="62" t="s">
        <v>3329</v>
      </c>
      <c r="D1272" t="s">
        <v>63</v>
      </c>
      <c r="E1272" t="s">
        <v>3874</v>
      </c>
      <c r="F1272" s="61">
        <v>36465</v>
      </c>
      <c r="G1272" s="15" t="s">
        <v>73</v>
      </c>
      <c r="H1272" t="s">
        <v>3875</v>
      </c>
      <c r="I1272" s="62" t="s">
        <v>3876</v>
      </c>
      <c r="K1272" s="36" t="s">
        <v>495</v>
      </c>
      <c r="L1272" t="s">
        <v>69</v>
      </c>
      <c r="M1272" s="62" t="s">
        <v>70</v>
      </c>
      <c r="N1272" t="s">
        <v>71</v>
      </c>
      <c r="O1272" t="str">
        <f>IFERROR(IF(Tbla_actores[[#This Row],[codigo_proyecto]]="","",_xlfn.XLOOKUP(Tbla_actores[[#This Row],[codigo_proyecto]],Proyectos!$A:$A,Proyectos!$C:$C)),"")</f>
        <v>NULOS</v>
      </c>
    </row>
    <row r="1273" spans="1:15">
      <c r="A1273" s="10">
        <v>1020842418</v>
      </c>
      <c r="B1273" s="64" t="s">
        <v>61</v>
      </c>
      <c r="C1273" s="62" t="s">
        <v>3329</v>
      </c>
      <c r="D1273" t="s">
        <v>63</v>
      </c>
      <c r="E1273" t="s">
        <v>3877</v>
      </c>
      <c r="F1273" s="61">
        <v>36360</v>
      </c>
      <c r="G1273" s="15" t="s">
        <v>73</v>
      </c>
      <c r="H1273" t="s">
        <v>3878</v>
      </c>
      <c r="I1273" s="62" t="s">
        <v>3879</v>
      </c>
      <c r="K1273" s="36" t="s">
        <v>495</v>
      </c>
      <c r="L1273" t="s">
        <v>69</v>
      </c>
      <c r="M1273" s="62" t="s">
        <v>70</v>
      </c>
      <c r="N1273" t="s">
        <v>71</v>
      </c>
      <c r="O1273" t="str">
        <f>IFERROR(IF(Tbla_actores[[#This Row],[codigo_proyecto]]="","",_xlfn.XLOOKUP(Tbla_actores[[#This Row],[codigo_proyecto]],Proyectos!$A:$A,Proyectos!$C:$C)),"")</f>
        <v>NULOS</v>
      </c>
    </row>
    <row r="1274" spans="1:15">
      <c r="A1274" s="9">
        <v>1019141401</v>
      </c>
      <c r="B1274" s="63" t="s">
        <v>61</v>
      </c>
      <c r="C1274" s="62" t="s">
        <v>3329</v>
      </c>
      <c r="D1274" t="s">
        <v>63</v>
      </c>
      <c r="E1274" t="s">
        <v>3880</v>
      </c>
      <c r="F1274" s="61">
        <v>35984</v>
      </c>
      <c r="G1274" s="15" t="s">
        <v>73</v>
      </c>
      <c r="H1274" t="s">
        <v>3881</v>
      </c>
      <c r="I1274" s="62" t="s">
        <v>3882</v>
      </c>
      <c r="K1274" s="36" t="s">
        <v>495</v>
      </c>
      <c r="L1274" t="s">
        <v>69</v>
      </c>
      <c r="M1274" s="62" t="s">
        <v>70</v>
      </c>
      <c r="N1274" t="s">
        <v>71</v>
      </c>
      <c r="O1274" t="str">
        <f>IFERROR(IF(Tbla_actores[[#This Row],[codigo_proyecto]]="","",_xlfn.XLOOKUP(Tbla_actores[[#This Row],[codigo_proyecto]],Proyectos!$A:$A,Proyectos!$C:$C)),"")</f>
        <v>NULOS</v>
      </c>
    </row>
    <row r="1275" spans="1:15">
      <c r="A1275" s="10">
        <v>1007337232</v>
      </c>
      <c r="B1275" s="64" t="s">
        <v>61</v>
      </c>
      <c r="C1275" s="62" t="s">
        <v>3329</v>
      </c>
      <c r="D1275" t="s">
        <v>63</v>
      </c>
      <c r="E1275" t="s">
        <v>3883</v>
      </c>
      <c r="F1275" s="61">
        <v>36857</v>
      </c>
      <c r="G1275" s="15" t="s">
        <v>65</v>
      </c>
      <c r="H1275" t="s">
        <v>3884</v>
      </c>
      <c r="I1275" s="62" t="s">
        <v>3885</v>
      </c>
      <c r="K1275" s="36" t="s">
        <v>495</v>
      </c>
      <c r="L1275" t="s">
        <v>69</v>
      </c>
      <c r="M1275" s="62" t="s">
        <v>70</v>
      </c>
      <c r="N1275" t="s">
        <v>71</v>
      </c>
      <c r="O1275" t="str">
        <f>IFERROR(IF(Tbla_actores[[#This Row],[codigo_proyecto]]="","",_xlfn.XLOOKUP(Tbla_actores[[#This Row],[codigo_proyecto]],Proyectos!$A:$A,Proyectos!$C:$C)),"")</f>
        <v>NULOS</v>
      </c>
    </row>
    <row r="1276" spans="1:15">
      <c r="A1276" s="9">
        <v>1110558240</v>
      </c>
      <c r="B1276" s="63" t="s">
        <v>61</v>
      </c>
      <c r="C1276" s="62" t="s">
        <v>3329</v>
      </c>
      <c r="D1276" t="s">
        <v>63</v>
      </c>
      <c r="E1276" t="s">
        <v>3886</v>
      </c>
      <c r="F1276" s="61">
        <v>34812</v>
      </c>
      <c r="G1276" s="15" t="s">
        <v>65</v>
      </c>
      <c r="H1276" t="s">
        <v>2947</v>
      </c>
      <c r="I1276" s="62" t="s">
        <v>2948</v>
      </c>
      <c r="K1276" s="36" t="s">
        <v>495</v>
      </c>
      <c r="L1276" t="s">
        <v>69</v>
      </c>
      <c r="M1276" s="62" t="s">
        <v>70</v>
      </c>
      <c r="N1276" t="s">
        <v>71</v>
      </c>
      <c r="O1276" t="str">
        <f>IFERROR(IF(Tbla_actores[[#This Row],[codigo_proyecto]]="","",_xlfn.XLOOKUP(Tbla_actores[[#This Row],[codigo_proyecto]],Proyectos!$A:$A,Proyectos!$C:$C)),"")</f>
        <v>NULOS</v>
      </c>
    </row>
    <row r="1277" spans="1:15">
      <c r="A1277" s="10">
        <v>1016100209</v>
      </c>
      <c r="B1277" s="64" t="s">
        <v>61</v>
      </c>
      <c r="C1277" s="62" t="s">
        <v>3329</v>
      </c>
      <c r="D1277" t="s">
        <v>63</v>
      </c>
      <c r="E1277" t="s">
        <v>3887</v>
      </c>
      <c r="F1277" s="61">
        <v>35827</v>
      </c>
      <c r="G1277" s="15" t="s">
        <v>73</v>
      </c>
      <c r="H1277" t="s">
        <v>3888</v>
      </c>
      <c r="I1277" s="62" t="s">
        <v>3889</v>
      </c>
      <c r="K1277" s="36" t="s">
        <v>495</v>
      </c>
      <c r="L1277" t="s">
        <v>69</v>
      </c>
      <c r="M1277" s="62" t="s">
        <v>70</v>
      </c>
      <c r="N1277" t="s">
        <v>71</v>
      </c>
      <c r="O1277" t="str">
        <f>IFERROR(IF(Tbla_actores[[#This Row],[codigo_proyecto]]="","",_xlfn.XLOOKUP(Tbla_actores[[#This Row],[codigo_proyecto]],Proyectos!$A:$A,Proyectos!$C:$C)),"")</f>
        <v>NULOS</v>
      </c>
    </row>
    <row r="1278" spans="1:15">
      <c r="A1278" s="9">
        <v>1069767559</v>
      </c>
      <c r="B1278" s="63" t="s">
        <v>61</v>
      </c>
      <c r="C1278" s="62" t="s">
        <v>3329</v>
      </c>
      <c r="D1278" t="s">
        <v>63</v>
      </c>
      <c r="E1278" t="s">
        <v>3890</v>
      </c>
      <c r="F1278" s="61">
        <v>36348</v>
      </c>
      <c r="G1278" s="15" t="s">
        <v>73</v>
      </c>
      <c r="H1278" t="s">
        <v>3891</v>
      </c>
      <c r="I1278" s="62" t="s">
        <v>3892</v>
      </c>
      <c r="K1278" s="36" t="s">
        <v>495</v>
      </c>
      <c r="L1278" t="s">
        <v>69</v>
      </c>
      <c r="M1278" s="62" t="s">
        <v>70</v>
      </c>
      <c r="N1278" t="s">
        <v>71</v>
      </c>
      <c r="O1278" t="str">
        <f>IFERROR(IF(Tbla_actores[[#This Row],[codigo_proyecto]]="","",_xlfn.XLOOKUP(Tbla_actores[[#This Row],[codigo_proyecto]],Proyectos!$A:$A,Proyectos!$C:$C)),"")</f>
        <v>NULOS</v>
      </c>
    </row>
    <row r="1279" spans="1:15">
      <c r="A1279" s="10">
        <v>1096959326</v>
      </c>
      <c r="B1279" s="64" t="s">
        <v>61</v>
      </c>
      <c r="C1279" s="62" t="s">
        <v>3329</v>
      </c>
      <c r="D1279" t="s">
        <v>63</v>
      </c>
      <c r="E1279" t="s">
        <v>3893</v>
      </c>
      <c r="F1279" s="61">
        <v>36104</v>
      </c>
      <c r="G1279" s="15" t="s">
        <v>65</v>
      </c>
      <c r="H1279" t="s">
        <v>3894</v>
      </c>
      <c r="I1279" s="62" t="s">
        <v>3895</v>
      </c>
      <c r="K1279" s="36" t="s">
        <v>495</v>
      </c>
      <c r="L1279" t="s">
        <v>69</v>
      </c>
      <c r="M1279" s="62" t="s">
        <v>70</v>
      </c>
      <c r="N1279" t="s">
        <v>71</v>
      </c>
      <c r="O1279" t="str">
        <f>IFERROR(IF(Tbla_actores[[#This Row],[codigo_proyecto]]="","",_xlfn.XLOOKUP(Tbla_actores[[#This Row],[codigo_proyecto]],Proyectos!$A:$A,Proyectos!$C:$C)),"")</f>
        <v>NULOS</v>
      </c>
    </row>
    <row r="1280" spans="1:15">
      <c r="A1280" s="9">
        <v>1094972983</v>
      </c>
      <c r="B1280" s="63" t="s">
        <v>61</v>
      </c>
      <c r="C1280" s="62" t="s">
        <v>3329</v>
      </c>
      <c r="D1280" t="s">
        <v>63</v>
      </c>
      <c r="E1280" t="s">
        <v>3896</v>
      </c>
      <c r="F1280" s="61">
        <v>36200</v>
      </c>
      <c r="G1280" s="15" t="s">
        <v>73</v>
      </c>
      <c r="H1280" t="s">
        <v>3897</v>
      </c>
      <c r="I1280" s="62" t="s">
        <v>3898</v>
      </c>
      <c r="K1280" s="36" t="s">
        <v>495</v>
      </c>
      <c r="L1280" t="s">
        <v>69</v>
      </c>
      <c r="M1280" s="62" t="s">
        <v>70</v>
      </c>
      <c r="N1280" t="s">
        <v>71</v>
      </c>
      <c r="O1280" t="str">
        <f>IFERROR(IF(Tbla_actores[[#This Row],[codigo_proyecto]]="","",_xlfn.XLOOKUP(Tbla_actores[[#This Row],[codigo_proyecto]],Proyectos!$A:$A,Proyectos!$C:$C)),"")</f>
        <v>NULOS</v>
      </c>
    </row>
    <row r="1281" spans="1:15">
      <c r="A1281" s="10">
        <v>1233908062</v>
      </c>
      <c r="B1281" s="64" t="s">
        <v>61</v>
      </c>
      <c r="C1281" s="62" t="s">
        <v>2550</v>
      </c>
      <c r="D1281" t="s">
        <v>63</v>
      </c>
      <c r="E1281" t="s">
        <v>3899</v>
      </c>
      <c r="F1281" s="61">
        <v>36330</v>
      </c>
      <c r="G1281" s="15" t="s">
        <v>73</v>
      </c>
      <c r="H1281" t="s">
        <v>3900</v>
      </c>
      <c r="I1281" s="62" t="s">
        <v>3901</v>
      </c>
      <c r="K1281" s="36" t="s">
        <v>495</v>
      </c>
      <c r="L1281" t="s">
        <v>69</v>
      </c>
      <c r="M1281" s="62" t="s">
        <v>70</v>
      </c>
      <c r="N1281" t="s">
        <v>71</v>
      </c>
      <c r="O1281" t="str">
        <f>IFERROR(IF(Tbla_actores[[#This Row],[codigo_proyecto]]="","",_xlfn.XLOOKUP(Tbla_actores[[#This Row],[codigo_proyecto]],Proyectos!$A:$A,Proyectos!$C:$C)),"")</f>
        <v>NULOS</v>
      </c>
    </row>
    <row r="1282" spans="1:15">
      <c r="A1282" s="9">
        <v>1193238036</v>
      </c>
      <c r="B1282" s="63" t="s">
        <v>61</v>
      </c>
      <c r="C1282" s="62" t="s">
        <v>3329</v>
      </c>
      <c r="D1282" t="s">
        <v>63</v>
      </c>
      <c r="E1282" t="s">
        <v>3902</v>
      </c>
      <c r="F1282" s="61">
        <v>36545</v>
      </c>
      <c r="G1282" s="15" t="s">
        <v>65</v>
      </c>
      <c r="H1282" t="s">
        <v>3903</v>
      </c>
      <c r="I1282" s="62" t="s">
        <v>3904</v>
      </c>
      <c r="K1282" s="36" t="s">
        <v>495</v>
      </c>
      <c r="L1282" t="s">
        <v>69</v>
      </c>
      <c r="M1282" s="62" t="s">
        <v>70</v>
      </c>
      <c r="N1282" t="s">
        <v>71</v>
      </c>
      <c r="O1282" t="str">
        <f>IFERROR(IF(Tbla_actores[[#This Row],[codigo_proyecto]]="","",_xlfn.XLOOKUP(Tbla_actores[[#This Row],[codigo_proyecto]],Proyectos!$A:$A,Proyectos!$C:$C)),"")</f>
        <v>NULOS</v>
      </c>
    </row>
    <row r="1283" spans="1:15">
      <c r="A1283" s="10">
        <v>1020844108</v>
      </c>
      <c r="B1283" s="64" t="s">
        <v>61</v>
      </c>
      <c r="C1283" s="62" t="s">
        <v>3329</v>
      </c>
      <c r="D1283" t="s">
        <v>63</v>
      </c>
      <c r="E1283" t="s">
        <v>3905</v>
      </c>
      <c r="F1283" s="61">
        <v>36423</v>
      </c>
      <c r="G1283" s="15" t="s">
        <v>73</v>
      </c>
      <c r="H1283" t="s">
        <v>3906</v>
      </c>
      <c r="I1283" s="62" t="s">
        <v>3907</v>
      </c>
      <c r="K1283" s="36" t="s">
        <v>495</v>
      </c>
      <c r="L1283" t="s">
        <v>69</v>
      </c>
      <c r="M1283" s="62" t="s">
        <v>70</v>
      </c>
      <c r="N1283" t="s">
        <v>71</v>
      </c>
      <c r="O1283" t="str">
        <f>IFERROR(IF(Tbla_actores[[#This Row],[codigo_proyecto]]="","",_xlfn.XLOOKUP(Tbla_actores[[#This Row],[codigo_proyecto]],Proyectos!$A:$A,Proyectos!$C:$C)),"")</f>
        <v>NULOS</v>
      </c>
    </row>
    <row r="1284" spans="1:15">
      <c r="A1284" s="9">
        <v>1030696307</v>
      </c>
      <c r="B1284" s="63" t="s">
        <v>61</v>
      </c>
      <c r="C1284" s="62" t="s">
        <v>3329</v>
      </c>
      <c r="D1284" t="s">
        <v>63</v>
      </c>
      <c r="E1284" t="s">
        <v>3908</v>
      </c>
      <c r="F1284" s="61">
        <v>36292</v>
      </c>
      <c r="G1284" s="15" t="s">
        <v>73</v>
      </c>
      <c r="H1284" t="s">
        <v>3909</v>
      </c>
      <c r="I1284" s="62" t="s">
        <v>3910</v>
      </c>
      <c r="K1284" s="36" t="s">
        <v>495</v>
      </c>
      <c r="L1284" t="s">
        <v>69</v>
      </c>
      <c r="M1284" s="62" t="s">
        <v>70</v>
      </c>
      <c r="N1284" t="s">
        <v>71</v>
      </c>
      <c r="O1284" t="str">
        <f>IFERROR(IF(Tbla_actores[[#This Row],[codigo_proyecto]]="","",_xlfn.XLOOKUP(Tbla_actores[[#This Row],[codigo_proyecto]],Proyectos!$A:$A,Proyectos!$C:$C)),"")</f>
        <v>NULOS</v>
      </c>
    </row>
    <row r="1285" spans="1:15">
      <c r="A1285" s="10">
        <v>1010050435</v>
      </c>
      <c r="B1285" s="64" t="s">
        <v>61</v>
      </c>
      <c r="C1285" s="62" t="s">
        <v>3329</v>
      </c>
      <c r="D1285" t="s">
        <v>63</v>
      </c>
      <c r="E1285" t="s">
        <v>3911</v>
      </c>
      <c r="F1285" s="61">
        <v>36436</v>
      </c>
      <c r="G1285" s="15" t="s">
        <v>73</v>
      </c>
      <c r="H1285" t="s">
        <v>3912</v>
      </c>
      <c r="I1285" s="62" t="s">
        <v>3913</v>
      </c>
      <c r="K1285" s="36" t="s">
        <v>495</v>
      </c>
      <c r="L1285" t="s">
        <v>69</v>
      </c>
      <c r="M1285" s="62" t="s">
        <v>70</v>
      </c>
      <c r="N1285" t="s">
        <v>71</v>
      </c>
      <c r="O1285" t="str">
        <f>IFERROR(IF(Tbla_actores[[#This Row],[codigo_proyecto]]="","",_xlfn.XLOOKUP(Tbla_actores[[#This Row],[codigo_proyecto]],Proyectos!$A:$A,Proyectos!$C:$C)),"")</f>
        <v>NULOS</v>
      </c>
    </row>
    <row r="1286" spans="1:15">
      <c r="A1286" s="9">
        <v>1007370702</v>
      </c>
      <c r="B1286" s="63" t="s">
        <v>61</v>
      </c>
      <c r="C1286" s="62" t="s">
        <v>3329</v>
      </c>
      <c r="D1286" t="s">
        <v>63</v>
      </c>
      <c r="E1286" t="s">
        <v>3914</v>
      </c>
      <c r="F1286" s="61">
        <v>36932</v>
      </c>
      <c r="G1286" s="15" t="s">
        <v>65</v>
      </c>
      <c r="H1286" t="s">
        <v>3915</v>
      </c>
      <c r="I1286" s="62" t="s">
        <v>3916</v>
      </c>
      <c r="K1286" s="36" t="s">
        <v>495</v>
      </c>
      <c r="L1286" t="s">
        <v>69</v>
      </c>
      <c r="M1286" s="62" t="s">
        <v>70</v>
      </c>
      <c r="N1286" t="s">
        <v>71</v>
      </c>
      <c r="O1286" t="str">
        <f>IFERROR(IF(Tbla_actores[[#This Row],[codigo_proyecto]]="","",_xlfn.XLOOKUP(Tbla_actores[[#This Row],[codigo_proyecto]],Proyectos!$A:$A,Proyectos!$C:$C)),"")</f>
        <v>NULOS</v>
      </c>
    </row>
    <row r="1287" spans="1:15">
      <c r="A1287" s="10">
        <v>1022443783</v>
      </c>
      <c r="B1287" s="64" t="s">
        <v>61</v>
      </c>
      <c r="C1287" s="62" t="s">
        <v>3329</v>
      </c>
      <c r="D1287" t="s">
        <v>63</v>
      </c>
      <c r="E1287" t="s">
        <v>3917</v>
      </c>
      <c r="F1287" s="61">
        <v>36329</v>
      </c>
      <c r="G1287" s="15" t="s">
        <v>73</v>
      </c>
      <c r="H1287" t="s">
        <v>3918</v>
      </c>
      <c r="I1287" s="62" t="s">
        <v>3919</v>
      </c>
      <c r="K1287" s="36" t="s">
        <v>495</v>
      </c>
      <c r="L1287" t="s">
        <v>69</v>
      </c>
      <c r="M1287" s="62" t="s">
        <v>70</v>
      </c>
      <c r="N1287" t="s">
        <v>71</v>
      </c>
      <c r="O1287" t="str">
        <f>IFERROR(IF(Tbla_actores[[#This Row],[codigo_proyecto]]="","",_xlfn.XLOOKUP(Tbla_actores[[#This Row],[codigo_proyecto]],Proyectos!$A:$A,Proyectos!$C:$C)),"")</f>
        <v>NULOS</v>
      </c>
    </row>
    <row r="1288" spans="1:15">
      <c r="A1288" s="9">
        <v>1073177517</v>
      </c>
      <c r="B1288" s="63" t="s">
        <v>61</v>
      </c>
      <c r="C1288" s="62" t="s">
        <v>3329</v>
      </c>
      <c r="D1288" t="s">
        <v>63</v>
      </c>
      <c r="E1288" t="s">
        <v>3920</v>
      </c>
      <c r="F1288" s="61">
        <v>36143</v>
      </c>
      <c r="G1288" s="15" t="s">
        <v>73</v>
      </c>
      <c r="H1288" t="s">
        <v>3921</v>
      </c>
      <c r="I1288" s="62" t="s">
        <v>3922</v>
      </c>
      <c r="K1288" s="36" t="s">
        <v>495</v>
      </c>
      <c r="L1288" t="s">
        <v>69</v>
      </c>
      <c r="M1288" s="62" t="s">
        <v>70</v>
      </c>
      <c r="N1288" t="s">
        <v>71</v>
      </c>
      <c r="O1288" t="str">
        <f>IFERROR(IF(Tbla_actores[[#This Row],[codigo_proyecto]]="","",_xlfn.XLOOKUP(Tbla_actores[[#This Row],[codigo_proyecto]],Proyectos!$A:$A,Proyectos!$C:$C)),"")</f>
        <v>NULOS</v>
      </c>
    </row>
    <row r="1289" spans="1:15">
      <c r="A1289" s="10">
        <v>1032508203</v>
      </c>
      <c r="B1289" s="64" t="s">
        <v>61</v>
      </c>
      <c r="C1289" s="62" t="s">
        <v>3329</v>
      </c>
      <c r="D1289" t="s">
        <v>63</v>
      </c>
      <c r="E1289" t="s">
        <v>3923</v>
      </c>
      <c r="F1289" s="61">
        <v>36491</v>
      </c>
      <c r="G1289" s="15" t="s">
        <v>73</v>
      </c>
      <c r="H1289" t="s">
        <v>3924</v>
      </c>
      <c r="I1289" s="62" t="s">
        <v>3925</v>
      </c>
      <c r="K1289" s="36" t="s">
        <v>495</v>
      </c>
      <c r="L1289" t="s">
        <v>69</v>
      </c>
      <c r="M1289" s="62" t="s">
        <v>70</v>
      </c>
      <c r="N1289" t="s">
        <v>71</v>
      </c>
      <c r="O1289" t="str">
        <f>IFERROR(IF(Tbla_actores[[#This Row],[codigo_proyecto]]="","",_xlfn.XLOOKUP(Tbla_actores[[#This Row],[codigo_proyecto]],Proyectos!$A:$A,Proyectos!$C:$C)),"")</f>
        <v>NULOS</v>
      </c>
    </row>
    <row r="1290" spans="1:15">
      <c r="A1290" s="9">
        <v>1015479663</v>
      </c>
      <c r="B1290" s="63" t="s">
        <v>61</v>
      </c>
      <c r="C1290" s="62" t="s">
        <v>3329</v>
      </c>
      <c r="D1290" t="s">
        <v>63</v>
      </c>
      <c r="E1290" t="s">
        <v>3926</v>
      </c>
      <c r="F1290" s="61">
        <v>36209</v>
      </c>
      <c r="G1290" s="15" t="s">
        <v>65</v>
      </c>
      <c r="H1290" t="s">
        <v>3927</v>
      </c>
      <c r="I1290" s="62" t="s">
        <v>3928</v>
      </c>
      <c r="K1290" s="36" t="s">
        <v>495</v>
      </c>
      <c r="L1290" t="s">
        <v>69</v>
      </c>
      <c r="M1290" s="62" t="s">
        <v>70</v>
      </c>
      <c r="N1290" t="s">
        <v>71</v>
      </c>
      <c r="O1290" t="str">
        <f>IFERROR(IF(Tbla_actores[[#This Row],[codigo_proyecto]]="","",_xlfn.XLOOKUP(Tbla_actores[[#This Row],[codigo_proyecto]],Proyectos!$A:$A,Proyectos!$C:$C)),"")</f>
        <v>NULOS</v>
      </c>
    </row>
    <row r="1291" spans="1:15">
      <c r="A1291" s="10">
        <v>1007476330</v>
      </c>
      <c r="B1291" s="64" t="s">
        <v>61</v>
      </c>
      <c r="C1291" s="62" t="s">
        <v>3329</v>
      </c>
      <c r="D1291" t="s">
        <v>63</v>
      </c>
      <c r="E1291" t="s">
        <v>3929</v>
      </c>
      <c r="F1291" s="61">
        <v>37172</v>
      </c>
      <c r="G1291" s="15" t="s">
        <v>73</v>
      </c>
      <c r="H1291" t="s">
        <v>3930</v>
      </c>
      <c r="I1291" s="62" t="s">
        <v>3931</v>
      </c>
      <c r="K1291" s="36" t="s">
        <v>495</v>
      </c>
      <c r="L1291" t="s">
        <v>69</v>
      </c>
      <c r="M1291" s="62" t="s">
        <v>70</v>
      </c>
      <c r="N1291" t="s">
        <v>71</v>
      </c>
      <c r="O1291" t="str">
        <f>IFERROR(IF(Tbla_actores[[#This Row],[codigo_proyecto]]="","",_xlfn.XLOOKUP(Tbla_actores[[#This Row],[codigo_proyecto]],Proyectos!$A:$A,Proyectos!$C:$C)),"")</f>
        <v>NULOS</v>
      </c>
    </row>
    <row r="1292" spans="1:15">
      <c r="A1292" s="9">
        <v>1022443108</v>
      </c>
      <c r="B1292" s="63" t="s">
        <v>61</v>
      </c>
      <c r="C1292" s="62" t="s">
        <v>3329</v>
      </c>
      <c r="D1292" t="s">
        <v>63</v>
      </c>
      <c r="E1292" t="s">
        <v>3932</v>
      </c>
      <c r="F1292" s="61">
        <v>36295</v>
      </c>
      <c r="G1292" s="15" t="s">
        <v>73</v>
      </c>
      <c r="H1292" t="s">
        <v>3933</v>
      </c>
      <c r="I1292" s="62" t="s">
        <v>3934</v>
      </c>
      <c r="K1292" s="36" t="s">
        <v>495</v>
      </c>
      <c r="L1292" t="s">
        <v>69</v>
      </c>
      <c r="M1292" s="62" t="s">
        <v>70</v>
      </c>
      <c r="N1292" t="s">
        <v>71</v>
      </c>
      <c r="O1292" t="str">
        <f>IFERROR(IF(Tbla_actores[[#This Row],[codigo_proyecto]]="","",_xlfn.XLOOKUP(Tbla_actores[[#This Row],[codigo_proyecto]],Proyectos!$A:$A,Proyectos!$C:$C)),"")</f>
        <v>NULOS</v>
      </c>
    </row>
    <row r="1293" spans="1:15">
      <c r="A1293" s="10">
        <v>1233691824</v>
      </c>
      <c r="B1293" s="64" t="s">
        <v>61</v>
      </c>
      <c r="C1293" s="62" t="s">
        <v>3329</v>
      </c>
      <c r="D1293" t="s">
        <v>63</v>
      </c>
      <c r="E1293" t="s">
        <v>3935</v>
      </c>
      <c r="F1293" s="61">
        <v>36060</v>
      </c>
      <c r="G1293" s="15" t="s">
        <v>73</v>
      </c>
      <c r="H1293" t="s">
        <v>3936</v>
      </c>
      <c r="I1293" s="62" t="s">
        <v>3937</v>
      </c>
      <c r="K1293" s="36" t="s">
        <v>495</v>
      </c>
      <c r="L1293" t="s">
        <v>69</v>
      </c>
      <c r="M1293" s="62" t="s">
        <v>70</v>
      </c>
      <c r="N1293" t="s">
        <v>71</v>
      </c>
      <c r="O1293" t="str">
        <f>IFERROR(IF(Tbla_actores[[#This Row],[codigo_proyecto]]="","",_xlfn.XLOOKUP(Tbla_actores[[#This Row],[codigo_proyecto]],Proyectos!$A:$A,Proyectos!$C:$C)),"")</f>
        <v>NULOS</v>
      </c>
    </row>
    <row r="1294" spans="1:15">
      <c r="A1294" s="9">
        <v>1010121211</v>
      </c>
      <c r="B1294" s="63" t="s">
        <v>61</v>
      </c>
      <c r="C1294" s="62" t="s">
        <v>3329</v>
      </c>
      <c r="D1294" t="s">
        <v>63</v>
      </c>
      <c r="E1294" t="s">
        <v>3938</v>
      </c>
      <c r="F1294" s="61">
        <v>36539</v>
      </c>
      <c r="G1294" s="15" t="s">
        <v>65</v>
      </c>
      <c r="H1294" t="s">
        <v>3939</v>
      </c>
      <c r="I1294" s="62" t="s">
        <v>3940</v>
      </c>
      <c r="K1294" s="36" t="s">
        <v>495</v>
      </c>
      <c r="L1294" t="s">
        <v>69</v>
      </c>
      <c r="M1294" s="62" t="s">
        <v>70</v>
      </c>
      <c r="N1294" t="s">
        <v>71</v>
      </c>
      <c r="O1294" t="str">
        <f>IFERROR(IF(Tbla_actores[[#This Row],[codigo_proyecto]]="","",_xlfn.XLOOKUP(Tbla_actores[[#This Row],[codigo_proyecto]],Proyectos!$A:$A,Proyectos!$C:$C)),"")</f>
        <v>NULOS</v>
      </c>
    </row>
    <row r="1295" spans="1:15">
      <c r="A1295" s="10">
        <v>1014293106</v>
      </c>
      <c r="B1295" s="64" t="s">
        <v>61</v>
      </c>
      <c r="C1295" s="62" t="s">
        <v>3329</v>
      </c>
      <c r="D1295" t="s">
        <v>63</v>
      </c>
      <c r="E1295" t="s">
        <v>3941</v>
      </c>
      <c r="F1295" s="61">
        <v>35738</v>
      </c>
      <c r="G1295" s="15" t="s">
        <v>73</v>
      </c>
      <c r="H1295" t="s">
        <v>3942</v>
      </c>
      <c r="I1295" s="62" t="s">
        <v>3943</v>
      </c>
      <c r="K1295" s="36" t="s">
        <v>495</v>
      </c>
      <c r="L1295" t="s">
        <v>69</v>
      </c>
      <c r="M1295" s="62" t="s">
        <v>70</v>
      </c>
      <c r="N1295" t="s">
        <v>71</v>
      </c>
      <c r="O1295" t="str">
        <f>IFERROR(IF(Tbla_actores[[#This Row],[codigo_proyecto]]="","",_xlfn.XLOOKUP(Tbla_actores[[#This Row],[codigo_proyecto]],Proyectos!$A:$A,Proyectos!$C:$C)),"")</f>
        <v>NULOS</v>
      </c>
    </row>
    <row r="1296" spans="1:15">
      <c r="A1296" s="9">
        <v>1069267527</v>
      </c>
      <c r="B1296" s="63" t="s">
        <v>61</v>
      </c>
      <c r="C1296" s="62" t="s">
        <v>3329</v>
      </c>
      <c r="D1296" t="s">
        <v>63</v>
      </c>
      <c r="E1296" t="s">
        <v>3944</v>
      </c>
      <c r="F1296" s="61">
        <v>36414</v>
      </c>
      <c r="G1296" s="15" t="s">
        <v>73</v>
      </c>
      <c r="H1296" t="s">
        <v>3945</v>
      </c>
      <c r="I1296" s="62" t="s">
        <v>3946</v>
      </c>
      <c r="K1296" s="36" t="s">
        <v>495</v>
      </c>
      <c r="L1296" t="s">
        <v>69</v>
      </c>
      <c r="M1296" s="62" t="s">
        <v>70</v>
      </c>
      <c r="N1296" t="s">
        <v>71</v>
      </c>
      <c r="O1296" t="str">
        <f>IFERROR(IF(Tbla_actores[[#This Row],[codigo_proyecto]]="","",_xlfn.XLOOKUP(Tbla_actores[[#This Row],[codigo_proyecto]],Proyectos!$A:$A,Proyectos!$C:$C)),"")</f>
        <v>NULOS</v>
      </c>
    </row>
    <row r="1297" spans="1:15">
      <c r="A1297" s="10">
        <v>1020841001</v>
      </c>
      <c r="B1297" s="64" t="s">
        <v>61</v>
      </c>
      <c r="C1297" s="62" t="s">
        <v>3329</v>
      </c>
      <c r="D1297" t="s">
        <v>63</v>
      </c>
      <c r="E1297" t="s">
        <v>3947</v>
      </c>
      <c r="F1297" s="61">
        <v>36293</v>
      </c>
      <c r="G1297" s="15" t="s">
        <v>65</v>
      </c>
      <c r="H1297" t="s">
        <v>3948</v>
      </c>
      <c r="I1297" s="62" t="s">
        <v>3949</v>
      </c>
      <c r="K1297" s="36" t="s">
        <v>169</v>
      </c>
      <c r="L1297" t="s">
        <v>69</v>
      </c>
      <c r="M1297" s="62" t="s">
        <v>170</v>
      </c>
      <c r="N1297" t="s">
        <v>71</v>
      </c>
      <c r="O1297" t="str">
        <f>IFERROR(IF(Tbla_actores[[#This Row],[codigo_proyecto]]="","",_xlfn.XLOOKUP(Tbla_actores[[#This Row],[codigo_proyecto]],Proyectos!$A:$A,Proyectos!$C:$C)),"")</f>
        <v>NULOS</v>
      </c>
    </row>
    <row r="1298" spans="1:15">
      <c r="A1298" s="9">
        <v>1020826465</v>
      </c>
      <c r="B1298" s="63" t="s">
        <v>61</v>
      </c>
      <c r="C1298" s="62" t="s">
        <v>3329</v>
      </c>
      <c r="D1298" t="s">
        <v>63</v>
      </c>
      <c r="E1298" t="s">
        <v>3950</v>
      </c>
      <c r="F1298" s="61">
        <v>35602</v>
      </c>
      <c r="G1298" s="15" t="s">
        <v>65</v>
      </c>
      <c r="H1298" t="s">
        <v>3951</v>
      </c>
      <c r="I1298" s="62" t="s">
        <v>3952</v>
      </c>
      <c r="K1298" s="36" t="s">
        <v>169</v>
      </c>
      <c r="L1298" t="s">
        <v>69</v>
      </c>
      <c r="M1298" s="62" t="s">
        <v>170</v>
      </c>
      <c r="N1298" t="s">
        <v>71</v>
      </c>
      <c r="O1298" t="str">
        <f>IFERROR(IF(Tbla_actores[[#This Row],[codigo_proyecto]]="","",_xlfn.XLOOKUP(Tbla_actores[[#This Row],[codigo_proyecto]],Proyectos!$A:$A,Proyectos!$C:$C)),"")</f>
        <v>NULOS</v>
      </c>
    </row>
    <row r="1299" spans="1:15">
      <c r="A1299" s="10">
        <v>1193373966</v>
      </c>
      <c r="B1299" s="64" t="s">
        <v>61</v>
      </c>
      <c r="C1299" s="62" t="s">
        <v>3329</v>
      </c>
      <c r="D1299" t="s">
        <v>63</v>
      </c>
      <c r="E1299" t="s">
        <v>3953</v>
      </c>
      <c r="F1299" s="61">
        <v>36879</v>
      </c>
      <c r="G1299" s="15" t="s">
        <v>65</v>
      </c>
      <c r="H1299" t="s">
        <v>3954</v>
      </c>
      <c r="I1299" s="62" t="s">
        <v>3955</v>
      </c>
      <c r="K1299" s="36" t="s">
        <v>169</v>
      </c>
      <c r="L1299" t="s">
        <v>69</v>
      </c>
      <c r="M1299" s="62" t="s">
        <v>170</v>
      </c>
      <c r="N1299" t="s">
        <v>71</v>
      </c>
      <c r="O1299" t="str">
        <f>IFERROR(IF(Tbla_actores[[#This Row],[codigo_proyecto]]="","",_xlfn.XLOOKUP(Tbla_actores[[#This Row],[codigo_proyecto]],Proyectos!$A:$A,Proyectos!$C:$C)),"")</f>
        <v>NULOS</v>
      </c>
    </row>
    <row r="1300" spans="1:15">
      <c r="A1300" s="9">
        <v>1020844430</v>
      </c>
      <c r="B1300" s="63" t="s">
        <v>61</v>
      </c>
      <c r="C1300" s="62" t="s">
        <v>3329</v>
      </c>
      <c r="D1300" t="s">
        <v>63</v>
      </c>
      <c r="E1300" t="s">
        <v>3956</v>
      </c>
      <c r="F1300" s="61">
        <v>36458</v>
      </c>
      <c r="G1300" s="15" t="s">
        <v>65</v>
      </c>
      <c r="H1300" t="s">
        <v>3957</v>
      </c>
      <c r="I1300" s="62" t="s">
        <v>3958</v>
      </c>
      <c r="K1300" s="36" t="s">
        <v>169</v>
      </c>
      <c r="L1300" t="s">
        <v>69</v>
      </c>
      <c r="M1300" s="62" t="s">
        <v>170</v>
      </c>
      <c r="N1300" t="s">
        <v>71</v>
      </c>
      <c r="O1300" t="str">
        <f>IFERROR(IF(Tbla_actores[[#This Row],[codigo_proyecto]]="","",_xlfn.XLOOKUP(Tbla_actores[[#This Row],[codigo_proyecto]],Proyectos!$A:$A,Proyectos!$C:$C)),"")</f>
        <v>NULOS</v>
      </c>
    </row>
    <row r="1301" spans="1:15">
      <c r="A1301" s="10">
        <v>1010018333</v>
      </c>
      <c r="B1301" s="64" t="s">
        <v>61</v>
      </c>
      <c r="C1301" s="62" t="s">
        <v>3329</v>
      </c>
      <c r="D1301" t="s">
        <v>63</v>
      </c>
      <c r="E1301" t="s">
        <v>3959</v>
      </c>
      <c r="F1301" s="61">
        <v>36847</v>
      </c>
      <c r="G1301" s="15" t="s">
        <v>65</v>
      </c>
      <c r="H1301" t="s">
        <v>3960</v>
      </c>
      <c r="I1301" s="62" t="s">
        <v>3961</v>
      </c>
      <c r="K1301" s="36" t="s">
        <v>169</v>
      </c>
      <c r="L1301" t="s">
        <v>69</v>
      </c>
      <c r="M1301" s="62" t="s">
        <v>170</v>
      </c>
      <c r="N1301" t="s">
        <v>71</v>
      </c>
      <c r="O1301" t="str">
        <f>IFERROR(IF(Tbla_actores[[#This Row],[codigo_proyecto]]="","",_xlfn.XLOOKUP(Tbla_actores[[#This Row],[codigo_proyecto]],Proyectos!$A:$A,Proyectos!$C:$C)),"")</f>
        <v>NULOS</v>
      </c>
    </row>
    <row r="1302" spans="1:15">
      <c r="A1302" s="9">
        <v>1018514454</v>
      </c>
      <c r="B1302" s="63" t="s">
        <v>61</v>
      </c>
      <c r="C1302" s="62" t="s">
        <v>3329</v>
      </c>
      <c r="D1302" t="s">
        <v>63</v>
      </c>
      <c r="E1302" t="s">
        <v>3962</v>
      </c>
      <c r="F1302" s="61">
        <v>36473</v>
      </c>
      <c r="G1302" s="15" t="s">
        <v>73</v>
      </c>
      <c r="H1302" t="s">
        <v>3963</v>
      </c>
      <c r="I1302" s="62" t="s">
        <v>3964</v>
      </c>
      <c r="K1302" s="36" t="s">
        <v>169</v>
      </c>
      <c r="L1302" t="s">
        <v>69</v>
      </c>
      <c r="M1302" s="62" t="s">
        <v>170</v>
      </c>
      <c r="N1302" t="s">
        <v>71</v>
      </c>
      <c r="O1302" t="str">
        <f>IFERROR(IF(Tbla_actores[[#This Row],[codigo_proyecto]]="","",_xlfn.XLOOKUP(Tbla_actores[[#This Row],[codigo_proyecto]],Proyectos!$A:$A,Proyectos!$C:$C)),"")</f>
        <v>NULOS</v>
      </c>
    </row>
    <row r="1303" spans="1:15">
      <c r="A1303" s="10">
        <v>1000588702</v>
      </c>
      <c r="B1303" s="64" t="s">
        <v>61</v>
      </c>
      <c r="C1303" s="62" t="s">
        <v>3329</v>
      </c>
      <c r="D1303" t="s">
        <v>63</v>
      </c>
      <c r="E1303" t="s">
        <v>3965</v>
      </c>
      <c r="F1303" s="61">
        <v>36630</v>
      </c>
      <c r="G1303" s="15" t="s">
        <v>65</v>
      </c>
      <c r="H1303" t="s">
        <v>3966</v>
      </c>
      <c r="I1303" s="62" t="s">
        <v>3967</v>
      </c>
      <c r="K1303" s="36" t="s">
        <v>169</v>
      </c>
      <c r="L1303" t="s">
        <v>69</v>
      </c>
      <c r="M1303" s="62" t="s">
        <v>170</v>
      </c>
      <c r="N1303" t="s">
        <v>71</v>
      </c>
      <c r="O1303" t="str">
        <f>IFERROR(IF(Tbla_actores[[#This Row],[codigo_proyecto]]="","",_xlfn.XLOOKUP(Tbla_actores[[#This Row],[codigo_proyecto]],Proyectos!$A:$A,Proyectos!$C:$C)),"")</f>
        <v>NULOS</v>
      </c>
    </row>
    <row r="1304" spans="1:15">
      <c r="A1304" s="9">
        <v>1018510204</v>
      </c>
      <c r="B1304" s="63" t="s">
        <v>61</v>
      </c>
      <c r="C1304" s="62" t="s">
        <v>3329</v>
      </c>
      <c r="D1304" t="s">
        <v>63</v>
      </c>
      <c r="E1304" t="s">
        <v>3968</v>
      </c>
      <c r="F1304" s="61">
        <v>36247</v>
      </c>
      <c r="G1304" s="15" t="s">
        <v>73</v>
      </c>
      <c r="H1304" t="s">
        <v>3969</v>
      </c>
      <c r="I1304" s="62" t="s">
        <v>3970</v>
      </c>
      <c r="K1304" s="36" t="s">
        <v>169</v>
      </c>
      <c r="L1304" t="s">
        <v>69</v>
      </c>
      <c r="M1304" s="62" t="s">
        <v>170</v>
      </c>
      <c r="N1304" t="s">
        <v>71</v>
      </c>
      <c r="O1304" t="str">
        <f>IFERROR(IF(Tbla_actores[[#This Row],[codigo_proyecto]]="","",_xlfn.XLOOKUP(Tbla_actores[[#This Row],[codigo_proyecto]],Proyectos!$A:$A,Proyectos!$C:$C)),"")</f>
        <v>NULOS</v>
      </c>
    </row>
    <row r="1305" spans="1:15">
      <c r="A1305" s="10">
        <v>1000349148</v>
      </c>
      <c r="B1305" s="64" t="s">
        <v>61</v>
      </c>
      <c r="C1305" s="62" t="s">
        <v>3329</v>
      </c>
      <c r="D1305" t="s">
        <v>63</v>
      </c>
      <c r="E1305" t="s">
        <v>3971</v>
      </c>
      <c r="F1305" s="61">
        <v>37238</v>
      </c>
      <c r="G1305" s="15" t="s">
        <v>73</v>
      </c>
      <c r="H1305" t="s">
        <v>3972</v>
      </c>
      <c r="I1305" s="62" t="s">
        <v>3973</v>
      </c>
      <c r="K1305" s="36" t="s">
        <v>169</v>
      </c>
      <c r="L1305" t="s">
        <v>69</v>
      </c>
      <c r="M1305" s="62" t="s">
        <v>170</v>
      </c>
      <c r="N1305" t="s">
        <v>71</v>
      </c>
      <c r="O1305" t="str">
        <f>IFERROR(IF(Tbla_actores[[#This Row],[codigo_proyecto]]="","",_xlfn.XLOOKUP(Tbla_actores[[#This Row],[codigo_proyecto]],Proyectos!$A:$A,Proyectos!$C:$C)),"")</f>
        <v>NULOS</v>
      </c>
    </row>
    <row r="1306" spans="1:15">
      <c r="A1306" s="9">
        <v>1018510656</v>
      </c>
      <c r="B1306" s="63" t="s">
        <v>61</v>
      </c>
      <c r="C1306" s="62" t="s">
        <v>3329</v>
      </c>
      <c r="D1306" t="s">
        <v>63</v>
      </c>
      <c r="E1306" t="s">
        <v>3974</v>
      </c>
      <c r="F1306" s="61">
        <v>36235</v>
      </c>
      <c r="G1306" s="15" t="s">
        <v>65</v>
      </c>
      <c r="H1306" t="s">
        <v>3975</v>
      </c>
      <c r="I1306" s="62" t="s">
        <v>3976</v>
      </c>
      <c r="K1306" s="36" t="s">
        <v>169</v>
      </c>
      <c r="L1306" t="s">
        <v>69</v>
      </c>
      <c r="M1306" s="62" t="s">
        <v>170</v>
      </c>
      <c r="N1306" t="s">
        <v>71</v>
      </c>
      <c r="O1306" t="str">
        <f>IFERROR(IF(Tbla_actores[[#This Row],[codigo_proyecto]]="","",_xlfn.XLOOKUP(Tbla_actores[[#This Row],[codigo_proyecto]],Proyectos!$A:$A,Proyectos!$C:$C)),"")</f>
        <v>NULOS</v>
      </c>
    </row>
    <row r="1307" spans="1:15">
      <c r="A1307" s="10">
        <v>1032504483</v>
      </c>
      <c r="B1307" s="64" t="s">
        <v>61</v>
      </c>
      <c r="C1307" s="62" t="s">
        <v>3329</v>
      </c>
      <c r="D1307" t="s">
        <v>63</v>
      </c>
      <c r="E1307" t="s">
        <v>3977</v>
      </c>
      <c r="F1307" s="61">
        <v>36288</v>
      </c>
      <c r="G1307" s="15" t="s">
        <v>73</v>
      </c>
      <c r="H1307" t="s">
        <v>3978</v>
      </c>
      <c r="I1307" s="62" t="s">
        <v>3979</v>
      </c>
      <c r="K1307" s="36" t="s">
        <v>169</v>
      </c>
      <c r="L1307" t="s">
        <v>69</v>
      </c>
      <c r="M1307" s="62" t="s">
        <v>170</v>
      </c>
      <c r="N1307" t="s">
        <v>71</v>
      </c>
      <c r="O1307" t="str">
        <f>IFERROR(IF(Tbla_actores[[#This Row],[codigo_proyecto]]="","",_xlfn.XLOOKUP(Tbla_actores[[#This Row],[codigo_proyecto]],Proyectos!$A:$A,Proyectos!$C:$C)),"")</f>
        <v>NULOS</v>
      </c>
    </row>
    <row r="1308" spans="1:15">
      <c r="A1308" s="9">
        <v>1000706623</v>
      </c>
      <c r="B1308" s="63" t="s">
        <v>61</v>
      </c>
      <c r="C1308" s="62" t="s">
        <v>3329</v>
      </c>
      <c r="D1308" t="s">
        <v>63</v>
      </c>
      <c r="E1308" t="s">
        <v>3980</v>
      </c>
      <c r="F1308" s="61">
        <v>36544</v>
      </c>
      <c r="G1308" s="15" t="s">
        <v>73</v>
      </c>
      <c r="H1308" t="s">
        <v>3981</v>
      </c>
      <c r="I1308" s="62" t="s">
        <v>3982</v>
      </c>
      <c r="K1308" s="36" t="s">
        <v>169</v>
      </c>
      <c r="L1308" t="s">
        <v>69</v>
      </c>
      <c r="M1308" s="62" t="s">
        <v>170</v>
      </c>
      <c r="N1308" t="s">
        <v>71</v>
      </c>
      <c r="O1308" t="str">
        <f>IFERROR(IF(Tbla_actores[[#This Row],[codigo_proyecto]]="","",_xlfn.XLOOKUP(Tbla_actores[[#This Row],[codigo_proyecto]],Proyectos!$A:$A,Proyectos!$C:$C)),"")</f>
        <v>NULOS</v>
      </c>
    </row>
    <row r="1309" spans="1:15">
      <c r="A1309" s="10">
        <v>1015481027</v>
      </c>
      <c r="B1309" s="64" t="s">
        <v>61</v>
      </c>
      <c r="C1309" s="62" t="s">
        <v>3329</v>
      </c>
      <c r="D1309" t="s">
        <v>63</v>
      </c>
      <c r="E1309" t="s">
        <v>3983</v>
      </c>
      <c r="F1309" s="61">
        <v>36294</v>
      </c>
      <c r="G1309" s="15" t="s">
        <v>65</v>
      </c>
      <c r="H1309" t="s">
        <v>3984</v>
      </c>
      <c r="I1309" s="62" t="s">
        <v>3985</v>
      </c>
      <c r="K1309" s="36" t="s">
        <v>169</v>
      </c>
      <c r="L1309" t="s">
        <v>69</v>
      </c>
      <c r="M1309" s="62" t="s">
        <v>170</v>
      </c>
      <c r="N1309" t="s">
        <v>71</v>
      </c>
      <c r="O1309" t="str">
        <f>IFERROR(IF(Tbla_actores[[#This Row],[codigo_proyecto]]="","",_xlfn.XLOOKUP(Tbla_actores[[#This Row],[codigo_proyecto]],Proyectos!$A:$A,Proyectos!$C:$C)),"")</f>
        <v>NULOS</v>
      </c>
    </row>
    <row r="1310" spans="1:15">
      <c r="A1310" s="9">
        <v>1018514384</v>
      </c>
      <c r="B1310" s="63" t="s">
        <v>61</v>
      </c>
      <c r="C1310" s="62" t="s">
        <v>3329</v>
      </c>
      <c r="D1310" t="s">
        <v>63</v>
      </c>
      <c r="E1310" t="s">
        <v>3986</v>
      </c>
      <c r="F1310" s="61">
        <v>36474</v>
      </c>
      <c r="G1310" s="15" t="s">
        <v>65</v>
      </c>
      <c r="H1310" t="s">
        <v>3987</v>
      </c>
      <c r="I1310" s="62" t="s">
        <v>3988</v>
      </c>
      <c r="K1310" s="36" t="s">
        <v>169</v>
      </c>
      <c r="L1310" t="s">
        <v>69</v>
      </c>
      <c r="M1310" s="62" t="s">
        <v>170</v>
      </c>
      <c r="N1310" t="s">
        <v>71</v>
      </c>
      <c r="O1310" t="str">
        <f>IFERROR(IF(Tbla_actores[[#This Row],[codigo_proyecto]]="","",_xlfn.XLOOKUP(Tbla_actores[[#This Row],[codigo_proyecto]],Proyectos!$A:$A,Proyectos!$C:$C)),"")</f>
        <v>NULOS</v>
      </c>
    </row>
    <row r="1311" spans="1:15">
      <c r="A1311" s="10">
        <v>1020833032</v>
      </c>
      <c r="B1311" s="64" t="s">
        <v>61</v>
      </c>
      <c r="C1311" s="62" t="s">
        <v>3329</v>
      </c>
      <c r="D1311" t="s">
        <v>63</v>
      </c>
      <c r="E1311" t="s">
        <v>3989</v>
      </c>
      <c r="F1311" s="61">
        <v>35923</v>
      </c>
      <c r="G1311" s="15" t="s">
        <v>65</v>
      </c>
      <c r="H1311" t="s">
        <v>3990</v>
      </c>
      <c r="I1311" s="62" t="s">
        <v>3991</v>
      </c>
      <c r="K1311" s="36" t="s">
        <v>169</v>
      </c>
      <c r="L1311" t="s">
        <v>69</v>
      </c>
      <c r="M1311" s="62" t="s">
        <v>170</v>
      </c>
      <c r="N1311" t="s">
        <v>71</v>
      </c>
      <c r="O1311" t="str">
        <f>IFERROR(IF(Tbla_actores[[#This Row],[codigo_proyecto]]="","",_xlfn.XLOOKUP(Tbla_actores[[#This Row],[codigo_proyecto]],Proyectos!$A:$A,Proyectos!$C:$C)),"")</f>
        <v>NULOS</v>
      </c>
    </row>
    <row r="1312" spans="1:15">
      <c r="A1312" s="9">
        <v>1022445429</v>
      </c>
      <c r="B1312" s="63" t="s">
        <v>61</v>
      </c>
      <c r="C1312" s="62" t="s">
        <v>2550</v>
      </c>
      <c r="D1312" t="s">
        <v>63</v>
      </c>
      <c r="E1312" t="s">
        <v>3992</v>
      </c>
      <c r="F1312" s="61">
        <v>36408</v>
      </c>
      <c r="G1312" s="15" t="s">
        <v>73</v>
      </c>
      <c r="H1312" t="s">
        <v>3993</v>
      </c>
      <c r="I1312" s="62" t="s">
        <v>3994</v>
      </c>
      <c r="K1312" s="36" t="s">
        <v>169</v>
      </c>
      <c r="L1312" t="s">
        <v>69</v>
      </c>
      <c r="M1312" s="62" t="s">
        <v>170</v>
      </c>
      <c r="N1312" t="s">
        <v>71</v>
      </c>
      <c r="O1312" t="str">
        <f>IFERROR(IF(Tbla_actores[[#This Row],[codigo_proyecto]]="","",_xlfn.XLOOKUP(Tbla_actores[[#This Row],[codigo_proyecto]],Proyectos!$A:$A,Proyectos!$C:$C)),"")</f>
        <v>NULOS</v>
      </c>
    </row>
    <row r="1313" spans="1:15">
      <c r="A1313" s="10">
        <v>1118570692</v>
      </c>
      <c r="B1313" s="64" t="s">
        <v>61</v>
      </c>
      <c r="C1313" s="62" t="s">
        <v>3329</v>
      </c>
      <c r="D1313" t="s">
        <v>63</v>
      </c>
      <c r="E1313" t="s">
        <v>3995</v>
      </c>
      <c r="F1313" s="61">
        <v>35864</v>
      </c>
      <c r="G1313" s="15" t="s">
        <v>65</v>
      </c>
      <c r="H1313" t="s">
        <v>3996</v>
      </c>
      <c r="I1313" s="62" t="s">
        <v>3997</v>
      </c>
      <c r="K1313" s="36" t="s">
        <v>169</v>
      </c>
      <c r="L1313" t="s">
        <v>69</v>
      </c>
      <c r="M1313" s="62" t="s">
        <v>170</v>
      </c>
      <c r="N1313" t="s">
        <v>71</v>
      </c>
      <c r="O1313" t="str">
        <f>IFERROR(IF(Tbla_actores[[#This Row],[codigo_proyecto]]="","",_xlfn.XLOOKUP(Tbla_actores[[#This Row],[codigo_proyecto]],Proyectos!$A:$A,Proyectos!$C:$C)),"")</f>
        <v>NULOS</v>
      </c>
    </row>
    <row r="1314" spans="1:15">
      <c r="A1314" s="9">
        <v>1032508682</v>
      </c>
      <c r="B1314" s="63" t="s">
        <v>61</v>
      </c>
      <c r="C1314" s="62" t="s">
        <v>3329</v>
      </c>
      <c r="D1314" t="s">
        <v>63</v>
      </c>
      <c r="E1314" t="s">
        <v>3998</v>
      </c>
      <c r="F1314" s="61">
        <v>36517</v>
      </c>
      <c r="G1314" s="15" t="s">
        <v>65</v>
      </c>
      <c r="H1314" t="s">
        <v>3999</v>
      </c>
      <c r="I1314" s="62" t="s">
        <v>4000</v>
      </c>
      <c r="K1314" s="36" t="s">
        <v>169</v>
      </c>
      <c r="L1314" t="s">
        <v>69</v>
      </c>
      <c r="M1314" s="62" t="s">
        <v>170</v>
      </c>
      <c r="N1314" t="s">
        <v>71</v>
      </c>
      <c r="O1314" t="str">
        <f>IFERROR(IF(Tbla_actores[[#This Row],[codigo_proyecto]]="","",_xlfn.XLOOKUP(Tbla_actores[[#This Row],[codigo_proyecto]],Proyectos!$A:$A,Proyectos!$C:$C)),"")</f>
        <v>NULOS</v>
      </c>
    </row>
    <row r="1315" spans="1:15">
      <c r="A1315" s="10">
        <v>1192760736</v>
      </c>
      <c r="B1315" s="64" t="s">
        <v>61</v>
      </c>
      <c r="C1315" s="62" t="s">
        <v>3329</v>
      </c>
      <c r="D1315" t="s">
        <v>63</v>
      </c>
      <c r="E1315" t="s">
        <v>4001</v>
      </c>
      <c r="F1315" s="61">
        <v>36600</v>
      </c>
      <c r="G1315" s="15" t="s">
        <v>65</v>
      </c>
      <c r="H1315" t="s">
        <v>4002</v>
      </c>
      <c r="I1315" s="62" t="s">
        <v>4003</v>
      </c>
      <c r="K1315" s="36" t="s">
        <v>169</v>
      </c>
      <c r="L1315" t="s">
        <v>69</v>
      </c>
      <c r="M1315" s="62" t="s">
        <v>170</v>
      </c>
      <c r="N1315" t="s">
        <v>71</v>
      </c>
      <c r="O1315" t="str">
        <f>IFERROR(IF(Tbla_actores[[#This Row],[codigo_proyecto]]="","",_xlfn.XLOOKUP(Tbla_actores[[#This Row],[codigo_proyecto]],Proyectos!$A:$A,Proyectos!$C:$C)),"")</f>
        <v>NULOS</v>
      </c>
    </row>
    <row r="1316" spans="1:15">
      <c r="A1316" s="9">
        <v>930283</v>
      </c>
      <c r="B1316" s="63" t="s">
        <v>61</v>
      </c>
      <c r="C1316" s="62" t="s">
        <v>3329</v>
      </c>
      <c r="D1316" t="s">
        <v>63</v>
      </c>
      <c r="E1316" t="s">
        <v>4004</v>
      </c>
      <c r="F1316" s="61">
        <v>35253</v>
      </c>
      <c r="G1316" s="15" t="s">
        <v>73</v>
      </c>
      <c r="H1316" t="s">
        <v>4005</v>
      </c>
      <c r="I1316" s="62" t="s">
        <v>4006</v>
      </c>
      <c r="K1316" s="36" t="s">
        <v>169</v>
      </c>
      <c r="L1316" t="s">
        <v>69</v>
      </c>
      <c r="M1316" s="62" t="s">
        <v>170</v>
      </c>
      <c r="N1316" t="s">
        <v>71</v>
      </c>
      <c r="O1316" t="str">
        <f>IFERROR(IF(Tbla_actores[[#This Row],[codigo_proyecto]]="","",_xlfn.XLOOKUP(Tbla_actores[[#This Row],[codigo_proyecto]],Proyectos!$A:$A,Proyectos!$C:$C)),"")</f>
        <v>NULOS</v>
      </c>
    </row>
    <row r="1317" spans="1:15">
      <c r="A1317" s="10">
        <v>1000611607</v>
      </c>
      <c r="B1317" s="64" t="s">
        <v>61</v>
      </c>
      <c r="C1317" s="62" t="s">
        <v>3329</v>
      </c>
      <c r="D1317" t="s">
        <v>63</v>
      </c>
      <c r="E1317" t="s">
        <v>4007</v>
      </c>
      <c r="F1317" s="61">
        <v>36613</v>
      </c>
      <c r="G1317" s="15" t="s">
        <v>73</v>
      </c>
      <c r="H1317" t="s">
        <v>4008</v>
      </c>
      <c r="I1317" s="62" t="s">
        <v>4009</v>
      </c>
      <c r="K1317" s="36" t="s">
        <v>169</v>
      </c>
      <c r="L1317" t="s">
        <v>69</v>
      </c>
      <c r="M1317" s="62" t="s">
        <v>170</v>
      </c>
      <c r="N1317" t="s">
        <v>71</v>
      </c>
      <c r="O1317" t="str">
        <f>IFERROR(IF(Tbla_actores[[#This Row],[codigo_proyecto]]="","",_xlfn.XLOOKUP(Tbla_actores[[#This Row],[codigo_proyecto]],Proyectos!$A:$A,Proyectos!$C:$C)),"")</f>
        <v>NULOS</v>
      </c>
    </row>
    <row r="1318" spans="1:15">
      <c r="A1318" s="9">
        <v>1013689659</v>
      </c>
      <c r="B1318" s="63" t="s">
        <v>61</v>
      </c>
      <c r="C1318" s="62" t="s">
        <v>3329</v>
      </c>
      <c r="D1318" t="s">
        <v>63</v>
      </c>
      <c r="E1318" t="s">
        <v>4010</v>
      </c>
      <c r="F1318" s="61">
        <v>36355</v>
      </c>
      <c r="G1318" s="15" t="s">
        <v>65</v>
      </c>
      <c r="H1318" t="s">
        <v>4011</v>
      </c>
      <c r="I1318" s="62" t="s">
        <v>4012</v>
      </c>
      <c r="K1318" s="36" t="s">
        <v>169</v>
      </c>
      <c r="L1318" t="s">
        <v>69</v>
      </c>
      <c r="M1318" s="62" t="s">
        <v>170</v>
      </c>
      <c r="N1318" t="s">
        <v>71</v>
      </c>
      <c r="O1318" t="str">
        <f>IFERROR(IF(Tbla_actores[[#This Row],[codigo_proyecto]]="","",_xlfn.XLOOKUP(Tbla_actores[[#This Row],[codigo_proyecto]],Proyectos!$A:$A,Proyectos!$C:$C)),"")</f>
        <v>NULOS</v>
      </c>
    </row>
    <row r="1319" spans="1:15">
      <c r="A1319" s="10">
        <v>1024585875</v>
      </c>
      <c r="B1319" s="64" t="s">
        <v>61</v>
      </c>
      <c r="C1319" s="62" t="s">
        <v>3329</v>
      </c>
      <c r="D1319" t="s">
        <v>63</v>
      </c>
      <c r="E1319" t="s">
        <v>4013</v>
      </c>
      <c r="F1319" s="61">
        <v>35768</v>
      </c>
      <c r="G1319" s="15" t="s">
        <v>73</v>
      </c>
      <c r="H1319" t="s">
        <v>4014</v>
      </c>
      <c r="I1319" s="62" t="s">
        <v>4015</v>
      </c>
      <c r="K1319" s="36" t="s">
        <v>169</v>
      </c>
      <c r="L1319" t="s">
        <v>69</v>
      </c>
      <c r="M1319" s="62" t="s">
        <v>170</v>
      </c>
      <c r="N1319" t="s">
        <v>71</v>
      </c>
      <c r="O1319" t="str">
        <f>IFERROR(IF(Tbla_actores[[#This Row],[codigo_proyecto]]="","",_xlfn.XLOOKUP(Tbla_actores[[#This Row],[codigo_proyecto]],Proyectos!$A:$A,Proyectos!$C:$C)),"")</f>
        <v>NULOS</v>
      </c>
    </row>
    <row r="1320" spans="1:15">
      <c r="A1320" s="9">
        <v>1000378599</v>
      </c>
      <c r="B1320" s="63" t="s">
        <v>61</v>
      </c>
      <c r="C1320" s="62" t="s">
        <v>3329</v>
      </c>
      <c r="D1320" t="s">
        <v>63</v>
      </c>
      <c r="E1320" t="s">
        <v>4016</v>
      </c>
      <c r="F1320" s="61">
        <v>37018</v>
      </c>
      <c r="G1320" s="15" t="s">
        <v>65</v>
      </c>
      <c r="H1320" t="s">
        <v>4017</v>
      </c>
      <c r="I1320" s="62" t="s">
        <v>4018</v>
      </c>
      <c r="K1320" s="36" t="s">
        <v>169</v>
      </c>
      <c r="L1320" t="s">
        <v>69</v>
      </c>
      <c r="M1320" s="62" t="s">
        <v>170</v>
      </c>
      <c r="N1320" t="s">
        <v>71</v>
      </c>
      <c r="O1320" t="str">
        <f>IFERROR(IF(Tbla_actores[[#This Row],[codigo_proyecto]]="","",_xlfn.XLOOKUP(Tbla_actores[[#This Row],[codigo_proyecto]],Proyectos!$A:$A,Proyectos!$C:$C)),"")</f>
        <v>NULOS</v>
      </c>
    </row>
    <row r="1321" spans="1:15">
      <c r="A1321" s="10">
        <v>1019149896</v>
      </c>
      <c r="B1321" s="64" t="s">
        <v>61</v>
      </c>
      <c r="C1321" s="62" t="s">
        <v>3329</v>
      </c>
      <c r="D1321" t="s">
        <v>63</v>
      </c>
      <c r="E1321" t="s">
        <v>4019</v>
      </c>
      <c r="F1321" s="61">
        <v>36349</v>
      </c>
      <c r="G1321" s="15" t="s">
        <v>65</v>
      </c>
      <c r="H1321" t="s">
        <v>4020</v>
      </c>
      <c r="I1321" s="62" t="s">
        <v>4021</v>
      </c>
      <c r="K1321" s="36" t="s">
        <v>169</v>
      </c>
      <c r="L1321" t="s">
        <v>69</v>
      </c>
      <c r="M1321" s="62" t="s">
        <v>170</v>
      </c>
      <c r="N1321" t="s">
        <v>71</v>
      </c>
      <c r="O1321" t="str">
        <f>IFERROR(IF(Tbla_actores[[#This Row],[codigo_proyecto]]="","",_xlfn.XLOOKUP(Tbla_actores[[#This Row],[codigo_proyecto]],Proyectos!$A:$A,Proyectos!$C:$C)),"")</f>
        <v>NULOS</v>
      </c>
    </row>
    <row r="1322" spans="1:15">
      <c r="A1322" s="9">
        <v>1049658487</v>
      </c>
      <c r="B1322" s="63" t="s">
        <v>61</v>
      </c>
      <c r="C1322" s="62" t="s">
        <v>3329</v>
      </c>
      <c r="D1322" t="s">
        <v>63</v>
      </c>
      <c r="E1322" t="s">
        <v>4022</v>
      </c>
      <c r="F1322" s="61">
        <v>36397</v>
      </c>
      <c r="G1322" s="15" t="s">
        <v>65</v>
      </c>
      <c r="H1322" t="s">
        <v>4023</v>
      </c>
      <c r="I1322" s="62" t="s">
        <v>4024</v>
      </c>
      <c r="K1322" s="36" t="s">
        <v>169</v>
      </c>
      <c r="L1322" t="s">
        <v>69</v>
      </c>
      <c r="M1322" s="62" t="s">
        <v>170</v>
      </c>
      <c r="N1322" t="s">
        <v>71</v>
      </c>
      <c r="O1322" t="str">
        <f>IFERROR(IF(Tbla_actores[[#This Row],[codigo_proyecto]]="","",_xlfn.XLOOKUP(Tbla_actores[[#This Row],[codigo_proyecto]],Proyectos!$A:$A,Proyectos!$C:$C)),"")</f>
        <v>NULOS</v>
      </c>
    </row>
    <row r="1323" spans="1:15">
      <c r="A1323" s="10">
        <v>1019144750</v>
      </c>
      <c r="B1323" s="64" t="s">
        <v>61</v>
      </c>
      <c r="C1323" s="62" t="s">
        <v>3329</v>
      </c>
      <c r="D1323" t="s">
        <v>63</v>
      </c>
      <c r="E1323" t="s">
        <v>4025</v>
      </c>
      <c r="F1323" s="61">
        <v>36127</v>
      </c>
      <c r="G1323" s="15" t="s">
        <v>65</v>
      </c>
      <c r="H1323" t="s">
        <v>4026</v>
      </c>
      <c r="I1323" s="62" t="s">
        <v>4027</v>
      </c>
      <c r="K1323" s="36" t="s">
        <v>169</v>
      </c>
      <c r="L1323" t="s">
        <v>69</v>
      </c>
      <c r="M1323" s="62" t="s">
        <v>170</v>
      </c>
      <c r="N1323" t="s">
        <v>71</v>
      </c>
      <c r="O1323" t="str">
        <f>IFERROR(IF(Tbla_actores[[#This Row],[codigo_proyecto]]="","",_xlfn.XLOOKUP(Tbla_actores[[#This Row],[codigo_proyecto]],Proyectos!$A:$A,Proyectos!$C:$C)),"")</f>
        <v>NULOS</v>
      </c>
    </row>
    <row r="1324" spans="1:15">
      <c r="A1324" s="9">
        <v>1010139532</v>
      </c>
      <c r="B1324" s="63" t="s">
        <v>61</v>
      </c>
      <c r="C1324" s="62" t="s">
        <v>3329</v>
      </c>
      <c r="D1324" t="s">
        <v>63</v>
      </c>
      <c r="E1324" t="s">
        <v>4028</v>
      </c>
      <c r="F1324" s="61">
        <v>36791</v>
      </c>
      <c r="G1324" s="15" t="s">
        <v>73</v>
      </c>
      <c r="H1324" t="s">
        <v>4029</v>
      </c>
      <c r="I1324" s="62" t="s">
        <v>4030</v>
      </c>
      <c r="K1324" s="36" t="s">
        <v>169</v>
      </c>
      <c r="L1324" t="s">
        <v>69</v>
      </c>
      <c r="M1324" s="62" t="s">
        <v>170</v>
      </c>
      <c r="N1324" t="s">
        <v>71</v>
      </c>
      <c r="O1324" t="str">
        <f>IFERROR(IF(Tbla_actores[[#This Row],[codigo_proyecto]]="","",_xlfn.XLOOKUP(Tbla_actores[[#This Row],[codigo_proyecto]],Proyectos!$A:$A,Proyectos!$C:$C)),"")</f>
        <v>NULOS</v>
      </c>
    </row>
    <row r="1325" spans="1:15">
      <c r="A1325" s="10">
        <v>1020837245</v>
      </c>
      <c r="B1325" s="64" t="s">
        <v>61</v>
      </c>
      <c r="C1325" s="62" t="s">
        <v>3329</v>
      </c>
      <c r="D1325" t="s">
        <v>63</v>
      </c>
      <c r="E1325" t="s">
        <v>4031</v>
      </c>
      <c r="F1325" s="61">
        <v>36125</v>
      </c>
      <c r="G1325" s="15" t="s">
        <v>65</v>
      </c>
      <c r="H1325" t="s">
        <v>4032</v>
      </c>
      <c r="I1325" s="62" t="s">
        <v>4033</v>
      </c>
      <c r="K1325" s="36" t="s">
        <v>169</v>
      </c>
      <c r="L1325" t="s">
        <v>69</v>
      </c>
      <c r="M1325" s="62" t="s">
        <v>170</v>
      </c>
      <c r="N1325" t="s">
        <v>71</v>
      </c>
      <c r="O1325" t="str">
        <f>IFERROR(IF(Tbla_actores[[#This Row],[codigo_proyecto]]="","",_xlfn.XLOOKUP(Tbla_actores[[#This Row],[codigo_proyecto]],Proyectos!$A:$A,Proyectos!$C:$C)),"")</f>
        <v>NULOS</v>
      </c>
    </row>
    <row r="1326" spans="1:15">
      <c r="A1326" s="9">
        <v>1095835964</v>
      </c>
      <c r="B1326" s="63" t="s">
        <v>61</v>
      </c>
      <c r="C1326" s="62" t="s">
        <v>3329</v>
      </c>
      <c r="D1326" t="s">
        <v>63</v>
      </c>
      <c r="E1326" t="s">
        <v>4034</v>
      </c>
      <c r="F1326" s="61">
        <v>35760</v>
      </c>
      <c r="G1326" s="15" t="s">
        <v>65</v>
      </c>
      <c r="H1326" t="s">
        <v>4035</v>
      </c>
      <c r="I1326" s="62" t="s">
        <v>4036</v>
      </c>
      <c r="K1326" s="36" t="s">
        <v>169</v>
      </c>
      <c r="L1326" t="s">
        <v>69</v>
      </c>
      <c r="M1326" s="62" t="s">
        <v>170</v>
      </c>
      <c r="N1326" t="s">
        <v>71</v>
      </c>
      <c r="O1326" t="str">
        <f>IFERROR(IF(Tbla_actores[[#This Row],[codigo_proyecto]]="","",_xlfn.XLOOKUP(Tbla_actores[[#This Row],[codigo_proyecto]],Proyectos!$A:$A,Proyectos!$C:$C)),"")</f>
        <v>NULOS</v>
      </c>
    </row>
    <row r="1327" spans="1:15">
      <c r="A1327" s="10">
        <v>1010248493</v>
      </c>
      <c r="B1327" s="64" t="s">
        <v>61</v>
      </c>
      <c r="C1327" s="62" t="s">
        <v>3329</v>
      </c>
      <c r="D1327" t="s">
        <v>63</v>
      </c>
      <c r="E1327" t="s">
        <v>4037</v>
      </c>
      <c r="F1327" s="61">
        <v>36487</v>
      </c>
      <c r="G1327" s="15" t="s">
        <v>73</v>
      </c>
      <c r="H1327" t="s">
        <v>4038</v>
      </c>
      <c r="I1327" s="62" t="s">
        <v>4039</v>
      </c>
      <c r="K1327" s="36" t="s">
        <v>169</v>
      </c>
      <c r="L1327" t="s">
        <v>69</v>
      </c>
      <c r="M1327" s="62" t="s">
        <v>170</v>
      </c>
      <c r="N1327" t="s">
        <v>71</v>
      </c>
      <c r="O1327" t="str">
        <f>IFERROR(IF(Tbla_actores[[#This Row],[codigo_proyecto]]="","",_xlfn.XLOOKUP(Tbla_actores[[#This Row],[codigo_proyecto]],Proyectos!$A:$A,Proyectos!$C:$C)),"")</f>
        <v>NULOS</v>
      </c>
    </row>
    <row r="1328" spans="1:15">
      <c r="A1328" s="9">
        <v>1032454561</v>
      </c>
      <c r="B1328" s="63" t="s">
        <v>61</v>
      </c>
      <c r="C1328" s="62" t="s">
        <v>3329</v>
      </c>
      <c r="D1328" t="s">
        <v>63</v>
      </c>
      <c r="E1328" t="s">
        <v>4040</v>
      </c>
      <c r="F1328" s="61">
        <v>33949</v>
      </c>
      <c r="G1328" s="15" t="s">
        <v>73</v>
      </c>
      <c r="H1328" t="s">
        <v>4041</v>
      </c>
      <c r="I1328" s="62" t="s">
        <v>4042</v>
      </c>
      <c r="K1328" s="36" t="s">
        <v>169</v>
      </c>
      <c r="L1328" t="s">
        <v>69</v>
      </c>
      <c r="M1328" s="62" t="s">
        <v>170</v>
      </c>
      <c r="N1328" t="s">
        <v>71</v>
      </c>
      <c r="O1328" t="str">
        <f>IFERROR(IF(Tbla_actores[[#This Row],[codigo_proyecto]]="","",_xlfn.XLOOKUP(Tbla_actores[[#This Row],[codigo_proyecto]],Proyectos!$A:$A,Proyectos!$C:$C)),"")</f>
        <v>NULOS</v>
      </c>
    </row>
    <row r="1329" spans="1:15">
      <c r="A1329" s="10">
        <v>1007403334</v>
      </c>
      <c r="B1329" s="64" t="s">
        <v>61</v>
      </c>
      <c r="C1329" s="62" t="s">
        <v>3329</v>
      </c>
      <c r="D1329" t="s">
        <v>63</v>
      </c>
      <c r="E1329" t="s">
        <v>4043</v>
      </c>
      <c r="F1329" s="61">
        <v>36798</v>
      </c>
      <c r="G1329" s="15" t="s">
        <v>65</v>
      </c>
      <c r="H1329" t="s">
        <v>4044</v>
      </c>
      <c r="I1329" s="62" t="s">
        <v>4045</v>
      </c>
      <c r="K1329" s="36" t="s">
        <v>169</v>
      </c>
      <c r="L1329" t="s">
        <v>69</v>
      </c>
      <c r="M1329" s="62" t="s">
        <v>170</v>
      </c>
      <c r="N1329" t="s">
        <v>71</v>
      </c>
      <c r="O1329" t="str">
        <f>IFERROR(IF(Tbla_actores[[#This Row],[codigo_proyecto]]="","",_xlfn.XLOOKUP(Tbla_actores[[#This Row],[codigo_proyecto]],Proyectos!$A:$A,Proyectos!$C:$C)),"")</f>
        <v>NULOS</v>
      </c>
    </row>
    <row r="1330" spans="1:15">
      <c r="A1330" s="9">
        <v>1018494966</v>
      </c>
      <c r="B1330" s="63" t="s">
        <v>61</v>
      </c>
      <c r="C1330" s="62" t="s">
        <v>3329</v>
      </c>
      <c r="D1330" t="s">
        <v>63</v>
      </c>
      <c r="E1330" t="s">
        <v>4046</v>
      </c>
      <c r="F1330" s="61">
        <v>35602</v>
      </c>
      <c r="G1330" s="15" t="s">
        <v>73</v>
      </c>
      <c r="H1330" t="s">
        <v>4047</v>
      </c>
      <c r="I1330" s="62" t="s">
        <v>4048</v>
      </c>
      <c r="K1330" s="36" t="s">
        <v>169</v>
      </c>
      <c r="L1330" t="s">
        <v>69</v>
      </c>
      <c r="M1330" s="62" t="s">
        <v>170</v>
      </c>
      <c r="N1330" t="s">
        <v>71</v>
      </c>
      <c r="O1330" t="str">
        <f>IFERROR(IF(Tbla_actores[[#This Row],[codigo_proyecto]]="","",_xlfn.XLOOKUP(Tbla_actores[[#This Row],[codigo_proyecto]],Proyectos!$A:$A,Proyectos!$C:$C)),"")</f>
        <v>NULOS</v>
      </c>
    </row>
    <row r="1331" spans="1:15">
      <c r="A1331" s="10">
        <v>1192773429</v>
      </c>
      <c r="B1331" s="64" t="s">
        <v>61</v>
      </c>
      <c r="C1331" s="62" t="s">
        <v>3329</v>
      </c>
      <c r="D1331" t="s">
        <v>63</v>
      </c>
      <c r="E1331" t="s">
        <v>4049</v>
      </c>
      <c r="F1331" s="61">
        <v>36549</v>
      </c>
      <c r="G1331" s="15" t="s">
        <v>73</v>
      </c>
      <c r="H1331" t="s">
        <v>4050</v>
      </c>
      <c r="I1331" s="62" t="s">
        <v>4051</v>
      </c>
      <c r="K1331" s="36" t="s">
        <v>169</v>
      </c>
      <c r="L1331" t="s">
        <v>69</v>
      </c>
      <c r="M1331" s="62" t="s">
        <v>170</v>
      </c>
      <c r="N1331" t="s">
        <v>71</v>
      </c>
      <c r="O1331" t="str">
        <f>IFERROR(IF(Tbla_actores[[#This Row],[codigo_proyecto]]="","",_xlfn.XLOOKUP(Tbla_actores[[#This Row],[codigo_proyecto]],Proyectos!$A:$A,Proyectos!$C:$C)),"")</f>
        <v>NULOS</v>
      </c>
    </row>
    <row r="1332" spans="1:15">
      <c r="A1332" s="9">
        <v>1026598656</v>
      </c>
      <c r="B1332" s="63" t="s">
        <v>61</v>
      </c>
      <c r="C1332" s="62" t="s">
        <v>3329</v>
      </c>
      <c r="D1332" t="s">
        <v>63</v>
      </c>
      <c r="E1332" t="s">
        <v>4052</v>
      </c>
      <c r="F1332" s="61">
        <v>36415</v>
      </c>
      <c r="G1332" s="15" t="s">
        <v>73</v>
      </c>
      <c r="H1332" t="s">
        <v>4053</v>
      </c>
      <c r="I1332" s="62" t="s">
        <v>4054</v>
      </c>
      <c r="K1332" s="36" t="s">
        <v>169</v>
      </c>
      <c r="L1332" t="s">
        <v>69</v>
      </c>
      <c r="M1332" s="62" t="s">
        <v>170</v>
      </c>
      <c r="N1332" t="s">
        <v>71</v>
      </c>
      <c r="O1332" t="str">
        <f>IFERROR(IF(Tbla_actores[[#This Row],[codigo_proyecto]]="","",_xlfn.XLOOKUP(Tbla_actores[[#This Row],[codigo_proyecto]],Proyectos!$A:$A,Proyectos!$C:$C)),"")</f>
        <v>NULOS</v>
      </c>
    </row>
    <row r="1333" spans="1:15">
      <c r="A1333" s="10">
        <v>1032506173</v>
      </c>
      <c r="B1333" s="64" t="s">
        <v>61</v>
      </c>
      <c r="C1333" s="62" t="s">
        <v>3329</v>
      </c>
      <c r="D1333" t="s">
        <v>63</v>
      </c>
      <c r="E1333" t="s">
        <v>4055</v>
      </c>
      <c r="F1333" s="61">
        <v>36373</v>
      </c>
      <c r="G1333" s="15" t="s">
        <v>73</v>
      </c>
      <c r="H1333" t="s">
        <v>4056</v>
      </c>
      <c r="I1333" s="62" t="s">
        <v>4057</v>
      </c>
      <c r="K1333" s="36" t="s">
        <v>169</v>
      </c>
      <c r="L1333" t="s">
        <v>69</v>
      </c>
      <c r="M1333" s="62" t="s">
        <v>170</v>
      </c>
      <c r="N1333" t="s">
        <v>71</v>
      </c>
      <c r="O1333" t="str">
        <f>IFERROR(IF(Tbla_actores[[#This Row],[codigo_proyecto]]="","",_xlfn.XLOOKUP(Tbla_actores[[#This Row],[codigo_proyecto]],Proyectos!$A:$A,Proyectos!$C:$C)),"")</f>
        <v>NULOS</v>
      </c>
    </row>
    <row r="1334" spans="1:15">
      <c r="A1334" s="9">
        <v>1032505017</v>
      </c>
      <c r="B1334" s="63" t="s">
        <v>61</v>
      </c>
      <c r="C1334" s="62" t="s">
        <v>3329</v>
      </c>
      <c r="D1334" t="s">
        <v>63</v>
      </c>
      <c r="E1334" t="s">
        <v>4058</v>
      </c>
      <c r="F1334" s="61">
        <v>36314</v>
      </c>
      <c r="G1334" s="15" t="s">
        <v>65</v>
      </c>
      <c r="H1334" t="s">
        <v>4059</v>
      </c>
      <c r="I1334" s="62" t="s">
        <v>4060</v>
      </c>
      <c r="K1334" s="36" t="s">
        <v>169</v>
      </c>
      <c r="L1334" t="s">
        <v>69</v>
      </c>
      <c r="M1334" s="62" t="s">
        <v>170</v>
      </c>
      <c r="N1334" t="s">
        <v>71</v>
      </c>
      <c r="O1334" t="str">
        <f>IFERROR(IF(Tbla_actores[[#This Row],[codigo_proyecto]]="","",_xlfn.XLOOKUP(Tbla_actores[[#This Row],[codigo_proyecto]],Proyectos!$A:$A,Proyectos!$C:$C)),"")</f>
        <v>NULOS</v>
      </c>
    </row>
    <row r="1335" spans="1:15">
      <c r="A1335" s="10">
        <v>1140885713</v>
      </c>
      <c r="B1335" s="64" t="s">
        <v>61</v>
      </c>
      <c r="C1335" s="62" t="s">
        <v>3329</v>
      </c>
      <c r="D1335" t="s">
        <v>63</v>
      </c>
      <c r="E1335" t="s">
        <v>4061</v>
      </c>
      <c r="F1335" s="61">
        <v>35203</v>
      </c>
      <c r="G1335" s="15" t="s">
        <v>65</v>
      </c>
      <c r="H1335" t="s">
        <v>4062</v>
      </c>
      <c r="I1335" s="62" t="s">
        <v>4063</v>
      </c>
      <c r="K1335" s="36" t="s">
        <v>169</v>
      </c>
      <c r="L1335" t="s">
        <v>69</v>
      </c>
      <c r="M1335" s="62" t="s">
        <v>170</v>
      </c>
      <c r="N1335" t="s">
        <v>71</v>
      </c>
      <c r="O1335" t="str">
        <f>IFERROR(IF(Tbla_actores[[#This Row],[codigo_proyecto]]="","",_xlfn.XLOOKUP(Tbla_actores[[#This Row],[codigo_proyecto]],Proyectos!$A:$A,Proyectos!$C:$C)),"")</f>
        <v>NULOS</v>
      </c>
    </row>
    <row r="1336" spans="1:15">
      <c r="A1336" s="9">
        <v>1118569001</v>
      </c>
      <c r="B1336" s="63" t="s">
        <v>61</v>
      </c>
      <c r="C1336" s="62" t="s">
        <v>3329</v>
      </c>
      <c r="D1336" t="s">
        <v>63</v>
      </c>
      <c r="E1336" t="s">
        <v>4064</v>
      </c>
      <c r="F1336" s="61">
        <v>35670</v>
      </c>
      <c r="G1336" s="15" t="s">
        <v>65</v>
      </c>
      <c r="H1336" t="s">
        <v>4065</v>
      </c>
      <c r="I1336" s="62" t="s">
        <v>4066</v>
      </c>
      <c r="K1336" s="36" t="s">
        <v>169</v>
      </c>
      <c r="L1336" t="s">
        <v>69</v>
      </c>
      <c r="M1336" s="62" t="s">
        <v>170</v>
      </c>
      <c r="N1336" t="s">
        <v>71</v>
      </c>
      <c r="O1336" t="str">
        <f>IFERROR(IF(Tbla_actores[[#This Row],[codigo_proyecto]]="","",_xlfn.XLOOKUP(Tbla_actores[[#This Row],[codigo_proyecto]],Proyectos!$A:$A,Proyectos!$C:$C)),"")</f>
        <v>NULOS</v>
      </c>
    </row>
    <row r="1337" spans="1:15">
      <c r="A1337" s="10">
        <v>1235043871</v>
      </c>
      <c r="B1337" s="64" t="s">
        <v>61</v>
      </c>
      <c r="C1337" s="62" t="s">
        <v>3329</v>
      </c>
      <c r="D1337" t="s">
        <v>63</v>
      </c>
      <c r="E1337" t="s">
        <v>4067</v>
      </c>
      <c r="F1337" s="61">
        <v>36255</v>
      </c>
      <c r="G1337" s="15" t="s">
        <v>73</v>
      </c>
      <c r="H1337" t="s">
        <v>4068</v>
      </c>
      <c r="I1337" s="62" t="s">
        <v>4069</v>
      </c>
      <c r="K1337" s="36" t="s">
        <v>169</v>
      </c>
      <c r="L1337" t="s">
        <v>69</v>
      </c>
      <c r="M1337" s="62" t="s">
        <v>170</v>
      </c>
      <c r="N1337" t="s">
        <v>71</v>
      </c>
      <c r="O1337" t="str">
        <f>IFERROR(IF(Tbla_actores[[#This Row],[codigo_proyecto]]="","",_xlfn.XLOOKUP(Tbla_actores[[#This Row],[codigo_proyecto]],Proyectos!$A:$A,Proyectos!$C:$C)),"")</f>
        <v>NULOS</v>
      </c>
    </row>
    <row r="1338" spans="1:15">
      <c r="A1338" s="9">
        <v>1020820291</v>
      </c>
      <c r="B1338" s="63" t="s">
        <v>61</v>
      </c>
      <c r="C1338" s="62" t="s">
        <v>3329</v>
      </c>
      <c r="D1338" t="s">
        <v>63</v>
      </c>
      <c r="E1338" t="s">
        <v>4070</v>
      </c>
      <c r="F1338" s="61">
        <v>35370</v>
      </c>
      <c r="G1338" s="15" t="s">
        <v>73</v>
      </c>
      <c r="H1338" t="s">
        <v>4071</v>
      </c>
      <c r="I1338" s="62" t="s">
        <v>4072</v>
      </c>
      <c r="K1338" s="36" t="s">
        <v>169</v>
      </c>
      <c r="L1338" t="s">
        <v>69</v>
      </c>
      <c r="M1338" s="62" t="s">
        <v>170</v>
      </c>
      <c r="N1338" t="s">
        <v>71</v>
      </c>
      <c r="O1338" t="str">
        <f>IFERROR(IF(Tbla_actores[[#This Row],[codigo_proyecto]]="","",_xlfn.XLOOKUP(Tbla_actores[[#This Row],[codigo_proyecto]],Proyectos!$A:$A,Proyectos!$C:$C)),"")</f>
        <v>NULOS</v>
      </c>
    </row>
    <row r="1339" spans="1:15">
      <c r="A1339" s="10">
        <v>1018492967</v>
      </c>
      <c r="B1339" s="64" t="s">
        <v>61</v>
      </c>
      <c r="C1339" s="62" t="s">
        <v>3329</v>
      </c>
      <c r="D1339" t="s">
        <v>63</v>
      </c>
      <c r="E1339" t="s">
        <v>4073</v>
      </c>
      <c r="F1339" s="61">
        <v>35497</v>
      </c>
      <c r="G1339" s="15" t="s">
        <v>73</v>
      </c>
      <c r="H1339" t="s">
        <v>4074</v>
      </c>
      <c r="I1339" s="62" t="s">
        <v>4075</v>
      </c>
      <c r="K1339" s="36" t="s">
        <v>169</v>
      </c>
      <c r="L1339" t="s">
        <v>69</v>
      </c>
      <c r="M1339" s="62" t="s">
        <v>170</v>
      </c>
      <c r="N1339" t="s">
        <v>71</v>
      </c>
      <c r="O1339" t="str">
        <f>IFERROR(IF(Tbla_actores[[#This Row],[codigo_proyecto]]="","",_xlfn.XLOOKUP(Tbla_actores[[#This Row],[codigo_proyecto]],Proyectos!$A:$A,Proyectos!$C:$C)),"")</f>
        <v>NULOS</v>
      </c>
    </row>
    <row r="1340" spans="1:15">
      <c r="A1340" s="9">
        <v>1032507733</v>
      </c>
      <c r="B1340" s="63" t="s">
        <v>61</v>
      </c>
      <c r="C1340" s="62" t="s">
        <v>3329</v>
      </c>
      <c r="D1340" t="s">
        <v>63</v>
      </c>
      <c r="E1340" t="s">
        <v>4076</v>
      </c>
      <c r="F1340" s="61">
        <v>36469</v>
      </c>
      <c r="G1340" s="15" t="s">
        <v>73</v>
      </c>
      <c r="H1340" t="s">
        <v>4077</v>
      </c>
      <c r="I1340" s="62" t="s">
        <v>4078</v>
      </c>
      <c r="K1340" s="36" t="s">
        <v>169</v>
      </c>
      <c r="L1340" t="s">
        <v>69</v>
      </c>
      <c r="M1340" s="62" t="s">
        <v>170</v>
      </c>
      <c r="N1340" t="s">
        <v>71</v>
      </c>
      <c r="O1340" t="str">
        <f>IFERROR(IF(Tbla_actores[[#This Row],[codigo_proyecto]]="","",_xlfn.XLOOKUP(Tbla_actores[[#This Row],[codigo_proyecto]],Proyectos!$A:$A,Proyectos!$C:$C)),"")</f>
        <v>NULOS</v>
      </c>
    </row>
    <row r="1341" spans="1:15">
      <c r="A1341" s="10">
        <v>1121959306</v>
      </c>
      <c r="B1341" s="64" t="s">
        <v>61</v>
      </c>
      <c r="C1341" s="62" t="s">
        <v>3329</v>
      </c>
      <c r="D1341" t="s">
        <v>63</v>
      </c>
      <c r="E1341" t="s">
        <v>4079</v>
      </c>
      <c r="F1341" s="61">
        <v>35962</v>
      </c>
      <c r="G1341" s="15" t="s">
        <v>73</v>
      </c>
      <c r="H1341" t="s">
        <v>4080</v>
      </c>
      <c r="I1341" s="62" t="s">
        <v>4081</v>
      </c>
      <c r="K1341" s="36" t="s">
        <v>169</v>
      </c>
      <c r="L1341" t="s">
        <v>69</v>
      </c>
      <c r="M1341" s="62" t="s">
        <v>170</v>
      </c>
      <c r="N1341" t="s">
        <v>71</v>
      </c>
      <c r="O1341" t="str">
        <f>IFERROR(IF(Tbla_actores[[#This Row],[codigo_proyecto]]="","",_xlfn.XLOOKUP(Tbla_actores[[#This Row],[codigo_proyecto]],Proyectos!$A:$A,Proyectos!$C:$C)),"")</f>
        <v>NULOS</v>
      </c>
    </row>
    <row r="1342" spans="1:15">
      <c r="A1342" s="9">
        <v>1019149797</v>
      </c>
      <c r="B1342" s="63" t="s">
        <v>61</v>
      </c>
      <c r="C1342" s="62" t="s">
        <v>3329</v>
      </c>
      <c r="D1342" t="s">
        <v>63</v>
      </c>
      <c r="E1342" t="s">
        <v>4082</v>
      </c>
      <c r="F1342" s="61">
        <v>36338</v>
      </c>
      <c r="G1342" s="15" t="s">
        <v>65</v>
      </c>
      <c r="H1342" t="s">
        <v>4083</v>
      </c>
      <c r="I1342" s="62" t="s">
        <v>4084</v>
      </c>
      <c r="K1342" s="36" t="s">
        <v>169</v>
      </c>
      <c r="L1342" t="s">
        <v>69</v>
      </c>
      <c r="M1342" s="62" t="s">
        <v>170</v>
      </c>
      <c r="N1342" t="s">
        <v>71</v>
      </c>
      <c r="O1342" t="str">
        <f>IFERROR(IF(Tbla_actores[[#This Row],[codigo_proyecto]]="","",_xlfn.XLOOKUP(Tbla_actores[[#This Row],[codigo_proyecto]],Proyectos!$A:$A,Proyectos!$C:$C)),"")</f>
        <v>NULOS</v>
      </c>
    </row>
    <row r="1343" spans="1:15">
      <c r="A1343" s="10">
        <v>1010015905</v>
      </c>
      <c r="B1343" s="64" t="s">
        <v>61</v>
      </c>
      <c r="C1343" s="62" t="s">
        <v>3329</v>
      </c>
      <c r="D1343" t="s">
        <v>63</v>
      </c>
      <c r="E1343" t="s">
        <v>4085</v>
      </c>
      <c r="F1343" s="61">
        <v>36798</v>
      </c>
      <c r="G1343" s="15" t="s">
        <v>65</v>
      </c>
      <c r="H1343" t="s">
        <v>4086</v>
      </c>
      <c r="I1343" s="62" t="s">
        <v>4087</v>
      </c>
      <c r="K1343" s="36" t="s">
        <v>169</v>
      </c>
      <c r="L1343" t="s">
        <v>69</v>
      </c>
      <c r="M1343" s="62" t="s">
        <v>170</v>
      </c>
      <c r="N1343" t="s">
        <v>71</v>
      </c>
      <c r="O1343" t="str">
        <f>IFERROR(IF(Tbla_actores[[#This Row],[codigo_proyecto]]="","",_xlfn.XLOOKUP(Tbla_actores[[#This Row],[codigo_proyecto]],Proyectos!$A:$A,Proyectos!$C:$C)),"")</f>
        <v>NULOS</v>
      </c>
    </row>
    <row r="1344" spans="1:15">
      <c r="A1344" s="9">
        <v>1015483385</v>
      </c>
      <c r="B1344" s="63" t="s">
        <v>61</v>
      </c>
      <c r="C1344" s="62" t="s">
        <v>3329</v>
      </c>
      <c r="D1344" t="s">
        <v>63</v>
      </c>
      <c r="E1344" t="s">
        <v>4088</v>
      </c>
      <c r="F1344" s="61">
        <v>36448</v>
      </c>
      <c r="G1344" s="15" t="s">
        <v>73</v>
      </c>
      <c r="H1344" t="s">
        <v>4089</v>
      </c>
      <c r="I1344" s="62" t="s">
        <v>4090</v>
      </c>
      <c r="K1344" s="36" t="s">
        <v>169</v>
      </c>
      <c r="L1344" t="s">
        <v>69</v>
      </c>
      <c r="M1344" s="62" t="s">
        <v>170</v>
      </c>
      <c r="N1344" t="s">
        <v>71</v>
      </c>
      <c r="O1344" t="str">
        <f>IFERROR(IF(Tbla_actores[[#This Row],[codigo_proyecto]]="","",_xlfn.XLOOKUP(Tbla_actores[[#This Row],[codigo_proyecto]],Proyectos!$A:$A,Proyectos!$C:$C)),"")</f>
        <v>NULOS</v>
      </c>
    </row>
    <row r="1345" spans="1:15">
      <c r="A1345" s="10">
        <v>1022438839</v>
      </c>
      <c r="B1345" s="64" t="s">
        <v>61</v>
      </c>
      <c r="C1345" s="62" t="s">
        <v>3329</v>
      </c>
      <c r="D1345" t="s">
        <v>63</v>
      </c>
      <c r="E1345" t="s">
        <v>4091</v>
      </c>
      <c r="F1345" s="61">
        <v>36093</v>
      </c>
      <c r="G1345" s="15" t="s">
        <v>73</v>
      </c>
      <c r="H1345" t="s">
        <v>4092</v>
      </c>
      <c r="I1345" s="62" t="s">
        <v>4093</v>
      </c>
      <c r="K1345" s="36" t="s">
        <v>169</v>
      </c>
      <c r="L1345" t="s">
        <v>69</v>
      </c>
      <c r="M1345" s="62" t="s">
        <v>170</v>
      </c>
      <c r="N1345" t="s">
        <v>71</v>
      </c>
      <c r="O1345" t="str">
        <f>IFERROR(IF(Tbla_actores[[#This Row],[codigo_proyecto]]="","",_xlfn.XLOOKUP(Tbla_actores[[#This Row],[codigo_proyecto]],Proyectos!$A:$A,Proyectos!$C:$C)),"")</f>
        <v>NULOS</v>
      </c>
    </row>
    <row r="1346" spans="1:15">
      <c r="A1346" s="9">
        <v>1020841943</v>
      </c>
      <c r="B1346" s="63" t="s">
        <v>61</v>
      </c>
      <c r="C1346" s="62" t="s">
        <v>3329</v>
      </c>
      <c r="D1346" t="s">
        <v>63</v>
      </c>
      <c r="E1346" t="s">
        <v>4094</v>
      </c>
      <c r="F1346" s="61">
        <v>36339</v>
      </c>
      <c r="G1346" s="15" t="s">
        <v>65</v>
      </c>
      <c r="H1346" t="s">
        <v>4095</v>
      </c>
      <c r="I1346" s="62" t="s">
        <v>4096</v>
      </c>
      <c r="K1346" s="36" t="s">
        <v>169</v>
      </c>
      <c r="L1346" t="s">
        <v>69</v>
      </c>
      <c r="M1346" s="62" t="s">
        <v>170</v>
      </c>
      <c r="N1346" t="s">
        <v>71</v>
      </c>
      <c r="O1346" t="str">
        <f>IFERROR(IF(Tbla_actores[[#This Row],[codigo_proyecto]]="","",_xlfn.XLOOKUP(Tbla_actores[[#This Row],[codigo_proyecto]],Proyectos!$A:$A,Proyectos!$C:$C)),"")</f>
        <v>NULOS</v>
      </c>
    </row>
    <row r="1347" spans="1:15">
      <c r="A1347" s="10">
        <v>1007675868</v>
      </c>
      <c r="B1347" s="64" t="s">
        <v>61</v>
      </c>
      <c r="C1347" s="62" t="s">
        <v>3329</v>
      </c>
      <c r="D1347" t="s">
        <v>63</v>
      </c>
      <c r="E1347" t="s">
        <v>4097</v>
      </c>
      <c r="F1347" s="61">
        <v>36714</v>
      </c>
      <c r="G1347" s="15" t="s">
        <v>65</v>
      </c>
      <c r="H1347" t="s">
        <v>4098</v>
      </c>
      <c r="I1347" s="62" t="s">
        <v>4099</v>
      </c>
      <c r="K1347" s="36" t="s">
        <v>169</v>
      </c>
      <c r="L1347" t="s">
        <v>69</v>
      </c>
      <c r="M1347" s="62" t="s">
        <v>170</v>
      </c>
      <c r="N1347" t="s">
        <v>71</v>
      </c>
      <c r="O1347" t="str">
        <f>IFERROR(IF(Tbla_actores[[#This Row],[codigo_proyecto]]="","",_xlfn.XLOOKUP(Tbla_actores[[#This Row],[codigo_proyecto]],Proyectos!$A:$A,Proyectos!$C:$C)),"")</f>
        <v>NULOS</v>
      </c>
    </row>
    <row r="1348" spans="1:15">
      <c r="A1348" s="9">
        <v>1004214116</v>
      </c>
      <c r="B1348" s="63" t="s">
        <v>61</v>
      </c>
      <c r="C1348" s="62" t="s">
        <v>3329</v>
      </c>
      <c r="D1348" t="s">
        <v>63</v>
      </c>
      <c r="E1348" t="s">
        <v>4100</v>
      </c>
      <c r="F1348" s="61">
        <v>36539</v>
      </c>
      <c r="G1348" s="15" t="s">
        <v>73</v>
      </c>
      <c r="H1348" t="s">
        <v>4101</v>
      </c>
      <c r="I1348" s="62" t="s">
        <v>4102</v>
      </c>
      <c r="K1348" s="36" t="s">
        <v>169</v>
      </c>
      <c r="L1348" t="s">
        <v>69</v>
      </c>
      <c r="M1348" s="62" t="s">
        <v>170</v>
      </c>
      <c r="N1348" t="s">
        <v>71</v>
      </c>
      <c r="O1348" t="str">
        <f>IFERROR(IF(Tbla_actores[[#This Row],[codigo_proyecto]]="","",_xlfn.XLOOKUP(Tbla_actores[[#This Row],[codigo_proyecto]],Proyectos!$A:$A,Proyectos!$C:$C)),"")</f>
        <v>NULOS</v>
      </c>
    </row>
    <row r="1349" spans="1:15">
      <c r="A1349" s="10">
        <v>1018514032</v>
      </c>
      <c r="B1349" s="64" t="s">
        <v>61</v>
      </c>
      <c r="C1349" s="62" t="s">
        <v>3329</v>
      </c>
      <c r="D1349" t="s">
        <v>63</v>
      </c>
      <c r="E1349" t="s">
        <v>4103</v>
      </c>
      <c r="F1349" s="61">
        <v>36419</v>
      </c>
      <c r="G1349" s="15" t="s">
        <v>73</v>
      </c>
      <c r="H1349" t="s">
        <v>4104</v>
      </c>
      <c r="I1349" s="62" t="s">
        <v>4105</v>
      </c>
      <c r="K1349" s="36" t="s">
        <v>169</v>
      </c>
      <c r="L1349" t="s">
        <v>69</v>
      </c>
      <c r="M1349" s="62" t="s">
        <v>170</v>
      </c>
      <c r="N1349" t="s">
        <v>71</v>
      </c>
      <c r="O1349" t="str">
        <f>IFERROR(IF(Tbla_actores[[#This Row],[codigo_proyecto]]="","",_xlfn.XLOOKUP(Tbla_actores[[#This Row],[codigo_proyecto]],Proyectos!$A:$A,Proyectos!$C:$C)),"")</f>
        <v>NULOS</v>
      </c>
    </row>
    <row r="1350" spans="1:15">
      <c r="A1350" s="9">
        <v>1004214028</v>
      </c>
      <c r="B1350" s="63" t="s">
        <v>61</v>
      </c>
      <c r="C1350" s="62" t="s">
        <v>3329</v>
      </c>
      <c r="D1350" t="s">
        <v>63</v>
      </c>
      <c r="E1350" t="s">
        <v>4106</v>
      </c>
      <c r="F1350" s="61">
        <v>36657</v>
      </c>
      <c r="G1350" s="15" t="s">
        <v>65</v>
      </c>
      <c r="H1350" t="s">
        <v>4107</v>
      </c>
      <c r="I1350" s="62" t="s">
        <v>4108</v>
      </c>
      <c r="K1350" s="36" t="s">
        <v>169</v>
      </c>
      <c r="L1350" t="s">
        <v>69</v>
      </c>
      <c r="M1350" s="62" t="s">
        <v>170</v>
      </c>
      <c r="N1350" t="s">
        <v>71</v>
      </c>
      <c r="O1350" t="str">
        <f>IFERROR(IF(Tbla_actores[[#This Row],[codigo_proyecto]]="","",_xlfn.XLOOKUP(Tbla_actores[[#This Row],[codigo_proyecto]],Proyectos!$A:$A,Proyectos!$C:$C)),"")</f>
        <v>NULOS</v>
      </c>
    </row>
    <row r="1351" spans="1:15">
      <c r="A1351" s="10">
        <v>1032505370</v>
      </c>
      <c r="B1351" s="64" t="s">
        <v>61</v>
      </c>
      <c r="C1351" s="62" t="s">
        <v>3329</v>
      </c>
      <c r="D1351" t="s">
        <v>63</v>
      </c>
      <c r="E1351" t="s">
        <v>4109</v>
      </c>
      <c r="F1351" s="61">
        <v>36236</v>
      </c>
      <c r="G1351" s="15" t="s">
        <v>65</v>
      </c>
      <c r="H1351" t="s">
        <v>4110</v>
      </c>
      <c r="I1351" s="62" t="s">
        <v>4111</v>
      </c>
      <c r="K1351" s="36" t="s">
        <v>169</v>
      </c>
      <c r="L1351" t="s">
        <v>69</v>
      </c>
      <c r="M1351" s="62" t="s">
        <v>170</v>
      </c>
      <c r="N1351" t="s">
        <v>71</v>
      </c>
      <c r="O1351" t="str">
        <f>IFERROR(IF(Tbla_actores[[#This Row],[codigo_proyecto]]="","",_xlfn.XLOOKUP(Tbla_actores[[#This Row],[codigo_proyecto]],Proyectos!$A:$A,Proyectos!$C:$C)),"")</f>
        <v>NULOS</v>
      </c>
    </row>
    <row r="1352" spans="1:15">
      <c r="A1352" s="9">
        <v>1032506666</v>
      </c>
      <c r="B1352" s="63" t="s">
        <v>61</v>
      </c>
      <c r="C1352" s="62" t="s">
        <v>3329</v>
      </c>
      <c r="D1352" t="s">
        <v>63</v>
      </c>
      <c r="E1352" t="s">
        <v>4112</v>
      </c>
      <c r="F1352" s="61">
        <v>36410</v>
      </c>
      <c r="G1352" s="15" t="s">
        <v>73</v>
      </c>
      <c r="H1352" t="s">
        <v>4113</v>
      </c>
      <c r="I1352" s="62" t="s">
        <v>4114</v>
      </c>
      <c r="K1352" s="36" t="s">
        <v>169</v>
      </c>
      <c r="L1352" t="s">
        <v>69</v>
      </c>
      <c r="M1352" s="62" t="s">
        <v>170</v>
      </c>
      <c r="N1352" t="s">
        <v>71</v>
      </c>
      <c r="O1352" t="str">
        <f>IFERROR(IF(Tbla_actores[[#This Row],[codigo_proyecto]]="","",_xlfn.XLOOKUP(Tbla_actores[[#This Row],[codigo_proyecto]],Proyectos!$A:$A,Proyectos!$C:$C)),"")</f>
        <v>NULOS</v>
      </c>
    </row>
    <row r="1353" spans="1:15">
      <c r="A1353" s="10">
        <v>1000464877</v>
      </c>
      <c r="B1353" s="64" t="s">
        <v>61</v>
      </c>
      <c r="C1353" s="62" t="s">
        <v>3329</v>
      </c>
      <c r="D1353" t="s">
        <v>63</v>
      </c>
      <c r="E1353" t="s">
        <v>4115</v>
      </c>
      <c r="F1353" s="61">
        <v>36554</v>
      </c>
      <c r="G1353" s="15" t="s">
        <v>65</v>
      </c>
      <c r="H1353" t="s">
        <v>4116</v>
      </c>
      <c r="I1353" s="62" t="s">
        <v>4117</v>
      </c>
      <c r="K1353" s="36" t="s">
        <v>169</v>
      </c>
      <c r="L1353" t="s">
        <v>69</v>
      </c>
      <c r="M1353" s="62" t="s">
        <v>170</v>
      </c>
      <c r="N1353" t="s">
        <v>71</v>
      </c>
      <c r="O1353" t="str">
        <f>IFERROR(IF(Tbla_actores[[#This Row],[codigo_proyecto]]="","",_xlfn.XLOOKUP(Tbla_actores[[#This Row],[codigo_proyecto]],Proyectos!$A:$A,Proyectos!$C:$C)),"")</f>
        <v>NULOS</v>
      </c>
    </row>
    <row r="1354" spans="1:15">
      <c r="A1354" s="9">
        <v>1020841605</v>
      </c>
      <c r="B1354" s="63" t="s">
        <v>61</v>
      </c>
      <c r="C1354" s="62" t="s">
        <v>3329</v>
      </c>
      <c r="D1354" t="s">
        <v>63</v>
      </c>
      <c r="E1354" t="s">
        <v>4118</v>
      </c>
      <c r="F1354" s="61">
        <v>36322</v>
      </c>
      <c r="G1354" s="15" t="s">
        <v>65</v>
      </c>
      <c r="H1354" t="s">
        <v>4119</v>
      </c>
      <c r="I1354" s="62" t="s">
        <v>4120</v>
      </c>
      <c r="K1354" s="36" t="s">
        <v>169</v>
      </c>
      <c r="L1354" t="s">
        <v>69</v>
      </c>
      <c r="M1354" s="62" t="s">
        <v>170</v>
      </c>
      <c r="N1354" t="s">
        <v>71</v>
      </c>
      <c r="O1354" t="str">
        <f>IFERROR(IF(Tbla_actores[[#This Row],[codigo_proyecto]]="","",_xlfn.XLOOKUP(Tbla_actores[[#This Row],[codigo_proyecto]],Proyectos!$A:$A,Proyectos!$C:$C)),"")</f>
        <v>NULOS</v>
      </c>
    </row>
    <row r="1355" spans="1:15">
      <c r="A1355" s="10">
        <v>1057611182</v>
      </c>
      <c r="B1355" s="64" t="s">
        <v>61</v>
      </c>
      <c r="C1355" s="62" t="s">
        <v>3329</v>
      </c>
      <c r="D1355" t="s">
        <v>63</v>
      </c>
      <c r="E1355" t="s">
        <v>4121</v>
      </c>
      <c r="F1355" s="61">
        <v>36493</v>
      </c>
      <c r="G1355" s="15" t="s">
        <v>65</v>
      </c>
      <c r="H1355" t="s">
        <v>4122</v>
      </c>
      <c r="I1355" s="62" t="s">
        <v>4123</v>
      </c>
      <c r="K1355" s="36" t="s">
        <v>169</v>
      </c>
      <c r="L1355" t="s">
        <v>69</v>
      </c>
      <c r="M1355" s="62" t="s">
        <v>170</v>
      </c>
      <c r="N1355" t="s">
        <v>71</v>
      </c>
      <c r="O1355" t="str">
        <f>IFERROR(IF(Tbla_actores[[#This Row],[codigo_proyecto]]="","",_xlfn.XLOOKUP(Tbla_actores[[#This Row],[codigo_proyecto]],Proyectos!$A:$A,Proyectos!$C:$C)),"")</f>
        <v>NULOS</v>
      </c>
    </row>
    <row r="1356" spans="1:15">
      <c r="A1356" s="9">
        <v>1019126892</v>
      </c>
      <c r="B1356" s="63" t="s">
        <v>61</v>
      </c>
      <c r="C1356" s="62" t="s">
        <v>3329</v>
      </c>
      <c r="D1356" t="s">
        <v>63</v>
      </c>
      <c r="E1356" t="s">
        <v>4124</v>
      </c>
      <c r="F1356" s="61">
        <v>35441</v>
      </c>
      <c r="G1356" s="15" t="s">
        <v>65</v>
      </c>
      <c r="H1356" t="s">
        <v>4125</v>
      </c>
      <c r="I1356" s="62" t="s">
        <v>4126</v>
      </c>
      <c r="K1356" s="36" t="s">
        <v>169</v>
      </c>
      <c r="L1356" t="s">
        <v>69</v>
      </c>
      <c r="M1356" s="62" t="s">
        <v>170</v>
      </c>
      <c r="N1356" t="s">
        <v>71</v>
      </c>
      <c r="O1356" t="str">
        <f>IFERROR(IF(Tbla_actores[[#This Row],[codigo_proyecto]]="","",_xlfn.XLOOKUP(Tbla_actores[[#This Row],[codigo_proyecto]],Proyectos!$A:$A,Proyectos!$C:$C)),"")</f>
        <v>NULOS</v>
      </c>
    </row>
    <row r="1357" spans="1:15">
      <c r="A1357" s="10">
        <v>1061820247</v>
      </c>
      <c r="B1357" s="64" t="s">
        <v>61</v>
      </c>
      <c r="C1357" s="62" t="s">
        <v>3329</v>
      </c>
      <c r="D1357" t="s">
        <v>63</v>
      </c>
      <c r="E1357" t="s">
        <v>4127</v>
      </c>
      <c r="F1357" s="61">
        <v>36413</v>
      </c>
      <c r="G1357" s="15" t="s">
        <v>73</v>
      </c>
      <c r="H1357" t="s">
        <v>4128</v>
      </c>
      <c r="I1357" s="62" t="s">
        <v>4129</v>
      </c>
      <c r="K1357" s="36" t="s">
        <v>169</v>
      </c>
      <c r="L1357" t="s">
        <v>69</v>
      </c>
      <c r="M1357" s="62" t="s">
        <v>170</v>
      </c>
      <c r="N1357" t="s">
        <v>71</v>
      </c>
      <c r="O1357" t="str">
        <f>IFERROR(IF(Tbla_actores[[#This Row],[codigo_proyecto]]="","",_xlfn.XLOOKUP(Tbla_actores[[#This Row],[codigo_proyecto]],Proyectos!$A:$A,Proyectos!$C:$C)),"")</f>
        <v>NULOS</v>
      </c>
    </row>
    <row r="1358" spans="1:15">
      <c r="A1358" s="9">
        <v>1052413420</v>
      </c>
      <c r="B1358" s="63" t="s">
        <v>61</v>
      </c>
      <c r="C1358" s="62" t="s">
        <v>3329</v>
      </c>
      <c r="D1358" t="s">
        <v>63</v>
      </c>
      <c r="E1358" t="s">
        <v>4130</v>
      </c>
      <c r="F1358" s="61">
        <v>35973</v>
      </c>
      <c r="G1358" s="15" t="s">
        <v>65</v>
      </c>
      <c r="H1358" t="s">
        <v>4131</v>
      </c>
      <c r="I1358" s="62" t="s">
        <v>4132</v>
      </c>
      <c r="K1358" s="36" t="s">
        <v>169</v>
      </c>
      <c r="L1358" t="s">
        <v>69</v>
      </c>
      <c r="M1358" s="62" t="s">
        <v>170</v>
      </c>
      <c r="N1358" t="s">
        <v>71</v>
      </c>
      <c r="O1358" t="str">
        <f>IFERROR(IF(Tbla_actores[[#This Row],[codigo_proyecto]]="","",_xlfn.XLOOKUP(Tbla_actores[[#This Row],[codigo_proyecto]],Proyectos!$A:$A,Proyectos!$C:$C)),"")</f>
        <v>NULOS</v>
      </c>
    </row>
    <row r="1359" spans="1:15">
      <c r="A1359" s="10">
        <v>1015474276</v>
      </c>
      <c r="B1359" s="64" t="s">
        <v>61</v>
      </c>
      <c r="C1359" s="62" t="s">
        <v>3329</v>
      </c>
      <c r="D1359" t="s">
        <v>63</v>
      </c>
      <c r="E1359" t="s">
        <v>4133</v>
      </c>
      <c r="F1359" s="61">
        <v>35866</v>
      </c>
      <c r="G1359" s="15" t="s">
        <v>65</v>
      </c>
      <c r="H1359" t="s">
        <v>4134</v>
      </c>
      <c r="I1359" s="62" t="s">
        <v>4135</v>
      </c>
      <c r="K1359" s="36" t="s">
        <v>169</v>
      </c>
      <c r="L1359" t="s">
        <v>69</v>
      </c>
      <c r="M1359" s="62" t="s">
        <v>170</v>
      </c>
      <c r="N1359" t="s">
        <v>71</v>
      </c>
      <c r="O1359" t="str">
        <f>IFERROR(IF(Tbla_actores[[#This Row],[codigo_proyecto]]="","",_xlfn.XLOOKUP(Tbla_actores[[#This Row],[codigo_proyecto]],Proyectos!$A:$A,Proyectos!$C:$C)),"")</f>
        <v>NULOS</v>
      </c>
    </row>
    <row r="1360" spans="1:15">
      <c r="A1360" s="9">
        <v>1023979080</v>
      </c>
      <c r="B1360" s="63" t="s">
        <v>61</v>
      </c>
      <c r="C1360" s="62" t="s">
        <v>3329</v>
      </c>
      <c r="D1360" t="s">
        <v>63</v>
      </c>
      <c r="E1360" t="s">
        <v>4136</v>
      </c>
      <c r="F1360" s="61">
        <v>36422</v>
      </c>
      <c r="G1360" s="15" t="s">
        <v>73</v>
      </c>
      <c r="H1360" t="s">
        <v>4137</v>
      </c>
      <c r="I1360" s="62" t="s">
        <v>4138</v>
      </c>
      <c r="K1360" s="36" t="s">
        <v>169</v>
      </c>
      <c r="L1360" t="s">
        <v>69</v>
      </c>
      <c r="M1360" s="62" t="s">
        <v>170</v>
      </c>
      <c r="N1360" t="s">
        <v>71</v>
      </c>
      <c r="O1360" t="str">
        <f>IFERROR(IF(Tbla_actores[[#This Row],[codigo_proyecto]]="","",_xlfn.XLOOKUP(Tbla_actores[[#This Row],[codigo_proyecto]],Proyectos!$A:$A,Proyectos!$C:$C)),"")</f>
        <v>NULOS</v>
      </c>
    </row>
    <row r="1361" spans="1:15">
      <c r="A1361" s="10">
        <v>1001315880</v>
      </c>
      <c r="B1361" s="64" t="s">
        <v>61</v>
      </c>
      <c r="C1361" s="62" t="s">
        <v>3329</v>
      </c>
      <c r="D1361" t="s">
        <v>63</v>
      </c>
      <c r="E1361" t="s">
        <v>4139</v>
      </c>
      <c r="F1361" s="61">
        <v>36600</v>
      </c>
      <c r="G1361" s="15" t="s">
        <v>65</v>
      </c>
      <c r="H1361" t="s">
        <v>4140</v>
      </c>
      <c r="I1361" s="62" t="s">
        <v>4141</v>
      </c>
      <c r="K1361" s="36" t="s">
        <v>169</v>
      </c>
      <c r="L1361" t="s">
        <v>69</v>
      </c>
      <c r="M1361" s="62" t="s">
        <v>170</v>
      </c>
      <c r="N1361" t="s">
        <v>71</v>
      </c>
      <c r="O1361" t="str">
        <f>IFERROR(IF(Tbla_actores[[#This Row],[codigo_proyecto]]="","",_xlfn.XLOOKUP(Tbla_actores[[#This Row],[codigo_proyecto]],Proyectos!$A:$A,Proyectos!$C:$C)),"")</f>
        <v>NULOS</v>
      </c>
    </row>
    <row r="1362" spans="1:15">
      <c r="A1362" s="9">
        <v>1015481228</v>
      </c>
      <c r="B1362" s="63" t="s">
        <v>61</v>
      </c>
      <c r="C1362" s="62" t="s">
        <v>3329</v>
      </c>
      <c r="D1362" t="s">
        <v>63</v>
      </c>
      <c r="E1362" t="s">
        <v>4142</v>
      </c>
      <c r="F1362" s="61">
        <v>36310</v>
      </c>
      <c r="G1362" s="15" t="s">
        <v>73</v>
      </c>
      <c r="H1362" t="s">
        <v>4143</v>
      </c>
      <c r="I1362" s="62" t="s">
        <v>4144</v>
      </c>
      <c r="K1362" s="36" t="s">
        <v>169</v>
      </c>
      <c r="L1362" t="s">
        <v>69</v>
      </c>
      <c r="M1362" s="62" t="s">
        <v>170</v>
      </c>
      <c r="N1362" t="s">
        <v>71</v>
      </c>
      <c r="O1362" t="str">
        <f>IFERROR(IF(Tbla_actores[[#This Row],[codigo_proyecto]]="","",_xlfn.XLOOKUP(Tbla_actores[[#This Row],[codigo_proyecto]],Proyectos!$A:$A,Proyectos!$C:$C)),"")</f>
        <v>NULOS</v>
      </c>
    </row>
    <row r="1363" spans="1:15">
      <c r="A1363" s="10">
        <v>1007705140</v>
      </c>
      <c r="B1363" s="64" t="s">
        <v>61</v>
      </c>
      <c r="C1363" s="62" t="s">
        <v>3329</v>
      </c>
      <c r="D1363" t="s">
        <v>63</v>
      </c>
      <c r="E1363" t="s">
        <v>4145</v>
      </c>
      <c r="F1363" s="61">
        <v>36625</v>
      </c>
      <c r="G1363" s="15" t="s">
        <v>73</v>
      </c>
      <c r="H1363" t="s">
        <v>4146</v>
      </c>
      <c r="I1363" s="62" t="s">
        <v>4147</v>
      </c>
      <c r="K1363" s="36" t="s">
        <v>169</v>
      </c>
      <c r="L1363" t="s">
        <v>69</v>
      </c>
      <c r="M1363" s="62" t="s">
        <v>170</v>
      </c>
      <c r="N1363" t="s">
        <v>71</v>
      </c>
      <c r="O1363" t="str">
        <f>IFERROR(IF(Tbla_actores[[#This Row],[codigo_proyecto]]="","",_xlfn.XLOOKUP(Tbla_actores[[#This Row],[codigo_proyecto]],Proyectos!$A:$A,Proyectos!$C:$C)),"")</f>
        <v>NULOS</v>
      </c>
    </row>
    <row r="1364" spans="1:15">
      <c r="A1364" s="9">
        <v>1010245200</v>
      </c>
      <c r="B1364" s="63" t="s">
        <v>61</v>
      </c>
      <c r="C1364" s="62" t="s">
        <v>3329</v>
      </c>
      <c r="D1364" t="s">
        <v>63</v>
      </c>
      <c r="E1364" t="s">
        <v>4148</v>
      </c>
      <c r="F1364" s="61">
        <v>36225</v>
      </c>
      <c r="G1364" s="15" t="s">
        <v>65</v>
      </c>
      <c r="H1364" t="s">
        <v>4149</v>
      </c>
      <c r="I1364" s="62" t="s">
        <v>4150</v>
      </c>
      <c r="K1364" s="36" t="s">
        <v>169</v>
      </c>
      <c r="L1364" t="s">
        <v>69</v>
      </c>
      <c r="M1364" s="62" t="s">
        <v>170</v>
      </c>
      <c r="N1364" t="s">
        <v>71</v>
      </c>
      <c r="O1364" t="str">
        <f>IFERROR(IF(Tbla_actores[[#This Row],[codigo_proyecto]]="","",_xlfn.XLOOKUP(Tbla_actores[[#This Row],[codigo_proyecto]],Proyectos!$A:$A,Proyectos!$C:$C)),"")</f>
        <v>NULOS</v>
      </c>
    </row>
    <row r="1365" spans="1:15">
      <c r="A1365" s="10">
        <v>1032506189</v>
      </c>
      <c r="B1365" s="64" t="s">
        <v>61</v>
      </c>
      <c r="C1365" s="62" t="s">
        <v>3329</v>
      </c>
      <c r="D1365" t="s">
        <v>63</v>
      </c>
      <c r="E1365" t="s">
        <v>4151</v>
      </c>
      <c r="F1365" s="61">
        <v>36374</v>
      </c>
      <c r="G1365" s="15" t="s">
        <v>73</v>
      </c>
      <c r="H1365" t="s">
        <v>4152</v>
      </c>
      <c r="I1365" s="62" t="s">
        <v>4153</v>
      </c>
      <c r="K1365" s="36" t="s">
        <v>1489</v>
      </c>
      <c r="L1365" t="s">
        <v>69</v>
      </c>
      <c r="M1365" s="62" t="s">
        <v>70</v>
      </c>
      <c r="N1365" t="s">
        <v>71</v>
      </c>
      <c r="O1365" t="str">
        <f>IFERROR(IF(Tbla_actores[[#This Row],[codigo_proyecto]]="","",_xlfn.XLOOKUP(Tbla_actores[[#This Row],[codigo_proyecto]],Proyectos!$A:$A,Proyectos!$C:$C)),"")</f>
        <v>NULOS</v>
      </c>
    </row>
    <row r="1366" spans="1:15">
      <c r="A1366" s="9">
        <v>1070989087</v>
      </c>
      <c r="B1366" s="63" t="s">
        <v>61</v>
      </c>
      <c r="C1366" s="62" t="s">
        <v>3329</v>
      </c>
      <c r="D1366" t="s">
        <v>63</v>
      </c>
      <c r="E1366" t="s">
        <v>4154</v>
      </c>
      <c r="F1366" s="61">
        <v>36354</v>
      </c>
      <c r="G1366" s="15" t="s">
        <v>73</v>
      </c>
      <c r="H1366" t="s">
        <v>4155</v>
      </c>
      <c r="I1366" s="62" t="s">
        <v>4156</v>
      </c>
      <c r="K1366" s="36" t="s">
        <v>1489</v>
      </c>
      <c r="L1366" t="s">
        <v>69</v>
      </c>
      <c r="M1366" s="62" t="s">
        <v>70</v>
      </c>
      <c r="N1366" t="s">
        <v>71</v>
      </c>
      <c r="O1366" t="str">
        <f>IFERROR(IF(Tbla_actores[[#This Row],[codigo_proyecto]]="","",_xlfn.XLOOKUP(Tbla_actores[[#This Row],[codigo_proyecto]],Proyectos!$A:$A,Proyectos!$C:$C)),"")</f>
        <v>NULOS</v>
      </c>
    </row>
    <row r="1367" spans="1:15">
      <c r="A1367" s="10">
        <v>1010108594</v>
      </c>
      <c r="B1367" s="64" t="s">
        <v>61</v>
      </c>
      <c r="C1367" s="62" t="s">
        <v>3329</v>
      </c>
      <c r="D1367" t="s">
        <v>63</v>
      </c>
      <c r="E1367" t="s">
        <v>4157</v>
      </c>
      <c r="F1367" s="61">
        <v>36918</v>
      </c>
      <c r="G1367" s="15" t="s">
        <v>73</v>
      </c>
      <c r="H1367" t="s">
        <v>4158</v>
      </c>
      <c r="I1367" s="62" t="s">
        <v>4159</v>
      </c>
      <c r="K1367" s="36" t="s">
        <v>1489</v>
      </c>
      <c r="L1367" t="s">
        <v>69</v>
      </c>
      <c r="M1367" s="62" t="s">
        <v>70</v>
      </c>
      <c r="N1367" t="s">
        <v>71</v>
      </c>
      <c r="O1367" t="str">
        <f>IFERROR(IF(Tbla_actores[[#This Row],[codigo_proyecto]]="","",_xlfn.XLOOKUP(Tbla_actores[[#This Row],[codigo_proyecto]],Proyectos!$A:$A,Proyectos!$C:$C)),"")</f>
        <v>NULOS</v>
      </c>
    </row>
    <row r="1368" spans="1:15">
      <c r="A1368" s="9">
        <v>1018497007</v>
      </c>
      <c r="B1368" s="63" t="s">
        <v>61</v>
      </c>
      <c r="C1368" s="62" t="s">
        <v>3329</v>
      </c>
      <c r="D1368" t="s">
        <v>63</v>
      </c>
      <c r="E1368" t="s">
        <v>4160</v>
      </c>
      <c r="F1368" s="61">
        <v>35682</v>
      </c>
      <c r="G1368" s="15" t="s">
        <v>73</v>
      </c>
      <c r="H1368" t="s">
        <v>4161</v>
      </c>
      <c r="I1368" s="62" t="s">
        <v>4162</v>
      </c>
      <c r="K1368" s="36" t="s">
        <v>1489</v>
      </c>
      <c r="L1368" t="s">
        <v>69</v>
      </c>
      <c r="M1368" s="62" t="s">
        <v>70</v>
      </c>
      <c r="N1368" t="s">
        <v>71</v>
      </c>
      <c r="O1368" t="str">
        <f>IFERROR(IF(Tbla_actores[[#This Row],[codigo_proyecto]]="","",_xlfn.XLOOKUP(Tbla_actores[[#This Row],[codigo_proyecto]],Proyectos!$A:$A,Proyectos!$C:$C)),"")</f>
        <v>NULOS</v>
      </c>
    </row>
    <row r="1369" spans="1:15">
      <c r="A1369" s="10">
        <v>1007401189</v>
      </c>
      <c r="B1369" s="64" t="s">
        <v>61</v>
      </c>
      <c r="C1369" s="62" t="s">
        <v>3329</v>
      </c>
      <c r="D1369" t="s">
        <v>63</v>
      </c>
      <c r="E1369" t="s">
        <v>4163</v>
      </c>
      <c r="F1369" s="61">
        <v>36621</v>
      </c>
      <c r="G1369" s="15" t="s">
        <v>73</v>
      </c>
      <c r="H1369" t="s">
        <v>4164</v>
      </c>
      <c r="I1369" s="62" t="s">
        <v>4165</v>
      </c>
      <c r="K1369" s="36" t="s">
        <v>1489</v>
      </c>
      <c r="L1369" t="s">
        <v>69</v>
      </c>
      <c r="M1369" s="62" t="s">
        <v>70</v>
      </c>
      <c r="N1369" t="s">
        <v>71</v>
      </c>
      <c r="O1369" t="str">
        <f>IFERROR(IF(Tbla_actores[[#This Row],[codigo_proyecto]]="","",_xlfn.XLOOKUP(Tbla_actores[[#This Row],[codigo_proyecto]],Proyectos!$A:$A,Proyectos!$C:$C)),"")</f>
        <v>NULOS</v>
      </c>
    </row>
    <row r="1370" spans="1:15">
      <c r="A1370" s="9">
        <v>1018501714</v>
      </c>
      <c r="B1370" s="63" t="s">
        <v>61</v>
      </c>
      <c r="C1370" s="62" t="s">
        <v>3329</v>
      </c>
      <c r="D1370" t="s">
        <v>63</v>
      </c>
      <c r="E1370" t="s">
        <v>4166</v>
      </c>
      <c r="F1370" s="61">
        <v>35863</v>
      </c>
      <c r="G1370" s="15" t="s">
        <v>73</v>
      </c>
      <c r="H1370" t="s">
        <v>4167</v>
      </c>
      <c r="I1370" s="62" t="s">
        <v>4168</v>
      </c>
      <c r="K1370" s="36" t="s">
        <v>1489</v>
      </c>
      <c r="L1370" t="s">
        <v>69</v>
      </c>
      <c r="M1370" s="62" t="s">
        <v>70</v>
      </c>
      <c r="N1370" t="s">
        <v>71</v>
      </c>
      <c r="O1370" t="str">
        <f>IFERROR(IF(Tbla_actores[[#This Row],[codigo_proyecto]]="","",_xlfn.XLOOKUP(Tbla_actores[[#This Row],[codigo_proyecto]],Proyectos!$A:$A,Proyectos!$C:$C)),"")</f>
        <v>NULOS</v>
      </c>
    </row>
    <row r="1371" spans="1:15">
      <c r="A1371" s="10">
        <v>1018512452</v>
      </c>
      <c r="B1371" s="64" t="s">
        <v>61</v>
      </c>
      <c r="C1371" s="62" t="s">
        <v>3329</v>
      </c>
      <c r="D1371" t="s">
        <v>63</v>
      </c>
      <c r="E1371" t="s">
        <v>4169</v>
      </c>
      <c r="F1371" s="61">
        <v>36363</v>
      </c>
      <c r="G1371" s="15" t="s">
        <v>73</v>
      </c>
      <c r="H1371" t="s">
        <v>4170</v>
      </c>
      <c r="I1371" s="62" t="s">
        <v>4171</v>
      </c>
      <c r="K1371" s="36" t="s">
        <v>1489</v>
      </c>
      <c r="L1371" t="s">
        <v>69</v>
      </c>
      <c r="M1371" s="62" t="s">
        <v>70</v>
      </c>
      <c r="N1371" t="s">
        <v>71</v>
      </c>
      <c r="O1371" t="str">
        <f>IFERROR(IF(Tbla_actores[[#This Row],[codigo_proyecto]]="","",_xlfn.XLOOKUP(Tbla_actores[[#This Row],[codigo_proyecto]],Proyectos!$A:$A,Proyectos!$C:$C)),"")</f>
        <v>NULOS</v>
      </c>
    </row>
    <row r="1372" spans="1:15">
      <c r="A1372" s="9">
        <v>1007658254</v>
      </c>
      <c r="B1372" s="63" t="s">
        <v>61</v>
      </c>
      <c r="C1372" s="62" t="s">
        <v>3329</v>
      </c>
      <c r="D1372" t="s">
        <v>63</v>
      </c>
      <c r="E1372" t="s">
        <v>4172</v>
      </c>
      <c r="F1372" s="61">
        <v>36819</v>
      </c>
      <c r="G1372" s="15" t="s">
        <v>65</v>
      </c>
      <c r="H1372" t="s">
        <v>4173</v>
      </c>
      <c r="I1372" s="62" t="s">
        <v>4174</v>
      </c>
      <c r="K1372" s="36" t="s">
        <v>1489</v>
      </c>
      <c r="L1372" t="s">
        <v>69</v>
      </c>
      <c r="M1372" s="62" t="s">
        <v>70</v>
      </c>
      <c r="N1372" t="s">
        <v>71</v>
      </c>
      <c r="O1372" t="str">
        <f>IFERROR(IF(Tbla_actores[[#This Row],[codigo_proyecto]]="","",_xlfn.XLOOKUP(Tbla_actores[[#This Row],[codigo_proyecto]],Proyectos!$A:$A,Proyectos!$C:$C)),"")</f>
        <v>NULOS</v>
      </c>
    </row>
    <row r="1373" spans="1:15">
      <c r="A1373" s="10">
        <v>1032501603</v>
      </c>
      <c r="B1373" s="64" t="s">
        <v>61</v>
      </c>
      <c r="C1373" s="62" t="s">
        <v>3329</v>
      </c>
      <c r="D1373" t="s">
        <v>63</v>
      </c>
      <c r="E1373" t="s">
        <v>4175</v>
      </c>
      <c r="F1373" s="61">
        <v>36134</v>
      </c>
      <c r="G1373" s="15" t="s">
        <v>73</v>
      </c>
      <c r="H1373" t="s">
        <v>4176</v>
      </c>
      <c r="I1373" s="62" t="s">
        <v>4177</v>
      </c>
      <c r="K1373" s="36" t="s">
        <v>1489</v>
      </c>
      <c r="L1373" t="s">
        <v>69</v>
      </c>
      <c r="M1373" s="62" t="s">
        <v>70</v>
      </c>
      <c r="N1373" t="s">
        <v>71</v>
      </c>
      <c r="O1373" t="str">
        <f>IFERROR(IF(Tbla_actores[[#This Row],[codigo_proyecto]]="","",_xlfn.XLOOKUP(Tbla_actores[[#This Row],[codigo_proyecto]],Proyectos!$A:$A,Proyectos!$C:$C)),"")</f>
        <v>NULOS</v>
      </c>
    </row>
    <row r="1374" spans="1:15">
      <c r="A1374" s="9">
        <v>1033802103</v>
      </c>
      <c r="B1374" s="63" t="s">
        <v>61</v>
      </c>
      <c r="C1374" s="62" t="s">
        <v>3329</v>
      </c>
      <c r="D1374" t="s">
        <v>63</v>
      </c>
      <c r="E1374" t="s">
        <v>4178</v>
      </c>
      <c r="F1374" s="61">
        <v>35762</v>
      </c>
      <c r="G1374" s="15" t="s">
        <v>73</v>
      </c>
      <c r="H1374" t="s">
        <v>4179</v>
      </c>
      <c r="I1374" s="62" t="s">
        <v>4180</v>
      </c>
      <c r="K1374" s="36" t="s">
        <v>1489</v>
      </c>
      <c r="L1374" t="s">
        <v>69</v>
      </c>
      <c r="M1374" s="62" t="s">
        <v>70</v>
      </c>
      <c r="N1374" t="s">
        <v>71</v>
      </c>
      <c r="O1374" t="str">
        <f>IFERROR(IF(Tbla_actores[[#This Row],[codigo_proyecto]]="","",_xlfn.XLOOKUP(Tbla_actores[[#This Row],[codigo_proyecto]],Proyectos!$A:$A,Proyectos!$C:$C)),"")</f>
        <v>NULOS</v>
      </c>
    </row>
    <row r="1375" spans="1:15">
      <c r="A1375" s="10">
        <v>1001900663</v>
      </c>
      <c r="B1375" s="64" t="s">
        <v>61</v>
      </c>
      <c r="C1375" s="62" t="s">
        <v>3329</v>
      </c>
      <c r="D1375" t="s">
        <v>63</v>
      </c>
      <c r="E1375" t="s">
        <v>4181</v>
      </c>
      <c r="F1375" s="61">
        <v>36795</v>
      </c>
      <c r="G1375" s="15" t="s">
        <v>65</v>
      </c>
      <c r="H1375" t="s">
        <v>4182</v>
      </c>
      <c r="I1375" s="62" t="s">
        <v>4183</v>
      </c>
      <c r="K1375" s="36" t="s">
        <v>1489</v>
      </c>
      <c r="L1375" t="s">
        <v>69</v>
      </c>
      <c r="M1375" s="62" t="s">
        <v>70</v>
      </c>
      <c r="N1375" t="s">
        <v>71</v>
      </c>
      <c r="O1375" t="str">
        <f>IFERROR(IF(Tbla_actores[[#This Row],[codigo_proyecto]]="","",_xlfn.XLOOKUP(Tbla_actores[[#This Row],[codigo_proyecto]],Proyectos!$A:$A,Proyectos!$C:$C)),"")</f>
        <v>NULOS</v>
      </c>
    </row>
    <row r="1376" spans="1:15">
      <c r="A1376" s="9">
        <v>1003803526</v>
      </c>
      <c r="B1376" s="63" t="s">
        <v>61</v>
      </c>
      <c r="C1376" s="62" t="s">
        <v>3329</v>
      </c>
      <c r="D1376" t="s">
        <v>63</v>
      </c>
      <c r="E1376" t="s">
        <v>4184</v>
      </c>
      <c r="F1376" s="61">
        <v>36960</v>
      </c>
      <c r="G1376" s="15" t="s">
        <v>65</v>
      </c>
      <c r="H1376" t="s">
        <v>4185</v>
      </c>
      <c r="I1376" s="62" t="s">
        <v>4186</v>
      </c>
      <c r="K1376" s="36" t="s">
        <v>1489</v>
      </c>
      <c r="L1376" t="s">
        <v>69</v>
      </c>
      <c r="M1376" s="62" t="s">
        <v>70</v>
      </c>
      <c r="N1376" t="s">
        <v>71</v>
      </c>
      <c r="O1376" t="str">
        <f>IFERROR(IF(Tbla_actores[[#This Row],[codigo_proyecto]]="","",_xlfn.XLOOKUP(Tbla_actores[[#This Row],[codigo_proyecto]],Proyectos!$A:$A,Proyectos!$C:$C)),"")</f>
        <v>NULOS</v>
      </c>
    </row>
    <row r="1377" spans="1:15">
      <c r="A1377" s="10">
        <v>1193036371</v>
      </c>
      <c r="B1377" s="64" t="s">
        <v>61</v>
      </c>
      <c r="C1377" s="62" t="s">
        <v>3329</v>
      </c>
      <c r="D1377" t="s">
        <v>63</v>
      </c>
      <c r="E1377" t="s">
        <v>4187</v>
      </c>
      <c r="F1377" s="61">
        <v>36918</v>
      </c>
      <c r="G1377" s="15" t="s">
        <v>73</v>
      </c>
      <c r="H1377" t="s">
        <v>4188</v>
      </c>
      <c r="I1377" s="62" t="s">
        <v>4189</v>
      </c>
      <c r="K1377" s="36" t="s">
        <v>1489</v>
      </c>
      <c r="L1377" t="s">
        <v>69</v>
      </c>
      <c r="M1377" s="62" t="s">
        <v>70</v>
      </c>
      <c r="N1377" t="s">
        <v>71</v>
      </c>
      <c r="O1377" t="str">
        <f>IFERROR(IF(Tbla_actores[[#This Row],[codigo_proyecto]]="","",_xlfn.XLOOKUP(Tbla_actores[[#This Row],[codigo_proyecto]],Proyectos!$A:$A,Proyectos!$C:$C)),"")</f>
        <v>NULOS</v>
      </c>
    </row>
    <row r="1378" spans="1:15">
      <c r="A1378" s="9">
        <v>1004922288</v>
      </c>
      <c r="B1378" s="63" t="s">
        <v>61</v>
      </c>
      <c r="C1378" s="62" t="s">
        <v>3329</v>
      </c>
      <c r="D1378" t="s">
        <v>63</v>
      </c>
      <c r="E1378" t="s">
        <v>4190</v>
      </c>
      <c r="F1378" s="61">
        <v>36598</v>
      </c>
      <c r="G1378" s="15" t="s">
        <v>73</v>
      </c>
      <c r="H1378" t="s">
        <v>4191</v>
      </c>
      <c r="I1378" s="62" t="s">
        <v>4192</v>
      </c>
      <c r="K1378" s="36" t="s">
        <v>1489</v>
      </c>
      <c r="L1378" t="s">
        <v>69</v>
      </c>
      <c r="M1378" s="62" t="s">
        <v>70</v>
      </c>
      <c r="N1378" t="s">
        <v>71</v>
      </c>
      <c r="O1378" t="str">
        <f>IFERROR(IF(Tbla_actores[[#This Row],[codigo_proyecto]]="","",_xlfn.XLOOKUP(Tbla_actores[[#This Row],[codigo_proyecto]],Proyectos!$A:$A,Proyectos!$C:$C)),"")</f>
        <v>NULOS</v>
      </c>
    </row>
    <row r="1379" spans="1:15">
      <c r="A1379" s="10">
        <v>1072675128</v>
      </c>
      <c r="B1379" s="64" t="s">
        <v>61</v>
      </c>
      <c r="C1379" s="62" t="s">
        <v>3329</v>
      </c>
      <c r="D1379" t="s">
        <v>63</v>
      </c>
      <c r="E1379" t="s">
        <v>4193</v>
      </c>
      <c r="F1379" s="61">
        <v>36507</v>
      </c>
      <c r="G1379" s="15" t="s">
        <v>73</v>
      </c>
      <c r="H1379" t="s">
        <v>4194</v>
      </c>
      <c r="I1379" s="62" t="s">
        <v>4195</v>
      </c>
      <c r="K1379" s="36" t="s">
        <v>1489</v>
      </c>
      <c r="L1379" t="s">
        <v>69</v>
      </c>
      <c r="M1379" s="62" t="s">
        <v>70</v>
      </c>
      <c r="N1379" t="s">
        <v>71</v>
      </c>
      <c r="O1379" t="str">
        <f>IFERROR(IF(Tbla_actores[[#This Row],[codigo_proyecto]]="","",_xlfn.XLOOKUP(Tbla_actores[[#This Row],[codigo_proyecto]],Proyectos!$A:$A,Proyectos!$C:$C)),"")</f>
        <v>NULOS</v>
      </c>
    </row>
    <row r="1380" spans="1:15">
      <c r="A1380" s="9">
        <v>1016105185</v>
      </c>
      <c r="B1380" s="63" t="s">
        <v>61</v>
      </c>
      <c r="C1380" s="62" t="s">
        <v>3329</v>
      </c>
      <c r="D1380" t="s">
        <v>63</v>
      </c>
      <c r="E1380" t="s">
        <v>4196</v>
      </c>
      <c r="F1380" s="61">
        <v>36054</v>
      </c>
      <c r="G1380" s="15" t="s">
        <v>73</v>
      </c>
      <c r="H1380" t="s">
        <v>4197</v>
      </c>
      <c r="I1380" s="62" t="s">
        <v>4198</v>
      </c>
      <c r="K1380" s="36" t="s">
        <v>1489</v>
      </c>
      <c r="L1380" t="s">
        <v>69</v>
      </c>
      <c r="M1380" s="62" t="s">
        <v>70</v>
      </c>
      <c r="N1380" t="s">
        <v>71</v>
      </c>
      <c r="O1380" t="str">
        <f>IFERROR(IF(Tbla_actores[[#This Row],[codigo_proyecto]]="","",_xlfn.XLOOKUP(Tbla_actores[[#This Row],[codigo_proyecto]],Proyectos!$A:$A,Proyectos!$C:$C)),"")</f>
        <v>NULOS</v>
      </c>
    </row>
    <row r="1381" spans="1:15">
      <c r="A1381" s="10">
        <v>1016096836</v>
      </c>
      <c r="B1381" s="64" t="s">
        <v>61</v>
      </c>
      <c r="C1381" s="62" t="s">
        <v>3329</v>
      </c>
      <c r="D1381" t="s">
        <v>63</v>
      </c>
      <c r="E1381" t="s">
        <v>4199</v>
      </c>
      <c r="F1381" s="61">
        <v>35679</v>
      </c>
      <c r="G1381" s="15" t="s">
        <v>73</v>
      </c>
      <c r="H1381" t="s">
        <v>4200</v>
      </c>
      <c r="I1381" s="62" t="s">
        <v>4201</v>
      </c>
      <c r="K1381" s="36" t="s">
        <v>1489</v>
      </c>
      <c r="L1381" t="s">
        <v>69</v>
      </c>
      <c r="M1381" s="62" t="s">
        <v>70</v>
      </c>
      <c r="N1381" t="s">
        <v>71</v>
      </c>
      <c r="O1381" t="str">
        <f>IFERROR(IF(Tbla_actores[[#This Row],[codigo_proyecto]]="","",_xlfn.XLOOKUP(Tbla_actores[[#This Row],[codigo_proyecto]],Proyectos!$A:$A,Proyectos!$C:$C)),"")</f>
        <v>NULOS</v>
      </c>
    </row>
    <row r="1382" spans="1:15">
      <c r="A1382" s="9">
        <v>1032505298</v>
      </c>
      <c r="B1382" s="63" t="s">
        <v>61</v>
      </c>
      <c r="C1382" s="62" t="s">
        <v>3329</v>
      </c>
      <c r="D1382" t="s">
        <v>63</v>
      </c>
      <c r="E1382" t="s">
        <v>4202</v>
      </c>
      <c r="F1382" s="61">
        <v>36327</v>
      </c>
      <c r="G1382" s="15" t="s">
        <v>73</v>
      </c>
      <c r="H1382" t="s">
        <v>4203</v>
      </c>
      <c r="I1382" s="62" t="s">
        <v>4204</v>
      </c>
      <c r="K1382" s="36" t="s">
        <v>1489</v>
      </c>
      <c r="L1382" t="s">
        <v>69</v>
      </c>
      <c r="M1382" s="62" t="s">
        <v>70</v>
      </c>
      <c r="N1382" t="s">
        <v>71</v>
      </c>
      <c r="O1382" t="str">
        <f>IFERROR(IF(Tbla_actores[[#This Row],[codigo_proyecto]]="","",_xlfn.XLOOKUP(Tbla_actores[[#This Row],[codigo_proyecto]],Proyectos!$A:$A,Proyectos!$C:$C)),"")</f>
        <v>NULOS</v>
      </c>
    </row>
    <row r="1383" spans="1:15">
      <c r="A1383" s="10">
        <v>1092386515</v>
      </c>
      <c r="B1383" s="64" t="s">
        <v>61</v>
      </c>
      <c r="C1383" s="62" t="s">
        <v>3329</v>
      </c>
      <c r="D1383" t="s">
        <v>63</v>
      </c>
      <c r="E1383" t="s">
        <v>3330</v>
      </c>
      <c r="F1383" s="61">
        <v>35964</v>
      </c>
      <c r="G1383" s="15" t="s">
        <v>65</v>
      </c>
      <c r="H1383" t="s">
        <v>3331</v>
      </c>
      <c r="I1383" s="62" t="s">
        <v>3332</v>
      </c>
      <c r="K1383" s="36" t="s">
        <v>1489</v>
      </c>
      <c r="L1383" t="s">
        <v>69</v>
      </c>
      <c r="M1383" s="62" t="s">
        <v>70</v>
      </c>
      <c r="N1383" t="s">
        <v>71</v>
      </c>
      <c r="O1383" t="str">
        <f>IFERROR(IF(Tbla_actores[[#This Row],[codigo_proyecto]]="","",_xlfn.XLOOKUP(Tbla_actores[[#This Row],[codigo_proyecto]],Proyectos!$A:$A,Proyectos!$C:$C)),"")</f>
        <v>NULOS</v>
      </c>
    </row>
    <row r="1384" spans="1:15">
      <c r="A1384" s="9">
        <v>1140899368</v>
      </c>
      <c r="B1384" s="63" t="s">
        <v>61</v>
      </c>
      <c r="C1384" s="62" t="s">
        <v>3329</v>
      </c>
      <c r="D1384" t="s">
        <v>63</v>
      </c>
      <c r="E1384" t="s">
        <v>4205</v>
      </c>
      <c r="F1384" s="61">
        <v>36078</v>
      </c>
      <c r="G1384" s="15" t="s">
        <v>73</v>
      </c>
      <c r="H1384" t="s">
        <v>4206</v>
      </c>
      <c r="I1384" s="62" t="s">
        <v>4207</v>
      </c>
      <c r="K1384" s="36" t="s">
        <v>1489</v>
      </c>
      <c r="L1384" t="s">
        <v>69</v>
      </c>
      <c r="M1384" s="62" t="s">
        <v>70</v>
      </c>
      <c r="N1384" t="s">
        <v>71</v>
      </c>
      <c r="O1384" t="str">
        <f>IFERROR(IF(Tbla_actores[[#This Row],[codigo_proyecto]]="","",_xlfn.XLOOKUP(Tbla_actores[[#This Row],[codigo_proyecto]],Proyectos!$A:$A,Proyectos!$C:$C)),"")</f>
        <v>NULOS</v>
      </c>
    </row>
    <row r="1385" spans="1:15">
      <c r="A1385" s="10">
        <v>1100975688</v>
      </c>
      <c r="B1385" s="64" t="s">
        <v>61</v>
      </c>
      <c r="C1385" s="62" t="s">
        <v>3329</v>
      </c>
      <c r="D1385" t="s">
        <v>63</v>
      </c>
      <c r="E1385" t="s">
        <v>4208</v>
      </c>
      <c r="F1385" s="61">
        <v>36494</v>
      </c>
      <c r="G1385" s="15" t="s">
        <v>73</v>
      </c>
      <c r="H1385" t="s">
        <v>4209</v>
      </c>
      <c r="I1385" s="62" t="s">
        <v>4210</v>
      </c>
      <c r="K1385" s="36" t="s">
        <v>1489</v>
      </c>
      <c r="L1385" t="s">
        <v>69</v>
      </c>
      <c r="M1385" s="62" t="s">
        <v>70</v>
      </c>
      <c r="N1385" t="s">
        <v>71</v>
      </c>
      <c r="O1385" t="str">
        <f>IFERROR(IF(Tbla_actores[[#This Row],[codigo_proyecto]]="","",_xlfn.XLOOKUP(Tbla_actores[[#This Row],[codigo_proyecto]],Proyectos!$A:$A,Proyectos!$C:$C)),"")</f>
        <v>NULOS</v>
      </c>
    </row>
    <row r="1386" spans="1:15">
      <c r="A1386" s="9">
        <v>1101760558</v>
      </c>
      <c r="B1386" s="63" t="s">
        <v>61</v>
      </c>
      <c r="C1386" s="62" t="s">
        <v>3329</v>
      </c>
      <c r="D1386" t="s">
        <v>63</v>
      </c>
      <c r="E1386" t="s">
        <v>4211</v>
      </c>
      <c r="F1386" s="61">
        <v>36152</v>
      </c>
      <c r="G1386" s="15" t="s">
        <v>73</v>
      </c>
      <c r="H1386" t="s">
        <v>4212</v>
      </c>
      <c r="I1386" s="62" t="s">
        <v>4213</v>
      </c>
      <c r="K1386" s="36" t="s">
        <v>1489</v>
      </c>
      <c r="L1386" t="s">
        <v>69</v>
      </c>
      <c r="M1386" s="62" t="s">
        <v>70</v>
      </c>
      <c r="N1386" t="s">
        <v>71</v>
      </c>
      <c r="O1386" t="str">
        <f>IFERROR(IF(Tbla_actores[[#This Row],[codigo_proyecto]]="","",_xlfn.XLOOKUP(Tbla_actores[[#This Row],[codigo_proyecto]],Proyectos!$A:$A,Proyectos!$C:$C)),"")</f>
        <v>NULOS</v>
      </c>
    </row>
    <row r="1387" spans="1:15">
      <c r="A1387" s="10">
        <v>1010037341</v>
      </c>
      <c r="B1387" s="64" t="s">
        <v>61</v>
      </c>
      <c r="C1387" s="62" t="s">
        <v>3329</v>
      </c>
      <c r="D1387" t="s">
        <v>63</v>
      </c>
      <c r="E1387" t="s">
        <v>4214</v>
      </c>
      <c r="F1387" s="61">
        <v>36802</v>
      </c>
      <c r="G1387" s="15" t="s">
        <v>65</v>
      </c>
      <c r="H1387" t="s">
        <v>4215</v>
      </c>
      <c r="I1387" s="62" t="s">
        <v>4216</v>
      </c>
      <c r="K1387" s="36" t="s">
        <v>1489</v>
      </c>
      <c r="L1387" t="s">
        <v>69</v>
      </c>
      <c r="M1387" s="62" t="s">
        <v>70</v>
      </c>
      <c r="N1387" t="s">
        <v>71</v>
      </c>
      <c r="O1387" t="str">
        <f>IFERROR(IF(Tbla_actores[[#This Row],[codigo_proyecto]]="","",_xlfn.XLOOKUP(Tbla_actores[[#This Row],[codigo_proyecto]],Proyectos!$A:$A,Proyectos!$C:$C)),"")</f>
        <v>NULOS</v>
      </c>
    </row>
    <row r="1388" spans="1:15">
      <c r="A1388" s="9">
        <v>1010091640</v>
      </c>
      <c r="B1388" s="63" t="s">
        <v>61</v>
      </c>
      <c r="C1388" s="62" t="s">
        <v>3329</v>
      </c>
      <c r="D1388" t="s">
        <v>63</v>
      </c>
      <c r="E1388" t="s">
        <v>4217</v>
      </c>
      <c r="F1388" s="61">
        <v>36673</v>
      </c>
      <c r="G1388" s="15" t="s">
        <v>73</v>
      </c>
      <c r="H1388" t="s">
        <v>4218</v>
      </c>
      <c r="I1388" s="62" t="s">
        <v>4219</v>
      </c>
      <c r="K1388" s="36" t="s">
        <v>1489</v>
      </c>
      <c r="L1388" t="s">
        <v>69</v>
      </c>
      <c r="M1388" s="62" t="s">
        <v>70</v>
      </c>
      <c r="N1388" t="s">
        <v>71</v>
      </c>
      <c r="O1388" t="str">
        <f>IFERROR(IF(Tbla_actores[[#This Row],[codigo_proyecto]]="","",_xlfn.XLOOKUP(Tbla_actores[[#This Row],[codigo_proyecto]],Proyectos!$A:$A,Proyectos!$C:$C)),"")</f>
        <v>NULOS</v>
      </c>
    </row>
    <row r="1389" spans="1:15">
      <c r="A1389" s="10">
        <v>1093887051</v>
      </c>
      <c r="B1389" s="64" t="s">
        <v>61</v>
      </c>
      <c r="C1389" s="62" t="s">
        <v>3329</v>
      </c>
      <c r="D1389" t="s">
        <v>63</v>
      </c>
      <c r="E1389" t="s">
        <v>4220</v>
      </c>
      <c r="F1389" s="61">
        <v>36291</v>
      </c>
      <c r="G1389" s="15" t="s">
        <v>73</v>
      </c>
      <c r="H1389" t="s">
        <v>4221</v>
      </c>
      <c r="I1389" s="62" t="s">
        <v>4222</v>
      </c>
      <c r="K1389" s="36" t="s">
        <v>1489</v>
      </c>
      <c r="L1389" t="s">
        <v>69</v>
      </c>
      <c r="M1389" s="62" t="s">
        <v>70</v>
      </c>
      <c r="N1389" t="s">
        <v>71</v>
      </c>
      <c r="O1389" t="str">
        <f>IFERROR(IF(Tbla_actores[[#This Row],[codigo_proyecto]]="","",_xlfn.XLOOKUP(Tbla_actores[[#This Row],[codigo_proyecto]],Proyectos!$A:$A,Proyectos!$C:$C)),"")</f>
        <v>NULOS</v>
      </c>
    </row>
    <row r="1390" spans="1:15">
      <c r="A1390" s="9">
        <v>1032505760</v>
      </c>
      <c r="B1390" s="63" t="s">
        <v>61</v>
      </c>
      <c r="C1390" s="62" t="s">
        <v>3329</v>
      </c>
      <c r="D1390" t="s">
        <v>63</v>
      </c>
      <c r="E1390" t="s">
        <v>4223</v>
      </c>
      <c r="F1390" s="61">
        <v>36347</v>
      </c>
      <c r="G1390" s="15" t="s">
        <v>73</v>
      </c>
      <c r="H1390" t="s">
        <v>4224</v>
      </c>
      <c r="I1390" s="62" t="s">
        <v>4225</v>
      </c>
      <c r="K1390" s="36" t="s">
        <v>1489</v>
      </c>
      <c r="L1390" t="s">
        <v>69</v>
      </c>
      <c r="M1390" s="62" t="s">
        <v>70</v>
      </c>
      <c r="N1390" t="s">
        <v>71</v>
      </c>
      <c r="O1390" t="str">
        <f>IFERROR(IF(Tbla_actores[[#This Row],[codigo_proyecto]]="","",_xlfn.XLOOKUP(Tbla_actores[[#This Row],[codigo_proyecto]],Proyectos!$A:$A,Proyectos!$C:$C)),"")</f>
        <v>NULOS</v>
      </c>
    </row>
    <row r="1391" spans="1:15">
      <c r="A1391" s="10">
        <v>1010123658</v>
      </c>
      <c r="B1391" s="64" t="s">
        <v>61</v>
      </c>
      <c r="C1391" s="62" t="s">
        <v>3329</v>
      </c>
      <c r="D1391" t="s">
        <v>63</v>
      </c>
      <c r="E1391" t="s">
        <v>4226</v>
      </c>
      <c r="F1391" s="61">
        <v>37050</v>
      </c>
      <c r="G1391" s="15" t="s">
        <v>73</v>
      </c>
      <c r="H1391" t="s">
        <v>4227</v>
      </c>
      <c r="I1391" s="62" t="s">
        <v>4228</v>
      </c>
      <c r="K1391" s="36" t="s">
        <v>1489</v>
      </c>
      <c r="L1391" t="s">
        <v>69</v>
      </c>
      <c r="M1391" s="62" t="s">
        <v>70</v>
      </c>
      <c r="N1391" t="s">
        <v>71</v>
      </c>
      <c r="O1391" t="str">
        <f>IFERROR(IF(Tbla_actores[[#This Row],[codigo_proyecto]]="","",_xlfn.XLOOKUP(Tbla_actores[[#This Row],[codigo_proyecto]],Proyectos!$A:$A,Proyectos!$C:$C)),"")</f>
        <v>NULOS</v>
      </c>
    </row>
    <row r="1392" spans="1:15">
      <c r="A1392" s="9">
        <v>1019151778</v>
      </c>
      <c r="B1392" s="63" t="s">
        <v>61</v>
      </c>
      <c r="C1392" s="62" t="s">
        <v>3329</v>
      </c>
      <c r="D1392" t="s">
        <v>63</v>
      </c>
      <c r="E1392" t="s">
        <v>4229</v>
      </c>
      <c r="F1392" s="61">
        <v>36416</v>
      </c>
      <c r="G1392" s="15" t="s">
        <v>65</v>
      </c>
      <c r="H1392" t="s">
        <v>4230</v>
      </c>
      <c r="I1392" s="62" t="s">
        <v>4231</v>
      </c>
      <c r="K1392" s="36" t="s">
        <v>1489</v>
      </c>
      <c r="L1392" t="s">
        <v>69</v>
      </c>
      <c r="M1392" s="62" t="s">
        <v>70</v>
      </c>
      <c r="N1392" t="s">
        <v>71</v>
      </c>
      <c r="O1392" t="str">
        <f>IFERROR(IF(Tbla_actores[[#This Row],[codigo_proyecto]]="","",_xlfn.XLOOKUP(Tbla_actores[[#This Row],[codigo_proyecto]],Proyectos!$A:$A,Proyectos!$C:$C)),"")</f>
        <v>NULOS</v>
      </c>
    </row>
    <row r="1393" spans="1:15">
      <c r="A1393" s="10">
        <v>1019133176</v>
      </c>
      <c r="B1393" s="64" t="s">
        <v>61</v>
      </c>
      <c r="C1393" s="62" t="s">
        <v>3329</v>
      </c>
      <c r="D1393" t="s">
        <v>63</v>
      </c>
      <c r="E1393" t="s">
        <v>4232</v>
      </c>
      <c r="F1393" s="61">
        <v>35658</v>
      </c>
      <c r="G1393" s="15" t="s">
        <v>65</v>
      </c>
      <c r="H1393" t="s">
        <v>4233</v>
      </c>
      <c r="I1393" s="62" t="s">
        <v>4234</v>
      </c>
      <c r="K1393" s="36" t="s">
        <v>1489</v>
      </c>
      <c r="L1393" t="s">
        <v>69</v>
      </c>
      <c r="M1393" s="62" t="s">
        <v>70</v>
      </c>
      <c r="N1393" t="s">
        <v>71</v>
      </c>
      <c r="O1393" t="str">
        <f>IFERROR(IF(Tbla_actores[[#This Row],[codigo_proyecto]]="","",_xlfn.XLOOKUP(Tbla_actores[[#This Row],[codigo_proyecto]],Proyectos!$A:$A,Proyectos!$C:$C)),"")</f>
        <v>NULOS</v>
      </c>
    </row>
    <row r="1394" spans="1:15">
      <c r="A1394" s="9">
        <v>1193456376</v>
      </c>
      <c r="B1394" s="63" t="s">
        <v>61</v>
      </c>
      <c r="C1394" s="62" t="s">
        <v>3329</v>
      </c>
      <c r="D1394" t="s">
        <v>63</v>
      </c>
      <c r="E1394" t="s">
        <v>4235</v>
      </c>
      <c r="F1394" s="61">
        <v>37042</v>
      </c>
      <c r="G1394" s="15" t="s">
        <v>73</v>
      </c>
      <c r="H1394" t="s">
        <v>4236</v>
      </c>
      <c r="I1394" s="62" t="s">
        <v>4237</v>
      </c>
      <c r="K1394" s="36" t="s">
        <v>1489</v>
      </c>
      <c r="L1394" t="s">
        <v>69</v>
      </c>
      <c r="M1394" s="62" t="s">
        <v>70</v>
      </c>
      <c r="N1394" t="s">
        <v>71</v>
      </c>
      <c r="O1394" t="str">
        <f>IFERROR(IF(Tbla_actores[[#This Row],[codigo_proyecto]]="","",_xlfn.XLOOKUP(Tbla_actores[[#This Row],[codigo_proyecto]],Proyectos!$A:$A,Proyectos!$C:$C)),"")</f>
        <v>NULOS</v>
      </c>
    </row>
    <row r="1395" spans="1:15">
      <c r="A1395" s="10">
        <v>1097994410</v>
      </c>
      <c r="B1395" s="64" t="s">
        <v>61</v>
      </c>
      <c r="C1395" s="62" t="s">
        <v>3329</v>
      </c>
      <c r="D1395" t="s">
        <v>63</v>
      </c>
      <c r="E1395" t="s">
        <v>4238</v>
      </c>
      <c r="F1395" s="61">
        <v>35056</v>
      </c>
      <c r="G1395" s="15" t="s">
        <v>73</v>
      </c>
      <c r="H1395" t="s">
        <v>4239</v>
      </c>
      <c r="I1395" s="62" t="s">
        <v>4240</v>
      </c>
      <c r="K1395" s="36" t="s">
        <v>1489</v>
      </c>
      <c r="L1395" t="s">
        <v>69</v>
      </c>
      <c r="M1395" s="62" t="s">
        <v>70</v>
      </c>
      <c r="N1395" t="s">
        <v>71</v>
      </c>
      <c r="O1395" t="str">
        <f>IFERROR(IF(Tbla_actores[[#This Row],[codigo_proyecto]]="","",_xlfn.XLOOKUP(Tbla_actores[[#This Row],[codigo_proyecto]],Proyectos!$A:$A,Proyectos!$C:$C)),"")</f>
        <v>NULOS</v>
      </c>
    </row>
    <row r="1396" spans="1:15">
      <c r="A1396" s="9">
        <v>1005186241</v>
      </c>
      <c r="B1396" s="63" t="s">
        <v>61</v>
      </c>
      <c r="C1396" s="62" t="s">
        <v>3329</v>
      </c>
      <c r="D1396" t="s">
        <v>63</v>
      </c>
      <c r="E1396" t="s">
        <v>4241</v>
      </c>
      <c r="F1396" s="61">
        <v>37026</v>
      </c>
      <c r="G1396" s="15" t="s">
        <v>65</v>
      </c>
      <c r="H1396" t="s">
        <v>4242</v>
      </c>
      <c r="I1396" s="62" t="s">
        <v>4243</v>
      </c>
      <c r="K1396" s="36" t="s">
        <v>1489</v>
      </c>
      <c r="L1396" t="s">
        <v>69</v>
      </c>
      <c r="M1396" s="62" t="s">
        <v>70</v>
      </c>
      <c r="N1396" t="s">
        <v>71</v>
      </c>
      <c r="O1396" t="str">
        <f>IFERROR(IF(Tbla_actores[[#This Row],[codigo_proyecto]]="","",_xlfn.XLOOKUP(Tbla_actores[[#This Row],[codigo_proyecto]],Proyectos!$A:$A,Proyectos!$C:$C)),"")</f>
        <v>NULOS</v>
      </c>
    </row>
    <row r="1397" spans="1:15">
      <c r="A1397" s="10">
        <v>1019151344</v>
      </c>
      <c r="B1397" s="64" t="s">
        <v>61</v>
      </c>
      <c r="C1397" s="62" t="s">
        <v>3329</v>
      </c>
      <c r="D1397" t="s">
        <v>63</v>
      </c>
      <c r="E1397" t="s">
        <v>4244</v>
      </c>
      <c r="F1397" s="61">
        <v>36382</v>
      </c>
      <c r="G1397" s="15" t="s">
        <v>65</v>
      </c>
      <c r="H1397" t="s">
        <v>4245</v>
      </c>
      <c r="I1397" s="62" t="s">
        <v>4246</v>
      </c>
      <c r="K1397" s="36" t="s">
        <v>1489</v>
      </c>
      <c r="L1397" t="s">
        <v>69</v>
      </c>
      <c r="M1397" s="62" t="s">
        <v>70</v>
      </c>
      <c r="N1397" t="s">
        <v>71</v>
      </c>
      <c r="O1397" t="str">
        <f>IFERROR(IF(Tbla_actores[[#This Row],[codigo_proyecto]]="","",_xlfn.XLOOKUP(Tbla_actores[[#This Row],[codigo_proyecto]],Proyectos!$A:$A,Proyectos!$C:$C)),"")</f>
        <v>NULOS</v>
      </c>
    </row>
    <row r="1398" spans="1:15">
      <c r="A1398" s="9">
        <v>1007308600</v>
      </c>
      <c r="B1398" s="63" t="s">
        <v>61</v>
      </c>
      <c r="C1398" s="62" t="s">
        <v>3329</v>
      </c>
      <c r="D1398" t="s">
        <v>63</v>
      </c>
      <c r="E1398" t="s">
        <v>4247</v>
      </c>
      <c r="F1398" s="61">
        <v>36593</v>
      </c>
      <c r="G1398" s="15" t="s">
        <v>73</v>
      </c>
      <c r="H1398" t="s">
        <v>4248</v>
      </c>
      <c r="I1398" s="62" t="s">
        <v>4249</v>
      </c>
      <c r="K1398" s="36" t="s">
        <v>1489</v>
      </c>
      <c r="L1398" t="s">
        <v>69</v>
      </c>
      <c r="M1398" s="62" t="s">
        <v>70</v>
      </c>
      <c r="N1398" t="s">
        <v>71</v>
      </c>
      <c r="O1398" t="str">
        <f>IFERROR(IF(Tbla_actores[[#This Row],[codigo_proyecto]]="","",_xlfn.XLOOKUP(Tbla_actores[[#This Row],[codigo_proyecto]],Proyectos!$A:$A,Proyectos!$C:$C)),"")</f>
        <v>NULOS</v>
      </c>
    </row>
    <row r="1399" spans="1:15">
      <c r="A1399" s="10">
        <v>1118873729</v>
      </c>
      <c r="B1399" s="64" t="s">
        <v>61</v>
      </c>
      <c r="C1399" s="62" t="s">
        <v>3329</v>
      </c>
      <c r="D1399" t="s">
        <v>63</v>
      </c>
      <c r="E1399" t="s">
        <v>4250</v>
      </c>
      <c r="F1399" s="61">
        <v>36347</v>
      </c>
      <c r="G1399" s="15" t="s">
        <v>73</v>
      </c>
      <c r="H1399" t="s">
        <v>4251</v>
      </c>
      <c r="I1399" s="62" t="s">
        <v>4252</v>
      </c>
      <c r="K1399" s="36" t="s">
        <v>1489</v>
      </c>
      <c r="L1399" t="s">
        <v>69</v>
      </c>
      <c r="M1399" s="62" t="s">
        <v>70</v>
      </c>
      <c r="N1399" t="s">
        <v>71</v>
      </c>
      <c r="O1399" t="str">
        <f>IFERROR(IF(Tbla_actores[[#This Row],[codigo_proyecto]]="","",_xlfn.XLOOKUP(Tbla_actores[[#This Row],[codigo_proyecto]],Proyectos!$A:$A,Proyectos!$C:$C)),"")</f>
        <v>NULOS</v>
      </c>
    </row>
    <row r="1400" spans="1:15">
      <c r="A1400" s="9">
        <v>1000793981</v>
      </c>
      <c r="B1400" s="63" t="s">
        <v>61</v>
      </c>
      <c r="C1400" s="62" t="s">
        <v>3329</v>
      </c>
      <c r="D1400" t="s">
        <v>63</v>
      </c>
      <c r="E1400" t="s">
        <v>4253</v>
      </c>
      <c r="F1400" s="61">
        <v>36787</v>
      </c>
      <c r="G1400" s="15" t="s">
        <v>73</v>
      </c>
      <c r="H1400" t="s">
        <v>4254</v>
      </c>
      <c r="I1400" s="62" t="s">
        <v>4255</v>
      </c>
      <c r="K1400" s="36" t="s">
        <v>1489</v>
      </c>
      <c r="L1400" t="s">
        <v>69</v>
      </c>
      <c r="M1400" s="62" t="s">
        <v>70</v>
      </c>
      <c r="N1400" t="s">
        <v>71</v>
      </c>
      <c r="O1400" t="str">
        <f>IFERROR(IF(Tbla_actores[[#This Row],[codigo_proyecto]]="","",_xlfn.XLOOKUP(Tbla_actores[[#This Row],[codigo_proyecto]],Proyectos!$A:$A,Proyectos!$C:$C)),"")</f>
        <v>NULOS</v>
      </c>
    </row>
    <row r="1401" spans="1:15">
      <c r="A1401" s="10">
        <v>1002331908</v>
      </c>
      <c r="B1401" s="64" t="s">
        <v>61</v>
      </c>
      <c r="C1401" s="62" t="s">
        <v>3329</v>
      </c>
      <c r="D1401" t="s">
        <v>63</v>
      </c>
      <c r="E1401" t="s">
        <v>4256</v>
      </c>
      <c r="F1401" s="61">
        <v>37174</v>
      </c>
      <c r="G1401" s="15" t="s">
        <v>65</v>
      </c>
      <c r="H1401" t="s">
        <v>4257</v>
      </c>
      <c r="I1401" s="62" t="s">
        <v>4258</v>
      </c>
      <c r="K1401" s="36" t="s">
        <v>169</v>
      </c>
      <c r="L1401" t="s">
        <v>69</v>
      </c>
      <c r="M1401" s="62" t="s">
        <v>170</v>
      </c>
      <c r="N1401" t="s">
        <v>71</v>
      </c>
      <c r="O1401" t="str">
        <f>IFERROR(IF(Tbla_actores[[#This Row],[codigo_proyecto]]="","",_xlfn.XLOOKUP(Tbla_actores[[#This Row],[codigo_proyecto]],Proyectos!$A:$A,Proyectos!$C:$C)),"")</f>
        <v>NULOS</v>
      </c>
    </row>
    <row r="1402" spans="1:15">
      <c r="A1402" s="9">
        <v>1000179522</v>
      </c>
      <c r="B1402" s="63" t="s">
        <v>61</v>
      </c>
      <c r="C1402" s="62" t="s">
        <v>3329</v>
      </c>
      <c r="D1402" t="s">
        <v>63</v>
      </c>
      <c r="E1402" t="s">
        <v>4259</v>
      </c>
      <c r="F1402" s="61">
        <v>36760</v>
      </c>
      <c r="G1402" s="15" t="s">
        <v>73</v>
      </c>
      <c r="H1402" t="s">
        <v>4260</v>
      </c>
      <c r="I1402" s="62" t="s">
        <v>4261</v>
      </c>
      <c r="K1402" s="36" t="s">
        <v>169</v>
      </c>
      <c r="L1402" t="s">
        <v>69</v>
      </c>
      <c r="M1402" s="62" t="s">
        <v>170</v>
      </c>
      <c r="N1402" t="s">
        <v>71</v>
      </c>
      <c r="O1402" t="str">
        <f>IFERROR(IF(Tbla_actores[[#This Row],[codigo_proyecto]]="","",_xlfn.XLOOKUP(Tbla_actores[[#This Row],[codigo_proyecto]],Proyectos!$A:$A,Proyectos!$C:$C)),"")</f>
        <v>NULOS</v>
      </c>
    </row>
    <row r="1403" spans="1:15">
      <c r="A1403" s="10">
        <v>1003517241</v>
      </c>
      <c r="B1403" s="64" t="s">
        <v>61</v>
      </c>
      <c r="C1403" s="62" t="s">
        <v>3329</v>
      </c>
      <c r="D1403" t="s">
        <v>63</v>
      </c>
      <c r="E1403" t="s">
        <v>4262</v>
      </c>
      <c r="F1403" s="61">
        <v>37460</v>
      </c>
      <c r="G1403" s="15" t="s">
        <v>65</v>
      </c>
      <c r="H1403" t="s">
        <v>4263</v>
      </c>
      <c r="I1403" s="62" t="s">
        <v>4264</v>
      </c>
      <c r="K1403" s="36" t="s">
        <v>169</v>
      </c>
      <c r="L1403" t="s">
        <v>69</v>
      </c>
      <c r="M1403" s="62" t="s">
        <v>170</v>
      </c>
      <c r="N1403" t="s">
        <v>71</v>
      </c>
      <c r="O1403" t="str">
        <f>IFERROR(IF(Tbla_actores[[#This Row],[codigo_proyecto]]="","",_xlfn.XLOOKUP(Tbla_actores[[#This Row],[codigo_proyecto]],Proyectos!$A:$A,Proyectos!$C:$C)),"")</f>
        <v>NULOS</v>
      </c>
    </row>
    <row r="1404" spans="1:15">
      <c r="A1404" s="9">
        <v>1000794741</v>
      </c>
      <c r="B1404" s="63" t="s">
        <v>61</v>
      </c>
      <c r="C1404" s="62" t="s">
        <v>3329</v>
      </c>
      <c r="D1404" t="s">
        <v>63</v>
      </c>
      <c r="E1404" t="s">
        <v>4265</v>
      </c>
      <c r="F1404" s="61">
        <v>37101</v>
      </c>
      <c r="G1404" s="15" t="s">
        <v>65</v>
      </c>
      <c r="H1404" t="s">
        <v>4266</v>
      </c>
      <c r="I1404" s="62" t="s">
        <v>4267</v>
      </c>
      <c r="K1404" s="36" t="s">
        <v>169</v>
      </c>
      <c r="L1404" t="s">
        <v>69</v>
      </c>
      <c r="M1404" s="62" t="s">
        <v>170</v>
      </c>
      <c r="N1404" t="s">
        <v>71</v>
      </c>
      <c r="O1404" t="str">
        <f>IFERROR(IF(Tbla_actores[[#This Row],[codigo_proyecto]]="","",_xlfn.XLOOKUP(Tbla_actores[[#This Row],[codigo_proyecto]],Proyectos!$A:$A,Proyectos!$C:$C)),"")</f>
        <v>NULOS</v>
      </c>
    </row>
    <row r="1405" spans="1:15">
      <c r="A1405" s="10">
        <v>1000611552</v>
      </c>
      <c r="B1405" s="64" t="s">
        <v>61</v>
      </c>
      <c r="C1405" s="62" t="s">
        <v>3329</v>
      </c>
      <c r="D1405" t="s">
        <v>63</v>
      </c>
      <c r="E1405" t="s">
        <v>4268</v>
      </c>
      <c r="F1405" s="61">
        <v>36831</v>
      </c>
      <c r="G1405" s="15" t="s">
        <v>73</v>
      </c>
      <c r="H1405" t="s">
        <v>4269</v>
      </c>
      <c r="I1405" s="62" t="s">
        <v>4270</v>
      </c>
      <c r="K1405" s="36" t="s">
        <v>169</v>
      </c>
      <c r="L1405" t="s">
        <v>69</v>
      </c>
      <c r="M1405" s="62" t="s">
        <v>170</v>
      </c>
      <c r="N1405" t="s">
        <v>71</v>
      </c>
      <c r="O1405" t="str">
        <f>IFERROR(IF(Tbla_actores[[#This Row],[codigo_proyecto]]="","",_xlfn.XLOOKUP(Tbla_actores[[#This Row],[codigo_proyecto]],Proyectos!$A:$A,Proyectos!$C:$C)),"")</f>
        <v>NULOS</v>
      </c>
    </row>
    <row r="1406" spans="1:15">
      <c r="A1406" s="9">
        <v>1001065449</v>
      </c>
      <c r="B1406" s="63" t="s">
        <v>61</v>
      </c>
      <c r="C1406" s="62" t="s">
        <v>3329</v>
      </c>
      <c r="D1406" t="s">
        <v>63</v>
      </c>
      <c r="E1406" t="s">
        <v>4271</v>
      </c>
      <c r="F1406" s="61">
        <v>37245</v>
      </c>
      <c r="G1406" s="15" t="s">
        <v>73</v>
      </c>
      <c r="H1406" t="s">
        <v>4272</v>
      </c>
      <c r="I1406" s="62" t="s">
        <v>4273</v>
      </c>
      <c r="K1406" s="36" t="s">
        <v>169</v>
      </c>
      <c r="L1406" t="s">
        <v>69</v>
      </c>
      <c r="M1406" s="62" t="s">
        <v>170</v>
      </c>
      <c r="N1406" t="s">
        <v>71</v>
      </c>
      <c r="O1406" t="str">
        <f>IFERROR(IF(Tbla_actores[[#This Row],[codigo_proyecto]]="","",_xlfn.XLOOKUP(Tbla_actores[[#This Row],[codigo_proyecto]],Proyectos!$A:$A,Proyectos!$C:$C)),"")</f>
        <v>NULOS</v>
      </c>
    </row>
    <row r="1407" spans="1:15">
      <c r="A1407" s="10">
        <v>1019145144</v>
      </c>
      <c r="B1407" s="64" t="s">
        <v>61</v>
      </c>
      <c r="C1407" s="62" t="s">
        <v>2550</v>
      </c>
      <c r="D1407" t="s">
        <v>63</v>
      </c>
      <c r="E1407" t="s">
        <v>4274</v>
      </c>
      <c r="F1407" s="61">
        <v>36143</v>
      </c>
      <c r="G1407" s="15" t="s">
        <v>73</v>
      </c>
      <c r="H1407" t="s">
        <v>4275</v>
      </c>
      <c r="I1407" s="62" t="s">
        <v>4276</v>
      </c>
      <c r="K1407" s="36" t="s">
        <v>169</v>
      </c>
      <c r="L1407" t="s">
        <v>69</v>
      </c>
      <c r="M1407" s="62" t="s">
        <v>170</v>
      </c>
      <c r="N1407" t="s">
        <v>71</v>
      </c>
      <c r="O1407" t="str">
        <f>IFERROR(IF(Tbla_actores[[#This Row],[codigo_proyecto]]="","",_xlfn.XLOOKUP(Tbla_actores[[#This Row],[codigo_proyecto]],Proyectos!$A:$A,Proyectos!$C:$C)),"")</f>
        <v>NULOS</v>
      </c>
    </row>
    <row r="1408" spans="1:15">
      <c r="A1408" s="9">
        <v>131986068</v>
      </c>
      <c r="B1408" s="63" t="s">
        <v>61</v>
      </c>
      <c r="C1408" s="62" t="s">
        <v>3329</v>
      </c>
      <c r="D1408" t="s">
        <v>63</v>
      </c>
      <c r="E1408" t="s">
        <v>4277</v>
      </c>
      <c r="F1408" s="61">
        <v>35495</v>
      </c>
      <c r="G1408" s="15" t="s">
        <v>73</v>
      </c>
      <c r="H1408" t="s">
        <v>4278</v>
      </c>
      <c r="I1408" s="62" t="s">
        <v>4279</v>
      </c>
      <c r="K1408" s="36" t="s">
        <v>68</v>
      </c>
      <c r="L1408" t="s">
        <v>69</v>
      </c>
      <c r="M1408" s="62" t="s">
        <v>70</v>
      </c>
      <c r="N1408" t="s">
        <v>71</v>
      </c>
      <c r="O1408" t="str">
        <f>IFERROR(IF(Tbla_actores[[#This Row],[codigo_proyecto]]="","",_xlfn.XLOOKUP(Tbla_actores[[#This Row],[codigo_proyecto]],Proyectos!$A:$A,Proyectos!$C:$C)),"")</f>
        <v>NULOS</v>
      </c>
    </row>
    <row r="1409" spans="1:15">
      <c r="A1409" s="10">
        <v>1002656593</v>
      </c>
      <c r="B1409" s="64" t="s">
        <v>61</v>
      </c>
      <c r="C1409" s="62" t="s">
        <v>3329</v>
      </c>
      <c r="D1409" t="s">
        <v>63</v>
      </c>
      <c r="E1409" t="s">
        <v>4280</v>
      </c>
      <c r="F1409" s="61">
        <v>37060</v>
      </c>
      <c r="G1409" s="15" t="s">
        <v>73</v>
      </c>
      <c r="H1409" t="s">
        <v>4281</v>
      </c>
      <c r="I1409" s="62" t="s">
        <v>4282</v>
      </c>
      <c r="K1409" s="36" t="s">
        <v>169</v>
      </c>
      <c r="L1409" t="s">
        <v>69</v>
      </c>
      <c r="M1409" s="62" t="s">
        <v>170</v>
      </c>
      <c r="N1409" t="s">
        <v>71</v>
      </c>
      <c r="O1409" t="str">
        <f>IFERROR(IF(Tbla_actores[[#This Row],[codigo_proyecto]]="","",_xlfn.XLOOKUP(Tbla_actores[[#This Row],[codigo_proyecto]],Proyectos!$A:$A,Proyectos!$C:$C)),"")</f>
        <v>NULOS</v>
      </c>
    </row>
    <row r="1410" spans="1:15">
      <c r="A1410" s="9">
        <v>1002209237</v>
      </c>
      <c r="B1410" s="63" t="s">
        <v>61</v>
      </c>
      <c r="C1410" s="62" t="s">
        <v>3329</v>
      </c>
      <c r="D1410" t="s">
        <v>63</v>
      </c>
      <c r="E1410" t="s">
        <v>4283</v>
      </c>
      <c r="F1410" s="61">
        <v>37020</v>
      </c>
      <c r="G1410" s="15" t="s">
        <v>73</v>
      </c>
      <c r="H1410" t="s">
        <v>4284</v>
      </c>
      <c r="I1410" s="62" t="s">
        <v>4285</v>
      </c>
      <c r="K1410" s="36" t="s">
        <v>169</v>
      </c>
      <c r="L1410" t="s">
        <v>69</v>
      </c>
      <c r="M1410" s="62" t="s">
        <v>170</v>
      </c>
      <c r="N1410" t="s">
        <v>71</v>
      </c>
      <c r="O1410" t="str">
        <f>IFERROR(IF(Tbla_actores[[#This Row],[codigo_proyecto]]="","",_xlfn.XLOOKUP(Tbla_actores[[#This Row],[codigo_proyecto]],Proyectos!$A:$A,Proyectos!$C:$C)),"")</f>
        <v>NULOS</v>
      </c>
    </row>
    <row r="1411" spans="1:15">
      <c r="A1411" s="10">
        <v>1001192356</v>
      </c>
      <c r="B1411" s="64" t="s">
        <v>61</v>
      </c>
      <c r="C1411" s="62" t="s">
        <v>3329</v>
      </c>
      <c r="D1411" t="s">
        <v>63</v>
      </c>
      <c r="E1411" t="s">
        <v>4286</v>
      </c>
      <c r="F1411" s="61">
        <v>37194</v>
      </c>
      <c r="G1411" s="15" t="s">
        <v>65</v>
      </c>
      <c r="H1411" t="s">
        <v>4287</v>
      </c>
      <c r="I1411" s="62" t="s">
        <v>4288</v>
      </c>
      <c r="K1411" s="36" t="s">
        <v>169</v>
      </c>
      <c r="L1411" t="s">
        <v>69</v>
      </c>
      <c r="M1411" s="62" t="s">
        <v>170</v>
      </c>
      <c r="N1411" t="s">
        <v>71</v>
      </c>
      <c r="O1411" t="str">
        <f>IFERROR(IF(Tbla_actores[[#This Row],[codigo_proyecto]]="","",_xlfn.XLOOKUP(Tbla_actores[[#This Row],[codigo_proyecto]],Proyectos!$A:$A,Proyectos!$C:$C)),"")</f>
        <v>NULOS</v>
      </c>
    </row>
    <row r="1412" spans="1:15">
      <c r="A1412" s="9">
        <v>1098807831</v>
      </c>
      <c r="B1412" s="63" t="s">
        <v>61</v>
      </c>
      <c r="C1412" s="62" t="s">
        <v>3329</v>
      </c>
      <c r="D1412" t="s">
        <v>63</v>
      </c>
      <c r="E1412" t="s">
        <v>4289</v>
      </c>
      <c r="F1412" s="61">
        <v>35928</v>
      </c>
      <c r="G1412" s="15" t="s">
        <v>65</v>
      </c>
      <c r="H1412" t="s">
        <v>4290</v>
      </c>
      <c r="I1412" s="62" t="s">
        <v>4291</v>
      </c>
      <c r="K1412" s="36" t="s">
        <v>169</v>
      </c>
      <c r="L1412" t="s">
        <v>69</v>
      </c>
      <c r="M1412" s="62" t="s">
        <v>170</v>
      </c>
      <c r="N1412" t="s">
        <v>71</v>
      </c>
      <c r="O1412" t="str">
        <f>IFERROR(IF(Tbla_actores[[#This Row],[codigo_proyecto]]="","",_xlfn.XLOOKUP(Tbla_actores[[#This Row],[codigo_proyecto]],Proyectos!$A:$A,Proyectos!$C:$C)),"")</f>
        <v>NULOS</v>
      </c>
    </row>
    <row r="1413" spans="1:15">
      <c r="A1413" s="10">
        <v>1007002118</v>
      </c>
      <c r="B1413" s="64" t="s">
        <v>61</v>
      </c>
      <c r="C1413" s="62" t="s">
        <v>3329</v>
      </c>
      <c r="D1413" t="s">
        <v>63</v>
      </c>
      <c r="E1413" t="s">
        <v>4292</v>
      </c>
      <c r="F1413" s="61">
        <v>36517</v>
      </c>
      <c r="G1413" s="15" t="s">
        <v>65</v>
      </c>
      <c r="H1413" t="s">
        <v>4293</v>
      </c>
      <c r="I1413" s="62" t="s">
        <v>4294</v>
      </c>
      <c r="K1413" s="36" t="s">
        <v>169</v>
      </c>
      <c r="L1413" t="s">
        <v>69</v>
      </c>
      <c r="M1413" s="62" t="s">
        <v>170</v>
      </c>
      <c r="N1413" t="s">
        <v>71</v>
      </c>
      <c r="O1413" t="str">
        <f>IFERROR(IF(Tbla_actores[[#This Row],[codigo_proyecto]]="","",_xlfn.XLOOKUP(Tbla_actores[[#This Row],[codigo_proyecto]],Proyectos!$A:$A,Proyectos!$C:$C)),"")</f>
        <v>NULOS</v>
      </c>
    </row>
    <row r="1414" spans="1:15">
      <c r="A1414" s="9">
        <v>1001097178</v>
      </c>
      <c r="B1414" s="63" t="s">
        <v>61</v>
      </c>
      <c r="C1414" s="62" t="s">
        <v>3329</v>
      </c>
      <c r="D1414" t="s">
        <v>63</v>
      </c>
      <c r="E1414" t="s">
        <v>4295</v>
      </c>
      <c r="F1414" s="61">
        <v>36935</v>
      </c>
      <c r="G1414" s="15" t="s">
        <v>73</v>
      </c>
      <c r="H1414" t="s">
        <v>4296</v>
      </c>
      <c r="I1414" s="62" t="s">
        <v>4297</v>
      </c>
      <c r="K1414" s="36" t="s">
        <v>169</v>
      </c>
      <c r="L1414" t="s">
        <v>69</v>
      </c>
      <c r="M1414" s="62" t="s">
        <v>170</v>
      </c>
      <c r="N1414" t="s">
        <v>71</v>
      </c>
      <c r="O1414" t="str">
        <f>IFERROR(IF(Tbla_actores[[#This Row],[codigo_proyecto]]="","",_xlfn.XLOOKUP(Tbla_actores[[#This Row],[codigo_proyecto]],Proyectos!$A:$A,Proyectos!$C:$C)),"")</f>
        <v>NULOS</v>
      </c>
    </row>
    <row r="1415" spans="1:15">
      <c r="A1415" s="10">
        <v>1193489657</v>
      </c>
      <c r="B1415" s="64" t="s">
        <v>61</v>
      </c>
      <c r="C1415" s="62" t="s">
        <v>3329</v>
      </c>
      <c r="D1415" t="s">
        <v>63</v>
      </c>
      <c r="E1415" t="s">
        <v>4298</v>
      </c>
      <c r="F1415" s="61">
        <v>36965</v>
      </c>
      <c r="G1415" s="15" t="s">
        <v>73</v>
      </c>
      <c r="H1415" t="s">
        <v>4299</v>
      </c>
      <c r="I1415" s="62" t="s">
        <v>4300</v>
      </c>
      <c r="K1415" s="36" t="s">
        <v>169</v>
      </c>
      <c r="L1415" t="s">
        <v>69</v>
      </c>
      <c r="M1415" s="62" t="s">
        <v>170</v>
      </c>
      <c r="N1415" t="s">
        <v>71</v>
      </c>
      <c r="O1415" t="str">
        <f>IFERROR(IF(Tbla_actores[[#This Row],[codigo_proyecto]]="","",_xlfn.XLOOKUP(Tbla_actores[[#This Row],[codigo_proyecto]],Proyectos!$A:$A,Proyectos!$C:$C)),"")</f>
        <v>NULOS</v>
      </c>
    </row>
    <row r="1416" spans="1:15">
      <c r="A1416" s="9">
        <v>1000571941</v>
      </c>
      <c r="B1416" s="63" t="s">
        <v>61</v>
      </c>
      <c r="C1416" s="62" t="s">
        <v>3329</v>
      </c>
      <c r="D1416" t="s">
        <v>63</v>
      </c>
      <c r="E1416" t="s">
        <v>4301</v>
      </c>
      <c r="F1416" s="61">
        <v>36930</v>
      </c>
      <c r="G1416" s="15" t="s">
        <v>65</v>
      </c>
      <c r="H1416" t="s">
        <v>4302</v>
      </c>
      <c r="I1416" s="62" t="s">
        <v>4303</v>
      </c>
      <c r="K1416" s="36" t="s">
        <v>169</v>
      </c>
      <c r="L1416" t="s">
        <v>69</v>
      </c>
      <c r="M1416" s="62" t="s">
        <v>170</v>
      </c>
      <c r="N1416" t="s">
        <v>71</v>
      </c>
      <c r="O1416" t="str">
        <f>IFERROR(IF(Tbla_actores[[#This Row],[codigo_proyecto]]="","",_xlfn.XLOOKUP(Tbla_actores[[#This Row],[codigo_proyecto]],Proyectos!$A:$A,Proyectos!$C:$C)),"")</f>
        <v>NULOS</v>
      </c>
    </row>
    <row r="1417" spans="1:15">
      <c r="A1417" s="10">
        <v>1000944763</v>
      </c>
      <c r="B1417" s="64" t="s">
        <v>61</v>
      </c>
      <c r="C1417" s="62" t="s">
        <v>3329</v>
      </c>
      <c r="D1417" t="s">
        <v>63</v>
      </c>
      <c r="E1417" t="s">
        <v>4304</v>
      </c>
      <c r="F1417" s="61">
        <v>37003</v>
      </c>
      <c r="G1417" s="15" t="s">
        <v>73</v>
      </c>
      <c r="H1417" t="s">
        <v>4305</v>
      </c>
      <c r="I1417" s="62" t="s">
        <v>4306</v>
      </c>
      <c r="K1417" s="36" t="s">
        <v>169</v>
      </c>
      <c r="L1417" t="s">
        <v>69</v>
      </c>
      <c r="M1417" s="62" t="s">
        <v>170</v>
      </c>
      <c r="N1417" t="s">
        <v>71</v>
      </c>
      <c r="O1417" t="str">
        <f>IFERROR(IF(Tbla_actores[[#This Row],[codigo_proyecto]]="","",_xlfn.XLOOKUP(Tbla_actores[[#This Row],[codigo_proyecto]],Proyectos!$A:$A,Proyectos!$C:$C)),"")</f>
        <v>NULOS</v>
      </c>
    </row>
    <row r="1418" spans="1:15">
      <c r="A1418" s="9">
        <v>1000274389</v>
      </c>
      <c r="B1418" s="63" t="s">
        <v>61</v>
      </c>
      <c r="C1418" s="62" t="s">
        <v>3329</v>
      </c>
      <c r="D1418" t="s">
        <v>63</v>
      </c>
      <c r="E1418" t="s">
        <v>4307</v>
      </c>
      <c r="F1418" s="61">
        <v>37034</v>
      </c>
      <c r="G1418" s="15" t="s">
        <v>73</v>
      </c>
      <c r="H1418" t="s">
        <v>4308</v>
      </c>
      <c r="I1418" s="62" t="s">
        <v>4309</v>
      </c>
      <c r="K1418" s="36" t="s">
        <v>169</v>
      </c>
      <c r="L1418" t="s">
        <v>69</v>
      </c>
      <c r="M1418" s="62" t="s">
        <v>170</v>
      </c>
      <c r="N1418" t="s">
        <v>71</v>
      </c>
      <c r="O1418" t="str">
        <f>IFERROR(IF(Tbla_actores[[#This Row],[codigo_proyecto]]="","",_xlfn.XLOOKUP(Tbla_actores[[#This Row],[codigo_proyecto]],Proyectos!$A:$A,Proyectos!$C:$C)),"")</f>
        <v>NULOS</v>
      </c>
    </row>
    <row r="1419" spans="1:15">
      <c r="A1419" s="10">
        <v>1000796480</v>
      </c>
      <c r="B1419" s="64" t="s">
        <v>61</v>
      </c>
      <c r="C1419" s="62" t="s">
        <v>3329</v>
      </c>
      <c r="D1419" t="s">
        <v>63</v>
      </c>
      <c r="E1419" t="s">
        <v>4310</v>
      </c>
      <c r="F1419" s="61">
        <v>37076</v>
      </c>
      <c r="G1419" s="15" t="s">
        <v>73</v>
      </c>
      <c r="H1419" t="s">
        <v>4311</v>
      </c>
      <c r="I1419" s="62" t="s">
        <v>4312</v>
      </c>
      <c r="K1419" s="36" t="s">
        <v>169</v>
      </c>
      <c r="L1419" t="s">
        <v>69</v>
      </c>
      <c r="M1419" s="62" t="s">
        <v>170</v>
      </c>
      <c r="N1419" t="s">
        <v>71</v>
      </c>
      <c r="O1419" t="str">
        <f>IFERROR(IF(Tbla_actores[[#This Row],[codigo_proyecto]]="","",_xlfn.XLOOKUP(Tbla_actores[[#This Row],[codigo_proyecto]],Proyectos!$A:$A,Proyectos!$C:$C)),"")</f>
        <v>NULOS</v>
      </c>
    </row>
    <row r="1420" spans="1:15">
      <c r="A1420" s="9">
        <v>1193479597</v>
      </c>
      <c r="B1420" s="63" t="s">
        <v>61</v>
      </c>
      <c r="C1420" s="62" t="s">
        <v>3329</v>
      </c>
      <c r="D1420" t="s">
        <v>63</v>
      </c>
      <c r="E1420" t="s">
        <v>4313</v>
      </c>
      <c r="F1420" s="61">
        <v>36795</v>
      </c>
      <c r="G1420" s="15" t="s">
        <v>73</v>
      </c>
      <c r="H1420" t="s">
        <v>4314</v>
      </c>
      <c r="I1420" s="62" t="s">
        <v>4315</v>
      </c>
      <c r="K1420" s="36" t="s">
        <v>68</v>
      </c>
      <c r="L1420" t="s">
        <v>69</v>
      </c>
      <c r="M1420" s="62" t="s">
        <v>70</v>
      </c>
      <c r="N1420" t="s">
        <v>71</v>
      </c>
      <c r="O1420" t="str">
        <f>IFERROR(IF(Tbla_actores[[#This Row],[codigo_proyecto]]="","",_xlfn.XLOOKUP(Tbla_actores[[#This Row],[codigo_proyecto]],Proyectos!$A:$A,Proyectos!$C:$C)),"")</f>
        <v>NULOS</v>
      </c>
    </row>
    <row r="1421" spans="1:15">
      <c r="A1421" s="10">
        <v>1001191582</v>
      </c>
      <c r="B1421" s="64" t="s">
        <v>61</v>
      </c>
      <c r="C1421" s="62" t="s">
        <v>3329</v>
      </c>
      <c r="D1421" t="s">
        <v>63</v>
      </c>
      <c r="E1421" t="s">
        <v>4316</v>
      </c>
      <c r="F1421" s="61">
        <v>36588</v>
      </c>
      <c r="G1421" s="15" t="s">
        <v>73</v>
      </c>
      <c r="H1421" t="s">
        <v>4317</v>
      </c>
      <c r="I1421" s="62" t="s">
        <v>4318</v>
      </c>
      <c r="K1421" s="36" t="s">
        <v>169</v>
      </c>
      <c r="L1421" t="s">
        <v>69</v>
      </c>
      <c r="M1421" s="62" t="s">
        <v>170</v>
      </c>
      <c r="N1421" t="s">
        <v>71</v>
      </c>
      <c r="O1421" t="str">
        <f>IFERROR(IF(Tbla_actores[[#This Row],[codigo_proyecto]]="","",_xlfn.XLOOKUP(Tbla_actores[[#This Row],[codigo_proyecto]],Proyectos!$A:$A,Proyectos!$C:$C)),"")</f>
        <v>NULOS</v>
      </c>
    </row>
    <row r="1422" spans="1:15">
      <c r="A1422" s="9">
        <v>1193063616</v>
      </c>
      <c r="B1422" s="63" t="s">
        <v>61</v>
      </c>
      <c r="C1422" s="62" t="s">
        <v>3329</v>
      </c>
      <c r="D1422" t="s">
        <v>63</v>
      </c>
      <c r="E1422" t="s">
        <v>4319</v>
      </c>
      <c r="F1422" s="61">
        <v>37409</v>
      </c>
      <c r="G1422" s="15" t="s">
        <v>73</v>
      </c>
      <c r="H1422" t="s">
        <v>4320</v>
      </c>
      <c r="I1422" s="62" t="s">
        <v>4321</v>
      </c>
      <c r="K1422" s="36" t="s">
        <v>169</v>
      </c>
      <c r="L1422" t="s">
        <v>69</v>
      </c>
      <c r="M1422" s="62" t="s">
        <v>170</v>
      </c>
      <c r="N1422" t="s">
        <v>71</v>
      </c>
      <c r="O1422" t="str">
        <f>IFERROR(IF(Tbla_actores[[#This Row],[codigo_proyecto]]="","",_xlfn.XLOOKUP(Tbla_actores[[#This Row],[codigo_proyecto]],Proyectos!$A:$A,Proyectos!$C:$C)),"")</f>
        <v>NULOS</v>
      </c>
    </row>
    <row r="1423" spans="1:15">
      <c r="A1423" s="10">
        <v>1000595434</v>
      </c>
      <c r="B1423" s="64" t="s">
        <v>61</v>
      </c>
      <c r="C1423" s="62" t="s">
        <v>3329</v>
      </c>
      <c r="D1423" t="s">
        <v>63</v>
      </c>
      <c r="E1423" t="s">
        <v>4322</v>
      </c>
      <c r="F1423" s="61">
        <v>36955</v>
      </c>
      <c r="G1423" s="15" t="s">
        <v>73</v>
      </c>
      <c r="H1423" t="s">
        <v>4323</v>
      </c>
      <c r="I1423" s="62" t="s">
        <v>4324</v>
      </c>
      <c r="K1423" s="36" t="s">
        <v>169</v>
      </c>
      <c r="L1423" t="s">
        <v>69</v>
      </c>
      <c r="M1423" s="62" t="s">
        <v>170</v>
      </c>
      <c r="N1423" t="s">
        <v>71</v>
      </c>
      <c r="O1423" t="str">
        <f>IFERROR(IF(Tbla_actores[[#This Row],[codigo_proyecto]]="","",_xlfn.XLOOKUP(Tbla_actores[[#This Row],[codigo_proyecto]],Proyectos!$A:$A,Proyectos!$C:$C)),"")</f>
        <v>NULOS</v>
      </c>
    </row>
    <row r="1424" spans="1:15">
      <c r="A1424" s="9">
        <v>1020832538</v>
      </c>
      <c r="B1424" s="63" t="s">
        <v>61</v>
      </c>
      <c r="C1424" s="62" t="s">
        <v>3329</v>
      </c>
      <c r="D1424" t="s">
        <v>63</v>
      </c>
      <c r="E1424" t="s">
        <v>4325</v>
      </c>
      <c r="F1424" s="61">
        <v>35910</v>
      </c>
      <c r="G1424" s="15" t="s">
        <v>73</v>
      </c>
      <c r="H1424" t="s">
        <v>4326</v>
      </c>
      <c r="I1424" s="62" t="s">
        <v>4327</v>
      </c>
      <c r="K1424" s="36" t="s">
        <v>169</v>
      </c>
      <c r="L1424" t="s">
        <v>69</v>
      </c>
      <c r="M1424" s="62" t="s">
        <v>170</v>
      </c>
      <c r="N1424" t="s">
        <v>71</v>
      </c>
      <c r="O1424" t="str">
        <f>IFERROR(IF(Tbla_actores[[#This Row],[codigo_proyecto]]="","",_xlfn.XLOOKUP(Tbla_actores[[#This Row],[codigo_proyecto]],Proyectos!$A:$A,Proyectos!$C:$C)),"")</f>
        <v>NULOS</v>
      </c>
    </row>
    <row r="1425" spans="1:15">
      <c r="A1425" s="10">
        <v>1070023623</v>
      </c>
      <c r="B1425" s="64" t="s">
        <v>61</v>
      </c>
      <c r="C1425" s="62" t="s">
        <v>3329</v>
      </c>
      <c r="D1425" t="s">
        <v>63</v>
      </c>
      <c r="E1425" t="s">
        <v>4328</v>
      </c>
      <c r="F1425" s="61">
        <v>36480</v>
      </c>
      <c r="G1425" s="15" t="s">
        <v>65</v>
      </c>
      <c r="H1425" t="s">
        <v>4329</v>
      </c>
      <c r="I1425" s="62" t="s">
        <v>4330</v>
      </c>
      <c r="K1425" s="36" t="s">
        <v>169</v>
      </c>
      <c r="L1425" t="s">
        <v>69</v>
      </c>
      <c r="M1425" s="62" t="s">
        <v>170</v>
      </c>
      <c r="N1425" t="s">
        <v>71</v>
      </c>
      <c r="O1425" t="str">
        <f>IFERROR(IF(Tbla_actores[[#This Row],[codigo_proyecto]]="","",_xlfn.XLOOKUP(Tbla_actores[[#This Row],[codigo_proyecto]],Proyectos!$A:$A,Proyectos!$C:$C)),"")</f>
        <v>NULOS</v>
      </c>
    </row>
    <row r="1426" spans="1:15">
      <c r="A1426" s="9">
        <v>1000698951</v>
      </c>
      <c r="B1426" s="63" t="s">
        <v>61</v>
      </c>
      <c r="C1426" s="62" t="s">
        <v>3329</v>
      </c>
      <c r="D1426" t="s">
        <v>63</v>
      </c>
      <c r="E1426" t="s">
        <v>4331</v>
      </c>
      <c r="F1426" s="61">
        <v>37258</v>
      </c>
      <c r="G1426" s="15" t="s">
        <v>65</v>
      </c>
      <c r="H1426" t="s">
        <v>4332</v>
      </c>
      <c r="I1426" s="62" t="s">
        <v>4333</v>
      </c>
      <c r="K1426" s="36" t="s">
        <v>169</v>
      </c>
      <c r="L1426" t="s">
        <v>69</v>
      </c>
      <c r="M1426" s="62" t="s">
        <v>170</v>
      </c>
      <c r="N1426" t="s">
        <v>71</v>
      </c>
      <c r="O1426" t="str">
        <f>IFERROR(IF(Tbla_actores[[#This Row],[codigo_proyecto]]="","",_xlfn.XLOOKUP(Tbla_actores[[#This Row],[codigo_proyecto]],Proyectos!$A:$A,Proyectos!$C:$C)),"")</f>
        <v>NULOS</v>
      </c>
    </row>
    <row r="1427" spans="1:15">
      <c r="A1427" s="10">
        <v>1000034397</v>
      </c>
      <c r="B1427" s="64" t="s">
        <v>61</v>
      </c>
      <c r="C1427" s="62" t="s">
        <v>3329</v>
      </c>
      <c r="D1427" t="s">
        <v>63</v>
      </c>
      <c r="E1427" t="s">
        <v>4334</v>
      </c>
      <c r="F1427" s="61">
        <v>37148</v>
      </c>
      <c r="G1427" s="15" t="s">
        <v>65</v>
      </c>
      <c r="H1427" t="s">
        <v>4335</v>
      </c>
      <c r="I1427" s="62" t="s">
        <v>4336</v>
      </c>
      <c r="K1427" s="36" t="s">
        <v>169</v>
      </c>
      <c r="L1427" t="s">
        <v>69</v>
      </c>
      <c r="M1427" s="62" t="s">
        <v>170</v>
      </c>
      <c r="N1427" t="s">
        <v>71</v>
      </c>
      <c r="O1427" t="str">
        <f>IFERROR(IF(Tbla_actores[[#This Row],[codigo_proyecto]]="","",_xlfn.XLOOKUP(Tbla_actores[[#This Row],[codigo_proyecto]],Proyectos!$A:$A,Proyectos!$C:$C)),"")</f>
        <v>NULOS</v>
      </c>
    </row>
    <row r="1428" spans="1:15">
      <c r="A1428" s="9">
        <v>1007812158</v>
      </c>
      <c r="B1428" s="63" t="s">
        <v>61</v>
      </c>
      <c r="C1428" s="62" t="s">
        <v>3329</v>
      </c>
      <c r="D1428" t="s">
        <v>63</v>
      </c>
      <c r="E1428" t="s">
        <v>4337</v>
      </c>
      <c r="F1428" s="61">
        <v>37127</v>
      </c>
      <c r="G1428" s="15" t="s">
        <v>73</v>
      </c>
      <c r="H1428" t="s">
        <v>4338</v>
      </c>
      <c r="I1428" s="62" t="s">
        <v>4339</v>
      </c>
      <c r="K1428" s="36" t="s">
        <v>169</v>
      </c>
      <c r="L1428" t="s">
        <v>69</v>
      </c>
      <c r="M1428" s="62" t="s">
        <v>170</v>
      </c>
      <c r="N1428" t="s">
        <v>71</v>
      </c>
      <c r="O1428" t="str">
        <f>IFERROR(IF(Tbla_actores[[#This Row],[codigo_proyecto]]="","",_xlfn.XLOOKUP(Tbla_actores[[#This Row],[codigo_proyecto]],Proyectos!$A:$A,Proyectos!$C:$C)),"")</f>
        <v>NULOS</v>
      </c>
    </row>
    <row r="1429" spans="1:15">
      <c r="A1429" s="10">
        <v>1000151001</v>
      </c>
      <c r="B1429" s="64" t="s">
        <v>61</v>
      </c>
      <c r="C1429" s="62" t="s">
        <v>3329</v>
      </c>
      <c r="D1429" t="s">
        <v>63</v>
      </c>
      <c r="E1429" t="s">
        <v>4340</v>
      </c>
      <c r="F1429" s="61">
        <v>37023</v>
      </c>
      <c r="G1429" s="15" t="s">
        <v>73</v>
      </c>
      <c r="H1429" t="s">
        <v>4341</v>
      </c>
      <c r="I1429" s="62" t="s">
        <v>4342</v>
      </c>
      <c r="K1429" s="36" t="s">
        <v>169</v>
      </c>
      <c r="L1429" t="s">
        <v>69</v>
      </c>
      <c r="M1429" s="62" t="s">
        <v>170</v>
      </c>
      <c r="N1429" t="s">
        <v>71</v>
      </c>
      <c r="O1429" t="str">
        <f>IFERROR(IF(Tbla_actores[[#This Row],[codigo_proyecto]]="","",_xlfn.XLOOKUP(Tbla_actores[[#This Row],[codigo_proyecto]],Proyectos!$A:$A,Proyectos!$C:$C)),"")</f>
        <v>NULOS</v>
      </c>
    </row>
    <row r="1430" spans="1:15">
      <c r="A1430" s="9">
        <v>1000590074</v>
      </c>
      <c r="B1430" s="63" t="s">
        <v>61</v>
      </c>
      <c r="C1430" s="62" t="s">
        <v>3329</v>
      </c>
      <c r="D1430" t="s">
        <v>63</v>
      </c>
      <c r="E1430" t="s">
        <v>4343</v>
      </c>
      <c r="F1430" s="61">
        <v>37239</v>
      </c>
      <c r="G1430" s="15" t="s">
        <v>73</v>
      </c>
      <c r="H1430" t="s">
        <v>4344</v>
      </c>
      <c r="I1430" s="62" t="s">
        <v>4345</v>
      </c>
      <c r="K1430" s="36" t="s">
        <v>169</v>
      </c>
      <c r="L1430" t="s">
        <v>69</v>
      </c>
      <c r="M1430" s="62" t="s">
        <v>170</v>
      </c>
      <c r="N1430" t="s">
        <v>71</v>
      </c>
      <c r="O1430" t="str">
        <f>IFERROR(IF(Tbla_actores[[#This Row],[codigo_proyecto]]="","",_xlfn.XLOOKUP(Tbla_actores[[#This Row],[codigo_proyecto]],Proyectos!$A:$A,Proyectos!$C:$C)),"")</f>
        <v>NULOS</v>
      </c>
    </row>
    <row r="1431" spans="1:15">
      <c r="A1431" s="10">
        <v>1018498088</v>
      </c>
      <c r="B1431" s="64" t="s">
        <v>61</v>
      </c>
      <c r="C1431" s="62" t="s">
        <v>3329</v>
      </c>
      <c r="D1431" t="s">
        <v>63</v>
      </c>
      <c r="E1431" t="s">
        <v>4346</v>
      </c>
      <c r="F1431" s="61">
        <v>35640</v>
      </c>
      <c r="G1431" s="15" t="s">
        <v>65</v>
      </c>
      <c r="H1431" t="s">
        <v>4347</v>
      </c>
      <c r="I1431" s="62" t="s">
        <v>4348</v>
      </c>
      <c r="K1431" s="36" t="s">
        <v>169</v>
      </c>
      <c r="L1431" t="s">
        <v>69</v>
      </c>
      <c r="M1431" s="62" t="s">
        <v>170</v>
      </c>
      <c r="N1431" t="s">
        <v>71</v>
      </c>
      <c r="O1431" t="str">
        <f>IFERROR(IF(Tbla_actores[[#This Row],[codigo_proyecto]]="","",_xlfn.XLOOKUP(Tbla_actores[[#This Row],[codigo_proyecto]],Proyectos!$A:$A,Proyectos!$C:$C)),"")</f>
        <v>NULOS</v>
      </c>
    </row>
    <row r="1432" spans="1:15">
      <c r="A1432" s="9">
        <v>1121960411</v>
      </c>
      <c r="B1432" s="63" t="s">
        <v>61</v>
      </c>
      <c r="C1432" s="62" t="s">
        <v>3329</v>
      </c>
      <c r="D1432" t="s">
        <v>63</v>
      </c>
      <c r="E1432" t="s">
        <v>4349</v>
      </c>
      <c r="F1432" s="61">
        <v>36087</v>
      </c>
      <c r="G1432" s="15" t="s">
        <v>73</v>
      </c>
      <c r="H1432" t="s">
        <v>4350</v>
      </c>
      <c r="I1432" s="62" t="s">
        <v>4351</v>
      </c>
      <c r="K1432" s="36" t="s">
        <v>495</v>
      </c>
      <c r="L1432" t="s">
        <v>69</v>
      </c>
      <c r="M1432" s="62" t="s">
        <v>70</v>
      </c>
      <c r="N1432" t="s">
        <v>71</v>
      </c>
      <c r="O1432" t="str">
        <f>IFERROR(IF(Tbla_actores[[#This Row],[codigo_proyecto]]="","",_xlfn.XLOOKUP(Tbla_actores[[#This Row],[codigo_proyecto]],Proyectos!$A:$A,Proyectos!$C:$C)),"")</f>
        <v>NULOS</v>
      </c>
    </row>
    <row r="1433" spans="1:15">
      <c r="A1433" s="10">
        <v>1000972908</v>
      </c>
      <c r="B1433" s="64" t="s">
        <v>61</v>
      </c>
      <c r="C1433" s="62" t="s">
        <v>3329</v>
      </c>
      <c r="D1433" t="s">
        <v>63</v>
      </c>
      <c r="E1433" t="s">
        <v>4352</v>
      </c>
      <c r="F1433" s="61">
        <v>36936</v>
      </c>
      <c r="G1433" s="15" t="s">
        <v>73</v>
      </c>
      <c r="H1433" t="s">
        <v>4353</v>
      </c>
      <c r="I1433" s="62" t="s">
        <v>4354</v>
      </c>
      <c r="K1433" s="36" t="s">
        <v>169</v>
      </c>
      <c r="L1433" t="s">
        <v>69</v>
      </c>
      <c r="M1433" s="62" t="s">
        <v>170</v>
      </c>
      <c r="N1433" t="s">
        <v>71</v>
      </c>
      <c r="O1433" t="str">
        <f>IFERROR(IF(Tbla_actores[[#This Row],[codigo_proyecto]]="","",_xlfn.XLOOKUP(Tbla_actores[[#This Row],[codigo_proyecto]],Proyectos!$A:$A,Proyectos!$C:$C)),"")</f>
        <v>NULOS</v>
      </c>
    </row>
    <row r="1434" spans="1:15">
      <c r="A1434" s="9">
        <v>1000469337</v>
      </c>
      <c r="B1434" s="63" t="s">
        <v>61</v>
      </c>
      <c r="C1434" s="62" t="s">
        <v>3329</v>
      </c>
      <c r="D1434" t="s">
        <v>63</v>
      </c>
      <c r="E1434" t="s">
        <v>4355</v>
      </c>
      <c r="F1434" s="61">
        <v>36944</v>
      </c>
      <c r="G1434" s="15" t="s">
        <v>65</v>
      </c>
      <c r="H1434" t="s">
        <v>4356</v>
      </c>
      <c r="I1434" s="62" t="s">
        <v>4357</v>
      </c>
      <c r="K1434" s="36" t="s">
        <v>169</v>
      </c>
      <c r="L1434" t="s">
        <v>69</v>
      </c>
      <c r="M1434" s="62" t="s">
        <v>170</v>
      </c>
      <c r="N1434" t="s">
        <v>71</v>
      </c>
      <c r="O1434" t="str">
        <f>IFERROR(IF(Tbla_actores[[#This Row],[codigo_proyecto]]="","",_xlfn.XLOOKUP(Tbla_actores[[#This Row],[codigo_proyecto]],Proyectos!$A:$A,Proyectos!$C:$C)),"")</f>
        <v>NULOS</v>
      </c>
    </row>
    <row r="1435" spans="1:15">
      <c r="A1435" s="10">
        <v>1083029099</v>
      </c>
      <c r="B1435" s="64" t="s">
        <v>61</v>
      </c>
      <c r="C1435" s="62" t="s">
        <v>3329</v>
      </c>
      <c r="D1435" t="s">
        <v>63</v>
      </c>
      <c r="E1435" t="s">
        <v>4358</v>
      </c>
      <c r="F1435" s="61">
        <v>35751</v>
      </c>
      <c r="G1435" s="15" t="s">
        <v>73</v>
      </c>
      <c r="H1435" t="s">
        <v>4359</v>
      </c>
      <c r="I1435" s="62" t="s">
        <v>4360</v>
      </c>
      <c r="K1435" s="36" t="s">
        <v>169</v>
      </c>
      <c r="L1435" t="s">
        <v>69</v>
      </c>
      <c r="M1435" s="62" t="s">
        <v>170</v>
      </c>
      <c r="N1435" t="s">
        <v>71</v>
      </c>
      <c r="O1435" t="str">
        <f>IFERROR(IF(Tbla_actores[[#This Row],[codigo_proyecto]]="","",_xlfn.XLOOKUP(Tbla_actores[[#This Row],[codigo_proyecto]],Proyectos!$A:$A,Proyectos!$C:$C)),"")</f>
        <v>NULOS</v>
      </c>
    </row>
    <row r="1436" spans="1:15">
      <c r="A1436" s="9">
        <v>1020788643</v>
      </c>
      <c r="B1436" s="63" t="s">
        <v>61</v>
      </c>
      <c r="C1436" s="62" t="s">
        <v>3329</v>
      </c>
      <c r="D1436" t="s">
        <v>63</v>
      </c>
      <c r="E1436" t="s">
        <v>4361</v>
      </c>
      <c r="F1436" s="61">
        <v>34326</v>
      </c>
      <c r="G1436" s="15" t="s">
        <v>73</v>
      </c>
      <c r="H1436" t="s">
        <v>4362</v>
      </c>
      <c r="I1436" s="62" t="s">
        <v>4363</v>
      </c>
      <c r="K1436" s="36" t="s">
        <v>169</v>
      </c>
      <c r="L1436" t="s">
        <v>69</v>
      </c>
      <c r="M1436" s="62" t="s">
        <v>170</v>
      </c>
      <c r="N1436" t="s">
        <v>71</v>
      </c>
      <c r="O1436" t="str">
        <f>IFERROR(IF(Tbla_actores[[#This Row],[codigo_proyecto]]="","",_xlfn.XLOOKUP(Tbla_actores[[#This Row],[codigo_proyecto]],Proyectos!$A:$A,Proyectos!$C:$C)),"")</f>
        <v>NULOS</v>
      </c>
    </row>
    <row r="1437" spans="1:15">
      <c r="A1437" s="10">
        <v>1020842778</v>
      </c>
      <c r="B1437" s="64" t="s">
        <v>61</v>
      </c>
      <c r="C1437" s="62" t="s">
        <v>3329</v>
      </c>
      <c r="D1437" t="s">
        <v>63</v>
      </c>
      <c r="E1437" t="s">
        <v>4364</v>
      </c>
      <c r="F1437" s="61">
        <v>36375</v>
      </c>
      <c r="G1437" s="15" t="s">
        <v>73</v>
      </c>
      <c r="H1437" t="s">
        <v>4365</v>
      </c>
      <c r="I1437" s="62" t="s">
        <v>4366</v>
      </c>
      <c r="K1437" s="36" t="s">
        <v>169</v>
      </c>
      <c r="L1437" t="s">
        <v>69</v>
      </c>
      <c r="M1437" s="62" t="s">
        <v>170</v>
      </c>
      <c r="N1437" t="s">
        <v>71</v>
      </c>
      <c r="O1437" t="str">
        <f>IFERROR(IF(Tbla_actores[[#This Row],[codigo_proyecto]]="","",_xlfn.XLOOKUP(Tbla_actores[[#This Row],[codigo_proyecto]],Proyectos!$A:$A,Proyectos!$C:$C)),"")</f>
        <v>NULOS</v>
      </c>
    </row>
    <row r="1438" spans="1:15">
      <c r="A1438" s="9">
        <v>1007812146</v>
      </c>
      <c r="B1438" s="63" t="s">
        <v>61</v>
      </c>
      <c r="C1438" s="62" t="s">
        <v>3329</v>
      </c>
      <c r="D1438" t="s">
        <v>63</v>
      </c>
      <c r="E1438" t="s">
        <v>4367</v>
      </c>
      <c r="F1438" s="61">
        <v>37130</v>
      </c>
      <c r="G1438" s="15" t="s">
        <v>73</v>
      </c>
      <c r="H1438" t="s">
        <v>4368</v>
      </c>
      <c r="I1438" s="62" t="s">
        <v>4369</v>
      </c>
      <c r="K1438" s="36" t="s">
        <v>169</v>
      </c>
      <c r="L1438" t="s">
        <v>69</v>
      </c>
      <c r="M1438" s="62" t="s">
        <v>170</v>
      </c>
      <c r="N1438" t="s">
        <v>71</v>
      </c>
      <c r="O1438" t="str">
        <f>IFERROR(IF(Tbla_actores[[#This Row],[codigo_proyecto]]="","",_xlfn.XLOOKUP(Tbla_actores[[#This Row],[codigo_proyecto]],Proyectos!$A:$A,Proyectos!$C:$C)),"")</f>
        <v>NULOS</v>
      </c>
    </row>
    <row r="1439" spans="1:15">
      <c r="A1439" s="10">
        <v>1057611261</v>
      </c>
      <c r="B1439" s="64" t="s">
        <v>61</v>
      </c>
      <c r="C1439" s="62" t="s">
        <v>3329</v>
      </c>
      <c r="D1439" t="s">
        <v>63</v>
      </c>
      <c r="E1439" t="s">
        <v>4370</v>
      </c>
      <c r="F1439" s="61">
        <v>36490</v>
      </c>
      <c r="G1439" s="15" t="s">
        <v>65</v>
      </c>
      <c r="H1439" t="s">
        <v>4371</v>
      </c>
      <c r="I1439" s="62" t="s">
        <v>4372</v>
      </c>
      <c r="K1439" s="36" t="s">
        <v>169</v>
      </c>
      <c r="L1439" t="s">
        <v>69</v>
      </c>
      <c r="M1439" s="62" t="s">
        <v>170</v>
      </c>
      <c r="N1439" t="s">
        <v>71</v>
      </c>
      <c r="O1439" t="str">
        <f>IFERROR(IF(Tbla_actores[[#This Row],[codigo_proyecto]]="","",_xlfn.XLOOKUP(Tbla_actores[[#This Row],[codigo_proyecto]],Proyectos!$A:$A,Proyectos!$C:$C)),"")</f>
        <v>NULOS</v>
      </c>
    </row>
    <row r="1440" spans="1:15">
      <c r="A1440" s="9">
        <v>1002331727</v>
      </c>
      <c r="B1440" s="63" t="s">
        <v>61</v>
      </c>
      <c r="C1440" s="62" t="s">
        <v>3329</v>
      </c>
      <c r="D1440" t="s">
        <v>63</v>
      </c>
      <c r="E1440" t="s">
        <v>4373</v>
      </c>
      <c r="F1440" s="61">
        <v>36931</v>
      </c>
      <c r="G1440" s="15" t="s">
        <v>65</v>
      </c>
      <c r="H1440" t="s">
        <v>4374</v>
      </c>
      <c r="I1440" s="62" t="s">
        <v>4375</v>
      </c>
      <c r="K1440" s="36" t="s">
        <v>169</v>
      </c>
      <c r="L1440" t="s">
        <v>69</v>
      </c>
      <c r="M1440" s="62" t="s">
        <v>170</v>
      </c>
      <c r="N1440" t="s">
        <v>71</v>
      </c>
      <c r="O1440" t="str">
        <f>IFERROR(IF(Tbla_actores[[#This Row],[codigo_proyecto]]="","",_xlfn.XLOOKUP(Tbla_actores[[#This Row],[codigo_proyecto]],Proyectos!$A:$A,Proyectos!$C:$C)),"")</f>
        <v>NULOS</v>
      </c>
    </row>
    <row r="1441" spans="1:15">
      <c r="A1441" s="10">
        <v>1005180033</v>
      </c>
      <c r="B1441" s="64" t="s">
        <v>61</v>
      </c>
      <c r="C1441" s="62" t="s">
        <v>3329</v>
      </c>
      <c r="D1441" t="s">
        <v>63</v>
      </c>
      <c r="E1441" t="s">
        <v>4376</v>
      </c>
      <c r="F1441" s="61">
        <v>36571</v>
      </c>
      <c r="G1441" s="15" t="s">
        <v>73</v>
      </c>
      <c r="H1441" t="s">
        <v>4377</v>
      </c>
      <c r="I1441" s="62" t="s">
        <v>4378</v>
      </c>
      <c r="K1441" s="36" t="s">
        <v>169</v>
      </c>
      <c r="L1441" t="s">
        <v>69</v>
      </c>
      <c r="M1441" s="62" t="s">
        <v>170</v>
      </c>
      <c r="N1441" t="s">
        <v>71</v>
      </c>
      <c r="O1441" t="str">
        <f>IFERROR(IF(Tbla_actores[[#This Row],[codigo_proyecto]]="","",_xlfn.XLOOKUP(Tbla_actores[[#This Row],[codigo_proyecto]],Proyectos!$A:$A,Proyectos!$C:$C)),"")</f>
        <v>NULOS</v>
      </c>
    </row>
    <row r="1442" spans="1:15">
      <c r="A1442" s="9">
        <v>1000589846</v>
      </c>
      <c r="B1442" s="63" t="s">
        <v>61</v>
      </c>
      <c r="C1442" s="62" t="s">
        <v>3329</v>
      </c>
      <c r="D1442" t="s">
        <v>63</v>
      </c>
      <c r="E1442" t="s">
        <v>4379</v>
      </c>
      <c r="F1442" s="61">
        <v>37153</v>
      </c>
      <c r="G1442" s="15" t="s">
        <v>73</v>
      </c>
      <c r="H1442" t="s">
        <v>4380</v>
      </c>
      <c r="I1442" s="62" t="s">
        <v>4381</v>
      </c>
      <c r="K1442" s="36" t="s">
        <v>169</v>
      </c>
      <c r="L1442" t="s">
        <v>69</v>
      </c>
      <c r="M1442" s="62" t="s">
        <v>170</v>
      </c>
      <c r="N1442" t="s">
        <v>71</v>
      </c>
      <c r="O1442" t="str">
        <f>IFERROR(IF(Tbla_actores[[#This Row],[codigo_proyecto]]="","",_xlfn.XLOOKUP(Tbla_actores[[#This Row],[codigo_proyecto]],Proyectos!$A:$A,Proyectos!$C:$C)),"")</f>
        <v>NULOS</v>
      </c>
    </row>
    <row r="1443" spans="1:15">
      <c r="A1443" s="10">
        <v>1001309721</v>
      </c>
      <c r="B1443" s="64" t="s">
        <v>61</v>
      </c>
      <c r="C1443" s="62" t="s">
        <v>3329</v>
      </c>
      <c r="D1443" t="s">
        <v>63</v>
      </c>
      <c r="E1443" t="s">
        <v>4382</v>
      </c>
      <c r="F1443" s="61">
        <v>36711</v>
      </c>
      <c r="G1443" s="15" t="s">
        <v>73</v>
      </c>
      <c r="H1443" t="s">
        <v>4383</v>
      </c>
      <c r="I1443" s="62" t="s">
        <v>4384</v>
      </c>
      <c r="K1443" s="36" t="s">
        <v>169</v>
      </c>
      <c r="L1443" t="s">
        <v>69</v>
      </c>
      <c r="M1443" s="62" t="s">
        <v>170</v>
      </c>
      <c r="N1443" t="s">
        <v>71</v>
      </c>
      <c r="O1443" t="str">
        <f>IFERROR(IF(Tbla_actores[[#This Row],[codigo_proyecto]]="","",_xlfn.XLOOKUP(Tbla_actores[[#This Row],[codigo_proyecto]],Proyectos!$A:$A,Proyectos!$C:$C)),"")</f>
        <v>NULOS</v>
      </c>
    </row>
    <row r="1444" spans="1:15">
      <c r="A1444" s="9">
        <v>1000696802</v>
      </c>
      <c r="B1444" s="63" t="s">
        <v>61</v>
      </c>
      <c r="C1444" s="62" t="s">
        <v>3329</v>
      </c>
      <c r="D1444" t="s">
        <v>63</v>
      </c>
      <c r="E1444" t="s">
        <v>4385</v>
      </c>
      <c r="F1444" s="61">
        <v>36662</v>
      </c>
      <c r="G1444" s="15" t="s">
        <v>73</v>
      </c>
      <c r="H1444" t="s">
        <v>4386</v>
      </c>
      <c r="I1444" s="62" t="s">
        <v>4387</v>
      </c>
      <c r="K1444" s="36" t="s">
        <v>169</v>
      </c>
      <c r="L1444" t="s">
        <v>69</v>
      </c>
      <c r="M1444" s="62" t="s">
        <v>170</v>
      </c>
      <c r="N1444" t="s">
        <v>71</v>
      </c>
      <c r="O1444" t="str">
        <f>IFERROR(IF(Tbla_actores[[#This Row],[codigo_proyecto]]="","",_xlfn.XLOOKUP(Tbla_actores[[#This Row],[codigo_proyecto]],Proyectos!$A:$A,Proyectos!$C:$C)),"")</f>
        <v>NULOS</v>
      </c>
    </row>
    <row r="1445" spans="1:15">
      <c r="A1445" s="10">
        <v>1002523077</v>
      </c>
      <c r="B1445" s="64" t="s">
        <v>61</v>
      </c>
      <c r="C1445" s="62" t="s">
        <v>3329</v>
      </c>
      <c r="D1445" t="s">
        <v>63</v>
      </c>
      <c r="E1445" t="s">
        <v>4388</v>
      </c>
      <c r="F1445" s="61">
        <v>37287</v>
      </c>
      <c r="G1445" s="15" t="s">
        <v>73</v>
      </c>
      <c r="H1445" t="s">
        <v>4389</v>
      </c>
      <c r="I1445" s="62" t="s">
        <v>4390</v>
      </c>
      <c r="K1445" s="36" t="s">
        <v>169</v>
      </c>
      <c r="L1445" t="s">
        <v>69</v>
      </c>
      <c r="M1445" s="62" t="s">
        <v>170</v>
      </c>
      <c r="N1445" t="s">
        <v>71</v>
      </c>
      <c r="O1445" t="str">
        <f>IFERROR(IF(Tbla_actores[[#This Row],[codigo_proyecto]]="","",_xlfn.XLOOKUP(Tbla_actores[[#This Row],[codigo_proyecto]],Proyectos!$A:$A,Proyectos!$C:$C)),"")</f>
        <v>NULOS</v>
      </c>
    </row>
    <row r="1446" spans="1:15">
      <c r="A1446" s="9">
        <v>1000803261</v>
      </c>
      <c r="B1446" s="63" t="s">
        <v>61</v>
      </c>
      <c r="C1446" s="62" t="s">
        <v>3329</v>
      </c>
      <c r="D1446" t="s">
        <v>63</v>
      </c>
      <c r="E1446" t="s">
        <v>4391</v>
      </c>
      <c r="F1446" s="61">
        <v>36798</v>
      </c>
      <c r="G1446" s="15" t="s">
        <v>65</v>
      </c>
      <c r="H1446" t="s">
        <v>4392</v>
      </c>
      <c r="I1446" s="62" t="s">
        <v>4393</v>
      </c>
      <c r="K1446" s="36" t="s">
        <v>169</v>
      </c>
      <c r="L1446" t="s">
        <v>69</v>
      </c>
      <c r="M1446" s="62" t="s">
        <v>170</v>
      </c>
      <c r="N1446" t="s">
        <v>71</v>
      </c>
      <c r="O1446" t="str">
        <f>IFERROR(IF(Tbla_actores[[#This Row],[codigo_proyecto]]="","",_xlfn.XLOOKUP(Tbla_actores[[#This Row],[codigo_proyecto]],Proyectos!$A:$A,Proyectos!$C:$C)),"")</f>
        <v>NULOS</v>
      </c>
    </row>
    <row r="1447" spans="1:15">
      <c r="A1447" s="10">
        <v>1005626222</v>
      </c>
      <c r="B1447" s="64" t="s">
        <v>61</v>
      </c>
      <c r="C1447" s="62" t="s">
        <v>3329</v>
      </c>
      <c r="D1447" t="s">
        <v>63</v>
      </c>
      <c r="E1447" t="s">
        <v>4394</v>
      </c>
      <c r="F1447" s="61">
        <v>37397</v>
      </c>
      <c r="G1447" s="15" t="s">
        <v>65</v>
      </c>
      <c r="H1447" t="s">
        <v>4395</v>
      </c>
      <c r="I1447" s="62" t="s">
        <v>4396</v>
      </c>
      <c r="K1447" s="36" t="s">
        <v>169</v>
      </c>
      <c r="L1447" t="s">
        <v>69</v>
      </c>
      <c r="M1447" s="62" t="s">
        <v>170</v>
      </c>
      <c r="N1447" t="s">
        <v>71</v>
      </c>
      <c r="O1447" t="str">
        <f>IFERROR(IF(Tbla_actores[[#This Row],[codigo_proyecto]]="","",_xlfn.XLOOKUP(Tbla_actores[[#This Row],[codigo_proyecto]],Proyectos!$A:$A,Proyectos!$C:$C)),"")</f>
        <v>NULOS</v>
      </c>
    </row>
    <row r="1448" spans="1:15">
      <c r="A1448" s="9">
        <v>1127339495</v>
      </c>
      <c r="B1448" s="63" t="s">
        <v>61</v>
      </c>
      <c r="C1448" s="62" t="s">
        <v>3329</v>
      </c>
      <c r="D1448" t="s">
        <v>63</v>
      </c>
      <c r="E1448" t="s">
        <v>4397</v>
      </c>
      <c r="F1448" s="61">
        <v>36831</v>
      </c>
      <c r="G1448" s="15" t="s">
        <v>65</v>
      </c>
      <c r="H1448" t="s">
        <v>4398</v>
      </c>
      <c r="I1448" s="62" t="s">
        <v>4399</v>
      </c>
      <c r="K1448" s="36" t="s">
        <v>169</v>
      </c>
      <c r="L1448" t="s">
        <v>69</v>
      </c>
      <c r="M1448" s="62" t="s">
        <v>170</v>
      </c>
      <c r="N1448" t="s">
        <v>71</v>
      </c>
      <c r="O1448" t="str">
        <f>IFERROR(IF(Tbla_actores[[#This Row],[codigo_proyecto]]="","",_xlfn.XLOOKUP(Tbla_actores[[#This Row],[codigo_proyecto]],Proyectos!$A:$A,Proyectos!$C:$C)),"")</f>
        <v>NULOS</v>
      </c>
    </row>
    <row r="1449" spans="1:15">
      <c r="A1449" s="10">
        <v>1020844129</v>
      </c>
      <c r="B1449" s="64" t="s">
        <v>61</v>
      </c>
      <c r="C1449" s="62" t="s">
        <v>3329</v>
      </c>
      <c r="D1449" t="s">
        <v>63</v>
      </c>
      <c r="E1449" t="s">
        <v>4400</v>
      </c>
      <c r="F1449" s="61">
        <v>36437</v>
      </c>
      <c r="G1449" s="15" t="s">
        <v>65</v>
      </c>
      <c r="H1449" t="s">
        <v>4401</v>
      </c>
      <c r="I1449" s="62" t="s">
        <v>4402</v>
      </c>
      <c r="K1449" s="36" t="s">
        <v>169</v>
      </c>
      <c r="L1449" t="s">
        <v>69</v>
      </c>
      <c r="M1449" s="62" t="s">
        <v>170</v>
      </c>
      <c r="N1449" t="s">
        <v>71</v>
      </c>
      <c r="O1449" t="str">
        <f>IFERROR(IF(Tbla_actores[[#This Row],[codigo_proyecto]]="","",_xlfn.XLOOKUP(Tbla_actores[[#This Row],[codigo_proyecto]],Proyectos!$A:$A,Proyectos!$C:$C)),"")</f>
        <v>NULOS</v>
      </c>
    </row>
    <row r="1450" spans="1:15">
      <c r="A1450" s="9">
        <v>1004966998</v>
      </c>
      <c r="B1450" s="63" t="s">
        <v>61</v>
      </c>
      <c r="C1450" s="62" t="s">
        <v>3329</v>
      </c>
      <c r="D1450" t="s">
        <v>63</v>
      </c>
      <c r="E1450" t="s">
        <v>4403</v>
      </c>
      <c r="F1450" s="61">
        <v>36537</v>
      </c>
      <c r="G1450" s="15" t="s">
        <v>73</v>
      </c>
      <c r="H1450" t="s">
        <v>4404</v>
      </c>
      <c r="I1450" s="62" t="s">
        <v>4405</v>
      </c>
      <c r="K1450" s="36" t="s">
        <v>495</v>
      </c>
      <c r="L1450" t="s">
        <v>69</v>
      </c>
      <c r="M1450" s="62" t="s">
        <v>70</v>
      </c>
      <c r="N1450" t="s">
        <v>71</v>
      </c>
      <c r="O1450" t="str">
        <f>IFERROR(IF(Tbla_actores[[#This Row],[codigo_proyecto]]="","",_xlfn.XLOOKUP(Tbla_actores[[#This Row],[codigo_proyecto]],Proyectos!$A:$A,Proyectos!$C:$C)),"")</f>
        <v>NULOS</v>
      </c>
    </row>
    <row r="1451" spans="1:15">
      <c r="A1451" s="10">
        <v>1002012744</v>
      </c>
      <c r="B1451" s="64" t="s">
        <v>61</v>
      </c>
      <c r="C1451" s="62" t="s">
        <v>3329</v>
      </c>
      <c r="D1451" t="s">
        <v>63</v>
      </c>
      <c r="E1451" t="s">
        <v>4406</v>
      </c>
      <c r="F1451" s="61">
        <v>36781</v>
      </c>
      <c r="G1451" s="15" t="s">
        <v>73</v>
      </c>
      <c r="H1451" t="s">
        <v>4407</v>
      </c>
      <c r="I1451" s="62" t="s">
        <v>4408</v>
      </c>
      <c r="K1451" s="36" t="s">
        <v>1489</v>
      </c>
      <c r="L1451" t="s">
        <v>69</v>
      </c>
      <c r="M1451" s="62" t="s">
        <v>70</v>
      </c>
      <c r="N1451" t="s">
        <v>71</v>
      </c>
      <c r="O1451" t="str">
        <f>IFERROR(IF(Tbla_actores[[#This Row],[codigo_proyecto]]="","",_xlfn.XLOOKUP(Tbla_actores[[#This Row],[codigo_proyecto]],Proyectos!$A:$A,Proyectos!$C:$C)),"")</f>
        <v>NULOS</v>
      </c>
    </row>
    <row r="1452" spans="1:15">
      <c r="A1452" s="9">
        <v>1000577806</v>
      </c>
      <c r="B1452" s="63" t="s">
        <v>61</v>
      </c>
      <c r="C1452" s="62" t="s">
        <v>4409</v>
      </c>
      <c r="D1452" t="s">
        <v>63</v>
      </c>
      <c r="E1452" t="s">
        <v>4410</v>
      </c>
      <c r="F1452" s="61">
        <v>37205</v>
      </c>
      <c r="G1452" s="15" t="s">
        <v>73</v>
      </c>
      <c r="H1452" t="s">
        <v>4411</v>
      </c>
      <c r="I1452" s="62" t="s">
        <v>4412</v>
      </c>
      <c r="K1452" s="36" t="s">
        <v>68</v>
      </c>
      <c r="L1452" t="s">
        <v>69</v>
      </c>
      <c r="M1452" s="62" t="s">
        <v>70</v>
      </c>
      <c r="N1452" t="s">
        <v>71</v>
      </c>
      <c r="O1452" t="str">
        <f>IFERROR(IF(Tbla_actores[[#This Row],[codigo_proyecto]]="","",_xlfn.XLOOKUP(Tbla_actores[[#This Row],[codigo_proyecto]],Proyectos!$A:$A,Proyectos!$C:$C)),"")</f>
        <v>NULOS</v>
      </c>
    </row>
    <row r="1453" spans="1:15">
      <c r="A1453" s="10">
        <v>1019111575</v>
      </c>
      <c r="B1453" s="64" t="s">
        <v>61</v>
      </c>
      <c r="C1453" s="62" t="s">
        <v>4409</v>
      </c>
      <c r="D1453" t="s">
        <v>63</v>
      </c>
      <c r="E1453" t="s">
        <v>4413</v>
      </c>
      <c r="F1453" s="61">
        <v>34935</v>
      </c>
      <c r="G1453" s="15" t="s">
        <v>73</v>
      </c>
      <c r="H1453" t="s">
        <v>4414</v>
      </c>
      <c r="I1453" s="62" t="s">
        <v>4415</v>
      </c>
      <c r="K1453" s="36" t="s">
        <v>68</v>
      </c>
      <c r="L1453" t="s">
        <v>69</v>
      </c>
      <c r="M1453" s="62" t="s">
        <v>70</v>
      </c>
      <c r="N1453" t="s">
        <v>71</v>
      </c>
      <c r="O1453" t="str">
        <f>IFERROR(IF(Tbla_actores[[#This Row],[codigo_proyecto]]="","",_xlfn.XLOOKUP(Tbla_actores[[#This Row],[codigo_proyecto]],Proyectos!$A:$A,Proyectos!$C:$C)),"")</f>
        <v>NULOS</v>
      </c>
    </row>
    <row r="1454" spans="1:15">
      <c r="A1454" s="9">
        <v>1013258601</v>
      </c>
      <c r="B1454" s="63" t="s">
        <v>61</v>
      </c>
      <c r="C1454" s="62" t="s">
        <v>4409</v>
      </c>
      <c r="D1454" t="s">
        <v>63</v>
      </c>
      <c r="E1454" t="s">
        <v>4416</v>
      </c>
      <c r="F1454" s="61">
        <v>36841</v>
      </c>
      <c r="G1454" s="15" t="s">
        <v>73</v>
      </c>
      <c r="H1454" t="s">
        <v>4417</v>
      </c>
      <c r="I1454" s="62" t="s">
        <v>4418</v>
      </c>
      <c r="K1454" s="36" t="s">
        <v>68</v>
      </c>
      <c r="L1454" t="s">
        <v>69</v>
      </c>
      <c r="M1454" s="62" t="s">
        <v>70</v>
      </c>
      <c r="N1454" t="s">
        <v>71</v>
      </c>
      <c r="O1454" t="str">
        <f>IFERROR(IF(Tbla_actores[[#This Row],[codigo_proyecto]]="","",_xlfn.XLOOKUP(Tbla_actores[[#This Row],[codigo_proyecto]],Proyectos!$A:$A,Proyectos!$C:$C)),"")</f>
        <v>NULOS</v>
      </c>
    </row>
    <row r="1455" spans="1:15">
      <c r="A1455" s="10">
        <v>1018500888</v>
      </c>
      <c r="B1455" s="64" t="s">
        <v>61</v>
      </c>
      <c r="C1455" s="62" t="s">
        <v>4409</v>
      </c>
      <c r="D1455" t="s">
        <v>63</v>
      </c>
      <c r="E1455" t="s">
        <v>4419</v>
      </c>
      <c r="F1455" s="61">
        <v>35832</v>
      </c>
      <c r="G1455" s="15" t="s">
        <v>73</v>
      </c>
      <c r="H1455" t="s">
        <v>4420</v>
      </c>
      <c r="I1455" s="62" t="s">
        <v>4421</v>
      </c>
      <c r="K1455" s="36" t="s">
        <v>68</v>
      </c>
      <c r="L1455" t="s">
        <v>69</v>
      </c>
      <c r="M1455" s="62" t="s">
        <v>70</v>
      </c>
      <c r="N1455" t="s">
        <v>71</v>
      </c>
      <c r="O1455" t="str">
        <f>IFERROR(IF(Tbla_actores[[#This Row],[codigo_proyecto]]="","",_xlfn.XLOOKUP(Tbla_actores[[#This Row],[codigo_proyecto]],Proyectos!$A:$A,Proyectos!$C:$C)),"")</f>
        <v>NULOS</v>
      </c>
    </row>
    <row r="1456" spans="1:15">
      <c r="A1456" s="9">
        <v>1000254758</v>
      </c>
      <c r="B1456" s="63" t="s">
        <v>61</v>
      </c>
      <c r="C1456" s="62" t="s">
        <v>4409</v>
      </c>
      <c r="D1456" t="s">
        <v>63</v>
      </c>
      <c r="E1456" t="s">
        <v>4422</v>
      </c>
      <c r="F1456" s="61">
        <v>37356</v>
      </c>
      <c r="G1456" s="15" t="s">
        <v>73</v>
      </c>
      <c r="H1456" t="s">
        <v>4423</v>
      </c>
      <c r="I1456" s="62" t="s">
        <v>4424</v>
      </c>
      <c r="K1456" s="36" t="s">
        <v>68</v>
      </c>
      <c r="L1456" t="s">
        <v>69</v>
      </c>
      <c r="M1456" s="62" t="s">
        <v>70</v>
      </c>
      <c r="N1456" t="s">
        <v>71</v>
      </c>
      <c r="O1456" t="str">
        <f>IFERROR(IF(Tbla_actores[[#This Row],[codigo_proyecto]]="","",_xlfn.XLOOKUP(Tbla_actores[[#This Row],[codigo_proyecto]],Proyectos!$A:$A,Proyectos!$C:$C)),"")</f>
        <v>NULOS</v>
      </c>
    </row>
    <row r="1457" spans="1:15">
      <c r="A1457" s="10">
        <v>1001173563</v>
      </c>
      <c r="B1457" s="64" t="s">
        <v>61</v>
      </c>
      <c r="C1457" s="62" t="s">
        <v>4409</v>
      </c>
      <c r="D1457" t="s">
        <v>63</v>
      </c>
      <c r="E1457" t="s">
        <v>4425</v>
      </c>
      <c r="F1457" s="61">
        <v>37025</v>
      </c>
      <c r="G1457" s="15" t="s">
        <v>73</v>
      </c>
      <c r="H1457" t="s">
        <v>4426</v>
      </c>
      <c r="I1457" s="62" t="s">
        <v>4427</v>
      </c>
      <c r="K1457" s="36" t="s">
        <v>68</v>
      </c>
      <c r="L1457" t="s">
        <v>69</v>
      </c>
      <c r="M1457" s="62" t="s">
        <v>70</v>
      </c>
      <c r="N1457" t="s">
        <v>71</v>
      </c>
      <c r="O1457" t="str">
        <f>IFERROR(IF(Tbla_actores[[#This Row],[codigo_proyecto]]="","",_xlfn.XLOOKUP(Tbla_actores[[#This Row],[codigo_proyecto]],Proyectos!$A:$A,Proyectos!$C:$C)),"")</f>
        <v>NULOS</v>
      </c>
    </row>
    <row r="1458" spans="1:15">
      <c r="A1458" s="9">
        <v>1233507648</v>
      </c>
      <c r="B1458" s="63" t="s">
        <v>61</v>
      </c>
      <c r="C1458" s="62" t="s">
        <v>4409</v>
      </c>
      <c r="D1458" t="s">
        <v>63</v>
      </c>
      <c r="E1458" t="s">
        <v>4428</v>
      </c>
      <c r="F1458" s="61">
        <v>36291</v>
      </c>
      <c r="G1458" s="15" t="s">
        <v>73</v>
      </c>
      <c r="H1458" t="s">
        <v>4429</v>
      </c>
      <c r="I1458" s="62" t="s">
        <v>4430</v>
      </c>
      <c r="K1458" s="36" t="s">
        <v>68</v>
      </c>
      <c r="L1458" t="s">
        <v>69</v>
      </c>
      <c r="M1458" s="62" t="s">
        <v>70</v>
      </c>
      <c r="N1458" t="s">
        <v>71</v>
      </c>
      <c r="O1458" t="str">
        <f>IFERROR(IF(Tbla_actores[[#This Row],[codigo_proyecto]]="","",_xlfn.XLOOKUP(Tbla_actores[[#This Row],[codigo_proyecto]],Proyectos!$A:$A,Proyectos!$C:$C)),"")</f>
        <v>NULOS</v>
      </c>
    </row>
    <row r="1459" spans="1:15">
      <c r="A1459" s="10">
        <v>1001316243</v>
      </c>
      <c r="B1459" s="64" t="s">
        <v>61</v>
      </c>
      <c r="C1459" s="62" t="s">
        <v>4409</v>
      </c>
      <c r="D1459" t="s">
        <v>63</v>
      </c>
      <c r="E1459" t="s">
        <v>4431</v>
      </c>
      <c r="F1459" s="61">
        <v>37202</v>
      </c>
      <c r="G1459" s="15" t="s">
        <v>65</v>
      </c>
      <c r="H1459" t="s">
        <v>4432</v>
      </c>
      <c r="I1459" s="62" t="s">
        <v>4433</v>
      </c>
      <c r="K1459" s="36" t="s">
        <v>68</v>
      </c>
      <c r="L1459" t="s">
        <v>69</v>
      </c>
      <c r="M1459" s="62" t="s">
        <v>70</v>
      </c>
      <c r="N1459" t="s">
        <v>71</v>
      </c>
      <c r="O1459" t="str">
        <f>IFERROR(IF(Tbla_actores[[#This Row],[codigo_proyecto]]="","",_xlfn.XLOOKUP(Tbla_actores[[#This Row],[codigo_proyecto]],Proyectos!$A:$A,Proyectos!$C:$C)),"")</f>
        <v>NULOS</v>
      </c>
    </row>
    <row r="1460" spans="1:15">
      <c r="A1460" s="9">
        <v>1010119190</v>
      </c>
      <c r="B1460" s="63" t="s">
        <v>61</v>
      </c>
      <c r="C1460" s="62" t="s">
        <v>4409</v>
      </c>
      <c r="D1460" t="s">
        <v>63</v>
      </c>
      <c r="E1460" t="s">
        <v>4434</v>
      </c>
      <c r="F1460" s="61">
        <v>36575</v>
      </c>
      <c r="G1460" s="15" t="s">
        <v>73</v>
      </c>
      <c r="H1460" t="s">
        <v>4435</v>
      </c>
      <c r="I1460" s="62" t="s">
        <v>4436</v>
      </c>
      <c r="K1460" s="36" t="s">
        <v>68</v>
      </c>
      <c r="L1460" t="s">
        <v>69</v>
      </c>
      <c r="M1460" s="62" t="s">
        <v>70</v>
      </c>
      <c r="N1460" t="s">
        <v>71</v>
      </c>
      <c r="O1460" t="str">
        <f>IFERROR(IF(Tbla_actores[[#This Row],[codigo_proyecto]]="","",_xlfn.XLOOKUP(Tbla_actores[[#This Row],[codigo_proyecto]],Proyectos!$A:$A,Proyectos!$C:$C)),"")</f>
        <v>NULOS</v>
      </c>
    </row>
    <row r="1461" spans="1:15">
      <c r="A1461" s="10">
        <v>1013632535</v>
      </c>
      <c r="B1461" s="64" t="s">
        <v>61</v>
      </c>
      <c r="C1461" s="62" t="s">
        <v>4409</v>
      </c>
      <c r="D1461" t="s">
        <v>63</v>
      </c>
      <c r="E1461" t="s">
        <v>4437</v>
      </c>
      <c r="F1461" s="61">
        <v>33727</v>
      </c>
      <c r="G1461" s="15" t="s">
        <v>73</v>
      </c>
      <c r="H1461" t="s">
        <v>4438</v>
      </c>
      <c r="I1461" s="62" t="s">
        <v>4439</v>
      </c>
      <c r="K1461" s="36" t="s">
        <v>68</v>
      </c>
      <c r="L1461" t="s">
        <v>69</v>
      </c>
      <c r="M1461" s="62" t="s">
        <v>70</v>
      </c>
      <c r="N1461" t="s">
        <v>71</v>
      </c>
      <c r="O1461" t="str">
        <f>IFERROR(IF(Tbla_actores[[#This Row],[codigo_proyecto]]="","",_xlfn.XLOOKUP(Tbla_actores[[#This Row],[codigo_proyecto]],Proyectos!$A:$A,Proyectos!$C:$C)),"")</f>
        <v>NULOS</v>
      </c>
    </row>
    <row r="1462" spans="1:15">
      <c r="A1462" s="9">
        <v>1020821247</v>
      </c>
      <c r="B1462" s="63" t="s">
        <v>61</v>
      </c>
      <c r="C1462" s="62" t="s">
        <v>4409</v>
      </c>
      <c r="D1462" t="s">
        <v>63</v>
      </c>
      <c r="E1462" t="s">
        <v>4440</v>
      </c>
      <c r="F1462" s="61">
        <v>35124</v>
      </c>
      <c r="G1462" s="15" t="s">
        <v>73</v>
      </c>
      <c r="H1462" t="s">
        <v>4441</v>
      </c>
      <c r="I1462" s="62" t="s">
        <v>4442</v>
      </c>
      <c r="K1462" s="36" t="s">
        <v>68</v>
      </c>
      <c r="L1462" t="s">
        <v>69</v>
      </c>
      <c r="M1462" s="62" t="s">
        <v>70</v>
      </c>
      <c r="N1462" t="s">
        <v>71</v>
      </c>
      <c r="O1462" t="str">
        <f>IFERROR(IF(Tbla_actores[[#This Row],[codigo_proyecto]]="","",_xlfn.XLOOKUP(Tbla_actores[[#This Row],[codigo_proyecto]],Proyectos!$A:$A,Proyectos!$C:$C)),"")</f>
        <v>NULOS</v>
      </c>
    </row>
    <row r="1463" spans="1:15">
      <c r="A1463" s="10">
        <v>1001044355</v>
      </c>
      <c r="B1463" s="64" t="s">
        <v>61</v>
      </c>
      <c r="C1463" s="62" t="s">
        <v>4409</v>
      </c>
      <c r="D1463" t="s">
        <v>63</v>
      </c>
      <c r="E1463" t="s">
        <v>4443</v>
      </c>
      <c r="F1463" s="61">
        <v>37161</v>
      </c>
      <c r="G1463" s="15" t="s">
        <v>73</v>
      </c>
      <c r="H1463" t="s">
        <v>4444</v>
      </c>
      <c r="I1463" s="62" t="s">
        <v>4445</v>
      </c>
      <c r="K1463" s="36" t="s">
        <v>68</v>
      </c>
      <c r="L1463" t="s">
        <v>69</v>
      </c>
      <c r="M1463" s="62" t="s">
        <v>70</v>
      </c>
      <c r="N1463" t="s">
        <v>71</v>
      </c>
      <c r="O1463" t="str">
        <f>IFERROR(IF(Tbla_actores[[#This Row],[codigo_proyecto]]="","",_xlfn.XLOOKUP(Tbla_actores[[#This Row],[codigo_proyecto]],Proyectos!$A:$A,Proyectos!$C:$C)),"")</f>
        <v>NULOS</v>
      </c>
    </row>
    <row r="1464" spans="1:15">
      <c r="A1464" s="9">
        <v>1032508081</v>
      </c>
      <c r="B1464" s="63" t="s">
        <v>61</v>
      </c>
      <c r="C1464" s="62" t="s">
        <v>4409</v>
      </c>
      <c r="D1464" t="s">
        <v>63</v>
      </c>
      <c r="E1464" t="s">
        <v>4446</v>
      </c>
      <c r="F1464" s="61">
        <v>36469</v>
      </c>
      <c r="G1464" s="15" t="s">
        <v>73</v>
      </c>
      <c r="H1464" t="s">
        <v>4447</v>
      </c>
      <c r="I1464" s="62" t="s">
        <v>4448</v>
      </c>
      <c r="K1464" s="36" t="s">
        <v>68</v>
      </c>
      <c r="L1464" t="s">
        <v>69</v>
      </c>
      <c r="M1464" s="62" t="s">
        <v>70</v>
      </c>
      <c r="N1464" t="s">
        <v>71</v>
      </c>
      <c r="O1464" t="str">
        <f>IFERROR(IF(Tbla_actores[[#This Row],[codigo_proyecto]]="","",_xlfn.XLOOKUP(Tbla_actores[[#This Row],[codigo_proyecto]],Proyectos!$A:$A,Proyectos!$C:$C)),"")</f>
        <v>NULOS</v>
      </c>
    </row>
    <row r="1465" spans="1:15">
      <c r="A1465" s="10">
        <v>1032506791</v>
      </c>
      <c r="B1465" s="64" t="s">
        <v>61</v>
      </c>
      <c r="C1465" s="62" t="s">
        <v>4409</v>
      </c>
      <c r="D1465" t="s">
        <v>63</v>
      </c>
      <c r="E1465" t="s">
        <v>4449</v>
      </c>
      <c r="F1465" s="61">
        <v>36420</v>
      </c>
      <c r="G1465" s="15" t="s">
        <v>73</v>
      </c>
      <c r="H1465" t="s">
        <v>4450</v>
      </c>
      <c r="I1465" s="62" t="s">
        <v>4451</v>
      </c>
      <c r="K1465" s="36" t="s">
        <v>68</v>
      </c>
      <c r="L1465" t="s">
        <v>69</v>
      </c>
      <c r="M1465" s="62" t="s">
        <v>70</v>
      </c>
      <c r="N1465" t="s">
        <v>71</v>
      </c>
      <c r="O1465" t="str">
        <f>IFERROR(IF(Tbla_actores[[#This Row],[codigo_proyecto]]="","",_xlfn.XLOOKUP(Tbla_actores[[#This Row],[codigo_proyecto]],Proyectos!$A:$A,Proyectos!$C:$C)),"")</f>
        <v>NULOS</v>
      </c>
    </row>
    <row r="1466" spans="1:15">
      <c r="A1466" s="9">
        <v>1034656717</v>
      </c>
      <c r="B1466" s="63" t="s">
        <v>61</v>
      </c>
      <c r="C1466" s="62" t="s">
        <v>4409</v>
      </c>
      <c r="D1466" t="s">
        <v>63</v>
      </c>
      <c r="E1466" t="s">
        <v>4452</v>
      </c>
      <c r="F1466" s="61">
        <v>36708</v>
      </c>
      <c r="G1466" s="15" t="s">
        <v>73</v>
      </c>
      <c r="H1466" t="s">
        <v>4453</v>
      </c>
      <c r="I1466" s="62" t="s">
        <v>4454</v>
      </c>
      <c r="K1466" s="36" t="s">
        <v>68</v>
      </c>
      <c r="L1466" t="s">
        <v>69</v>
      </c>
      <c r="M1466" s="62" t="s">
        <v>70</v>
      </c>
      <c r="N1466" t="s">
        <v>71</v>
      </c>
      <c r="O1466" t="str">
        <f>IFERROR(IF(Tbla_actores[[#This Row],[codigo_proyecto]]="","",_xlfn.XLOOKUP(Tbla_actores[[#This Row],[codigo_proyecto]],Proyectos!$A:$A,Proyectos!$C:$C)),"")</f>
        <v>NULOS</v>
      </c>
    </row>
    <row r="1467" spans="1:15">
      <c r="A1467" s="10">
        <v>1022436240</v>
      </c>
      <c r="B1467" s="64" t="s">
        <v>61</v>
      </c>
      <c r="C1467" s="62" t="s">
        <v>4409</v>
      </c>
      <c r="D1467" t="s">
        <v>63</v>
      </c>
      <c r="E1467" t="s">
        <v>4455</v>
      </c>
      <c r="F1467" s="61">
        <v>35971</v>
      </c>
      <c r="G1467" s="15" t="s">
        <v>73</v>
      </c>
      <c r="H1467" t="s">
        <v>4456</v>
      </c>
      <c r="I1467" s="62" t="s">
        <v>4457</v>
      </c>
      <c r="K1467" s="36" t="s">
        <v>68</v>
      </c>
      <c r="L1467" t="s">
        <v>69</v>
      </c>
      <c r="M1467" s="62" t="s">
        <v>70</v>
      </c>
      <c r="N1467" t="s">
        <v>71</v>
      </c>
      <c r="O1467" t="str">
        <f>IFERROR(IF(Tbla_actores[[#This Row],[codigo_proyecto]]="","",_xlfn.XLOOKUP(Tbla_actores[[#This Row],[codigo_proyecto]],Proyectos!$A:$A,Proyectos!$C:$C)),"")</f>
        <v>NULOS</v>
      </c>
    </row>
    <row r="1468" spans="1:15">
      <c r="A1468" s="9">
        <v>1018511366</v>
      </c>
      <c r="B1468" s="63" t="s">
        <v>61</v>
      </c>
      <c r="C1468" s="62" t="s">
        <v>4409</v>
      </c>
      <c r="D1468" t="s">
        <v>63</v>
      </c>
      <c r="E1468" t="s">
        <v>4458</v>
      </c>
      <c r="F1468" s="61">
        <v>36306</v>
      </c>
      <c r="G1468" s="15" t="s">
        <v>73</v>
      </c>
      <c r="H1468" t="s">
        <v>4459</v>
      </c>
      <c r="I1468" s="62" t="s">
        <v>4460</v>
      </c>
      <c r="K1468" s="36" t="s">
        <v>68</v>
      </c>
      <c r="L1468" t="s">
        <v>69</v>
      </c>
      <c r="M1468" s="62" t="s">
        <v>70</v>
      </c>
      <c r="N1468" t="s">
        <v>71</v>
      </c>
      <c r="O1468" t="str">
        <f>IFERROR(IF(Tbla_actores[[#This Row],[codigo_proyecto]]="","",_xlfn.XLOOKUP(Tbla_actores[[#This Row],[codigo_proyecto]],Proyectos!$A:$A,Proyectos!$C:$C)),"")</f>
        <v>NULOS</v>
      </c>
    </row>
    <row r="1469" spans="1:15">
      <c r="A1469" s="10">
        <v>1000048276</v>
      </c>
      <c r="B1469" s="64" t="s">
        <v>61</v>
      </c>
      <c r="C1469" s="62" t="s">
        <v>4409</v>
      </c>
      <c r="D1469" t="s">
        <v>63</v>
      </c>
      <c r="E1469" t="s">
        <v>4461</v>
      </c>
      <c r="F1469" s="61">
        <v>36729</v>
      </c>
      <c r="G1469" s="15" t="s">
        <v>73</v>
      </c>
      <c r="H1469" t="s">
        <v>4462</v>
      </c>
      <c r="I1469" s="62" t="s">
        <v>4463</v>
      </c>
      <c r="K1469" s="36" t="s">
        <v>68</v>
      </c>
      <c r="L1469" t="s">
        <v>69</v>
      </c>
      <c r="M1469" s="62" t="s">
        <v>70</v>
      </c>
      <c r="N1469" t="s">
        <v>71</v>
      </c>
      <c r="O1469" t="str">
        <f>IFERROR(IF(Tbla_actores[[#This Row],[codigo_proyecto]]="","",_xlfn.XLOOKUP(Tbla_actores[[#This Row],[codigo_proyecto]],Proyectos!$A:$A,Proyectos!$C:$C)),"")</f>
        <v>NULOS</v>
      </c>
    </row>
    <row r="1470" spans="1:15">
      <c r="A1470" s="9">
        <v>1032506349</v>
      </c>
      <c r="B1470" s="63" t="s">
        <v>61</v>
      </c>
      <c r="C1470" s="62" t="s">
        <v>4409</v>
      </c>
      <c r="D1470" t="s">
        <v>63</v>
      </c>
      <c r="E1470" t="s">
        <v>4464</v>
      </c>
      <c r="F1470" s="61">
        <v>36370</v>
      </c>
      <c r="G1470" s="15" t="s">
        <v>73</v>
      </c>
      <c r="H1470" t="s">
        <v>4465</v>
      </c>
      <c r="I1470" s="62" t="s">
        <v>4466</v>
      </c>
      <c r="K1470" s="36" t="s">
        <v>68</v>
      </c>
      <c r="L1470" t="s">
        <v>69</v>
      </c>
      <c r="M1470" s="62" t="s">
        <v>70</v>
      </c>
      <c r="N1470" t="s">
        <v>71</v>
      </c>
      <c r="O1470" t="str">
        <f>IFERROR(IF(Tbla_actores[[#This Row],[codigo_proyecto]]="","",_xlfn.XLOOKUP(Tbla_actores[[#This Row],[codigo_proyecto]],Proyectos!$A:$A,Proyectos!$C:$C)),"")</f>
        <v>NULOS</v>
      </c>
    </row>
    <row r="1471" spans="1:15">
      <c r="A1471" s="10">
        <v>1032498749</v>
      </c>
      <c r="B1471" s="64" t="s">
        <v>61</v>
      </c>
      <c r="C1471" s="62" t="s">
        <v>4409</v>
      </c>
      <c r="D1471" t="s">
        <v>63</v>
      </c>
      <c r="E1471" t="s">
        <v>4467</v>
      </c>
      <c r="F1471" s="61">
        <v>35976</v>
      </c>
      <c r="G1471" s="15" t="s">
        <v>73</v>
      </c>
      <c r="H1471" t="s">
        <v>4468</v>
      </c>
      <c r="I1471" s="62" t="s">
        <v>4469</v>
      </c>
      <c r="K1471" s="36" t="s">
        <v>68</v>
      </c>
      <c r="L1471" t="s">
        <v>69</v>
      </c>
      <c r="M1471" s="62" t="s">
        <v>70</v>
      </c>
      <c r="N1471" t="s">
        <v>71</v>
      </c>
      <c r="O1471" t="str">
        <f>IFERROR(IF(Tbla_actores[[#This Row],[codigo_proyecto]]="","",_xlfn.XLOOKUP(Tbla_actores[[#This Row],[codigo_proyecto]],Proyectos!$A:$A,Proyectos!$C:$C)),"")</f>
        <v>NULOS</v>
      </c>
    </row>
    <row r="1472" spans="1:15">
      <c r="A1472" s="9">
        <v>1000718536</v>
      </c>
      <c r="B1472" s="63" t="s">
        <v>61</v>
      </c>
      <c r="C1472" s="62" t="s">
        <v>4409</v>
      </c>
      <c r="D1472" t="s">
        <v>63</v>
      </c>
      <c r="E1472" t="s">
        <v>4470</v>
      </c>
      <c r="F1472" s="61">
        <v>36830</v>
      </c>
      <c r="G1472" s="15" t="s">
        <v>73</v>
      </c>
      <c r="H1472" t="s">
        <v>4471</v>
      </c>
      <c r="I1472" s="62" t="s">
        <v>4472</v>
      </c>
      <c r="K1472" s="36" t="s">
        <v>68</v>
      </c>
      <c r="L1472" t="s">
        <v>69</v>
      </c>
      <c r="M1472" s="62" t="s">
        <v>70</v>
      </c>
      <c r="N1472" t="s">
        <v>71</v>
      </c>
      <c r="O1472" t="str">
        <f>IFERROR(IF(Tbla_actores[[#This Row],[codigo_proyecto]]="","",_xlfn.XLOOKUP(Tbla_actores[[#This Row],[codigo_proyecto]],Proyectos!$A:$A,Proyectos!$C:$C)),"")</f>
        <v>NULOS</v>
      </c>
    </row>
    <row r="1473" spans="1:15">
      <c r="A1473" s="10">
        <v>1020844925</v>
      </c>
      <c r="B1473" s="64" t="s">
        <v>61</v>
      </c>
      <c r="C1473" s="62" t="s">
        <v>4409</v>
      </c>
      <c r="D1473" t="s">
        <v>63</v>
      </c>
      <c r="E1473" t="s">
        <v>4473</v>
      </c>
      <c r="F1473" s="61">
        <v>36409</v>
      </c>
      <c r="G1473" s="15" t="s">
        <v>65</v>
      </c>
      <c r="H1473" t="s">
        <v>4474</v>
      </c>
      <c r="I1473" s="62" t="s">
        <v>4475</v>
      </c>
      <c r="K1473" s="36" t="s">
        <v>68</v>
      </c>
      <c r="L1473" t="s">
        <v>69</v>
      </c>
      <c r="M1473" s="62" t="s">
        <v>70</v>
      </c>
      <c r="N1473" t="s">
        <v>71</v>
      </c>
      <c r="O1473" t="str">
        <f>IFERROR(IF(Tbla_actores[[#This Row],[codigo_proyecto]]="","",_xlfn.XLOOKUP(Tbla_actores[[#This Row],[codigo_proyecto]],Proyectos!$A:$A,Proyectos!$C:$C)),"")</f>
        <v>NULOS</v>
      </c>
    </row>
    <row r="1474" spans="1:15">
      <c r="A1474" s="9">
        <v>1010042628</v>
      </c>
      <c r="B1474" s="63" t="s">
        <v>61</v>
      </c>
      <c r="C1474" s="62" t="s">
        <v>4409</v>
      </c>
      <c r="D1474" t="s">
        <v>63</v>
      </c>
      <c r="E1474" t="s">
        <v>4476</v>
      </c>
      <c r="F1474" s="61">
        <v>37244</v>
      </c>
      <c r="G1474" s="15" t="s">
        <v>73</v>
      </c>
      <c r="H1474" t="s">
        <v>4477</v>
      </c>
      <c r="I1474" s="62" t="s">
        <v>4478</v>
      </c>
      <c r="K1474" s="36" t="s">
        <v>68</v>
      </c>
      <c r="L1474" t="s">
        <v>69</v>
      </c>
      <c r="M1474" s="62" t="s">
        <v>70</v>
      </c>
      <c r="N1474" t="s">
        <v>71</v>
      </c>
      <c r="O1474" t="str">
        <f>IFERROR(IF(Tbla_actores[[#This Row],[codigo_proyecto]]="","",_xlfn.XLOOKUP(Tbla_actores[[#This Row],[codigo_proyecto]],Proyectos!$A:$A,Proyectos!$C:$C)),"")</f>
        <v>NULOS</v>
      </c>
    </row>
    <row r="1475" spans="1:15">
      <c r="A1475" s="10">
        <v>1015482984</v>
      </c>
      <c r="B1475" s="64" t="s">
        <v>61</v>
      </c>
      <c r="C1475" s="62" t="s">
        <v>4409</v>
      </c>
      <c r="D1475" t="s">
        <v>63</v>
      </c>
      <c r="E1475" t="s">
        <v>4479</v>
      </c>
      <c r="F1475" s="61">
        <v>36429</v>
      </c>
      <c r="G1475" s="15" t="s">
        <v>65</v>
      </c>
      <c r="H1475" t="s">
        <v>4480</v>
      </c>
      <c r="I1475" s="62" t="s">
        <v>4481</v>
      </c>
      <c r="K1475" s="36" t="s">
        <v>68</v>
      </c>
      <c r="L1475" t="s">
        <v>69</v>
      </c>
      <c r="M1475" s="62" t="s">
        <v>70</v>
      </c>
      <c r="N1475" t="s">
        <v>71</v>
      </c>
      <c r="O1475" t="str">
        <f>IFERROR(IF(Tbla_actores[[#This Row],[codigo_proyecto]]="","",_xlfn.XLOOKUP(Tbla_actores[[#This Row],[codigo_proyecto]],Proyectos!$A:$A,Proyectos!$C:$C)),"")</f>
        <v>NULOS</v>
      </c>
    </row>
    <row r="1476" spans="1:15">
      <c r="A1476" s="9">
        <v>1083929810</v>
      </c>
      <c r="B1476" s="63" t="s">
        <v>61</v>
      </c>
      <c r="C1476" s="62" t="s">
        <v>4409</v>
      </c>
      <c r="D1476" t="s">
        <v>63</v>
      </c>
      <c r="E1476" t="s">
        <v>4482</v>
      </c>
      <c r="F1476" s="61">
        <v>36392</v>
      </c>
      <c r="G1476" s="15" t="s">
        <v>73</v>
      </c>
      <c r="H1476" t="s">
        <v>4483</v>
      </c>
      <c r="I1476" s="62" t="s">
        <v>4484</v>
      </c>
      <c r="K1476" s="36" t="s">
        <v>68</v>
      </c>
      <c r="L1476" t="s">
        <v>69</v>
      </c>
      <c r="M1476" s="62" t="s">
        <v>70</v>
      </c>
      <c r="N1476" t="s">
        <v>71</v>
      </c>
      <c r="O1476" t="str">
        <f>IFERROR(IF(Tbla_actores[[#This Row],[codigo_proyecto]]="","",_xlfn.XLOOKUP(Tbla_actores[[#This Row],[codigo_proyecto]],Proyectos!$A:$A,Proyectos!$C:$C)),"")</f>
        <v>NULOS</v>
      </c>
    </row>
    <row r="1477" spans="1:15">
      <c r="A1477" s="10">
        <v>1007750050</v>
      </c>
      <c r="B1477" s="64" t="s">
        <v>61</v>
      </c>
      <c r="C1477" s="62" t="s">
        <v>4409</v>
      </c>
      <c r="D1477" t="s">
        <v>63</v>
      </c>
      <c r="E1477" t="s">
        <v>4485</v>
      </c>
      <c r="F1477" s="61">
        <v>36830</v>
      </c>
      <c r="G1477" s="15" t="s">
        <v>73</v>
      </c>
      <c r="H1477" t="s">
        <v>4486</v>
      </c>
      <c r="I1477" s="62" t="s">
        <v>4487</v>
      </c>
      <c r="K1477" s="36" t="s">
        <v>68</v>
      </c>
      <c r="L1477" t="s">
        <v>69</v>
      </c>
      <c r="M1477" s="62" t="s">
        <v>70</v>
      </c>
      <c r="N1477" t="s">
        <v>71</v>
      </c>
      <c r="O1477" t="str">
        <f>IFERROR(IF(Tbla_actores[[#This Row],[codigo_proyecto]]="","",_xlfn.XLOOKUP(Tbla_actores[[#This Row],[codigo_proyecto]],Proyectos!$A:$A,Proyectos!$C:$C)),"")</f>
        <v>NULOS</v>
      </c>
    </row>
    <row r="1478" spans="1:15">
      <c r="A1478" s="9">
        <v>1000939803</v>
      </c>
      <c r="B1478" s="63" t="s">
        <v>61</v>
      </c>
      <c r="C1478" s="62" t="s">
        <v>4409</v>
      </c>
      <c r="D1478" t="s">
        <v>63</v>
      </c>
      <c r="E1478" t="s">
        <v>4488</v>
      </c>
      <c r="F1478" s="61">
        <v>36669</v>
      </c>
      <c r="G1478" s="15" t="s">
        <v>73</v>
      </c>
      <c r="H1478" t="s">
        <v>4489</v>
      </c>
      <c r="I1478" s="62" t="s">
        <v>4490</v>
      </c>
      <c r="K1478" s="36" t="s">
        <v>68</v>
      </c>
      <c r="L1478" t="s">
        <v>69</v>
      </c>
      <c r="M1478" s="62" t="s">
        <v>70</v>
      </c>
      <c r="N1478" t="s">
        <v>71</v>
      </c>
      <c r="O1478" t="str">
        <f>IFERROR(IF(Tbla_actores[[#This Row],[codigo_proyecto]]="","",_xlfn.XLOOKUP(Tbla_actores[[#This Row],[codigo_proyecto]],Proyectos!$A:$A,Proyectos!$C:$C)),"")</f>
        <v>NULOS</v>
      </c>
    </row>
    <row r="1479" spans="1:15">
      <c r="A1479" s="10">
        <v>1032495397</v>
      </c>
      <c r="B1479" s="64" t="s">
        <v>61</v>
      </c>
      <c r="C1479" s="62" t="s">
        <v>4409</v>
      </c>
      <c r="D1479" t="s">
        <v>63</v>
      </c>
      <c r="E1479" t="s">
        <v>4491</v>
      </c>
      <c r="F1479" s="61">
        <v>35780</v>
      </c>
      <c r="G1479" s="15" t="s">
        <v>73</v>
      </c>
      <c r="H1479" t="s">
        <v>4492</v>
      </c>
      <c r="I1479" s="62" t="s">
        <v>4493</v>
      </c>
      <c r="K1479" s="36" t="s">
        <v>68</v>
      </c>
      <c r="L1479" t="s">
        <v>69</v>
      </c>
      <c r="M1479" s="62" t="s">
        <v>70</v>
      </c>
      <c r="N1479" t="s">
        <v>71</v>
      </c>
      <c r="O1479" t="str">
        <f>IFERROR(IF(Tbla_actores[[#This Row],[codigo_proyecto]]="","",_xlfn.XLOOKUP(Tbla_actores[[#This Row],[codigo_proyecto]],Proyectos!$A:$A,Proyectos!$C:$C)),"")</f>
        <v>NULOS</v>
      </c>
    </row>
    <row r="1480" spans="1:15">
      <c r="A1480" s="9">
        <v>1020829819</v>
      </c>
      <c r="B1480" s="63" t="s">
        <v>61</v>
      </c>
      <c r="C1480" s="62" t="s">
        <v>4409</v>
      </c>
      <c r="D1480" t="s">
        <v>63</v>
      </c>
      <c r="E1480" t="s">
        <v>4494</v>
      </c>
      <c r="F1480" s="61">
        <v>35804</v>
      </c>
      <c r="G1480" s="15" t="s">
        <v>73</v>
      </c>
      <c r="H1480" t="s">
        <v>4495</v>
      </c>
      <c r="I1480" s="62" t="s">
        <v>4496</v>
      </c>
      <c r="K1480" s="36" t="s">
        <v>68</v>
      </c>
      <c r="L1480" t="s">
        <v>69</v>
      </c>
      <c r="M1480" s="62" t="s">
        <v>70</v>
      </c>
      <c r="N1480" t="s">
        <v>71</v>
      </c>
      <c r="O1480" t="str">
        <f>IFERROR(IF(Tbla_actores[[#This Row],[codigo_proyecto]]="","",_xlfn.XLOOKUP(Tbla_actores[[#This Row],[codigo_proyecto]],Proyectos!$A:$A,Proyectos!$C:$C)),"")</f>
        <v>NULOS</v>
      </c>
    </row>
    <row r="1481" spans="1:15">
      <c r="A1481" s="10">
        <v>1006341409</v>
      </c>
      <c r="B1481" s="64" t="s">
        <v>61</v>
      </c>
      <c r="C1481" s="62" t="s">
        <v>4409</v>
      </c>
      <c r="D1481" t="s">
        <v>63</v>
      </c>
      <c r="E1481" t="s">
        <v>4497</v>
      </c>
      <c r="F1481" s="61">
        <v>36861</v>
      </c>
      <c r="G1481" s="15" t="s">
        <v>73</v>
      </c>
      <c r="H1481" t="s">
        <v>4498</v>
      </c>
      <c r="I1481" s="62" t="s">
        <v>4499</v>
      </c>
      <c r="K1481" s="36" t="s">
        <v>68</v>
      </c>
      <c r="L1481" t="s">
        <v>69</v>
      </c>
      <c r="M1481" s="62" t="s">
        <v>70</v>
      </c>
      <c r="N1481" t="s">
        <v>71</v>
      </c>
      <c r="O1481" t="str">
        <f>IFERROR(IF(Tbla_actores[[#This Row],[codigo_proyecto]]="","",_xlfn.XLOOKUP(Tbla_actores[[#This Row],[codigo_proyecto]],Proyectos!$A:$A,Proyectos!$C:$C)),"")</f>
        <v>NULOS</v>
      </c>
    </row>
    <row r="1482" spans="1:15">
      <c r="A1482" s="9">
        <v>1015478268</v>
      </c>
      <c r="B1482" s="63" t="s">
        <v>61</v>
      </c>
      <c r="C1482" s="62" t="s">
        <v>4409</v>
      </c>
      <c r="D1482" t="s">
        <v>63</v>
      </c>
      <c r="E1482" t="s">
        <v>4500</v>
      </c>
      <c r="F1482" s="61">
        <v>36013</v>
      </c>
      <c r="G1482" s="15" t="s">
        <v>73</v>
      </c>
      <c r="H1482" t="s">
        <v>4501</v>
      </c>
      <c r="I1482" s="62" t="s">
        <v>4502</v>
      </c>
      <c r="K1482" s="36" t="s">
        <v>68</v>
      </c>
      <c r="L1482" t="s">
        <v>69</v>
      </c>
      <c r="M1482" s="62" t="s">
        <v>70</v>
      </c>
      <c r="N1482" t="s">
        <v>71</v>
      </c>
      <c r="O1482" t="str">
        <f>IFERROR(IF(Tbla_actores[[#This Row],[codigo_proyecto]]="","",_xlfn.XLOOKUP(Tbla_actores[[#This Row],[codigo_proyecto]],Proyectos!$A:$A,Proyectos!$C:$C)),"")</f>
        <v>NULOS</v>
      </c>
    </row>
    <row r="1483" spans="1:15">
      <c r="A1483" s="10">
        <v>1019065225</v>
      </c>
      <c r="B1483" s="64" t="s">
        <v>61</v>
      </c>
      <c r="C1483" s="62" t="s">
        <v>4409</v>
      </c>
      <c r="D1483" t="s">
        <v>63</v>
      </c>
      <c r="E1483" t="s">
        <v>4503</v>
      </c>
      <c r="F1483" s="61">
        <v>33563</v>
      </c>
      <c r="G1483" s="15" t="s">
        <v>73</v>
      </c>
      <c r="H1483" t="s">
        <v>4504</v>
      </c>
      <c r="I1483" s="62" t="s">
        <v>4505</v>
      </c>
      <c r="K1483" s="36" t="s">
        <v>68</v>
      </c>
      <c r="L1483" t="s">
        <v>69</v>
      </c>
      <c r="M1483" s="62" t="s">
        <v>70</v>
      </c>
      <c r="N1483" t="s">
        <v>71</v>
      </c>
      <c r="O1483" t="str">
        <f>IFERROR(IF(Tbla_actores[[#This Row],[codigo_proyecto]]="","",_xlfn.XLOOKUP(Tbla_actores[[#This Row],[codigo_proyecto]],Proyectos!$A:$A,Proyectos!$C:$C)),"")</f>
        <v>NULOS</v>
      </c>
    </row>
    <row r="1484" spans="1:15">
      <c r="A1484" s="9">
        <v>1000288528</v>
      </c>
      <c r="B1484" s="63" t="s">
        <v>61</v>
      </c>
      <c r="C1484" s="62" t="s">
        <v>4409</v>
      </c>
      <c r="D1484" t="s">
        <v>63</v>
      </c>
      <c r="E1484" t="s">
        <v>4506</v>
      </c>
      <c r="F1484" s="61">
        <v>36894</v>
      </c>
      <c r="G1484" s="15" t="s">
        <v>73</v>
      </c>
      <c r="H1484" t="s">
        <v>4507</v>
      </c>
      <c r="I1484" s="62" t="s">
        <v>4508</v>
      </c>
      <c r="K1484" s="36" t="s">
        <v>68</v>
      </c>
      <c r="L1484" t="s">
        <v>69</v>
      </c>
      <c r="M1484" s="62" t="s">
        <v>70</v>
      </c>
      <c r="N1484" t="s">
        <v>71</v>
      </c>
      <c r="O1484" t="str">
        <f>IFERROR(IF(Tbla_actores[[#This Row],[codigo_proyecto]]="","",_xlfn.XLOOKUP(Tbla_actores[[#This Row],[codigo_proyecto]],Proyectos!$A:$A,Proyectos!$C:$C)),"")</f>
        <v>NULOS</v>
      </c>
    </row>
    <row r="1485" spans="1:15">
      <c r="A1485" s="10">
        <v>1023980583</v>
      </c>
      <c r="B1485" s="64" t="s">
        <v>61</v>
      </c>
      <c r="C1485" s="62" t="s">
        <v>4409</v>
      </c>
      <c r="D1485" t="s">
        <v>63</v>
      </c>
      <c r="E1485" t="s">
        <v>4509</v>
      </c>
      <c r="F1485" s="61">
        <v>36505</v>
      </c>
      <c r="G1485" s="15" t="s">
        <v>73</v>
      </c>
      <c r="H1485" t="s">
        <v>4510</v>
      </c>
      <c r="I1485" s="62" t="s">
        <v>4511</v>
      </c>
      <c r="K1485" s="36" t="s">
        <v>68</v>
      </c>
      <c r="L1485" t="s">
        <v>69</v>
      </c>
      <c r="M1485" s="62" t="s">
        <v>70</v>
      </c>
      <c r="N1485" t="s">
        <v>71</v>
      </c>
      <c r="O1485" t="str">
        <f>IFERROR(IF(Tbla_actores[[#This Row],[codigo_proyecto]]="","",_xlfn.XLOOKUP(Tbla_actores[[#This Row],[codigo_proyecto]],Proyectos!$A:$A,Proyectos!$C:$C)),"")</f>
        <v>NULOS</v>
      </c>
    </row>
    <row r="1486" spans="1:15">
      <c r="A1486" s="9">
        <v>1005546463</v>
      </c>
      <c r="B1486" s="63" t="s">
        <v>61</v>
      </c>
      <c r="C1486" s="62" t="s">
        <v>4409</v>
      </c>
      <c r="D1486" t="s">
        <v>63</v>
      </c>
      <c r="E1486" t="s">
        <v>4512</v>
      </c>
      <c r="F1486" s="61">
        <v>37092</v>
      </c>
      <c r="G1486" s="15" t="s">
        <v>73</v>
      </c>
      <c r="H1486" t="s">
        <v>4513</v>
      </c>
      <c r="I1486" s="62" t="s">
        <v>4514</v>
      </c>
      <c r="K1486" s="36" t="s">
        <v>68</v>
      </c>
      <c r="L1486" t="s">
        <v>69</v>
      </c>
      <c r="M1486" s="62" t="s">
        <v>70</v>
      </c>
      <c r="N1486" t="s">
        <v>71</v>
      </c>
      <c r="O1486" t="str">
        <f>IFERROR(IF(Tbla_actores[[#This Row],[codigo_proyecto]]="","",_xlfn.XLOOKUP(Tbla_actores[[#This Row],[codigo_proyecto]],Proyectos!$A:$A,Proyectos!$C:$C)),"")</f>
        <v>NULOS</v>
      </c>
    </row>
    <row r="1487" spans="1:15">
      <c r="A1487" s="10">
        <v>1192774617</v>
      </c>
      <c r="B1487" s="64" t="s">
        <v>61</v>
      </c>
      <c r="C1487" s="62" t="s">
        <v>4409</v>
      </c>
      <c r="D1487" t="s">
        <v>63</v>
      </c>
      <c r="E1487" t="s">
        <v>4515</v>
      </c>
      <c r="F1487" s="61">
        <v>36832</v>
      </c>
      <c r="G1487" s="15" t="s">
        <v>73</v>
      </c>
      <c r="H1487" t="s">
        <v>4516</v>
      </c>
      <c r="I1487" s="62" t="s">
        <v>4517</v>
      </c>
      <c r="K1487" s="36" t="s">
        <v>68</v>
      </c>
      <c r="L1487" t="s">
        <v>69</v>
      </c>
      <c r="M1487" s="62" t="s">
        <v>70</v>
      </c>
      <c r="N1487" t="s">
        <v>71</v>
      </c>
      <c r="O1487" t="str">
        <f>IFERROR(IF(Tbla_actores[[#This Row],[codigo_proyecto]]="","",_xlfn.XLOOKUP(Tbla_actores[[#This Row],[codigo_proyecto]],Proyectos!$A:$A,Proyectos!$C:$C)),"")</f>
        <v>NULOS</v>
      </c>
    </row>
    <row r="1488" spans="1:15">
      <c r="A1488" s="9">
        <v>1023974032</v>
      </c>
      <c r="B1488" s="63" t="s">
        <v>61</v>
      </c>
      <c r="C1488" s="62" t="s">
        <v>4409</v>
      </c>
      <c r="D1488" t="s">
        <v>63</v>
      </c>
      <c r="E1488" t="s">
        <v>4518</v>
      </c>
      <c r="F1488" s="61">
        <v>36160</v>
      </c>
      <c r="G1488" s="15" t="s">
        <v>73</v>
      </c>
      <c r="H1488" t="s">
        <v>4519</v>
      </c>
      <c r="I1488" s="62" t="s">
        <v>4520</v>
      </c>
      <c r="K1488" s="36" t="s">
        <v>68</v>
      </c>
      <c r="L1488" t="s">
        <v>69</v>
      </c>
      <c r="M1488" s="62" t="s">
        <v>70</v>
      </c>
      <c r="N1488" t="s">
        <v>71</v>
      </c>
      <c r="O1488" t="str">
        <f>IFERROR(IF(Tbla_actores[[#This Row],[codigo_proyecto]]="","",_xlfn.XLOOKUP(Tbla_actores[[#This Row],[codigo_proyecto]],Proyectos!$A:$A,Proyectos!$C:$C)),"")</f>
        <v>NULOS</v>
      </c>
    </row>
    <row r="1489" spans="1:15">
      <c r="A1489" s="10">
        <v>1000125358</v>
      </c>
      <c r="B1489" s="64" t="s">
        <v>61</v>
      </c>
      <c r="C1489" s="62" t="s">
        <v>4409</v>
      </c>
      <c r="D1489" t="s">
        <v>63</v>
      </c>
      <c r="E1489" t="s">
        <v>4521</v>
      </c>
      <c r="F1489" s="61">
        <v>37337</v>
      </c>
      <c r="G1489" s="15" t="s">
        <v>65</v>
      </c>
      <c r="H1489" t="s">
        <v>4522</v>
      </c>
      <c r="I1489" s="62" t="s">
        <v>4523</v>
      </c>
      <c r="K1489" s="36" t="s">
        <v>68</v>
      </c>
      <c r="L1489" t="s">
        <v>69</v>
      </c>
      <c r="M1489" s="62" t="s">
        <v>70</v>
      </c>
      <c r="N1489" t="s">
        <v>71</v>
      </c>
      <c r="O1489" t="str">
        <f>IFERROR(IF(Tbla_actores[[#This Row],[codigo_proyecto]]="","",_xlfn.XLOOKUP(Tbla_actores[[#This Row],[codigo_proyecto]],Proyectos!$A:$A,Proyectos!$C:$C)),"")</f>
        <v>NULOS</v>
      </c>
    </row>
    <row r="1490" spans="1:15">
      <c r="A1490" s="9">
        <v>1020840088</v>
      </c>
      <c r="B1490" s="63" t="s">
        <v>61</v>
      </c>
      <c r="C1490" s="62" t="s">
        <v>4409</v>
      </c>
      <c r="D1490" t="s">
        <v>63</v>
      </c>
      <c r="E1490" t="s">
        <v>4524</v>
      </c>
      <c r="F1490" s="61">
        <v>36234</v>
      </c>
      <c r="G1490" s="15" t="s">
        <v>73</v>
      </c>
      <c r="H1490" t="s">
        <v>4525</v>
      </c>
      <c r="I1490" s="62" t="s">
        <v>4526</v>
      </c>
      <c r="K1490" s="36" t="s">
        <v>68</v>
      </c>
      <c r="L1490" t="s">
        <v>69</v>
      </c>
      <c r="M1490" s="62" t="s">
        <v>70</v>
      </c>
      <c r="N1490" t="s">
        <v>71</v>
      </c>
      <c r="O1490" t="str">
        <f>IFERROR(IF(Tbla_actores[[#This Row],[codigo_proyecto]]="","",_xlfn.XLOOKUP(Tbla_actores[[#This Row],[codigo_proyecto]],Proyectos!$A:$A,Proyectos!$C:$C)),"")</f>
        <v>NULOS</v>
      </c>
    </row>
    <row r="1491" spans="1:15">
      <c r="A1491" s="10">
        <v>1006821439</v>
      </c>
      <c r="B1491" s="64" t="s">
        <v>61</v>
      </c>
      <c r="C1491" s="62" t="s">
        <v>4409</v>
      </c>
      <c r="D1491" t="s">
        <v>63</v>
      </c>
      <c r="E1491" t="s">
        <v>4527</v>
      </c>
      <c r="F1491" s="61">
        <v>36568</v>
      </c>
      <c r="G1491" s="15" t="s">
        <v>73</v>
      </c>
      <c r="H1491" t="s">
        <v>4528</v>
      </c>
      <c r="I1491" s="62" t="s">
        <v>4529</v>
      </c>
      <c r="K1491" s="36" t="s">
        <v>68</v>
      </c>
      <c r="L1491" t="s">
        <v>69</v>
      </c>
      <c r="M1491" s="62" t="s">
        <v>70</v>
      </c>
      <c r="N1491" t="s">
        <v>71</v>
      </c>
      <c r="O1491" t="str">
        <f>IFERROR(IF(Tbla_actores[[#This Row],[codigo_proyecto]]="","",_xlfn.XLOOKUP(Tbla_actores[[#This Row],[codigo_proyecto]],Proyectos!$A:$A,Proyectos!$C:$C)),"")</f>
        <v>NULOS</v>
      </c>
    </row>
    <row r="1492" spans="1:15">
      <c r="A1492" s="9">
        <v>1005850981</v>
      </c>
      <c r="B1492" s="63" t="s">
        <v>61</v>
      </c>
      <c r="C1492" s="62" t="s">
        <v>4409</v>
      </c>
      <c r="D1492" t="s">
        <v>63</v>
      </c>
      <c r="E1492" t="s">
        <v>4530</v>
      </c>
      <c r="F1492" s="61">
        <v>37104</v>
      </c>
      <c r="G1492" s="15" t="s">
        <v>73</v>
      </c>
      <c r="H1492" t="s">
        <v>4531</v>
      </c>
      <c r="I1492" s="62" t="s">
        <v>4532</v>
      </c>
      <c r="K1492" s="36" t="s">
        <v>68</v>
      </c>
      <c r="L1492" t="s">
        <v>69</v>
      </c>
      <c r="M1492" s="62" t="s">
        <v>70</v>
      </c>
      <c r="N1492" t="s">
        <v>71</v>
      </c>
      <c r="O1492" t="str">
        <f>IFERROR(IF(Tbla_actores[[#This Row],[codigo_proyecto]]="","",_xlfn.XLOOKUP(Tbla_actores[[#This Row],[codigo_proyecto]],Proyectos!$A:$A,Proyectos!$C:$C)),"")</f>
        <v>NULOS</v>
      </c>
    </row>
    <row r="1493" spans="1:15">
      <c r="A1493" s="10">
        <v>1010248768</v>
      </c>
      <c r="B1493" s="64" t="s">
        <v>61</v>
      </c>
      <c r="C1493" s="62" t="s">
        <v>4409</v>
      </c>
      <c r="D1493" t="s">
        <v>63</v>
      </c>
      <c r="E1493" t="s">
        <v>4533</v>
      </c>
      <c r="F1493" s="61">
        <v>36520</v>
      </c>
      <c r="G1493" s="15" t="s">
        <v>73</v>
      </c>
      <c r="H1493" t="s">
        <v>4534</v>
      </c>
      <c r="I1493" s="62" t="s">
        <v>4535</v>
      </c>
      <c r="K1493" s="36" t="s">
        <v>68</v>
      </c>
      <c r="L1493" t="s">
        <v>69</v>
      </c>
      <c r="M1493" s="62" t="s">
        <v>70</v>
      </c>
      <c r="N1493" t="s">
        <v>71</v>
      </c>
      <c r="O1493" t="str">
        <f>IFERROR(IF(Tbla_actores[[#This Row],[codigo_proyecto]]="","",_xlfn.XLOOKUP(Tbla_actores[[#This Row],[codigo_proyecto]],Proyectos!$A:$A,Proyectos!$C:$C)),"")</f>
        <v>NULOS</v>
      </c>
    </row>
    <row r="1494" spans="1:15">
      <c r="A1494" s="9">
        <v>1193446211</v>
      </c>
      <c r="B1494" s="63" t="s">
        <v>61</v>
      </c>
      <c r="C1494" s="62" t="s">
        <v>4409</v>
      </c>
      <c r="D1494" t="s">
        <v>63</v>
      </c>
      <c r="E1494" t="s">
        <v>4536</v>
      </c>
      <c r="F1494" s="61">
        <v>36715</v>
      </c>
      <c r="G1494" s="15" t="s">
        <v>73</v>
      </c>
      <c r="H1494" t="s">
        <v>4537</v>
      </c>
      <c r="I1494" s="62" t="s">
        <v>4538</v>
      </c>
      <c r="K1494" s="36" t="s">
        <v>68</v>
      </c>
      <c r="L1494" t="s">
        <v>69</v>
      </c>
      <c r="M1494" s="62" t="s">
        <v>70</v>
      </c>
      <c r="N1494" t="s">
        <v>71</v>
      </c>
      <c r="O1494" t="str">
        <f>IFERROR(IF(Tbla_actores[[#This Row],[codigo_proyecto]]="","",_xlfn.XLOOKUP(Tbla_actores[[#This Row],[codigo_proyecto]],Proyectos!$A:$A,Proyectos!$C:$C)),"")</f>
        <v>NULOS</v>
      </c>
    </row>
    <row r="1495" spans="1:15">
      <c r="A1495" s="10">
        <v>1032507342</v>
      </c>
      <c r="B1495" s="64" t="s">
        <v>61</v>
      </c>
      <c r="C1495" s="62" t="s">
        <v>4409</v>
      </c>
      <c r="D1495" t="s">
        <v>63</v>
      </c>
      <c r="E1495" t="s">
        <v>4539</v>
      </c>
      <c r="F1495" s="61">
        <v>36448</v>
      </c>
      <c r="G1495" s="15" t="s">
        <v>65</v>
      </c>
      <c r="H1495" t="s">
        <v>4540</v>
      </c>
      <c r="I1495" s="62" t="s">
        <v>4541</v>
      </c>
      <c r="K1495" s="36" t="s">
        <v>68</v>
      </c>
      <c r="L1495" t="s">
        <v>69</v>
      </c>
      <c r="M1495" s="62" t="s">
        <v>70</v>
      </c>
      <c r="N1495" t="s">
        <v>71</v>
      </c>
      <c r="O1495" t="str">
        <f>IFERROR(IF(Tbla_actores[[#This Row],[codigo_proyecto]]="","",_xlfn.XLOOKUP(Tbla_actores[[#This Row],[codigo_proyecto]],Proyectos!$A:$A,Proyectos!$C:$C)),"")</f>
        <v>NULOS</v>
      </c>
    </row>
    <row r="1496" spans="1:15">
      <c r="A1496" s="9">
        <v>1007403253</v>
      </c>
      <c r="B1496" s="63" t="s">
        <v>61</v>
      </c>
      <c r="C1496" s="62" t="s">
        <v>4409</v>
      </c>
      <c r="D1496" t="s">
        <v>63</v>
      </c>
      <c r="E1496" t="s">
        <v>4542</v>
      </c>
      <c r="F1496" s="61">
        <v>36708</v>
      </c>
      <c r="G1496" s="15" t="s">
        <v>65</v>
      </c>
      <c r="H1496" t="s">
        <v>4543</v>
      </c>
      <c r="I1496" s="62" t="s">
        <v>4544</v>
      </c>
      <c r="K1496" s="36" t="s">
        <v>68</v>
      </c>
      <c r="L1496" t="s">
        <v>69</v>
      </c>
      <c r="M1496" s="62" t="s">
        <v>70</v>
      </c>
      <c r="N1496" t="s">
        <v>71</v>
      </c>
      <c r="O1496" t="str">
        <f>IFERROR(IF(Tbla_actores[[#This Row],[codigo_proyecto]]="","",_xlfn.XLOOKUP(Tbla_actores[[#This Row],[codigo_proyecto]],Proyectos!$A:$A,Proyectos!$C:$C)),"")</f>
        <v>NULOS</v>
      </c>
    </row>
    <row r="1497" spans="1:15">
      <c r="A1497" s="10">
        <v>1192774682</v>
      </c>
      <c r="B1497" s="64" t="s">
        <v>61</v>
      </c>
      <c r="C1497" s="62" t="s">
        <v>4409</v>
      </c>
      <c r="D1497" t="s">
        <v>63</v>
      </c>
      <c r="E1497" t="s">
        <v>4545</v>
      </c>
      <c r="F1497" s="61">
        <v>36606</v>
      </c>
      <c r="G1497" s="15" t="s">
        <v>73</v>
      </c>
      <c r="H1497" t="s">
        <v>4546</v>
      </c>
      <c r="I1497" s="62" t="s">
        <v>4547</v>
      </c>
      <c r="K1497" s="36" t="s">
        <v>68</v>
      </c>
      <c r="L1497" t="s">
        <v>69</v>
      </c>
      <c r="M1497" s="62" t="s">
        <v>70</v>
      </c>
      <c r="N1497" t="s">
        <v>71</v>
      </c>
      <c r="O1497" t="str">
        <f>IFERROR(IF(Tbla_actores[[#This Row],[codigo_proyecto]]="","",_xlfn.XLOOKUP(Tbla_actores[[#This Row],[codigo_proyecto]],Proyectos!$A:$A,Proyectos!$C:$C)),"")</f>
        <v>NULOS</v>
      </c>
    </row>
    <row r="1498" spans="1:15">
      <c r="A1498" s="9">
        <v>1000596468</v>
      </c>
      <c r="B1498" s="63" t="s">
        <v>61</v>
      </c>
      <c r="C1498" s="62" t="s">
        <v>4409</v>
      </c>
      <c r="D1498" t="s">
        <v>63</v>
      </c>
      <c r="E1498" t="s">
        <v>4548</v>
      </c>
      <c r="F1498" s="61">
        <v>37133</v>
      </c>
      <c r="G1498" s="15" t="s">
        <v>73</v>
      </c>
      <c r="H1498" t="s">
        <v>4549</v>
      </c>
      <c r="I1498" s="62" t="s">
        <v>4550</v>
      </c>
      <c r="K1498" s="36" t="s">
        <v>68</v>
      </c>
      <c r="L1498" t="s">
        <v>69</v>
      </c>
      <c r="M1498" s="62" t="s">
        <v>70</v>
      </c>
      <c r="N1498" t="s">
        <v>71</v>
      </c>
      <c r="O1498" t="str">
        <f>IFERROR(IF(Tbla_actores[[#This Row],[codigo_proyecto]]="","",_xlfn.XLOOKUP(Tbla_actores[[#This Row],[codigo_proyecto]],Proyectos!$A:$A,Proyectos!$C:$C)),"")</f>
        <v>NULOS</v>
      </c>
    </row>
    <row r="1499" spans="1:15">
      <c r="A1499" s="10">
        <v>1001062361</v>
      </c>
      <c r="B1499" s="64" t="s">
        <v>61</v>
      </c>
      <c r="C1499" s="62" t="s">
        <v>4409</v>
      </c>
      <c r="D1499" t="s">
        <v>63</v>
      </c>
      <c r="E1499" t="s">
        <v>4551</v>
      </c>
      <c r="F1499" s="61">
        <v>36724</v>
      </c>
      <c r="G1499" s="15" t="s">
        <v>73</v>
      </c>
      <c r="H1499" t="s">
        <v>4552</v>
      </c>
      <c r="I1499" s="62" t="s">
        <v>4553</v>
      </c>
      <c r="K1499" s="36" t="s">
        <v>68</v>
      </c>
      <c r="L1499" t="s">
        <v>69</v>
      </c>
      <c r="M1499" s="62" t="s">
        <v>70</v>
      </c>
      <c r="N1499" t="s">
        <v>71</v>
      </c>
      <c r="O1499" t="str">
        <f>IFERROR(IF(Tbla_actores[[#This Row],[codigo_proyecto]]="","",_xlfn.XLOOKUP(Tbla_actores[[#This Row],[codigo_proyecto]],Proyectos!$A:$A,Proyectos!$C:$C)),"")</f>
        <v>NULOS</v>
      </c>
    </row>
    <row r="1500" spans="1:15">
      <c r="A1500" s="9">
        <v>1000352061</v>
      </c>
      <c r="B1500" s="63" t="s">
        <v>61</v>
      </c>
      <c r="C1500" s="62" t="s">
        <v>4409</v>
      </c>
      <c r="D1500" t="s">
        <v>63</v>
      </c>
      <c r="E1500" t="s">
        <v>4554</v>
      </c>
      <c r="F1500" s="61">
        <v>37474</v>
      </c>
      <c r="G1500" s="15" t="s">
        <v>65</v>
      </c>
      <c r="H1500" t="s">
        <v>4555</v>
      </c>
      <c r="I1500" s="62" t="s">
        <v>4556</v>
      </c>
      <c r="K1500" s="36" t="s">
        <v>68</v>
      </c>
      <c r="L1500" t="s">
        <v>69</v>
      </c>
      <c r="M1500" s="62" t="s">
        <v>70</v>
      </c>
      <c r="N1500" t="s">
        <v>71</v>
      </c>
      <c r="O1500" t="str">
        <f>IFERROR(IF(Tbla_actores[[#This Row],[codigo_proyecto]]="","",_xlfn.XLOOKUP(Tbla_actores[[#This Row],[codigo_proyecto]],Proyectos!$A:$A,Proyectos!$C:$C)),"")</f>
        <v>NULOS</v>
      </c>
    </row>
    <row r="1501" spans="1:15">
      <c r="A1501" s="10">
        <v>1000364220</v>
      </c>
      <c r="B1501" s="64" t="s">
        <v>61</v>
      </c>
      <c r="C1501" s="62" t="s">
        <v>4409</v>
      </c>
      <c r="D1501" t="s">
        <v>63</v>
      </c>
      <c r="E1501" t="s">
        <v>4557</v>
      </c>
      <c r="F1501" s="61">
        <v>36903</v>
      </c>
      <c r="G1501" s="15" t="s">
        <v>65</v>
      </c>
      <c r="H1501" t="s">
        <v>4558</v>
      </c>
      <c r="I1501" s="62" t="s">
        <v>4559</v>
      </c>
      <c r="K1501" s="36" t="s">
        <v>68</v>
      </c>
      <c r="L1501" t="s">
        <v>69</v>
      </c>
      <c r="M1501" s="62" t="s">
        <v>70</v>
      </c>
      <c r="N1501" t="s">
        <v>71</v>
      </c>
      <c r="O1501" t="str">
        <f>IFERROR(IF(Tbla_actores[[#This Row],[codigo_proyecto]]="","",_xlfn.XLOOKUP(Tbla_actores[[#This Row],[codigo_proyecto]],Proyectos!$A:$A,Proyectos!$C:$C)),"")</f>
        <v>NULOS</v>
      </c>
    </row>
    <row r="1502" spans="1:15">
      <c r="A1502" s="9">
        <v>1193116556</v>
      </c>
      <c r="B1502" s="63" t="s">
        <v>61</v>
      </c>
      <c r="C1502" s="62" t="s">
        <v>4409</v>
      </c>
      <c r="D1502" t="s">
        <v>63</v>
      </c>
      <c r="E1502" t="s">
        <v>4560</v>
      </c>
      <c r="F1502" s="61">
        <v>37148</v>
      </c>
      <c r="G1502" s="15" t="s">
        <v>73</v>
      </c>
      <c r="H1502" t="s">
        <v>4561</v>
      </c>
      <c r="I1502" s="62" t="s">
        <v>4562</v>
      </c>
      <c r="K1502" s="36" t="s">
        <v>68</v>
      </c>
      <c r="L1502" t="s">
        <v>69</v>
      </c>
      <c r="M1502" s="62" t="s">
        <v>70</v>
      </c>
      <c r="N1502" t="s">
        <v>71</v>
      </c>
      <c r="O1502" t="str">
        <f>IFERROR(IF(Tbla_actores[[#This Row],[codigo_proyecto]]="","",_xlfn.XLOOKUP(Tbla_actores[[#This Row],[codigo_proyecto]],Proyectos!$A:$A,Proyectos!$C:$C)),"")</f>
        <v>NULOS</v>
      </c>
    </row>
    <row r="1503" spans="1:15">
      <c r="A1503" s="10">
        <v>1000351352</v>
      </c>
      <c r="B1503" s="64" t="s">
        <v>61</v>
      </c>
      <c r="C1503" s="62" t="s">
        <v>4409</v>
      </c>
      <c r="D1503" t="s">
        <v>63</v>
      </c>
      <c r="E1503" t="s">
        <v>4563</v>
      </c>
      <c r="F1503" s="61">
        <v>37239</v>
      </c>
      <c r="G1503" s="15" t="s">
        <v>73</v>
      </c>
      <c r="H1503" t="s">
        <v>4564</v>
      </c>
      <c r="I1503" s="62" t="s">
        <v>4565</v>
      </c>
      <c r="K1503" s="36" t="s">
        <v>68</v>
      </c>
      <c r="L1503" t="s">
        <v>69</v>
      </c>
      <c r="M1503" s="62" t="s">
        <v>70</v>
      </c>
      <c r="N1503" t="s">
        <v>71</v>
      </c>
      <c r="O1503" t="str">
        <f>IFERROR(IF(Tbla_actores[[#This Row],[codigo_proyecto]]="","",_xlfn.XLOOKUP(Tbla_actores[[#This Row],[codigo_proyecto]],Proyectos!$A:$A,Proyectos!$C:$C)),"")</f>
        <v>NULOS</v>
      </c>
    </row>
    <row r="1504" spans="1:15">
      <c r="A1504" s="9">
        <v>1000520793</v>
      </c>
      <c r="B1504" s="63" t="s">
        <v>61</v>
      </c>
      <c r="C1504" s="62" t="s">
        <v>4409</v>
      </c>
      <c r="D1504" t="s">
        <v>63</v>
      </c>
      <c r="E1504" t="s">
        <v>4566</v>
      </c>
      <c r="F1504" s="61">
        <v>36976</v>
      </c>
      <c r="G1504" s="15" t="s">
        <v>73</v>
      </c>
      <c r="H1504" t="s">
        <v>4567</v>
      </c>
      <c r="I1504" s="62" t="s">
        <v>4568</v>
      </c>
      <c r="K1504" s="36" t="s">
        <v>68</v>
      </c>
      <c r="L1504" t="s">
        <v>69</v>
      </c>
      <c r="M1504" s="62" t="s">
        <v>70</v>
      </c>
      <c r="N1504" t="s">
        <v>71</v>
      </c>
      <c r="O1504" t="str">
        <f>IFERROR(IF(Tbla_actores[[#This Row],[codigo_proyecto]]="","",_xlfn.XLOOKUP(Tbla_actores[[#This Row],[codigo_proyecto]],Proyectos!$A:$A,Proyectos!$C:$C)),"")</f>
        <v>NULOS</v>
      </c>
    </row>
    <row r="1505" spans="1:15">
      <c r="A1505" s="10">
        <v>1001902877</v>
      </c>
      <c r="B1505" s="64" t="s">
        <v>61</v>
      </c>
      <c r="C1505" s="62" t="s">
        <v>4409</v>
      </c>
      <c r="D1505" t="s">
        <v>63</v>
      </c>
      <c r="E1505" t="s">
        <v>4569</v>
      </c>
      <c r="F1505" s="61">
        <v>36761</v>
      </c>
      <c r="G1505" s="15" t="s">
        <v>73</v>
      </c>
      <c r="H1505" t="s">
        <v>4570</v>
      </c>
      <c r="I1505" s="62" t="s">
        <v>4571</v>
      </c>
      <c r="K1505" s="36" t="s">
        <v>68</v>
      </c>
      <c r="L1505" t="s">
        <v>69</v>
      </c>
      <c r="M1505" s="62" t="s">
        <v>70</v>
      </c>
      <c r="N1505" t="s">
        <v>71</v>
      </c>
      <c r="O1505" t="str">
        <f>IFERROR(IF(Tbla_actores[[#This Row],[codigo_proyecto]]="","",_xlfn.XLOOKUP(Tbla_actores[[#This Row],[codigo_proyecto]],Proyectos!$A:$A,Proyectos!$C:$C)),"")</f>
        <v>NULOS</v>
      </c>
    </row>
    <row r="1506" spans="1:15">
      <c r="A1506" s="9">
        <v>1000950821</v>
      </c>
      <c r="B1506" s="63" t="s">
        <v>61</v>
      </c>
      <c r="C1506" s="62" t="s">
        <v>4409</v>
      </c>
      <c r="D1506" t="s">
        <v>63</v>
      </c>
      <c r="E1506" t="s">
        <v>4572</v>
      </c>
      <c r="F1506" s="61">
        <v>36665</v>
      </c>
      <c r="G1506" s="15" t="s">
        <v>73</v>
      </c>
      <c r="H1506" t="s">
        <v>4573</v>
      </c>
      <c r="I1506" s="62" t="s">
        <v>4574</v>
      </c>
      <c r="K1506" s="36" t="s">
        <v>68</v>
      </c>
      <c r="L1506" t="s">
        <v>69</v>
      </c>
      <c r="M1506" s="62" t="s">
        <v>70</v>
      </c>
      <c r="N1506" t="s">
        <v>71</v>
      </c>
      <c r="O1506" t="str">
        <f>IFERROR(IF(Tbla_actores[[#This Row],[codigo_proyecto]]="","",_xlfn.XLOOKUP(Tbla_actores[[#This Row],[codigo_proyecto]],Proyectos!$A:$A,Proyectos!$C:$C)),"")</f>
        <v>NULOS</v>
      </c>
    </row>
    <row r="1507" spans="1:15">
      <c r="A1507" s="10">
        <v>1000252252</v>
      </c>
      <c r="B1507" s="64" t="s">
        <v>61</v>
      </c>
      <c r="C1507" s="62" t="s">
        <v>4409</v>
      </c>
      <c r="D1507" t="s">
        <v>63</v>
      </c>
      <c r="E1507" t="s">
        <v>4575</v>
      </c>
      <c r="F1507" s="61">
        <v>36560</v>
      </c>
      <c r="G1507" s="15" t="s">
        <v>73</v>
      </c>
      <c r="H1507" t="s">
        <v>4576</v>
      </c>
      <c r="I1507" s="62" t="s">
        <v>4577</v>
      </c>
      <c r="K1507" s="36" t="s">
        <v>68</v>
      </c>
      <c r="L1507" t="s">
        <v>69</v>
      </c>
      <c r="M1507" s="62" t="s">
        <v>70</v>
      </c>
      <c r="N1507" t="s">
        <v>71</v>
      </c>
      <c r="O1507" t="str">
        <f>IFERROR(IF(Tbla_actores[[#This Row],[codigo_proyecto]]="","",_xlfn.XLOOKUP(Tbla_actores[[#This Row],[codigo_proyecto]],Proyectos!$A:$A,Proyectos!$C:$C)),"")</f>
        <v>NULOS</v>
      </c>
    </row>
    <row r="1508" spans="1:15">
      <c r="A1508" s="9">
        <v>1001057221</v>
      </c>
      <c r="B1508" s="63" t="s">
        <v>61</v>
      </c>
      <c r="C1508" s="62" t="s">
        <v>4409</v>
      </c>
      <c r="D1508" t="s">
        <v>63</v>
      </c>
      <c r="E1508" t="s">
        <v>4578</v>
      </c>
      <c r="F1508" s="61">
        <v>36985</v>
      </c>
      <c r="G1508" s="15" t="s">
        <v>73</v>
      </c>
      <c r="H1508" t="s">
        <v>4579</v>
      </c>
      <c r="I1508" s="62" t="s">
        <v>4580</v>
      </c>
      <c r="K1508" s="36" t="s">
        <v>68</v>
      </c>
      <c r="L1508" t="s">
        <v>69</v>
      </c>
      <c r="M1508" s="62" t="s">
        <v>70</v>
      </c>
      <c r="N1508" t="s">
        <v>71</v>
      </c>
      <c r="O1508" t="str">
        <f>IFERROR(IF(Tbla_actores[[#This Row],[codigo_proyecto]]="","",_xlfn.XLOOKUP(Tbla_actores[[#This Row],[codigo_proyecto]],Proyectos!$A:$A,Proyectos!$C:$C)),"")</f>
        <v>NULOS</v>
      </c>
    </row>
    <row r="1509" spans="1:15">
      <c r="A1509" s="10">
        <v>1020839826</v>
      </c>
      <c r="B1509" s="64" t="s">
        <v>61</v>
      </c>
      <c r="C1509" s="62" t="s">
        <v>4409</v>
      </c>
      <c r="D1509" t="s">
        <v>63</v>
      </c>
      <c r="E1509" t="s">
        <v>4581</v>
      </c>
      <c r="F1509" s="61">
        <v>36236</v>
      </c>
      <c r="G1509" s="15" t="s">
        <v>65</v>
      </c>
      <c r="H1509" t="s">
        <v>4582</v>
      </c>
      <c r="I1509" s="62" t="s">
        <v>4583</v>
      </c>
      <c r="K1509" s="36" t="s">
        <v>169</v>
      </c>
      <c r="L1509" t="s">
        <v>69</v>
      </c>
      <c r="M1509" s="62" t="s">
        <v>170</v>
      </c>
      <c r="N1509" t="s">
        <v>71</v>
      </c>
      <c r="O1509" t="str">
        <f>IFERROR(IF(Tbla_actores[[#This Row],[codigo_proyecto]]="","",_xlfn.XLOOKUP(Tbla_actores[[#This Row],[codigo_proyecto]],Proyectos!$A:$A,Proyectos!$C:$C)),"")</f>
        <v>NULOS</v>
      </c>
    </row>
    <row r="1510" spans="1:15">
      <c r="A1510" s="9">
        <v>1118573099</v>
      </c>
      <c r="B1510" s="63" t="s">
        <v>61</v>
      </c>
      <c r="C1510" s="62" t="s">
        <v>4409</v>
      </c>
      <c r="D1510" t="s">
        <v>63</v>
      </c>
      <c r="E1510" t="s">
        <v>4584</v>
      </c>
      <c r="F1510" s="61">
        <v>36158</v>
      </c>
      <c r="G1510" s="15" t="s">
        <v>73</v>
      </c>
      <c r="H1510" t="s">
        <v>4585</v>
      </c>
      <c r="I1510" s="62" t="s">
        <v>4586</v>
      </c>
      <c r="K1510" s="36" t="s">
        <v>169</v>
      </c>
      <c r="L1510" t="s">
        <v>69</v>
      </c>
      <c r="M1510" s="62" t="s">
        <v>170</v>
      </c>
      <c r="N1510" t="s">
        <v>71</v>
      </c>
      <c r="O1510" t="str">
        <f>IFERROR(IF(Tbla_actores[[#This Row],[codigo_proyecto]]="","",_xlfn.XLOOKUP(Tbla_actores[[#This Row],[codigo_proyecto]],Proyectos!$A:$A,Proyectos!$C:$C)),"")</f>
        <v>NULOS</v>
      </c>
    </row>
    <row r="1511" spans="1:15">
      <c r="A1511" s="10">
        <v>1018508337</v>
      </c>
      <c r="B1511" s="64" t="s">
        <v>61</v>
      </c>
      <c r="C1511" s="62" t="s">
        <v>4409</v>
      </c>
      <c r="D1511" t="s">
        <v>63</v>
      </c>
      <c r="E1511" t="s">
        <v>4587</v>
      </c>
      <c r="F1511" s="61">
        <v>36178</v>
      </c>
      <c r="G1511" s="15" t="s">
        <v>65</v>
      </c>
      <c r="H1511" t="s">
        <v>4588</v>
      </c>
      <c r="I1511" s="62" t="s">
        <v>4589</v>
      </c>
      <c r="K1511" s="36" t="s">
        <v>169</v>
      </c>
      <c r="L1511" t="s">
        <v>69</v>
      </c>
      <c r="M1511" s="62" t="s">
        <v>70</v>
      </c>
      <c r="N1511" t="s">
        <v>71</v>
      </c>
      <c r="O1511" t="str">
        <f>IFERROR(IF(Tbla_actores[[#This Row],[codigo_proyecto]]="","",_xlfn.XLOOKUP(Tbla_actores[[#This Row],[codigo_proyecto]],Proyectos!$A:$A,Proyectos!$C:$C)),"")</f>
        <v>NULOS</v>
      </c>
    </row>
    <row r="1512" spans="1:15">
      <c r="A1512" s="9">
        <v>1077976381</v>
      </c>
      <c r="B1512" s="63" t="s">
        <v>61</v>
      </c>
      <c r="C1512" s="62" t="s">
        <v>4409</v>
      </c>
      <c r="D1512" t="s">
        <v>63</v>
      </c>
      <c r="E1512" t="s">
        <v>4590</v>
      </c>
      <c r="F1512" s="61">
        <v>36231</v>
      </c>
      <c r="G1512" s="15" t="s">
        <v>65</v>
      </c>
      <c r="H1512" t="s">
        <v>4591</v>
      </c>
      <c r="I1512" s="62" t="s">
        <v>4592</v>
      </c>
      <c r="K1512" s="36" t="s">
        <v>169</v>
      </c>
      <c r="L1512" t="s">
        <v>69</v>
      </c>
      <c r="M1512" s="62" t="s">
        <v>170</v>
      </c>
      <c r="N1512" t="s">
        <v>71</v>
      </c>
      <c r="O1512" t="str">
        <f>IFERROR(IF(Tbla_actores[[#This Row],[codigo_proyecto]]="","",_xlfn.XLOOKUP(Tbla_actores[[#This Row],[codigo_proyecto]],Proyectos!$A:$A,Proyectos!$C:$C)),"")</f>
        <v>NULOS</v>
      </c>
    </row>
    <row r="1513" spans="1:15">
      <c r="A1513" s="10">
        <v>1193476593</v>
      </c>
      <c r="B1513" s="64" t="s">
        <v>61</v>
      </c>
      <c r="C1513" s="62" t="s">
        <v>4409</v>
      </c>
      <c r="D1513" t="s">
        <v>63</v>
      </c>
      <c r="E1513" t="s">
        <v>4593</v>
      </c>
      <c r="F1513" s="61">
        <v>36921</v>
      </c>
      <c r="G1513" s="15" t="s">
        <v>65</v>
      </c>
      <c r="H1513" t="s">
        <v>4594</v>
      </c>
      <c r="I1513" s="62" t="s">
        <v>4595</v>
      </c>
      <c r="K1513" s="36" t="s">
        <v>169</v>
      </c>
      <c r="L1513" t="s">
        <v>69</v>
      </c>
      <c r="M1513" s="62" t="s">
        <v>170</v>
      </c>
      <c r="N1513" t="s">
        <v>71</v>
      </c>
      <c r="O1513" t="str">
        <f>IFERROR(IF(Tbla_actores[[#This Row],[codigo_proyecto]]="","",_xlfn.XLOOKUP(Tbla_actores[[#This Row],[codigo_proyecto]],Proyectos!$A:$A,Proyectos!$C:$C)),"")</f>
        <v>NULOS</v>
      </c>
    </row>
    <row r="1514" spans="1:15">
      <c r="A1514" s="9">
        <v>1107518217</v>
      </c>
      <c r="B1514" s="63" t="s">
        <v>61</v>
      </c>
      <c r="C1514" s="62" t="s">
        <v>4409</v>
      </c>
      <c r="D1514" t="s">
        <v>63</v>
      </c>
      <c r="E1514" t="s">
        <v>4596</v>
      </c>
      <c r="F1514" s="61">
        <v>35961</v>
      </c>
      <c r="G1514" s="15" t="s">
        <v>65</v>
      </c>
      <c r="H1514" t="s">
        <v>4597</v>
      </c>
      <c r="I1514" s="62" t="s">
        <v>4598</v>
      </c>
      <c r="K1514" s="36" t="s">
        <v>169</v>
      </c>
      <c r="L1514" t="s">
        <v>69</v>
      </c>
      <c r="M1514" s="62" t="s">
        <v>170</v>
      </c>
      <c r="N1514" t="s">
        <v>71</v>
      </c>
      <c r="O1514" t="str">
        <f>IFERROR(IF(Tbla_actores[[#This Row],[codigo_proyecto]]="","",_xlfn.XLOOKUP(Tbla_actores[[#This Row],[codigo_proyecto]],Proyectos!$A:$A,Proyectos!$C:$C)),"")</f>
        <v>NULOS</v>
      </c>
    </row>
    <row r="1515" spans="1:15">
      <c r="A1515" s="10">
        <v>1127340958</v>
      </c>
      <c r="B1515" s="64" t="s">
        <v>61</v>
      </c>
      <c r="C1515" s="62" t="s">
        <v>4409</v>
      </c>
      <c r="D1515" t="s">
        <v>63</v>
      </c>
      <c r="E1515" t="s">
        <v>4599</v>
      </c>
      <c r="F1515" s="61">
        <v>36326</v>
      </c>
      <c r="G1515" s="15" t="s">
        <v>73</v>
      </c>
      <c r="H1515" t="s">
        <v>4600</v>
      </c>
      <c r="I1515" s="62" t="s">
        <v>4601</v>
      </c>
      <c r="K1515" s="36" t="s">
        <v>169</v>
      </c>
      <c r="L1515" t="s">
        <v>69</v>
      </c>
      <c r="M1515" s="62" t="s">
        <v>170</v>
      </c>
      <c r="N1515" t="s">
        <v>71</v>
      </c>
      <c r="O1515" t="str">
        <f>IFERROR(IF(Tbla_actores[[#This Row],[codigo_proyecto]]="","",_xlfn.XLOOKUP(Tbla_actores[[#This Row],[codigo_proyecto]],Proyectos!$A:$A,Proyectos!$C:$C)),"")</f>
        <v>NULOS</v>
      </c>
    </row>
    <row r="1516" spans="1:15">
      <c r="A1516" s="9">
        <v>1000686350</v>
      </c>
      <c r="B1516" s="63" t="s">
        <v>61</v>
      </c>
      <c r="C1516" s="62" t="s">
        <v>4409</v>
      </c>
      <c r="D1516" t="s">
        <v>63</v>
      </c>
      <c r="E1516" t="s">
        <v>4602</v>
      </c>
      <c r="F1516" s="61">
        <v>37116</v>
      </c>
      <c r="G1516" s="15" t="s">
        <v>65</v>
      </c>
      <c r="H1516" t="s">
        <v>4603</v>
      </c>
      <c r="I1516" s="62" t="s">
        <v>4604</v>
      </c>
      <c r="K1516" s="36" t="s">
        <v>169</v>
      </c>
      <c r="L1516" t="s">
        <v>69</v>
      </c>
      <c r="M1516" s="62" t="s">
        <v>170</v>
      </c>
      <c r="N1516" t="s">
        <v>71</v>
      </c>
      <c r="O1516" t="str">
        <f>IFERROR(IF(Tbla_actores[[#This Row],[codigo_proyecto]]="","",_xlfn.XLOOKUP(Tbla_actores[[#This Row],[codigo_proyecto]],Proyectos!$A:$A,Proyectos!$C:$C)),"")</f>
        <v>NULOS</v>
      </c>
    </row>
    <row r="1517" spans="1:15">
      <c r="A1517" s="10">
        <v>1000270679</v>
      </c>
      <c r="B1517" s="64" t="s">
        <v>61</v>
      </c>
      <c r="C1517" s="62" t="s">
        <v>4409</v>
      </c>
      <c r="D1517" t="s">
        <v>63</v>
      </c>
      <c r="E1517" t="s">
        <v>4605</v>
      </c>
      <c r="F1517" s="61">
        <v>36530</v>
      </c>
      <c r="G1517" s="15" t="s">
        <v>65</v>
      </c>
      <c r="H1517" t="s">
        <v>4606</v>
      </c>
      <c r="I1517" s="62" t="s">
        <v>4607</v>
      </c>
      <c r="K1517" s="36" t="s">
        <v>169</v>
      </c>
      <c r="L1517" t="s">
        <v>69</v>
      </c>
      <c r="M1517" s="62" t="s">
        <v>170</v>
      </c>
      <c r="N1517" t="s">
        <v>71</v>
      </c>
      <c r="O1517" t="str">
        <f>IFERROR(IF(Tbla_actores[[#This Row],[codigo_proyecto]]="","",_xlfn.XLOOKUP(Tbla_actores[[#This Row],[codigo_proyecto]],Proyectos!$A:$A,Proyectos!$C:$C)),"")</f>
        <v>NULOS</v>
      </c>
    </row>
    <row r="1518" spans="1:15">
      <c r="A1518" s="9">
        <v>1000257449</v>
      </c>
      <c r="B1518" s="63" t="s">
        <v>61</v>
      </c>
      <c r="C1518" s="62" t="s">
        <v>4409</v>
      </c>
      <c r="D1518" t="s">
        <v>63</v>
      </c>
      <c r="E1518" t="s">
        <v>4608</v>
      </c>
      <c r="F1518" s="61">
        <v>36927</v>
      </c>
      <c r="G1518" s="15" t="s">
        <v>65</v>
      </c>
      <c r="H1518" t="s">
        <v>4609</v>
      </c>
      <c r="I1518" s="62" t="s">
        <v>4610</v>
      </c>
      <c r="K1518" s="36" t="s">
        <v>169</v>
      </c>
      <c r="L1518" t="s">
        <v>69</v>
      </c>
      <c r="M1518" s="62" t="s">
        <v>170</v>
      </c>
      <c r="N1518" t="s">
        <v>71</v>
      </c>
      <c r="O1518" t="str">
        <f>IFERROR(IF(Tbla_actores[[#This Row],[codigo_proyecto]]="","",_xlfn.XLOOKUP(Tbla_actores[[#This Row],[codigo_proyecto]],Proyectos!$A:$A,Proyectos!$C:$C)),"")</f>
        <v>NULOS</v>
      </c>
    </row>
    <row r="1519" spans="1:15">
      <c r="A1519" s="10">
        <v>1005281820</v>
      </c>
      <c r="B1519" s="64" t="s">
        <v>61</v>
      </c>
      <c r="C1519" s="62" t="s">
        <v>4409</v>
      </c>
      <c r="D1519" t="s">
        <v>63</v>
      </c>
      <c r="E1519" t="s">
        <v>4611</v>
      </c>
      <c r="F1519" s="61">
        <v>36925</v>
      </c>
      <c r="G1519" s="15" t="s">
        <v>65</v>
      </c>
      <c r="H1519" t="s">
        <v>4612</v>
      </c>
      <c r="I1519" s="62" t="s">
        <v>4613</v>
      </c>
      <c r="K1519" s="36" t="s">
        <v>169</v>
      </c>
      <c r="L1519" t="s">
        <v>69</v>
      </c>
      <c r="M1519" s="62" t="s">
        <v>170</v>
      </c>
      <c r="N1519" t="s">
        <v>71</v>
      </c>
      <c r="O1519" t="str">
        <f>IFERROR(IF(Tbla_actores[[#This Row],[codigo_proyecto]]="","",_xlfn.XLOOKUP(Tbla_actores[[#This Row],[codigo_proyecto]],Proyectos!$A:$A,Proyectos!$C:$C)),"")</f>
        <v>NULOS</v>
      </c>
    </row>
    <row r="1520" spans="1:15">
      <c r="A1520" s="9">
        <v>1022447213</v>
      </c>
      <c r="B1520" s="63" t="s">
        <v>61</v>
      </c>
      <c r="C1520" s="62" t="s">
        <v>4409</v>
      </c>
      <c r="D1520" t="s">
        <v>63</v>
      </c>
      <c r="E1520" t="s">
        <v>4614</v>
      </c>
      <c r="F1520" s="61">
        <v>36477</v>
      </c>
      <c r="G1520" s="15" t="s">
        <v>73</v>
      </c>
      <c r="H1520" t="s">
        <v>4615</v>
      </c>
      <c r="I1520" s="62" t="s">
        <v>4616</v>
      </c>
      <c r="K1520" s="36" t="s">
        <v>169</v>
      </c>
      <c r="L1520" t="s">
        <v>69</v>
      </c>
      <c r="M1520" s="62" t="s">
        <v>170</v>
      </c>
      <c r="N1520" t="s">
        <v>71</v>
      </c>
      <c r="O1520" t="str">
        <f>IFERROR(IF(Tbla_actores[[#This Row],[codigo_proyecto]]="","",_xlfn.XLOOKUP(Tbla_actores[[#This Row],[codigo_proyecto]],Proyectos!$A:$A,Proyectos!$C:$C)),"")</f>
        <v>NULOS</v>
      </c>
    </row>
    <row r="1521" spans="1:15">
      <c r="A1521" s="10">
        <v>1032493064</v>
      </c>
      <c r="B1521" s="64" t="s">
        <v>61</v>
      </c>
      <c r="C1521" s="62" t="s">
        <v>4409</v>
      </c>
      <c r="D1521" t="s">
        <v>63</v>
      </c>
      <c r="E1521" t="s">
        <v>4617</v>
      </c>
      <c r="F1521" s="61">
        <v>35674</v>
      </c>
      <c r="G1521" s="15" t="s">
        <v>65</v>
      </c>
      <c r="H1521" t="s">
        <v>4618</v>
      </c>
      <c r="I1521" s="62" t="s">
        <v>4619</v>
      </c>
      <c r="K1521" s="36" t="s">
        <v>169</v>
      </c>
      <c r="L1521" t="s">
        <v>69</v>
      </c>
      <c r="M1521" s="62" t="s">
        <v>170</v>
      </c>
      <c r="N1521" t="s">
        <v>71</v>
      </c>
      <c r="O1521" t="str">
        <f>IFERROR(IF(Tbla_actores[[#This Row],[codigo_proyecto]]="","",_xlfn.XLOOKUP(Tbla_actores[[#This Row],[codigo_proyecto]],Proyectos!$A:$A,Proyectos!$C:$C)),"")</f>
        <v>NULOS</v>
      </c>
    </row>
    <row r="1522" spans="1:15">
      <c r="A1522" s="9">
        <v>1015475934</v>
      </c>
      <c r="B1522" s="63" t="s">
        <v>61</v>
      </c>
      <c r="C1522" s="62" t="s">
        <v>4409</v>
      </c>
      <c r="D1522" t="s">
        <v>63</v>
      </c>
      <c r="E1522" t="s">
        <v>4620</v>
      </c>
      <c r="F1522" s="61">
        <v>35989</v>
      </c>
      <c r="G1522" s="15" t="s">
        <v>73</v>
      </c>
      <c r="H1522" t="s">
        <v>4621</v>
      </c>
      <c r="I1522" s="62" t="s">
        <v>4622</v>
      </c>
      <c r="K1522" s="36" t="s">
        <v>169</v>
      </c>
      <c r="L1522" t="s">
        <v>69</v>
      </c>
      <c r="M1522" s="62" t="s">
        <v>170</v>
      </c>
      <c r="N1522" t="s">
        <v>71</v>
      </c>
      <c r="O1522" t="str">
        <f>IFERROR(IF(Tbla_actores[[#This Row],[codigo_proyecto]]="","",_xlfn.XLOOKUP(Tbla_actores[[#This Row],[codigo_proyecto]],Proyectos!$A:$A,Proyectos!$C:$C)),"")</f>
        <v>NULOS</v>
      </c>
    </row>
    <row r="1523" spans="1:15">
      <c r="A1523" s="10">
        <v>1018503720</v>
      </c>
      <c r="B1523" s="64" t="s">
        <v>61</v>
      </c>
      <c r="C1523" s="62" t="s">
        <v>4409</v>
      </c>
      <c r="D1523" t="s">
        <v>63</v>
      </c>
      <c r="E1523" t="s">
        <v>4623</v>
      </c>
      <c r="F1523" s="61">
        <v>35960</v>
      </c>
      <c r="G1523" s="15" t="s">
        <v>73</v>
      </c>
      <c r="H1523" t="s">
        <v>4624</v>
      </c>
      <c r="I1523" s="62" t="s">
        <v>4625</v>
      </c>
      <c r="K1523" s="36" t="s">
        <v>169</v>
      </c>
      <c r="L1523" t="s">
        <v>69</v>
      </c>
      <c r="M1523" s="62" t="s">
        <v>170</v>
      </c>
      <c r="N1523" t="s">
        <v>71</v>
      </c>
      <c r="O1523" t="str">
        <f>IFERROR(IF(Tbla_actores[[#This Row],[codigo_proyecto]]="","",_xlfn.XLOOKUP(Tbla_actores[[#This Row],[codigo_proyecto]],Proyectos!$A:$A,Proyectos!$C:$C)),"")</f>
        <v>NULOS</v>
      </c>
    </row>
    <row r="1524" spans="1:15">
      <c r="A1524" s="9">
        <v>1020844377</v>
      </c>
      <c r="B1524" s="63" t="s">
        <v>61</v>
      </c>
      <c r="C1524" s="62" t="s">
        <v>4409</v>
      </c>
      <c r="D1524" t="s">
        <v>63</v>
      </c>
      <c r="E1524" t="s">
        <v>4626</v>
      </c>
      <c r="F1524" s="61">
        <v>36421</v>
      </c>
      <c r="G1524" s="15" t="s">
        <v>73</v>
      </c>
      <c r="H1524" t="s">
        <v>4627</v>
      </c>
      <c r="I1524" s="62" t="s">
        <v>4628</v>
      </c>
      <c r="K1524" s="36" t="s">
        <v>169</v>
      </c>
      <c r="L1524" t="s">
        <v>69</v>
      </c>
      <c r="M1524" s="62" t="s">
        <v>170</v>
      </c>
      <c r="N1524" t="s">
        <v>71</v>
      </c>
      <c r="O1524" t="str">
        <f>IFERROR(IF(Tbla_actores[[#This Row],[codigo_proyecto]]="","",_xlfn.XLOOKUP(Tbla_actores[[#This Row],[codigo_proyecto]],Proyectos!$A:$A,Proyectos!$C:$C)),"")</f>
        <v>NULOS</v>
      </c>
    </row>
    <row r="1525" spans="1:15">
      <c r="A1525" s="10">
        <v>1016113750</v>
      </c>
      <c r="B1525" s="64" t="s">
        <v>61</v>
      </c>
      <c r="C1525" s="62" t="s">
        <v>4409</v>
      </c>
      <c r="D1525" t="s">
        <v>63</v>
      </c>
      <c r="E1525" t="s">
        <v>4629</v>
      </c>
      <c r="F1525" s="61">
        <v>36484</v>
      </c>
      <c r="G1525" s="15" t="s">
        <v>73</v>
      </c>
      <c r="H1525" t="s">
        <v>4630</v>
      </c>
      <c r="I1525" s="62" t="s">
        <v>4631</v>
      </c>
      <c r="K1525" s="36" t="s">
        <v>169</v>
      </c>
      <c r="L1525" t="s">
        <v>69</v>
      </c>
      <c r="M1525" s="62" t="s">
        <v>170</v>
      </c>
      <c r="N1525" t="s">
        <v>71</v>
      </c>
      <c r="O1525" t="str">
        <f>IFERROR(IF(Tbla_actores[[#This Row],[codigo_proyecto]]="","",_xlfn.XLOOKUP(Tbla_actores[[#This Row],[codigo_proyecto]],Proyectos!$A:$A,Proyectos!$C:$C)),"")</f>
        <v>NULOS</v>
      </c>
    </row>
    <row r="1526" spans="1:15">
      <c r="A1526" s="9">
        <v>1020820965</v>
      </c>
      <c r="B1526" s="63" t="s">
        <v>61</v>
      </c>
      <c r="C1526" s="62" t="s">
        <v>4409</v>
      </c>
      <c r="D1526" t="s">
        <v>63</v>
      </c>
      <c r="E1526" t="s">
        <v>4632</v>
      </c>
      <c r="F1526" s="61">
        <v>35396</v>
      </c>
      <c r="G1526" s="15" t="s">
        <v>73</v>
      </c>
      <c r="H1526" t="s">
        <v>4633</v>
      </c>
      <c r="I1526" s="62" t="s">
        <v>4634</v>
      </c>
      <c r="K1526" s="36" t="s">
        <v>169</v>
      </c>
      <c r="L1526" t="s">
        <v>69</v>
      </c>
      <c r="M1526" s="62" t="s">
        <v>170</v>
      </c>
      <c r="N1526" t="s">
        <v>71</v>
      </c>
      <c r="O1526" t="str">
        <f>IFERROR(IF(Tbla_actores[[#This Row],[codigo_proyecto]]="","",_xlfn.XLOOKUP(Tbla_actores[[#This Row],[codigo_proyecto]],Proyectos!$A:$A,Proyectos!$C:$C)),"")</f>
        <v>NULOS</v>
      </c>
    </row>
    <row r="1527" spans="1:15">
      <c r="A1527" s="10">
        <v>1032489856</v>
      </c>
      <c r="B1527" s="64" t="s">
        <v>61</v>
      </c>
      <c r="C1527" s="62" t="s">
        <v>4409</v>
      </c>
      <c r="D1527" t="s">
        <v>63</v>
      </c>
      <c r="E1527" t="s">
        <v>4635</v>
      </c>
      <c r="F1527" s="61">
        <v>35489</v>
      </c>
      <c r="G1527" s="15" t="s">
        <v>73</v>
      </c>
      <c r="H1527" t="s">
        <v>4636</v>
      </c>
      <c r="I1527" s="62" t="s">
        <v>4637</v>
      </c>
      <c r="K1527" s="36" t="s">
        <v>169</v>
      </c>
      <c r="L1527" t="s">
        <v>69</v>
      </c>
      <c r="M1527" s="62" t="s">
        <v>170</v>
      </c>
      <c r="N1527" t="s">
        <v>71</v>
      </c>
      <c r="O1527" t="str">
        <f>IFERROR(IF(Tbla_actores[[#This Row],[codigo_proyecto]]="","",_xlfn.XLOOKUP(Tbla_actores[[#This Row],[codigo_proyecto]],Proyectos!$A:$A,Proyectos!$C:$C)),"")</f>
        <v>NULOS</v>
      </c>
    </row>
    <row r="1528" spans="1:15">
      <c r="A1528" s="9">
        <v>1047504666</v>
      </c>
      <c r="B1528" s="63" t="s">
        <v>61</v>
      </c>
      <c r="C1528" s="62" t="s">
        <v>4409</v>
      </c>
      <c r="D1528" t="s">
        <v>63</v>
      </c>
      <c r="E1528" t="s">
        <v>4638</v>
      </c>
      <c r="F1528" s="61">
        <v>36055</v>
      </c>
      <c r="G1528" s="15" t="s">
        <v>73</v>
      </c>
      <c r="H1528" t="s">
        <v>4639</v>
      </c>
      <c r="I1528" s="62" t="s">
        <v>4640</v>
      </c>
      <c r="K1528" s="36" t="s">
        <v>169</v>
      </c>
      <c r="L1528" t="s">
        <v>69</v>
      </c>
      <c r="M1528" s="62" t="s">
        <v>170</v>
      </c>
      <c r="N1528" t="s">
        <v>71</v>
      </c>
      <c r="O1528" t="str">
        <f>IFERROR(IF(Tbla_actores[[#This Row],[codigo_proyecto]]="","",_xlfn.XLOOKUP(Tbla_actores[[#This Row],[codigo_proyecto]],Proyectos!$A:$A,Proyectos!$C:$C)),"")</f>
        <v>NULOS</v>
      </c>
    </row>
    <row r="1529" spans="1:15">
      <c r="A1529" s="10">
        <v>1015481976</v>
      </c>
      <c r="B1529" s="64" t="s">
        <v>61</v>
      </c>
      <c r="C1529" s="62" t="s">
        <v>3329</v>
      </c>
      <c r="D1529" t="s">
        <v>63</v>
      </c>
      <c r="E1529" t="s">
        <v>4641</v>
      </c>
      <c r="F1529" s="61">
        <v>36357</v>
      </c>
      <c r="G1529" s="15" t="s">
        <v>65</v>
      </c>
      <c r="H1529" t="s">
        <v>4642</v>
      </c>
      <c r="I1529" s="62" t="s">
        <v>4643</v>
      </c>
      <c r="K1529" s="36" t="s">
        <v>169</v>
      </c>
      <c r="L1529" t="s">
        <v>69</v>
      </c>
      <c r="M1529" s="62" t="s">
        <v>170</v>
      </c>
      <c r="N1529" t="s">
        <v>71</v>
      </c>
      <c r="O1529" t="str">
        <f>IFERROR(IF(Tbla_actores[[#This Row],[codigo_proyecto]]="","",_xlfn.XLOOKUP(Tbla_actores[[#This Row],[codigo_proyecto]],Proyectos!$A:$A,Proyectos!$C:$C)),"")</f>
        <v>NULOS</v>
      </c>
    </row>
    <row r="1530" spans="1:15">
      <c r="A1530" s="9">
        <v>1020843288</v>
      </c>
      <c r="B1530" s="63" t="s">
        <v>61</v>
      </c>
      <c r="C1530" s="62" t="s">
        <v>3329</v>
      </c>
      <c r="D1530" t="s">
        <v>63</v>
      </c>
      <c r="E1530" t="s">
        <v>4644</v>
      </c>
      <c r="F1530" s="61">
        <v>36398</v>
      </c>
      <c r="G1530" s="15" t="s">
        <v>65</v>
      </c>
      <c r="H1530" t="s">
        <v>4645</v>
      </c>
      <c r="I1530" s="62" t="s">
        <v>4646</v>
      </c>
      <c r="K1530" s="36" t="s">
        <v>169</v>
      </c>
      <c r="L1530" t="s">
        <v>69</v>
      </c>
      <c r="M1530" s="62" t="s">
        <v>170</v>
      </c>
      <c r="N1530" t="s">
        <v>71</v>
      </c>
      <c r="O1530" t="str">
        <f>IFERROR(IF(Tbla_actores[[#This Row],[codigo_proyecto]]="","",_xlfn.XLOOKUP(Tbla_actores[[#This Row],[codigo_proyecto]],Proyectos!$A:$A,Proyectos!$C:$C)),"")</f>
        <v>NULOS</v>
      </c>
    </row>
    <row r="1531" spans="1:15">
      <c r="A1531" s="10">
        <v>1032504922</v>
      </c>
      <c r="B1531" s="64" t="s">
        <v>61</v>
      </c>
      <c r="C1531" s="62" t="s">
        <v>4409</v>
      </c>
      <c r="D1531" t="s">
        <v>63</v>
      </c>
      <c r="E1531" t="s">
        <v>4647</v>
      </c>
      <c r="F1531" s="61">
        <v>36311</v>
      </c>
      <c r="G1531" s="15" t="s">
        <v>73</v>
      </c>
      <c r="H1531" t="s">
        <v>4648</v>
      </c>
      <c r="I1531" s="62" t="s">
        <v>4649</v>
      </c>
      <c r="K1531" s="36" t="s">
        <v>169</v>
      </c>
      <c r="L1531" t="s">
        <v>69</v>
      </c>
      <c r="M1531" s="62" t="s">
        <v>170</v>
      </c>
      <c r="N1531" t="s">
        <v>71</v>
      </c>
      <c r="O1531" t="str">
        <f>IFERROR(IF(Tbla_actores[[#This Row],[codigo_proyecto]]="","",_xlfn.XLOOKUP(Tbla_actores[[#This Row],[codigo_proyecto]],Proyectos!$A:$A,Proyectos!$C:$C)),"")</f>
        <v>NULOS</v>
      </c>
    </row>
    <row r="1532" spans="1:15">
      <c r="A1532" s="9">
        <v>1000134250</v>
      </c>
      <c r="B1532" s="63" t="s">
        <v>61</v>
      </c>
      <c r="C1532" s="62" t="s">
        <v>4409</v>
      </c>
      <c r="D1532" t="s">
        <v>63</v>
      </c>
      <c r="E1532" t="s">
        <v>4650</v>
      </c>
      <c r="F1532" s="61">
        <v>36644</v>
      </c>
      <c r="G1532" s="15" t="s">
        <v>73</v>
      </c>
      <c r="H1532" t="s">
        <v>4651</v>
      </c>
      <c r="I1532" s="62" t="s">
        <v>4652</v>
      </c>
      <c r="K1532" s="36" t="s">
        <v>169</v>
      </c>
      <c r="L1532" t="s">
        <v>69</v>
      </c>
      <c r="M1532" s="62" t="s">
        <v>170</v>
      </c>
      <c r="N1532" t="s">
        <v>71</v>
      </c>
      <c r="O1532" t="str">
        <f>IFERROR(IF(Tbla_actores[[#This Row],[codigo_proyecto]]="","",_xlfn.XLOOKUP(Tbla_actores[[#This Row],[codigo_proyecto]],Proyectos!$A:$A,Proyectos!$C:$C)),"")</f>
        <v>NULOS</v>
      </c>
    </row>
    <row r="1533" spans="1:15">
      <c r="A1533" s="10">
        <v>1018512405</v>
      </c>
      <c r="B1533" s="64" t="s">
        <v>61</v>
      </c>
      <c r="C1533" s="62" t="s">
        <v>3329</v>
      </c>
      <c r="D1533" t="s">
        <v>63</v>
      </c>
      <c r="E1533" t="s">
        <v>4653</v>
      </c>
      <c r="F1533" s="61">
        <v>36357</v>
      </c>
      <c r="G1533" s="15" t="s">
        <v>73</v>
      </c>
      <c r="H1533" t="s">
        <v>4654</v>
      </c>
      <c r="I1533" s="62" t="s">
        <v>4655</v>
      </c>
      <c r="K1533" s="36" t="s">
        <v>169</v>
      </c>
      <c r="L1533" t="s">
        <v>69</v>
      </c>
      <c r="M1533" s="62" t="s">
        <v>170</v>
      </c>
      <c r="N1533" t="s">
        <v>71</v>
      </c>
      <c r="O1533" t="str">
        <f>IFERROR(IF(Tbla_actores[[#This Row],[codigo_proyecto]]="","",_xlfn.XLOOKUP(Tbla_actores[[#This Row],[codigo_proyecto]],Proyectos!$A:$A,Proyectos!$C:$C)),"")</f>
        <v>NULOS</v>
      </c>
    </row>
    <row r="1534" spans="1:15">
      <c r="A1534" s="9">
        <v>1032502891</v>
      </c>
      <c r="B1534" s="63" t="s">
        <v>61</v>
      </c>
      <c r="C1534" s="62" t="s">
        <v>4409</v>
      </c>
      <c r="D1534" t="s">
        <v>63</v>
      </c>
      <c r="E1534" t="s">
        <v>4656</v>
      </c>
      <c r="F1534" s="61">
        <v>36183</v>
      </c>
      <c r="G1534" s="15" t="s">
        <v>73</v>
      </c>
      <c r="H1534" t="s">
        <v>4657</v>
      </c>
      <c r="I1534" s="62" t="s">
        <v>4658</v>
      </c>
      <c r="K1534" s="36" t="s">
        <v>169</v>
      </c>
      <c r="L1534" t="s">
        <v>69</v>
      </c>
      <c r="M1534" s="62" t="s">
        <v>170</v>
      </c>
      <c r="N1534" t="s">
        <v>71</v>
      </c>
      <c r="O1534" t="str">
        <f>IFERROR(IF(Tbla_actores[[#This Row],[codigo_proyecto]]="","",_xlfn.XLOOKUP(Tbla_actores[[#This Row],[codigo_proyecto]],Proyectos!$A:$A,Proyectos!$C:$C)),"")</f>
        <v>NULOS</v>
      </c>
    </row>
    <row r="1535" spans="1:15">
      <c r="A1535" s="10">
        <v>1032466311</v>
      </c>
      <c r="B1535" s="64" t="s">
        <v>61</v>
      </c>
      <c r="C1535" s="62" t="s">
        <v>4409</v>
      </c>
      <c r="D1535" t="s">
        <v>63</v>
      </c>
      <c r="E1535" t="s">
        <v>4659</v>
      </c>
      <c r="F1535" s="61">
        <v>34608</v>
      </c>
      <c r="G1535" s="15" t="s">
        <v>73</v>
      </c>
      <c r="H1535" t="s">
        <v>4660</v>
      </c>
      <c r="I1535" s="62" t="s">
        <v>4661</v>
      </c>
      <c r="K1535" s="36" t="s">
        <v>169</v>
      </c>
      <c r="L1535" t="s">
        <v>69</v>
      </c>
      <c r="M1535" s="62" t="s">
        <v>170</v>
      </c>
      <c r="N1535" t="s">
        <v>71</v>
      </c>
      <c r="O1535" t="str">
        <f>IFERROR(IF(Tbla_actores[[#This Row],[codigo_proyecto]]="","",_xlfn.XLOOKUP(Tbla_actores[[#This Row],[codigo_proyecto]],Proyectos!$A:$A,Proyectos!$C:$C)),"")</f>
        <v>NULOS</v>
      </c>
    </row>
    <row r="1536" spans="1:15">
      <c r="A1536" s="9">
        <v>1019128726</v>
      </c>
      <c r="B1536" s="63" t="s">
        <v>61</v>
      </c>
      <c r="C1536" s="62" t="s">
        <v>4409</v>
      </c>
      <c r="D1536" t="s">
        <v>63</v>
      </c>
      <c r="E1536" t="s">
        <v>4662</v>
      </c>
      <c r="F1536" s="61">
        <v>35464</v>
      </c>
      <c r="G1536" s="15" t="s">
        <v>73</v>
      </c>
      <c r="H1536" t="s">
        <v>4663</v>
      </c>
      <c r="I1536" s="62" t="s">
        <v>4664</v>
      </c>
      <c r="K1536" s="36" t="s">
        <v>169</v>
      </c>
      <c r="L1536" t="s">
        <v>69</v>
      </c>
      <c r="M1536" s="62" t="s">
        <v>170</v>
      </c>
      <c r="N1536" t="s">
        <v>71</v>
      </c>
      <c r="O1536" t="str">
        <f>IFERROR(IF(Tbla_actores[[#This Row],[codigo_proyecto]]="","",_xlfn.XLOOKUP(Tbla_actores[[#This Row],[codigo_proyecto]],Proyectos!$A:$A,Proyectos!$C:$C)),"")</f>
        <v>NULOS</v>
      </c>
    </row>
    <row r="1537" spans="1:15">
      <c r="A1537" s="10">
        <v>1010231090</v>
      </c>
      <c r="B1537" s="64" t="s">
        <v>61</v>
      </c>
      <c r="C1537" s="62" t="s">
        <v>3329</v>
      </c>
      <c r="D1537" t="s">
        <v>63</v>
      </c>
      <c r="E1537" t="s">
        <v>4665</v>
      </c>
      <c r="F1537" s="61">
        <v>35393</v>
      </c>
      <c r="G1537" s="15" t="s">
        <v>73</v>
      </c>
      <c r="H1537" t="s">
        <v>4666</v>
      </c>
      <c r="I1537" s="62" t="s">
        <v>4667</v>
      </c>
      <c r="K1537" s="36" t="s">
        <v>169</v>
      </c>
      <c r="L1537" t="s">
        <v>69</v>
      </c>
      <c r="M1537" s="62" t="s">
        <v>170</v>
      </c>
      <c r="N1537" t="s">
        <v>71</v>
      </c>
      <c r="O1537" t="str">
        <f>IFERROR(IF(Tbla_actores[[#This Row],[codigo_proyecto]]="","",_xlfn.XLOOKUP(Tbla_actores[[#This Row],[codigo_proyecto]],Proyectos!$A:$A,Proyectos!$C:$C)),"")</f>
        <v>NULOS</v>
      </c>
    </row>
    <row r="1538" spans="1:15">
      <c r="A1538" s="9">
        <v>1020812014</v>
      </c>
      <c r="B1538" s="63" t="s">
        <v>61</v>
      </c>
      <c r="C1538" s="62" t="s">
        <v>4409</v>
      </c>
      <c r="D1538" t="s">
        <v>63</v>
      </c>
      <c r="E1538" t="s">
        <v>4668</v>
      </c>
      <c r="F1538" s="61">
        <v>35060</v>
      </c>
      <c r="G1538" s="15" t="s">
        <v>65</v>
      </c>
      <c r="H1538" t="s">
        <v>4669</v>
      </c>
      <c r="I1538" s="62" t="s">
        <v>4670</v>
      </c>
      <c r="K1538" s="36" t="s">
        <v>169</v>
      </c>
      <c r="L1538" t="s">
        <v>69</v>
      </c>
      <c r="M1538" s="62" t="s">
        <v>170</v>
      </c>
      <c r="N1538" t="s">
        <v>71</v>
      </c>
      <c r="O1538" t="str">
        <f>IFERROR(IF(Tbla_actores[[#This Row],[codigo_proyecto]]="","",_xlfn.XLOOKUP(Tbla_actores[[#This Row],[codigo_proyecto]],Proyectos!$A:$A,Proyectos!$C:$C)),"")</f>
        <v>NULOS</v>
      </c>
    </row>
    <row r="1539" spans="1:15">
      <c r="A1539" s="10">
        <v>1010157371</v>
      </c>
      <c r="B1539" s="64" t="s">
        <v>61</v>
      </c>
      <c r="C1539" s="62" t="s">
        <v>4409</v>
      </c>
      <c r="D1539" t="s">
        <v>63</v>
      </c>
      <c r="E1539" t="s">
        <v>4671</v>
      </c>
      <c r="F1539" s="61">
        <v>36882</v>
      </c>
      <c r="G1539" s="15" t="s">
        <v>73</v>
      </c>
      <c r="H1539" t="s">
        <v>4672</v>
      </c>
      <c r="I1539" s="62" t="s">
        <v>4673</v>
      </c>
      <c r="K1539" s="36" t="s">
        <v>169</v>
      </c>
      <c r="L1539" t="s">
        <v>69</v>
      </c>
      <c r="M1539" s="62" t="s">
        <v>170</v>
      </c>
      <c r="N1539" t="s">
        <v>71</v>
      </c>
      <c r="O1539" t="str">
        <f>IFERROR(IF(Tbla_actores[[#This Row],[codigo_proyecto]]="","",_xlfn.XLOOKUP(Tbla_actores[[#This Row],[codigo_proyecto]],Proyectos!$A:$A,Proyectos!$C:$C)),"")</f>
        <v>NULOS</v>
      </c>
    </row>
    <row r="1540" spans="1:15">
      <c r="A1540" s="9">
        <v>1020824223</v>
      </c>
      <c r="B1540" s="63" t="s">
        <v>61</v>
      </c>
      <c r="C1540" s="62" t="s">
        <v>4409</v>
      </c>
      <c r="D1540" t="s">
        <v>63</v>
      </c>
      <c r="E1540" t="s">
        <v>4674</v>
      </c>
      <c r="F1540" s="61">
        <v>35508</v>
      </c>
      <c r="G1540" s="15" t="s">
        <v>73</v>
      </c>
      <c r="H1540" t="s">
        <v>4675</v>
      </c>
      <c r="I1540" s="62" t="s">
        <v>4676</v>
      </c>
      <c r="K1540" s="36" t="s">
        <v>169</v>
      </c>
      <c r="L1540" t="s">
        <v>69</v>
      </c>
      <c r="M1540" s="62" t="s">
        <v>170</v>
      </c>
      <c r="N1540" t="s">
        <v>71</v>
      </c>
      <c r="O1540" t="str">
        <f>IFERROR(IF(Tbla_actores[[#This Row],[codigo_proyecto]]="","",_xlfn.XLOOKUP(Tbla_actores[[#This Row],[codigo_proyecto]],Proyectos!$A:$A,Proyectos!$C:$C)),"")</f>
        <v>NULOS</v>
      </c>
    </row>
    <row r="1541" spans="1:15">
      <c r="A1541" s="10">
        <v>1193212707</v>
      </c>
      <c r="B1541" s="64" t="s">
        <v>61</v>
      </c>
      <c r="C1541" s="62" t="s">
        <v>4409</v>
      </c>
      <c r="D1541" t="s">
        <v>63</v>
      </c>
      <c r="E1541" t="s">
        <v>4677</v>
      </c>
      <c r="F1541" s="61">
        <v>37062</v>
      </c>
      <c r="G1541" s="15" t="s">
        <v>65</v>
      </c>
      <c r="H1541" t="s">
        <v>4678</v>
      </c>
      <c r="I1541" s="62" t="s">
        <v>4679</v>
      </c>
      <c r="K1541" s="36" t="s">
        <v>169</v>
      </c>
      <c r="L1541" t="s">
        <v>69</v>
      </c>
      <c r="M1541" s="62" t="s">
        <v>170</v>
      </c>
      <c r="N1541" t="s">
        <v>71</v>
      </c>
      <c r="O1541" t="str">
        <f>IFERROR(IF(Tbla_actores[[#This Row],[codigo_proyecto]]="","",_xlfn.XLOOKUP(Tbla_actores[[#This Row],[codigo_proyecto]],Proyectos!$A:$A,Proyectos!$C:$C)),"")</f>
        <v>NULOS</v>
      </c>
    </row>
    <row r="1542" spans="1:15">
      <c r="A1542" s="9">
        <v>1010048966</v>
      </c>
      <c r="B1542" s="63" t="s">
        <v>61</v>
      </c>
      <c r="C1542" s="62" t="s">
        <v>4409</v>
      </c>
      <c r="D1542" t="s">
        <v>63</v>
      </c>
      <c r="E1542" t="s">
        <v>4680</v>
      </c>
      <c r="F1542" s="61">
        <v>36823</v>
      </c>
      <c r="G1542" s="15" t="s">
        <v>65</v>
      </c>
      <c r="H1542" t="s">
        <v>4681</v>
      </c>
      <c r="I1542" s="62" t="s">
        <v>4682</v>
      </c>
      <c r="K1542" s="36" t="s">
        <v>169</v>
      </c>
      <c r="L1542" t="s">
        <v>69</v>
      </c>
      <c r="M1542" s="62" t="s">
        <v>170</v>
      </c>
      <c r="N1542" t="s">
        <v>71</v>
      </c>
      <c r="O1542" t="str">
        <f>IFERROR(IF(Tbla_actores[[#This Row],[codigo_proyecto]]="","",_xlfn.XLOOKUP(Tbla_actores[[#This Row],[codigo_proyecto]],Proyectos!$A:$A,Proyectos!$C:$C)),"")</f>
        <v>NULOS</v>
      </c>
    </row>
    <row r="1543" spans="1:15">
      <c r="A1543" s="10">
        <v>1016114674</v>
      </c>
      <c r="B1543" s="64" t="s">
        <v>61</v>
      </c>
      <c r="C1543" s="62" t="s">
        <v>4409</v>
      </c>
      <c r="D1543" t="s">
        <v>63</v>
      </c>
      <c r="E1543" t="s">
        <v>4683</v>
      </c>
      <c r="F1543" s="61">
        <v>36467</v>
      </c>
      <c r="G1543" s="15" t="s">
        <v>65</v>
      </c>
      <c r="H1543" t="s">
        <v>4684</v>
      </c>
      <c r="I1543" s="62" t="s">
        <v>4685</v>
      </c>
      <c r="K1543" s="36" t="s">
        <v>169</v>
      </c>
      <c r="L1543" t="s">
        <v>69</v>
      </c>
      <c r="M1543" s="62" t="s">
        <v>170</v>
      </c>
      <c r="N1543" t="s">
        <v>71</v>
      </c>
      <c r="O1543" t="str">
        <f>IFERROR(IF(Tbla_actores[[#This Row],[codigo_proyecto]]="","",_xlfn.XLOOKUP(Tbla_actores[[#This Row],[codigo_proyecto]],Proyectos!$A:$A,Proyectos!$C:$C)),"")</f>
        <v>NULOS</v>
      </c>
    </row>
    <row r="1544" spans="1:15">
      <c r="A1544" s="9">
        <v>1018505354</v>
      </c>
      <c r="B1544" s="63" t="s">
        <v>61</v>
      </c>
      <c r="C1544" s="62" t="s">
        <v>4409</v>
      </c>
      <c r="D1544" t="s">
        <v>63</v>
      </c>
      <c r="E1544" t="s">
        <v>4686</v>
      </c>
      <c r="F1544" s="61">
        <v>36042</v>
      </c>
      <c r="G1544" s="15" t="s">
        <v>73</v>
      </c>
      <c r="H1544" t="s">
        <v>4687</v>
      </c>
      <c r="I1544" s="62" t="s">
        <v>4688</v>
      </c>
      <c r="K1544" s="36" t="s">
        <v>169</v>
      </c>
      <c r="L1544" t="s">
        <v>69</v>
      </c>
      <c r="M1544" s="62" t="s">
        <v>170</v>
      </c>
      <c r="N1544" t="s">
        <v>71</v>
      </c>
      <c r="O1544" t="str">
        <f>IFERROR(IF(Tbla_actores[[#This Row],[codigo_proyecto]]="","",_xlfn.XLOOKUP(Tbla_actores[[#This Row],[codigo_proyecto]],Proyectos!$A:$A,Proyectos!$C:$C)),"")</f>
        <v>NULOS</v>
      </c>
    </row>
    <row r="1545" spans="1:15">
      <c r="A1545" s="10">
        <v>1032505486</v>
      </c>
      <c r="B1545" s="64" t="s">
        <v>61</v>
      </c>
      <c r="C1545" s="62" t="s">
        <v>4409</v>
      </c>
      <c r="D1545" t="s">
        <v>63</v>
      </c>
      <c r="E1545" t="s">
        <v>4689</v>
      </c>
      <c r="F1545" s="61">
        <v>36337</v>
      </c>
      <c r="G1545" s="15" t="s">
        <v>65</v>
      </c>
      <c r="H1545" t="s">
        <v>4690</v>
      </c>
      <c r="I1545" s="62" t="s">
        <v>4691</v>
      </c>
      <c r="K1545" s="36" t="s">
        <v>169</v>
      </c>
      <c r="L1545" t="s">
        <v>69</v>
      </c>
      <c r="M1545" s="62" t="s">
        <v>170</v>
      </c>
      <c r="N1545" t="s">
        <v>71</v>
      </c>
      <c r="O1545" t="str">
        <f>IFERROR(IF(Tbla_actores[[#This Row],[codigo_proyecto]]="","",_xlfn.XLOOKUP(Tbla_actores[[#This Row],[codigo_proyecto]],Proyectos!$A:$A,Proyectos!$C:$C)),"")</f>
        <v>NULOS</v>
      </c>
    </row>
    <row r="1546" spans="1:15">
      <c r="A1546" s="9">
        <v>1020819274</v>
      </c>
      <c r="B1546" s="63" t="s">
        <v>61</v>
      </c>
      <c r="C1546" s="62" t="s">
        <v>3329</v>
      </c>
      <c r="D1546" t="s">
        <v>63</v>
      </c>
      <c r="E1546" t="s">
        <v>4692</v>
      </c>
      <c r="F1546" s="61">
        <v>35244</v>
      </c>
      <c r="G1546" s="15" t="s">
        <v>65</v>
      </c>
      <c r="H1546" t="s">
        <v>4693</v>
      </c>
      <c r="I1546" s="62" t="s">
        <v>4694</v>
      </c>
      <c r="K1546" s="36" t="s">
        <v>169</v>
      </c>
      <c r="L1546" t="s">
        <v>69</v>
      </c>
      <c r="M1546" s="62" t="s">
        <v>170</v>
      </c>
      <c r="N1546" t="s">
        <v>71</v>
      </c>
      <c r="O1546" t="str">
        <f>IFERROR(IF(Tbla_actores[[#This Row],[codigo_proyecto]]="","",_xlfn.XLOOKUP(Tbla_actores[[#This Row],[codigo_proyecto]],Proyectos!$A:$A,Proyectos!$C:$C)),"")</f>
        <v>NULOS</v>
      </c>
    </row>
    <row r="1547" spans="1:15">
      <c r="A1547" s="10">
        <v>1018514958</v>
      </c>
      <c r="B1547" s="64" t="s">
        <v>61</v>
      </c>
      <c r="C1547" s="62" t="s">
        <v>4409</v>
      </c>
      <c r="D1547" t="s">
        <v>63</v>
      </c>
      <c r="E1547" t="s">
        <v>4695</v>
      </c>
      <c r="F1547" s="61">
        <v>36520</v>
      </c>
      <c r="G1547" s="15" t="s">
        <v>65</v>
      </c>
      <c r="H1547" t="s">
        <v>4696</v>
      </c>
      <c r="I1547" s="62" t="s">
        <v>4697</v>
      </c>
      <c r="K1547" s="36" t="s">
        <v>169</v>
      </c>
      <c r="L1547" t="s">
        <v>69</v>
      </c>
      <c r="M1547" s="62" t="s">
        <v>170</v>
      </c>
      <c r="N1547" t="s">
        <v>71</v>
      </c>
      <c r="O1547" t="str">
        <f>IFERROR(IF(Tbla_actores[[#This Row],[codigo_proyecto]]="","",_xlfn.XLOOKUP(Tbla_actores[[#This Row],[codigo_proyecto]],Proyectos!$A:$A,Proyectos!$C:$C)),"")</f>
        <v>NULOS</v>
      </c>
    </row>
    <row r="1548" spans="1:15">
      <c r="A1548" s="9">
        <v>1193156216</v>
      </c>
      <c r="B1548" s="63" t="s">
        <v>61</v>
      </c>
      <c r="C1548" s="62" t="s">
        <v>4409</v>
      </c>
      <c r="D1548" t="s">
        <v>63</v>
      </c>
      <c r="E1548" t="s">
        <v>4698</v>
      </c>
      <c r="F1548" s="61">
        <v>37028</v>
      </c>
      <c r="G1548" s="15" t="s">
        <v>73</v>
      </c>
      <c r="H1548" t="s">
        <v>4699</v>
      </c>
      <c r="I1548" s="62" t="s">
        <v>4700</v>
      </c>
      <c r="K1548" s="36" t="s">
        <v>169</v>
      </c>
      <c r="L1548" t="s">
        <v>69</v>
      </c>
      <c r="M1548" s="62" t="s">
        <v>170</v>
      </c>
      <c r="N1548" t="s">
        <v>71</v>
      </c>
      <c r="O1548" t="str">
        <f>IFERROR(IF(Tbla_actores[[#This Row],[codigo_proyecto]]="","",_xlfn.XLOOKUP(Tbla_actores[[#This Row],[codigo_proyecto]],Proyectos!$A:$A,Proyectos!$C:$C)),"")</f>
        <v>NULOS</v>
      </c>
    </row>
    <row r="1549" spans="1:15">
      <c r="A1549" s="10">
        <v>1000348871</v>
      </c>
      <c r="B1549" s="64" t="s">
        <v>61</v>
      </c>
      <c r="C1549" s="62" t="s">
        <v>4409</v>
      </c>
      <c r="D1549" t="s">
        <v>63</v>
      </c>
      <c r="E1549" t="s">
        <v>4701</v>
      </c>
      <c r="F1549" s="61">
        <v>36608</v>
      </c>
      <c r="G1549" s="15" t="s">
        <v>65</v>
      </c>
      <c r="H1549" t="s">
        <v>4702</v>
      </c>
      <c r="I1549" s="62" t="s">
        <v>4703</v>
      </c>
      <c r="K1549" s="36" t="s">
        <v>169</v>
      </c>
      <c r="L1549" t="s">
        <v>69</v>
      </c>
      <c r="M1549" s="62" t="s">
        <v>170</v>
      </c>
      <c r="N1549" t="s">
        <v>71</v>
      </c>
      <c r="O1549" t="str">
        <f>IFERROR(IF(Tbla_actores[[#This Row],[codigo_proyecto]]="","",_xlfn.XLOOKUP(Tbla_actores[[#This Row],[codigo_proyecto]],Proyectos!$A:$A,Proyectos!$C:$C)),"")</f>
        <v>NULOS</v>
      </c>
    </row>
    <row r="1550" spans="1:15">
      <c r="A1550" s="9">
        <v>1010009989</v>
      </c>
      <c r="B1550" s="63" t="s">
        <v>61</v>
      </c>
      <c r="C1550" s="62" t="s">
        <v>4409</v>
      </c>
      <c r="D1550" t="s">
        <v>63</v>
      </c>
      <c r="E1550" t="s">
        <v>4704</v>
      </c>
      <c r="F1550" s="61">
        <v>36849</v>
      </c>
      <c r="G1550" s="15" t="s">
        <v>73</v>
      </c>
      <c r="H1550" t="s">
        <v>4705</v>
      </c>
      <c r="I1550" s="62" t="s">
        <v>4706</v>
      </c>
      <c r="K1550" s="36" t="s">
        <v>169</v>
      </c>
      <c r="L1550" t="s">
        <v>69</v>
      </c>
      <c r="M1550" s="62" t="s">
        <v>170</v>
      </c>
      <c r="N1550" t="s">
        <v>71</v>
      </c>
      <c r="O1550" t="str">
        <f>IFERROR(IF(Tbla_actores[[#This Row],[codigo_proyecto]]="","",_xlfn.XLOOKUP(Tbla_actores[[#This Row],[codigo_proyecto]],Proyectos!$A:$A,Proyectos!$C:$C)),"")</f>
        <v>NULOS</v>
      </c>
    </row>
    <row r="1551" spans="1:15">
      <c r="A1551" s="10">
        <v>1192793013</v>
      </c>
      <c r="B1551" s="64" t="s">
        <v>61</v>
      </c>
      <c r="C1551" s="62" t="s">
        <v>4409</v>
      </c>
      <c r="D1551" t="s">
        <v>63</v>
      </c>
      <c r="E1551" t="s">
        <v>4707</v>
      </c>
      <c r="F1551" s="61">
        <v>36631</v>
      </c>
      <c r="G1551" s="15" t="s">
        <v>73</v>
      </c>
      <c r="H1551" t="s">
        <v>4708</v>
      </c>
      <c r="I1551" s="62" t="s">
        <v>4709</v>
      </c>
      <c r="K1551" s="36" t="s">
        <v>169</v>
      </c>
      <c r="L1551" t="s">
        <v>69</v>
      </c>
      <c r="M1551" s="62" t="s">
        <v>170</v>
      </c>
      <c r="N1551" t="s">
        <v>71</v>
      </c>
      <c r="O1551" t="str">
        <f>IFERROR(IF(Tbla_actores[[#This Row],[codigo_proyecto]]="","",_xlfn.XLOOKUP(Tbla_actores[[#This Row],[codigo_proyecto]],Proyectos!$A:$A,Proyectos!$C:$C)),"")</f>
        <v>NULOS</v>
      </c>
    </row>
    <row r="1552" spans="1:15">
      <c r="A1552" s="9">
        <v>1019143306</v>
      </c>
      <c r="B1552" s="63" t="s">
        <v>61</v>
      </c>
      <c r="C1552" s="62" t="s">
        <v>4409</v>
      </c>
      <c r="D1552" t="s">
        <v>63</v>
      </c>
      <c r="E1552" t="s">
        <v>4710</v>
      </c>
      <c r="F1552" s="61">
        <v>36059</v>
      </c>
      <c r="G1552" s="15" t="s">
        <v>73</v>
      </c>
      <c r="H1552" t="s">
        <v>4711</v>
      </c>
      <c r="I1552" s="62" t="s">
        <v>4712</v>
      </c>
      <c r="K1552" s="36" t="s">
        <v>169</v>
      </c>
      <c r="L1552" t="s">
        <v>69</v>
      </c>
      <c r="M1552" s="62" t="s">
        <v>170</v>
      </c>
      <c r="N1552" t="s">
        <v>71</v>
      </c>
      <c r="O1552" t="str">
        <f>IFERROR(IF(Tbla_actores[[#This Row],[codigo_proyecto]]="","",_xlfn.XLOOKUP(Tbla_actores[[#This Row],[codigo_proyecto]],Proyectos!$A:$A,Proyectos!$C:$C)),"")</f>
        <v>NULOS</v>
      </c>
    </row>
    <row r="1553" spans="1:15">
      <c r="A1553" s="10">
        <v>1026596022</v>
      </c>
      <c r="B1553" s="64" t="s">
        <v>61</v>
      </c>
      <c r="C1553" s="62" t="s">
        <v>4409</v>
      </c>
      <c r="D1553" t="s">
        <v>63</v>
      </c>
      <c r="E1553" t="s">
        <v>4713</v>
      </c>
      <c r="F1553" s="61">
        <v>36118</v>
      </c>
      <c r="G1553" s="15" t="s">
        <v>73</v>
      </c>
      <c r="H1553" t="s">
        <v>4714</v>
      </c>
      <c r="I1553" s="62" t="s">
        <v>4715</v>
      </c>
      <c r="K1553" s="36" t="s">
        <v>169</v>
      </c>
      <c r="L1553" t="s">
        <v>69</v>
      </c>
      <c r="M1553" s="62" t="s">
        <v>170</v>
      </c>
      <c r="N1553" t="s">
        <v>71</v>
      </c>
      <c r="O1553" t="str">
        <f>IFERROR(IF(Tbla_actores[[#This Row],[codigo_proyecto]]="","",_xlfn.XLOOKUP(Tbla_actores[[#This Row],[codigo_proyecto]],Proyectos!$A:$A,Proyectos!$C:$C)),"")</f>
        <v>NULOS</v>
      </c>
    </row>
    <row r="1554" spans="1:15">
      <c r="A1554" s="9">
        <v>1020834388</v>
      </c>
      <c r="B1554" s="63" t="s">
        <v>61</v>
      </c>
      <c r="C1554" s="62" t="s">
        <v>4409</v>
      </c>
      <c r="D1554" t="s">
        <v>63</v>
      </c>
      <c r="E1554" t="s">
        <v>4716</v>
      </c>
      <c r="F1554" s="61">
        <v>36001</v>
      </c>
      <c r="G1554" s="15" t="s">
        <v>73</v>
      </c>
      <c r="H1554" t="s">
        <v>4717</v>
      </c>
      <c r="I1554" s="62" t="s">
        <v>4718</v>
      </c>
      <c r="K1554" s="36" t="s">
        <v>169</v>
      </c>
      <c r="L1554" t="s">
        <v>69</v>
      </c>
      <c r="M1554" s="62" t="s">
        <v>170</v>
      </c>
      <c r="N1554" t="s">
        <v>71</v>
      </c>
      <c r="O1554" t="str">
        <f>IFERROR(IF(Tbla_actores[[#This Row],[codigo_proyecto]]="","",_xlfn.XLOOKUP(Tbla_actores[[#This Row],[codigo_proyecto]],Proyectos!$A:$A,Proyectos!$C:$C)),"")</f>
        <v>NULOS</v>
      </c>
    </row>
    <row r="1555" spans="1:15">
      <c r="A1555" s="10">
        <v>1001324596</v>
      </c>
      <c r="B1555" s="64" t="s">
        <v>61</v>
      </c>
      <c r="C1555" s="62" t="s">
        <v>4409</v>
      </c>
      <c r="D1555" t="s">
        <v>63</v>
      </c>
      <c r="E1555" t="s">
        <v>4719</v>
      </c>
      <c r="F1555" s="61">
        <v>36783</v>
      </c>
      <c r="G1555" s="15" t="s">
        <v>73</v>
      </c>
      <c r="H1555" t="s">
        <v>4720</v>
      </c>
      <c r="I1555" s="62" t="s">
        <v>4721</v>
      </c>
      <c r="K1555" s="36" t="s">
        <v>169</v>
      </c>
      <c r="L1555" t="s">
        <v>69</v>
      </c>
      <c r="M1555" s="62" t="s">
        <v>170</v>
      </c>
      <c r="N1555" t="s">
        <v>71</v>
      </c>
      <c r="O1555" t="str">
        <f>IFERROR(IF(Tbla_actores[[#This Row],[codigo_proyecto]]="","",_xlfn.XLOOKUP(Tbla_actores[[#This Row],[codigo_proyecto]],Proyectos!$A:$A,Proyectos!$C:$C)),"")</f>
        <v>NULOS</v>
      </c>
    </row>
    <row r="1556" spans="1:15">
      <c r="A1556" s="9">
        <v>1140897997</v>
      </c>
      <c r="B1556" s="63" t="s">
        <v>61</v>
      </c>
      <c r="C1556" s="62" t="s">
        <v>4409</v>
      </c>
      <c r="D1556" t="s">
        <v>63</v>
      </c>
      <c r="E1556" t="s">
        <v>4722</v>
      </c>
      <c r="F1556" s="61">
        <v>35966</v>
      </c>
      <c r="G1556" s="15" t="s">
        <v>65</v>
      </c>
      <c r="H1556" t="s">
        <v>4723</v>
      </c>
      <c r="I1556" s="62" t="s">
        <v>4724</v>
      </c>
      <c r="K1556" s="36" t="s">
        <v>169</v>
      </c>
      <c r="L1556" t="s">
        <v>69</v>
      </c>
      <c r="M1556" s="62" t="s">
        <v>170</v>
      </c>
      <c r="N1556" t="s">
        <v>71</v>
      </c>
      <c r="O1556" t="str">
        <f>IFERROR(IF(Tbla_actores[[#This Row],[codigo_proyecto]]="","",_xlfn.XLOOKUP(Tbla_actores[[#This Row],[codigo_proyecto]],Proyectos!$A:$A,Proyectos!$C:$C)),"")</f>
        <v>NULOS</v>
      </c>
    </row>
    <row r="1557" spans="1:15">
      <c r="A1557" s="10">
        <v>1136889775</v>
      </c>
      <c r="B1557" s="64" t="s">
        <v>61</v>
      </c>
      <c r="C1557" s="62" t="s">
        <v>4409</v>
      </c>
      <c r="D1557" t="s">
        <v>63</v>
      </c>
      <c r="E1557" t="s">
        <v>4725</v>
      </c>
      <c r="F1557" s="61">
        <v>36380</v>
      </c>
      <c r="G1557" s="15" t="s">
        <v>73</v>
      </c>
      <c r="H1557" t="s">
        <v>4726</v>
      </c>
      <c r="I1557" s="62" t="s">
        <v>4727</v>
      </c>
      <c r="K1557" s="36" t="s">
        <v>169</v>
      </c>
      <c r="L1557" t="s">
        <v>69</v>
      </c>
      <c r="M1557" s="62" t="s">
        <v>170</v>
      </c>
      <c r="N1557" t="s">
        <v>71</v>
      </c>
      <c r="O1557" t="str">
        <f>IFERROR(IF(Tbla_actores[[#This Row],[codigo_proyecto]]="","",_xlfn.XLOOKUP(Tbla_actores[[#This Row],[codigo_proyecto]],Proyectos!$A:$A,Proyectos!$C:$C)),"")</f>
        <v>NULOS</v>
      </c>
    </row>
    <row r="1558" spans="1:15">
      <c r="A1558" s="9">
        <v>1140902225</v>
      </c>
      <c r="B1558" s="63" t="s">
        <v>61</v>
      </c>
      <c r="C1558" s="62" t="s">
        <v>4409</v>
      </c>
      <c r="D1558" t="s">
        <v>63</v>
      </c>
      <c r="E1558" t="s">
        <v>4728</v>
      </c>
      <c r="F1558" s="61">
        <v>36285</v>
      </c>
      <c r="G1558" s="15" t="s">
        <v>73</v>
      </c>
      <c r="H1558" t="s">
        <v>4729</v>
      </c>
      <c r="I1558" s="62" t="s">
        <v>4730</v>
      </c>
      <c r="K1558" s="36" t="s">
        <v>169</v>
      </c>
      <c r="L1558" t="s">
        <v>69</v>
      </c>
      <c r="M1558" s="62" t="s">
        <v>170</v>
      </c>
      <c r="N1558" t="s">
        <v>71</v>
      </c>
      <c r="O1558" t="str">
        <f>IFERROR(IF(Tbla_actores[[#This Row],[codigo_proyecto]]="","",_xlfn.XLOOKUP(Tbla_actores[[#This Row],[codigo_proyecto]],Proyectos!$A:$A,Proyectos!$C:$C)),"")</f>
        <v>NULOS</v>
      </c>
    </row>
    <row r="1559" spans="1:15">
      <c r="A1559" s="10">
        <v>1020842263</v>
      </c>
      <c r="B1559" s="64" t="s">
        <v>61</v>
      </c>
      <c r="C1559" s="62" t="s">
        <v>4409</v>
      </c>
      <c r="D1559" t="s">
        <v>63</v>
      </c>
      <c r="E1559" t="s">
        <v>4731</v>
      </c>
      <c r="F1559" s="61">
        <v>36336</v>
      </c>
      <c r="G1559" s="15" t="s">
        <v>73</v>
      </c>
      <c r="H1559" t="s">
        <v>4732</v>
      </c>
      <c r="I1559" s="62" t="s">
        <v>4733</v>
      </c>
      <c r="K1559" s="36" t="s">
        <v>169</v>
      </c>
      <c r="L1559" t="s">
        <v>69</v>
      </c>
      <c r="M1559" s="62" t="s">
        <v>170</v>
      </c>
      <c r="N1559" t="s">
        <v>71</v>
      </c>
      <c r="O1559" t="str">
        <f>IFERROR(IF(Tbla_actores[[#This Row],[codigo_proyecto]]="","",_xlfn.XLOOKUP(Tbla_actores[[#This Row],[codigo_proyecto]],Proyectos!$A:$A,Proyectos!$C:$C)),"")</f>
        <v>NULOS</v>
      </c>
    </row>
    <row r="1560" spans="1:15">
      <c r="A1560" s="9">
        <v>1015473113</v>
      </c>
      <c r="B1560" s="63" t="s">
        <v>61</v>
      </c>
      <c r="C1560" s="62" t="s">
        <v>4409</v>
      </c>
      <c r="D1560" t="s">
        <v>63</v>
      </c>
      <c r="E1560" t="s">
        <v>4734</v>
      </c>
      <c r="F1560" s="61">
        <v>35803</v>
      </c>
      <c r="G1560" s="15" t="s">
        <v>73</v>
      </c>
      <c r="H1560" t="s">
        <v>4735</v>
      </c>
      <c r="I1560" s="62" t="s">
        <v>4736</v>
      </c>
      <c r="K1560" s="36" t="s">
        <v>169</v>
      </c>
      <c r="L1560" t="s">
        <v>69</v>
      </c>
      <c r="M1560" s="62" t="s">
        <v>170</v>
      </c>
      <c r="N1560" t="s">
        <v>71</v>
      </c>
      <c r="O1560" t="str">
        <f>IFERROR(IF(Tbla_actores[[#This Row],[codigo_proyecto]]="","",_xlfn.XLOOKUP(Tbla_actores[[#This Row],[codigo_proyecto]],Proyectos!$A:$A,Proyectos!$C:$C)),"")</f>
        <v>NULOS</v>
      </c>
    </row>
    <row r="1561" spans="1:15">
      <c r="A1561" s="10">
        <v>1121953449</v>
      </c>
      <c r="B1561" s="64" t="s">
        <v>61</v>
      </c>
      <c r="C1561" s="62" t="s">
        <v>4409</v>
      </c>
      <c r="D1561" t="s">
        <v>63</v>
      </c>
      <c r="E1561" t="s">
        <v>4737</v>
      </c>
      <c r="F1561" s="61">
        <v>35902</v>
      </c>
      <c r="G1561" s="15" t="s">
        <v>73</v>
      </c>
      <c r="H1561" t="s">
        <v>4738</v>
      </c>
      <c r="I1561" s="62" t="s">
        <v>4739</v>
      </c>
      <c r="K1561" s="36" t="s">
        <v>169</v>
      </c>
      <c r="L1561" t="s">
        <v>69</v>
      </c>
      <c r="M1561" s="62" t="s">
        <v>170</v>
      </c>
      <c r="N1561" t="s">
        <v>71</v>
      </c>
      <c r="O1561" t="str">
        <f>IFERROR(IF(Tbla_actores[[#This Row],[codigo_proyecto]]="","",_xlfn.XLOOKUP(Tbla_actores[[#This Row],[codigo_proyecto]],Proyectos!$A:$A,Proyectos!$C:$C)),"")</f>
        <v>NULOS</v>
      </c>
    </row>
    <row r="1562" spans="1:15">
      <c r="A1562" s="9">
        <v>1193077807</v>
      </c>
      <c r="B1562" s="63" t="s">
        <v>61</v>
      </c>
      <c r="C1562" s="62" t="s">
        <v>4409</v>
      </c>
      <c r="D1562" t="s">
        <v>63</v>
      </c>
      <c r="E1562" t="s">
        <v>4740</v>
      </c>
      <c r="F1562" s="61">
        <v>37040</v>
      </c>
      <c r="G1562" s="15" t="s">
        <v>65</v>
      </c>
      <c r="H1562" t="s">
        <v>4741</v>
      </c>
      <c r="I1562" s="62" t="s">
        <v>4742</v>
      </c>
      <c r="K1562" s="36" t="s">
        <v>169</v>
      </c>
      <c r="L1562" t="s">
        <v>69</v>
      </c>
      <c r="M1562" s="62" t="s">
        <v>170</v>
      </c>
      <c r="N1562" t="s">
        <v>71</v>
      </c>
      <c r="O1562" t="str">
        <f>IFERROR(IF(Tbla_actores[[#This Row],[codigo_proyecto]]="","",_xlfn.XLOOKUP(Tbla_actores[[#This Row],[codigo_proyecto]],Proyectos!$A:$A,Proyectos!$C:$C)),"")</f>
        <v>NULOS</v>
      </c>
    </row>
    <row r="1563" spans="1:15">
      <c r="A1563" s="10">
        <v>1192898890</v>
      </c>
      <c r="B1563" s="64" t="s">
        <v>61</v>
      </c>
      <c r="C1563" s="62" t="s">
        <v>4409</v>
      </c>
      <c r="D1563" t="s">
        <v>63</v>
      </c>
      <c r="E1563" t="s">
        <v>4743</v>
      </c>
      <c r="F1563" s="61">
        <v>36546</v>
      </c>
      <c r="G1563" s="15" t="s">
        <v>73</v>
      </c>
      <c r="H1563" t="s">
        <v>4744</v>
      </c>
      <c r="I1563" s="62" t="s">
        <v>4745</v>
      </c>
      <c r="K1563" s="36" t="s">
        <v>169</v>
      </c>
      <c r="L1563" t="s">
        <v>69</v>
      </c>
      <c r="M1563" s="62" t="s">
        <v>170</v>
      </c>
      <c r="N1563" t="s">
        <v>71</v>
      </c>
      <c r="O1563" t="str">
        <f>IFERROR(IF(Tbla_actores[[#This Row],[codigo_proyecto]]="","",_xlfn.XLOOKUP(Tbla_actores[[#This Row],[codigo_proyecto]],Proyectos!$A:$A,Proyectos!$C:$C)),"")</f>
        <v>NULOS</v>
      </c>
    </row>
    <row r="1564" spans="1:15">
      <c r="A1564" s="9">
        <v>1019152999</v>
      </c>
      <c r="B1564" s="63" t="s">
        <v>61</v>
      </c>
      <c r="C1564" s="62" t="s">
        <v>4409</v>
      </c>
      <c r="D1564" t="s">
        <v>63</v>
      </c>
      <c r="E1564" t="s">
        <v>4746</v>
      </c>
      <c r="F1564" s="61">
        <v>36479</v>
      </c>
      <c r="G1564" s="15" t="s">
        <v>65</v>
      </c>
      <c r="H1564" t="s">
        <v>4747</v>
      </c>
      <c r="I1564" s="62" t="s">
        <v>4748</v>
      </c>
      <c r="K1564" s="36" t="s">
        <v>169</v>
      </c>
      <c r="L1564" t="s">
        <v>69</v>
      </c>
      <c r="M1564" s="62" t="s">
        <v>170</v>
      </c>
      <c r="N1564" t="s">
        <v>71</v>
      </c>
      <c r="O1564" t="str">
        <f>IFERROR(IF(Tbla_actores[[#This Row],[codigo_proyecto]]="","",_xlfn.XLOOKUP(Tbla_actores[[#This Row],[codigo_proyecto]],Proyectos!$A:$A,Proyectos!$C:$C)),"")</f>
        <v>NULOS</v>
      </c>
    </row>
    <row r="1565" spans="1:15">
      <c r="A1565" s="10">
        <v>1032507741</v>
      </c>
      <c r="B1565" s="64" t="s">
        <v>61</v>
      </c>
      <c r="C1565" s="62" t="s">
        <v>4409</v>
      </c>
      <c r="D1565" t="s">
        <v>63</v>
      </c>
      <c r="E1565" t="s">
        <v>4749</v>
      </c>
      <c r="F1565" s="61">
        <v>36458</v>
      </c>
      <c r="G1565" s="15" t="s">
        <v>65</v>
      </c>
      <c r="H1565" t="s">
        <v>4750</v>
      </c>
      <c r="I1565" s="62" t="s">
        <v>4751</v>
      </c>
      <c r="K1565" s="36" t="s">
        <v>169</v>
      </c>
      <c r="L1565" t="s">
        <v>69</v>
      </c>
      <c r="M1565" s="62" t="s">
        <v>170</v>
      </c>
      <c r="N1565" t="s">
        <v>71</v>
      </c>
      <c r="O1565" t="str">
        <f>IFERROR(IF(Tbla_actores[[#This Row],[codigo_proyecto]]="","",_xlfn.XLOOKUP(Tbla_actores[[#This Row],[codigo_proyecto]],Proyectos!$A:$A,Proyectos!$C:$C)),"")</f>
        <v>NULOS</v>
      </c>
    </row>
    <row r="1566" spans="1:15">
      <c r="A1566" s="9">
        <v>1193235190</v>
      </c>
      <c r="B1566" s="63" t="s">
        <v>61</v>
      </c>
      <c r="C1566" s="62" t="s">
        <v>4409</v>
      </c>
      <c r="D1566" t="s">
        <v>63</v>
      </c>
      <c r="E1566" t="s">
        <v>4752</v>
      </c>
      <c r="F1566" s="61">
        <v>36848</v>
      </c>
      <c r="G1566" s="15" t="s">
        <v>73</v>
      </c>
      <c r="H1566" t="s">
        <v>4753</v>
      </c>
      <c r="I1566" s="62" t="s">
        <v>4754</v>
      </c>
      <c r="K1566" s="36" t="s">
        <v>495</v>
      </c>
      <c r="L1566" t="s">
        <v>69</v>
      </c>
      <c r="M1566" s="62" t="s">
        <v>70</v>
      </c>
      <c r="N1566" t="s">
        <v>71</v>
      </c>
      <c r="O1566" t="str">
        <f>IFERROR(IF(Tbla_actores[[#This Row],[codigo_proyecto]]="","",_xlfn.XLOOKUP(Tbla_actores[[#This Row],[codigo_proyecto]],Proyectos!$A:$A,Proyectos!$C:$C)),"")</f>
        <v>NULOS</v>
      </c>
    </row>
    <row r="1567" spans="1:15">
      <c r="A1567" s="10">
        <v>1007536527</v>
      </c>
      <c r="B1567" s="64" t="s">
        <v>61</v>
      </c>
      <c r="C1567" s="62" t="s">
        <v>4409</v>
      </c>
      <c r="D1567" t="s">
        <v>63</v>
      </c>
      <c r="E1567" t="s">
        <v>4755</v>
      </c>
      <c r="F1567" s="61">
        <v>36721</v>
      </c>
      <c r="G1567" s="15" t="s">
        <v>73</v>
      </c>
      <c r="H1567" t="s">
        <v>4756</v>
      </c>
      <c r="I1567" s="62" t="s">
        <v>4757</v>
      </c>
      <c r="K1567" s="36" t="s">
        <v>495</v>
      </c>
      <c r="L1567" t="s">
        <v>69</v>
      </c>
      <c r="M1567" s="62" t="s">
        <v>70</v>
      </c>
      <c r="N1567" t="s">
        <v>71</v>
      </c>
      <c r="O1567" t="str">
        <f>IFERROR(IF(Tbla_actores[[#This Row],[codigo_proyecto]]="","",_xlfn.XLOOKUP(Tbla_actores[[#This Row],[codigo_proyecto]],Proyectos!$A:$A,Proyectos!$C:$C)),"")</f>
        <v>NULOS</v>
      </c>
    </row>
    <row r="1568" spans="1:15">
      <c r="A1568" s="9">
        <v>1001174395</v>
      </c>
      <c r="B1568" s="63" t="s">
        <v>61</v>
      </c>
      <c r="C1568" s="62" t="s">
        <v>4409</v>
      </c>
      <c r="D1568" t="s">
        <v>63</v>
      </c>
      <c r="E1568" t="s">
        <v>4758</v>
      </c>
      <c r="F1568" s="61">
        <v>36978</v>
      </c>
      <c r="G1568" s="15" t="s">
        <v>73</v>
      </c>
      <c r="H1568" t="s">
        <v>4759</v>
      </c>
      <c r="I1568" s="62" t="s">
        <v>4760</v>
      </c>
      <c r="K1568" s="36" t="s">
        <v>495</v>
      </c>
      <c r="L1568" t="s">
        <v>69</v>
      </c>
      <c r="M1568" s="62" t="s">
        <v>70</v>
      </c>
      <c r="N1568" t="s">
        <v>71</v>
      </c>
      <c r="O1568" t="str">
        <f>IFERROR(IF(Tbla_actores[[#This Row],[codigo_proyecto]]="","",_xlfn.XLOOKUP(Tbla_actores[[#This Row],[codigo_proyecto]],Proyectos!$A:$A,Proyectos!$C:$C)),"")</f>
        <v>NULOS</v>
      </c>
    </row>
    <row r="1569" spans="1:15">
      <c r="A1569" s="10">
        <v>1193236279</v>
      </c>
      <c r="B1569" s="64" t="s">
        <v>61</v>
      </c>
      <c r="C1569" s="62" t="s">
        <v>4409</v>
      </c>
      <c r="D1569" t="s">
        <v>63</v>
      </c>
      <c r="E1569" t="s">
        <v>4761</v>
      </c>
      <c r="F1569" s="61">
        <v>36951</v>
      </c>
      <c r="G1569" s="15" t="s">
        <v>73</v>
      </c>
      <c r="H1569" t="s">
        <v>4762</v>
      </c>
      <c r="I1569" s="62" t="s">
        <v>4763</v>
      </c>
      <c r="K1569" s="36" t="s">
        <v>495</v>
      </c>
      <c r="L1569" t="s">
        <v>69</v>
      </c>
      <c r="M1569" s="62" t="s">
        <v>70</v>
      </c>
      <c r="N1569" t="s">
        <v>71</v>
      </c>
      <c r="O1569" t="str">
        <f>IFERROR(IF(Tbla_actores[[#This Row],[codigo_proyecto]]="","",_xlfn.XLOOKUP(Tbla_actores[[#This Row],[codigo_proyecto]],Proyectos!$A:$A,Proyectos!$C:$C)),"")</f>
        <v>NULOS</v>
      </c>
    </row>
    <row r="1570" spans="1:15">
      <c r="A1570" s="9">
        <v>1005321354</v>
      </c>
      <c r="B1570" s="63" t="s">
        <v>61</v>
      </c>
      <c r="C1570" s="62" t="s">
        <v>4409</v>
      </c>
      <c r="D1570" t="s">
        <v>63</v>
      </c>
      <c r="E1570" t="s">
        <v>4764</v>
      </c>
      <c r="F1570" s="61">
        <v>36837</v>
      </c>
      <c r="G1570" s="15" t="s">
        <v>65</v>
      </c>
      <c r="H1570" t="s">
        <v>4765</v>
      </c>
      <c r="I1570" s="62" t="s">
        <v>4766</v>
      </c>
      <c r="K1570" s="36" t="s">
        <v>495</v>
      </c>
      <c r="L1570" t="s">
        <v>69</v>
      </c>
      <c r="M1570" s="62" t="s">
        <v>70</v>
      </c>
      <c r="N1570" t="s">
        <v>71</v>
      </c>
      <c r="O1570" t="str">
        <f>IFERROR(IF(Tbla_actores[[#This Row],[codigo_proyecto]]="","",_xlfn.XLOOKUP(Tbla_actores[[#This Row],[codigo_proyecto]],Proyectos!$A:$A,Proyectos!$C:$C)),"")</f>
        <v>NULOS</v>
      </c>
    </row>
    <row r="1571" spans="1:15">
      <c r="A1571" s="10">
        <v>1010042919</v>
      </c>
      <c r="B1571" s="64" t="s">
        <v>61</v>
      </c>
      <c r="C1571" s="62" t="s">
        <v>4409</v>
      </c>
      <c r="D1571" t="s">
        <v>63</v>
      </c>
      <c r="E1571" t="s">
        <v>4767</v>
      </c>
      <c r="F1571" s="61">
        <v>36755</v>
      </c>
      <c r="G1571" s="15" t="s">
        <v>65</v>
      </c>
      <c r="H1571" t="s">
        <v>4768</v>
      </c>
      <c r="I1571" s="62" t="s">
        <v>4769</v>
      </c>
      <c r="K1571" s="36" t="s">
        <v>495</v>
      </c>
      <c r="L1571" t="s">
        <v>69</v>
      </c>
      <c r="M1571" s="62" t="s">
        <v>70</v>
      </c>
      <c r="N1571" t="s">
        <v>71</v>
      </c>
      <c r="O1571" t="str">
        <f>IFERROR(IF(Tbla_actores[[#This Row],[codigo_proyecto]]="","",_xlfn.XLOOKUP(Tbla_actores[[#This Row],[codigo_proyecto]],Proyectos!$A:$A,Proyectos!$C:$C)),"")</f>
        <v>NULOS</v>
      </c>
    </row>
    <row r="1572" spans="1:15">
      <c r="A1572" s="9">
        <v>1018513118</v>
      </c>
      <c r="B1572" s="63" t="s">
        <v>61</v>
      </c>
      <c r="C1572" s="62" t="s">
        <v>4409</v>
      </c>
      <c r="D1572" t="s">
        <v>63</v>
      </c>
      <c r="E1572" t="s">
        <v>4770</v>
      </c>
      <c r="F1572" s="61">
        <v>36392</v>
      </c>
      <c r="G1572" s="15" t="s">
        <v>65</v>
      </c>
      <c r="H1572" t="s">
        <v>4771</v>
      </c>
      <c r="I1572" s="62" t="s">
        <v>4772</v>
      </c>
      <c r="K1572" s="36" t="s">
        <v>495</v>
      </c>
      <c r="L1572" t="s">
        <v>69</v>
      </c>
      <c r="M1572" s="62" t="s">
        <v>70</v>
      </c>
      <c r="N1572" t="s">
        <v>71</v>
      </c>
      <c r="O1572" t="str">
        <f>IFERROR(IF(Tbla_actores[[#This Row],[codigo_proyecto]]="","",_xlfn.XLOOKUP(Tbla_actores[[#This Row],[codigo_proyecto]],Proyectos!$A:$A,Proyectos!$C:$C)),"")</f>
        <v>NULOS</v>
      </c>
    </row>
    <row r="1573" spans="1:15">
      <c r="A1573" s="10">
        <v>1057611494</v>
      </c>
      <c r="B1573" s="64" t="s">
        <v>61</v>
      </c>
      <c r="C1573" s="62" t="s">
        <v>4409</v>
      </c>
      <c r="D1573" t="s">
        <v>63</v>
      </c>
      <c r="E1573" t="s">
        <v>4773</v>
      </c>
      <c r="F1573" s="61">
        <v>36542</v>
      </c>
      <c r="G1573" s="15" t="s">
        <v>73</v>
      </c>
      <c r="H1573" t="s">
        <v>4774</v>
      </c>
      <c r="I1573" s="62" t="s">
        <v>4775</v>
      </c>
      <c r="K1573" s="36" t="s">
        <v>495</v>
      </c>
      <c r="L1573" t="s">
        <v>69</v>
      </c>
      <c r="M1573" s="62" t="s">
        <v>70</v>
      </c>
      <c r="N1573" t="s">
        <v>71</v>
      </c>
      <c r="O1573" t="str">
        <f>IFERROR(IF(Tbla_actores[[#This Row],[codigo_proyecto]]="","",_xlfn.XLOOKUP(Tbla_actores[[#This Row],[codigo_proyecto]],Proyectos!$A:$A,Proyectos!$C:$C)),"")</f>
        <v>NULOS</v>
      </c>
    </row>
    <row r="1574" spans="1:15">
      <c r="A1574" s="9">
        <v>1004539834</v>
      </c>
      <c r="B1574" s="63" t="s">
        <v>61</v>
      </c>
      <c r="C1574" s="62" t="s">
        <v>4409</v>
      </c>
      <c r="D1574" t="s">
        <v>63</v>
      </c>
      <c r="E1574" t="s">
        <v>4776</v>
      </c>
      <c r="F1574" s="61">
        <v>36937</v>
      </c>
      <c r="G1574" s="15" t="s">
        <v>65</v>
      </c>
      <c r="H1574" t="s">
        <v>4777</v>
      </c>
      <c r="I1574" s="62" t="s">
        <v>4778</v>
      </c>
      <c r="K1574" s="36" t="s">
        <v>495</v>
      </c>
      <c r="L1574" t="s">
        <v>69</v>
      </c>
      <c r="M1574" s="62" t="s">
        <v>70</v>
      </c>
      <c r="N1574" t="s">
        <v>71</v>
      </c>
      <c r="O1574" t="str">
        <f>IFERROR(IF(Tbla_actores[[#This Row],[codigo_proyecto]]="","",_xlfn.XLOOKUP(Tbla_actores[[#This Row],[codigo_proyecto]],Proyectos!$A:$A,Proyectos!$C:$C)),"")</f>
        <v>NULOS</v>
      </c>
    </row>
    <row r="1575" spans="1:15">
      <c r="A1575" s="10">
        <v>1005339609</v>
      </c>
      <c r="B1575" s="64" t="s">
        <v>61</v>
      </c>
      <c r="C1575" s="62" t="s">
        <v>4409</v>
      </c>
      <c r="D1575" t="s">
        <v>63</v>
      </c>
      <c r="E1575" t="s">
        <v>4779</v>
      </c>
      <c r="F1575" s="61">
        <v>36889</v>
      </c>
      <c r="G1575" s="15" t="s">
        <v>73</v>
      </c>
      <c r="H1575" t="s">
        <v>4780</v>
      </c>
      <c r="I1575" s="62" t="s">
        <v>4781</v>
      </c>
      <c r="K1575" s="36" t="s">
        <v>495</v>
      </c>
      <c r="L1575" t="s">
        <v>69</v>
      </c>
      <c r="M1575" s="62" t="s">
        <v>70</v>
      </c>
      <c r="N1575" t="s">
        <v>71</v>
      </c>
      <c r="O1575" t="str">
        <f>IFERROR(IF(Tbla_actores[[#This Row],[codigo_proyecto]]="","",_xlfn.XLOOKUP(Tbla_actores[[#This Row],[codigo_proyecto]],Proyectos!$A:$A,Proyectos!$C:$C)),"")</f>
        <v>NULOS</v>
      </c>
    </row>
    <row r="1576" spans="1:15">
      <c r="A1576" s="9">
        <v>1005570267</v>
      </c>
      <c r="B1576" s="63" t="s">
        <v>61</v>
      </c>
      <c r="C1576" s="62" t="s">
        <v>4409</v>
      </c>
      <c r="D1576" t="s">
        <v>63</v>
      </c>
      <c r="E1576" t="s">
        <v>4782</v>
      </c>
      <c r="F1576" s="61">
        <v>37099</v>
      </c>
      <c r="G1576" s="15" t="s">
        <v>65</v>
      </c>
      <c r="H1576" t="s">
        <v>4783</v>
      </c>
      <c r="I1576" s="62" t="s">
        <v>4784</v>
      </c>
      <c r="K1576" s="36" t="s">
        <v>495</v>
      </c>
      <c r="L1576" t="s">
        <v>69</v>
      </c>
      <c r="M1576" s="62" t="s">
        <v>70</v>
      </c>
      <c r="N1576" t="s">
        <v>71</v>
      </c>
      <c r="O1576" t="str">
        <f>IFERROR(IF(Tbla_actores[[#This Row],[codigo_proyecto]]="","",_xlfn.XLOOKUP(Tbla_actores[[#This Row],[codigo_proyecto]],Proyectos!$A:$A,Proyectos!$C:$C)),"")</f>
        <v>NULOS</v>
      </c>
    </row>
    <row r="1577" spans="1:15">
      <c r="A1577" s="10">
        <v>1019152949</v>
      </c>
      <c r="B1577" s="64" t="s">
        <v>61</v>
      </c>
      <c r="C1577" s="62" t="s">
        <v>4409</v>
      </c>
      <c r="D1577" t="s">
        <v>63</v>
      </c>
      <c r="E1577" t="s">
        <v>4785</v>
      </c>
      <c r="F1577" s="61">
        <v>36487</v>
      </c>
      <c r="G1577" s="15" t="s">
        <v>73</v>
      </c>
      <c r="H1577" t="s">
        <v>4786</v>
      </c>
      <c r="I1577" s="62" t="s">
        <v>4787</v>
      </c>
      <c r="K1577" s="36" t="s">
        <v>495</v>
      </c>
      <c r="L1577" t="s">
        <v>69</v>
      </c>
      <c r="M1577" s="62" t="s">
        <v>70</v>
      </c>
      <c r="N1577" t="s">
        <v>71</v>
      </c>
      <c r="O1577" t="str">
        <f>IFERROR(IF(Tbla_actores[[#This Row],[codigo_proyecto]]="","",_xlfn.XLOOKUP(Tbla_actores[[#This Row],[codigo_proyecto]],Proyectos!$A:$A,Proyectos!$C:$C)),"")</f>
        <v>NULOS</v>
      </c>
    </row>
    <row r="1578" spans="1:15">
      <c r="A1578" s="9">
        <v>1193373194</v>
      </c>
      <c r="B1578" s="63" t="s">
        <v>61</v>
      </c>
      <c r="C1578" s="62" t="s">
        <v>4409</v>
      </c>
      <c r="D1578" t="s">
        <v>63</v>
      </c>
      <c r="E1578" t="s">
        <v>4788</v>
      </c>
      <c r="F1578" s="61">
        <v>36879</v>
      </c>
      <c r="G1578" s="15" t="s">
        <v>73</v>
      </c>
      <c r="H1578" t="s">
        <v>4789</v>
      </c>
      <c r="I1578" s="62" t="s">
        <v>4790</v>
      </c>
      <c r="K1578" s="36" t="s">
        <v>495</v>
      </c>
      <c r="L1578" t="s">
        <v>69</v>
      </c>
      <c r="M1578" s="62" t="s">
        <v>70</v>
      </c>
      <c r="N1578" t="s">
        <v>71</v>
      </c>
      <c r="O1578" t="str">
        <f>IFERROR(IF(Tbla_actores[[#This Row],[codigo_proyecto]]="","",_xlfn.XLOOKUP(Tbla_actores[[#This Row],[codigo_proyecto]],Proyectos!$A:$A,Proyectos!$C:$C)),"")</f>
        <v>NULOS</v>
      </c>
    </row>
    <row r="1579" spans="1:15">
      <c r="A1579" s="10">
        <v>1000618520</v>
      </c>
      <c r="B1579" s="64" t="s">
        <v>61</v>
      </c>
      <c r="C1579" s="62" t="s">
        <v>4409</v>
      </c>
      <c r="D1579" t="s">
        <v>63</v>
      </c>
      <c r="E1579" t="s">
        <v>4791</v>
      </c>
      <c r="F1579" s="61">
        <v>36834</v>
      </c>
      <c r="G1579" s="15" t="s">
        <v>73</v>
      </c>
      <c r="H1579" t="s">
        <v>4792</v>
      </c>
      <c r="I1579" s="62" t="s">
        <v>4793</v>
      </c>
      <c r="K1579" s="36" t="s">
        <v>495</v>
      </c>
      <c r="L1579" t="s">
        <v>69</v>
      </c>
      <c r="M1579" s="62" t="s">
        <v>70</v>
      </c>
      <c r="N1579" t="s">
        <v>71</v>
      </c>
      <c r="O1579" t="str">
        <f>IFERROR(IF(Tbla_actores[[#This Row],[codigo_proyecto]]="","",_xlfn.XLOOKUP(Tbla_actores[[#This Row],[codigo_proyecto]],Proyectos!$A:$A,Proyectos!$C:$C)),"")</f>
        <v>NULOS</v>
      </c>
    </row>
    <row r="1580" spans="1:15">
      <c r="A1580" s="9">
        <v>1005675669</v>
      </c>
      <c r="B1580" s="63" t="s">
        <v>61</v>
      </c>
      <c r="C1580" s="62" t="s">
        <v>4409</v>
      </c>
      <c r="D1580" t="s">
        <v>63</v>
      </c>
      <c r="E1580" t="s">
        <v>4794</v>
      </c>
      <c r="F1580" s="61">
        <v>36783</v>
      </c>
      <c r="G1580" s="15" t="s">
        <v>65</v>
      </c>
      <c r="H1580" t="s">
        <v>4795</v>
      </c>
      <c r="I1580" s="62" t="s">
        <v>4796</v>
      </c>
      <c r="K1580" s="36" t="s">
        <v>495</v>
      </c>
      <c r="L1580" t="s">
        <v>69</v>
      </c>
      <c r="M1580" s="62" t="s">
        <v>70</v>
      </c>
      <c r="N1580" t="s">
        <v>71</v>
      </c>
      <c r="O1580" t="str">
        <f>IFERROR(IF(Tbla_actores[[#This Row],[codigo_proyecto]]="","",_xlfn.XLOOKUP(Tbla_actores[[#This Row],[codigo_proyecto]],Proyectos!$A:$A,Proyectos!$C:$C)),"")</f>
        <v>NULOS</v>
      </c>
    </row>
    <row r="1581" spans="1:15">
      <c r="A1581" s="10">
        <v>1004863899</v>
      </c>
      <c r="B1581" s="64" t="s">
        <v>61</v>
      </c>
      <c r="C1581" s="62" t="s">
        <v>4409</v>
      </c>
      <c r="D1581" t="s">
        <v>63</v>
      </c>
      <c r="E1581" t="s">
        <v>4797</v>
      </c>
      <c r="F1581" s="61">
        <v>37183</v>
      </c>
      <c r="G1581" s="15" t="s">
        <v>73</v>
      </c>
      <c r="H1581" t="s">
        <v>4798</v>
      </c>
      <c r="I1581" s="62" t="s">
        <v>4799</v>
      </c>
      <c r="K1581" s="36" t="s">
        <v>495</v>
      </c>
      <c r="L1581" t="s">
        <v>69</v>
      </c>
      <c r="M1581" s="62" t="s">
        <v>70</v>
      </c>
      <c r="N1581" t="s">
        <v>71</v>
      </c>
      <c r="O1581" t="str">
        <f>IFERROR(IF(Tbla_actores[[#This Row],[codigo_proyecto]]="","",_xlfn.XLOOKUP(Tbla_actores[[#This Row],[codigo_proyecto]],Proyectos!$A:$A,Proyectos!$C:$C)),"")</f>
        <v>NULOS</v>
      </c>
    </row>
    <row r="1582" spans="1:15">
      <c r="A1582" s="9">
        <v>1004966908</v>
      </c>
      <c r="B1582" s="63" t="s">
        <v>61</v>
      </c>
      <c r="C1582" s="62" t="s">
        <v>4409</v>
      </c>
      <c r="D1582" t="s">
        <v>63</v>
      </c>
      <c r="E1582" t="s">
        <v>4800</v>
      </c>
      <c r="F1582" s="61">
        <v>37000</v>
      </c>
      <c r="G1582" s="15" t="s">
        <v>73</v>
      </c>
      <c r="H1582" t="s">
        <v>4801</v>
      </c>
      <c r="I1582" s="62" t="s">
        <v>4802</v>
      </c>
      <c r="K1582" s="36" t="s">
        <v>495</v>
      </c>
      <c r="L1582" t="s">
        <v>69</v>
      </c>
      <c r="M1582" s="62" t="s">
        <v>70</v>
      </c>
      <c r="N1582" t="s">
        <v>71</v>
      </c>
      <c r="O1582" t="str">
        <f>IFERROR(IF(Tbla_actores[[#This Row],[codigo_proyecto]]="","",_xlfn.XLOOKUP(Tbla_actores[[#This Row],[codigo_proyecto]],Proyectos!$A:$A,Proyectos!$C:$C)),"")</f>
        <v>NULOS</v>
      </c>
    </row>
    <row r="1583" spans="1:15">
      <c r="A1583" s="10">
        <v>1003820173</v>
      </c>
      <c r="B1583" s="64" t="s">
        <v>61</v>
      </c>
      <c r="C1583" s="62" t="s">
        <v>4409</v>
      </c>
      <c r="D1583" t="s">
        <v>63</v>
      </c>
      <c r="E1583" t="s">
        <v>4803</v>
      </c>
      <c r="F1583" s="61">
        <v>37051</v>
      </c>
      <c r="G1583" s="15" t="s">
        <v>73</v>
      </c>
      <c r="H1583" t="s">
        <v>4804</v>
      </c>
      <c r="I1583" s="62" t="s">
        <v>4805</v>
      </c>
      <c r="K1583" s="36" t="s">
        <v>495</v>
      </c>
      <c r="L1583" t="s">
        <v>69</v>
      </c>
      <c r="M1583" s="62" t="s">
        <v>70</v>
      </c>
      <c r="N1583" t="s">
        <v>71</v>
      </c>
      <c r="O1583" t="str">
        <f>IFERROR(IF(Tbla_actores[[#This Row],[codigo_proyecto]]="","",_xlfn.XLOOKUP(Tbla_actores[[#This Row],[codigo_proyecto]],Proyectos!$A:$A,Proyectos!$C:$C)),"")</f>
        <v>NULOS</v>
      </c>
    </row>
    <row r="1584" spans="1:15">
      <c r="A1584" s="9">
        <v>1192804496</v>
      </c>
      <c r="B1584" s="63" t="s">
        <v>61</v>
      </c>
      <c r="C1584" s="62" t="s">
        <v>4409</v>
      </c>
      <c r="D1584" t="s">
        <v>63</v>
      </c>
      <c r="E1584" t="s">
        <v>4806</v>
      </c>
      <c r="F1584" s="61">
        <v>36430</v>
      </c>
      <c r="G1584" s="15" t="s">
        <v>73</v>
      </c>
      <c r="H1584" t="s">
        <v>4807</v>
      </c>
      <c r="I1584" s="62" t="s">
        <v>4808</v>
      </c>
      <c r="K1584" s="36" t="s">
        <v>495</v>
      </c>
      <c r="L1584" t="s">
        <v>69</v>
      </c>
      <c r="M1584" s="62" t="s">
        <v>70</v>
      </c>
      <c r="N1584" t="s">
        <v>71</v>
      </c>
      <c r="O1584" t="str">
        <f>IFERROR(IF(Tbla_actores[[#This Row],[codigo_proyecto]]="","",_xlfn.XLOOKUP(Tbla_actores[[#This Row],[codigo_proyecto]],Proyectos!$A:$A,Proyectos!$C:$C)),"")</f>
        <v>NULOS</v>
      </c>
    </row>
    <row r="1585" spans="1:15">
      <c r="A1585" s="10">
        <v>1152467993</v>
      </c>
      <c r="B1585" s="64" t="s">
        <v>61</v>
      </c>
      <c r="C1585" s="62" t="s">
        <v>4409</v>
      </c>
      <c r="D1585" t="s">
        <v>63</v>
      </c>
      <c r="E1585" t="s">
        <v>4809</v>
      </c>
      <c r="F1585" s="61">
        <v>36088</v>
      </c>
      <c r="G1585" s="15" t="s">
        <v>73</v>
      </c>
      <c r="H1585" t="s">
        <v>4810</v>
      </c>
      <c r="I1585" s="62" t="s">
        <v>4811</v>
      </c>
      <c r="K1585" s="36" t="s">
        <v>495</v>
      </c>
      <c r="L1585" t="s">
        <v>69</v>
      </c>
      <c r="M1585" s="62" t="s">
        <v>70</v>
      </c>
      <c r="N1585" t="s">
        <v>71</v>
      </c>
      <c r="O1585" t="str">
        <f>IFERROR(IF(Tbla_actores[[#This Row],[codigo_proyecto]]="","",_xlfn.XLOOKUP(Tbla_actores[[#This Row],[codigo_proyecto]],Proyectos!$A:$A,Proyectos!$C:$C)),"")</f>
        <v>NULOS</v>
      </c>
    </row>
    <row r="1586" spans="1:15">
      <c r="A1586" s="9">
        <v>1192773227</v>
      </c>
      <c r="B1586" s="63" t="s">
        <v>61</v>
      </c>
      <c r="C1586" s="62" t="s">
        <v>4409</v>
      </c>
      <c r="D1586" t="s">
        <v>63</v>
      </c>
      <c r="E1586" t="s">
        <v>4812</v>
      </c>
      <c r="F1586" s="61">
        <v>36900</v>
      </c>
      <c r="G1586" s="15" t="s">
        <v>65</v>
      </c>
      <c r="H1586" t="s">
        <v>4813</v>
      </c>
      <c r="I1586" s="62" t="s">
        <v>4814</v>
      </c>
      <c r="K1586" s="36" t="s">
        <v>495</v>
      </c>
      <c r="L1586" t="s">
        <v>69</v>
      </c>
      <c r="M1586" s="62" t="s">
        <v>70</v>
      </c>
      <c r="N1586" t="s">
        <v>71</v>
      </c>
      <c r="O1586" t="str">
        <f>IFERROR(IF(Tbla_actores[[#This Row],[codigo_proyecto]]="","",_xlfn.XLOOKUP(Tbla_actores[[#This Row],[codigo_proyecto]],Proyectos!$A:$A,Proyectos!$C:$C)),"")</f>
        <v>NULOS</v>
      </c>
    </row>
    <row r="1587" spans="1:15">
      <c r="A1587" s="10">
        <v>1006949010</v>
      </c>
      <c r="B1587" s="64" t="s">
        <v>61</v>
      </c>
      <c r="C1587" s="62" t="s">
        <v>4409</v>
      </c>
      <c r="D1587" t="s">
        <v>63</v>
      </c>
      <c r="E1587" t="s">
        <v>4815</v>
      </c>
      <c r="F1587" s="61">
        <v>36598</v>
      </c>
      <c r="G1587" s="15" t="s">
        <v>65</v>
      </c>
      <c r="H1587" t="s">
        <v>4816</v>
      </c>
      <c r="I1587" s="62" t="s">
        <v>4817</v>
      </c>
      <c r="K1587" s="36" t="s">
        <v>495</v>
      </c>
      <c r="L1587" t="s">
        <v>69</v>
      </c>
      <c r="M1587" s="62" t="s">
        <v>70</v>
      </c>
      <c r="N1587" t="s">
        <v>71</v>
      </c>
      <c r="O1587" t="str">
        <f>IFERROR(IF(Tbla_actores[[#This Row],[codigo_proyecto]]="","",_xlfn.XLOOKUP(Tbla_actores[[#This Row],[codigo_proyecto]],Proyectos!$A:$A,Proyectos!$C:$C)),"")</f>
        <v>NULOS</v>
      </c>
    </row>
    <row r="1588" spans="1:15">
      <c r="A1588" s="9">
        <v>1002998108</v>
      </c>
      <c r="B1588" s="63" t="s">
        <v>61</v>
      </c>
      <c r="C1588" s="62" t="s">
        <v>4409</v>
      </c>
      <c r="D1588" t="s">
        <v>63</v>
      </c>
      <c r="E1588" t="s">
        <v>4818</v>
      </c>
      <c r="F1588" s="61">
        <v>36791</v>
      </c>
      <c r="G1588" s="15" t="s">
        <v>65</v>
      </c>
      <c r="H1588" t="s">
        <v>4819</v>
      </c>
      <c r="I1588" s="62" t="s">
        <v>4820</v>
      </c>
      <c r="K1588" s="36" t="s">
        <v>495</v>
      </c>
      <c r="L1588" t="s">
        <v>69</v>
      </c>
      <c r="M1588" s="62" t="s">
        <v>70</v>
      </c>
      <c r="N1588" t="s">
        <v>71</v>
      </c>
      <c r="O1588" t="str">
        <f>IFERROR(IF(Tbla_actores[[#This Row],[codigo_proyecto]]="","",_xlfn.XLOOKUP(Tbla_actores[[#This Row],[codigo_proyecto]],Proyectos!$A:$A,Proyectos!$C:$C)),"")</f>
        <v>NULOS</v>
      </c>
    </row>
    <row r="1589" spans="1:15">
      <c r="A1589" s="10">
        <v>1010127934</v>
      </c>
      <c r="B1589" s="64" t="s">
        <v>61</v>
      </c>
      <c r="C1589" s="62" t="s">
        <v>4409</v>
      </c>
      <c r="D1589" t="s">
        <v>63</v>
      </c>
      <c r="E1589" t="s">
        <v>4821</v>
      </c>
      <c r="F1589" s="61">
        <v>36567</v>
      </c>
      <c r="G1589" s="15" t="s">
        <v>65</v>
      </c>
      <c r="H1589" t="s">
        <v>4822</v>
      </c>
      <c r="I1589" s="62" t="s">
        <v>4823</v>
      </c>
      <c r="K1589" s="36" t="s">
        <v>495</v>
      </c>
      <c r="L1589" t="s">
        <v>69</v>
      </c>
      <c r="M1589" s="62" t="s">
        <v>70</v>
      </c>
      <c r="N1589" t="s">
        <v>71</v>
      </c>
      <c r="O1589" t="str">
        <f>IFERROR(IF(Tbla_actores[[#This Row],[codigo_proyecto]]="","",_xlfn.XLOOKUP(Tbla_actores[[#This Row],[codigo_proyecto]],Proyectos!$A:$A,Proyectos!$C:$C)),"")</f>
        <v>NULOS</v>
      </c>
    </row>
    <row r="1590" spans="1:15">
      <c r="A1590" s="9">
        <v>1004996696</v>
      </c>
      <c r="B1590" s="63" t="s">
        <v>61</v>
      </c>
      <c r="C1590" s="62" t="s">
        <v>4409</v>
      </c>
      <c r="D1590" t="s">
        <v>63</v>
      </c>
      <c r="E1590" t="s">
        <v>4824</v>
      </c>
      <c r="F1590" s="61">
        <v>36507</v>
      </c>
      <c r="G1590" s="15" t="s">
        <v>65</v>
      </c>
      <c r="H1590" t="s">
        <v>4825</v>
      </c>
      <c r="I1590" s="62" t="s">
        <v>4826</v>
      </c>
      <c r="K1590" s="36" t="s">
        <v>495</v>
      </c>
      <c r="L1590" t="s">
        <v>69</v>
      </c>
      <c r="M1590" s="62" t="s">
        <v>70</v>
      </c>
      <c r="N1590" t="s">
        <v>71</v>
      </c>
      <c r="O1590" t="str">
        <f>IFERROR(IF(Tbla_actores[[#This Row],[codigo_proyecto]]="","",_xlfn.XLOOKUP(Tbla_actores[[#This Row],[codigo_proyecto]],Proyectos!$A:$A,Proyectos!$C:$C)),"")</f>
        <v>NULOS</v>
      </c>
    </row>
    <row r="1591" spans="1:15">
      <c r="A1591" s="10">
        <v>1000468767</v>
      </c>
      <c r="B1591" s="64" t="s">
        <v>61</v>
      </c>
      <c r="C1591" s="62" t="s">
        <v>4409</v>
      </c>
      <c r="D1591" t="s">
        <v>63</v>
      </c>
      <c r="E1591" t="s">
        <v>4827</v>
      </c>
      <c r="F1591" s="61">
        <v>36651</v>
      </c>
      <c r="G1591" s="15" t="s">
        <v>73</v>
      </c>
      <c r="H1591" t="s">
        <v>4828</v>
      </c>
      <c r="I1591" s="62" t="s">
        <v>4829</v>
      </c>
      <c r="K1591" s="36" t="s">
        <v>495</v>
      </c>
      <c r="L1591" t="s">
        <v>69</v>
      </c>
      <c r="M1591" s="62" t="s">
        <v>70</v>
      </c>
      <c r="N1591" t="s">
        <v>71</v>
      </c>
      <c r="O1591" t="str">
        <f>IFERROR(IF(Tbla_actores[[#This Row],[codigo_proyecto]]="","",_xlfn.XLOOKUP(Tbla_actores[[#This Row],[codigo_proyecto]],Proyectos!$A:$A,Proyectos!$C:$C)),"")</f>
        <v>NULOS</v>
      </c>
    </row>
    <row r="1592" spans="1:15">
      <c r="A1592" s="9">
        <v>1000851261</v>
      </c>
      <c r="B1592" s="63" t="s">
        <v>61</v>
      </c>
      <c r="C1592" s="62" t="s">
        <v>4409</v>
      </c>
      <c r="D1592" t="s">
        <v>63</v>
      </c>
      <c r="E1592" t="s">
        <v>4830</v>
      </c>
      <c r="F1592" s="61">
        <v>36679</v>
      </c>
      <c r="G1592" s="15" t="s">
        <v>73</v>
      </c>
      <c r="H1592" t="s">
        <v>4831</v>
      </c>
      <c r="I1592" s="62" t="s">
        <v>4832</v>
      </c>
      <c r="K1592" s="36" t="s">
        <v>495</v>
      </c>
      <c r="L1592" t="s">
        <v>69</v>
      </c>
      <c r="M1592" s="62" t="s">
        <v>70</v>
      </c>
      <c r="N1592" t="s">
        <v>71</v>
      </c>
      <c r="O1592" t="str">
        <f>IFERROR(IF(Tbla_actores[[#This Row],[codigo_proyecto]]="","",_xlfn.XLOOKUP(Tbla_actores[[#This Row],[codigo_proyecto]],Proyectos!$A:$A,Proyectos!$C:$C)),"")</f>
        <v>NULOS</v>
      </c>
    </row>
    <row r="1593" spans="1:15">
      <c r="A1593" s="10">
        <v>1000472901</v>
      </c>
      <c r="B1593" s="64" t="s">
        <v>61</v>
      </c>
      <c r="C1593" s="62" t="s">
        <v>4409</v>
      </c>
      <c r="D1593" t="s">
        <v>63</v>
      </c>
      <c r="E1593" t="s">
        <v>4833</v>
      </c>
      <c r="F1593" s="61">
        <v>37340</v>
      </c>
      <c r="G1593" s="15" t="s">
        <v>73</v>
      </c>
      <c r="H1593" t="s">
        <v>4834</v>
      </c>
      <c r="I1593" s="62" t="s">
        <v>4835</v>
      </c>
      <c r="K1593" s="36" t="s">
        <v>495</v>
      </c>
      <c r="L1593" t="s">
        <v>69</v>
      </c>
      <c r="M1593" s="62" t="s">
        <v>70</v>
      </c>
      <c r="N1593" t="s">
        <v>71</v>
      </c>
      <c r="O1593" t="str">
        <f>IFERROR(IF(Tbla_actores[[#This Row],[codigo_proyecto]]="","",_xlfn.XLOOKUP(Tbla_actores[[#This Row],[codigo_proyecto]],Proyectos!$A:$A,Proyectos!$C:$C)),"")</f>
        <v>NULOS</v>
      </c>
    </row>
    <row r="1594" spans="1:15">
      <c r="A1594" s="9">
        <v>1020804844</v>
      </c>
      <c r="B1594" s="63" t="s">
        <v>61</v>
      </c>
      <c r="C1594" s="62" t="s">
        <v>4409</v>
      </c>
      <c r="D1594" t="s">
        <v>63</v>
      </c>
      <c r="E1594" t="s">
        <v>4836</v>
      </c>
      <c r="F1594" s="61">
        <v>34831</v>
      </c>
      <c r="G1594" s="15" t="s">
        <v>73</v>
      </c>
      <c r="H1594" t="s">
        <v>4837</v>
      </c>
      <c r="I1594" s="62" t="s">
        <v>4838</v>
      </c>
      <c r="K1594" s="36" t="s">
        <v>495</v>
      </c>
      <c r="L1594" t="s">
        <v>69</v>
      </c>
      <c r="M1594" s="62" t="s">
        <v>70</v>
      </c>
      <c r="N1594" t="s">
        <v>71</v>
      </c>
      <c r="O1594" t="str">
        <f>IFERROR(IF(Tbla_actores[[#This Row],[codigo_proyecto]]="","",_xlfn.XLOOKUP(Tbla_actores[[#This Row],[codigo_proyecto]],Proyectos!$A:$A,Proyectos!$C:$C)),"")</f>
        <v>NULOS</v>
      </c>
    </row>
    <row r="1595" spans="1:15">
      <c r="A1595" s="10">
        <v>1000252111</v>
      </c>
      <c r="B1595" s="64" t="s">
        <v>61</v>
      </c>
      <c r="C1595" s="62" t="s">
        <v>4409</v>
      </c>
      <c r="D1595" t="s">
        <v>63</v>
      </c>
      <c r="E1595" t="s">
        <v>4839</v>
      </c>
      <c r="F1595" s="61">
        <v>36835</v>
      </c>
      <c r="G1595" s="15" t="s">
        <v>65</v>
      </c>
      <c r="H1595" t="s">
        <v>4840</v>
      </c>
      <c r="I1595" s="62" t="s">
        <v>4841</v>
      </c>
      <c r="K1595" s="36" t="s">
        <v>495</v>
      </c>
      <c r="L1595" t="s">
        <v>69</v>
      </c>
      <c r="M1595" s="62" t="s">
        <v>70</v>
      </c>
      <c r="N1595" t="s">
        <v>71</v>
      </c>
      <c r="O1595" t="str">
        <f>IFERROR(IF(Tbla_actores[[#This Row],[codigo_proyecto]]="","",_xlfn.XLOOKUP(Tbla_actores[[#This Row],[codigo_proyecto]],Proyectos!$A:$A,Proyectos!$C:$C)),"")</f>
        <v>NULOS</v>
      </c>
    </row>
    <row r="1596" spans="1:15">
      <c r="A1596" s="9">
        <v>1007596314</v>
      </c>
      <c r="B1596" s="63" t="s">
        <v>61</v>
      </c>
      <c r="C1596" s="62" t="s">
        <v>4409</v>
      </c>
      <c r="D1596" t="s">
        <v>63</v>
      </c>
      <c r="E1596" t="s">
        <v>4842</v>
      </c>
      <c r="F1596" s="61">
        <v>37100</v>
      </c>
      <c r="G1596" s="15" t="s">
        <v>65</v>
      </c>
      <c r="H1596" t="s">
        <v>4843</v>
      </c>
      <c r="I1596" s="62" t="s">
        <v>4844</v>
      </c>
      <c r="K1596" s="36" t="s">
        <v>495</v>
      </c>
      <c r="L1596" t="s">
        <v>69</v>
      </c>
      <c r="M1596" s="62" t="s">
        <v>70</v>
      </c>
      <c r="N1596" t="s">
        <v>71</v>
      </c>
      <c r="O1596" t="str">
        <f>IFERROR(IF(Tbla_actores[[#This Row],[codigo_proyecto]]="","",_xlfn.XLOOKUP(Tbla_actores[[#This Row],[codigo_proyecto]],Proyectos!$A:$A,Proyectos!$C:$C)),"")</f>
        <v>NULOS</v>
      </c>
    </row>
    <row r="1597" spans="1:15">
      <c r="A1597" s="10">
        <v>1018506617</v>
      </c>
      <c r="B1597" s="64" t="s">
        <v>61</v>
      </c>
      <c r="C1597" s="62" t="s">
        <v>4409</v>
      </c>
      <c r="D1597" t="s">
        <v>63</v>
      </c>
      <c r="E1597" t="s">
        <v>4845</v>
      </c>
      <c r="F1597" s="61">
        <v>36094</v>
      </c>
      <c r="G1597" s="15" t="s">
        <v>73</v>
      </c>
      <c r="H1597" t="s">
        <v>4846</v>
      </c>
      <c r="I1597" s="62" t="s">
        <v>4847</v>
      </c>
      <c r="K1597" s="36" t="s">
        <v>495</v>
      </c>
      <c r="L1597" t="s">
        <v>69</v>
      </c>
      <c r="M1597" s="62" t="s">
        <v>70</v>
      </c>
      <c r="N1597" t="s">
        <v>71</v>
      </c>
      <c r="O1597" t="str">
        <f>IFERROR(IF(Tbla_actores[[#This Row],[codigo_proyecto]]="","",_xlfn.XLOOKUP(Tbla_actores[[#This Row],[codigo_proyecto]],Proyectos!$A:$A,Proyectos!$C:$C)),"")</f>
        <v>NULOS</v>
      </c>
    </row>
    <row r="1598" spans="1:15">
      <c r="A1598" s="9">
        <v>1075303109</v>
      </c>
      <c r="B1598" s="63" t="s">
        <v>61</v>
      </c>
      <c r="C1598" s="62" t="s">
        <v>4409</v>
      </c>
      <c r="D1598" t="s">
        <v>63</v>
      </c>
      <c r="E1598" t="s">
        <v>4848</v>
      </c>
      <c r="F1598" s="61">
        <v>35507</v>
      </c>
      <c r="G1598" s="15" t="s">
        <v>65</v>
      </c>
      <c r="H1598" t="s">
        <v>4849</v>
      </c>
      <c r="I1598" s="62" t="s">
        <v>4850</v>
      </c>
      <c r="K1598" s="36" t="s">
        <v>495</v>
      </c>
      <c r="L1598" t="s">
        <v>69</v>
      </c>
      <c r="M1598" s="62" t="s">
        <v>70</v>
      </c>
      <c r="N1598" t="s">
        <v>71</v>
      </c>
      <c r="O1598" t="str">
        <f>IFERROR(IF(Tbla_actores[[#This Row],[codigo_proyecto]]="","",_xlfn.XLOOKUP(Tbla_actores[[#This Row],[codigo_proyecto]],Proyectos!$A:$A,Proyectos!$C:$C)),"")</f>
        <v>NULOS</v>
      </c>
    </row>
    <row r="1599" spans="1:15">
      <c r="A1599" s="10">
        <v>1010140307</v>
      </c>
      <c r="B1599" s="64" t="s">
        <v>61</v>
      </c>
      <c r="C1599" s="62" t="s">
        <v>4409</v>
      </c>
      <c r="D1599" t="s">
        <v>63</v>
      </c>
      <c r="E1599" t="s">
        <v>4851</v>
      </c>
      <c r="F1599" s="61">
        <v>36696</v>
      </c>
      <c r="G1599" s="15" t="s">
        <v>73</v>
      </c>
      <c r="H1599" t="s">
        <v>4852</v>
      </c>
      <c r="I1599" s="62" t="s">
        <v>4853</v>
      </c>
      <c r="K1599" s="36" t="s">
        <v>495</v>
      </c>
      <c r="L1599" t="s">
        <v>69</v>
      </c>
      <c r="M1599" s="62" t="s">
        <v>70</v>
      </c>
      <c r="N1599" t="s">
        <v>71</v>
      </c>
      <c r="O1599" t="str">
        <f>IFERROR(IF(Tbla_actores[[#This Row],[codigo_proyecto]]="","",_xlfn.XLOOKUP(Tbla_actores[[#This Row],[codigo_proyecto]],Proyectos!$A:$A,Proyectos!$C:$C)),"")</f>
        <v>NULOS</v>
      </c>
    </row>
    <row r="1600" spans="1:15">
      <c r="A1600" s="9">
        <v>1000596366</v>
      </c>
      <c r="B1600" s="63" t="s">
        <v>61</v>
      </c>
      <c r="C1600" s="62" t="s">
        <v>4409</v>
      </c>
      <c r="D1600" t="s">
        <v>63</v>
      </c>
      <c r="E1600" t="s">
        <v>4854</v>
      </c>
      <c r="F1600" s="61">
        <v>37094</v>
      </c>
      <c r="G1600" s="15" t="s">
        <v>65</v>
      </c>
      <c r="H1600" t="s">
        <v>4855</v>
      </c>
      <c r="I1600" s="62" t="s">
        <v>4856</v>
      </c>
      <c r="K1600" s="36" t="s">
        <v>495</v>
      </c>
      <c r="L1600" t="s">
        <v>69</v>
      </c>
      <c r="M1600" s="62" t="s">
        <v>70</v>
      </c>
      <c r="N1600" t="s">
        <v>71</v>
      </c>
      <c r="O1600" t="str">
        <f>IFERROR(IF(Tbla_actores[[#This Row],[codigo_proyecto]]="","",_xlfn.XLOOKUP(Tbla_actores[[#This Row],[codigo_proyecto]],Proyectos!$A:$A,Proyectos!$C:$C)),"")</f>
        <v>NULOS</v>
      </c>
    </row>
    <row r="1601" spans="1:15">
      <c r="A1601" s="10">
        <v>1000596358</v>
      </c>
      <c r="B1601" s="64" t="s">
        <v>61</v>
      </c>
      <c r="C1601" s="62" t="s">
        <v>4409</v>
      </c>
      <c r="D1601" t="s">
        <v>63</v>
      </c>
      <c r="E1601" t="s">
        <v>4857</v>
      </c>
      <c r="F1601" s="61">
        <v>37094</v>
      </c>
      <c r="G1601" s="15" t="s">
        <v>65</v>
      </c>
      <c r="H1601" t="s">
        <v>4858</v>
      </c>
      <c r="I1601" s="62" t="s">
        <v>4859</v>
      </c>
      <c r="K1601" s="36" t="s">
        <v>495</v>
      </c>
      <c r="L1601" t="s">
        <v>69</v>
      </c>
      <c r="M1601" s="62" t="s">
        <v>70</v>
      </c>
      <c r="N1601" t="s">
        <v>71</v>
      </c>
      <c r="O1601" t="str">
        <f>IFERROR(IF(Tbla_actores[[#This Row],[codigo_proyecto]]="","",_xlfn.XLOOKUP(Tbla_actores[[#This Row],[codigo_proyecto]],Proyectos!$A:$A,Proyectos!$C:$C)),"")</f>
        <v>NULOS</v>
      </c>
    </row>
    <row r="1602" spans="1:15">
      <c r="A1602" s="9">
        <v>1015466477</v>
      </c>
      <c r="B1602" s="63" t="s">
        <v>61</v>
      </c>
      <c r="C1602" s="62" t="s">
        <v>4409</v>
      </c>
      <c r="D1602" t="s">
        <v>63</v>
      </c>
      <c r="E1602" t="s">
        <v>4860</v>
      </c>
      <c r="F1602" s="61">
        <v>35380</v>
      </c>
      <c r="G1602" s="15" t="s">
        <v>65</v>
      </c>
      <c r="H1602" t="s">
        <v>4861</v>
      </c>
      <c r="I1602" s="62" t="s">
        <v>4862</v>
      </c>
      <c r="K1602" s="36" t="s">
        <v>495</v>
      </c>
      <c r="L1602" t="s">
        <v>69</v>
      </c>
      <c r="M1602" s="62" t="s">
        <v>70</v>
      </c>
      <c r="N1602" t="s">
        <v>71</v>
      </c>
      <c r="O1602" t="str">
        <f>IFERROR(IF(Tbla_actores[[#This Row],[codigo_proyecto]]="","",_xlfn.XLOOKUP(Tbla_actores[[#This Row],[codigo_proyecto]],Proyectos!$A:$A,Proyectos!$C:$C)),"")</f>
        <v>NULOS</v>
      </c>
    </row>
    <row r="1603" spans="1:15">
      <c r="A1603" s="10">
        <v>1010065361</v>
      </c>
      <c r="B1603" s="64" t="s">
        <v>61</v>
      </c>
      <c r="C1603" s="62" t="s">
        <v>4409</v>
      </c>
      <c r="D1603" t="s">
        <v>63</v>
      </c>
      <c r="E1603" t="s">
        <v>4863</v>
      </c>
      <c r="F1603" s="61">
        <v>36688</v>
      </c>
      <c r="G1603" s="15" t="s">
        <v>65</v>
      </c>
      <c r="H1603" t="s">
        <v>4864</v>
      </c>
      <c r="I1603" s="62" t="s">
        <v>4865</v>
      </c>
      <c r="K1603" s="36" t="s">
        <v>495</v>
      </c>
      <c r="L1603" t="s">
        <v>69</v>
      </c>
      <c r="M1603" s="62" t="s">
        <v>70</v>
      </c>
      <c r="N1603" t="s">
        <v>71</v>
      </c>
      <c r="O1603" t="str">
        <f>IFERROR(IF(Tbla_actores[[#This Row],[codigo_proyecto]]="","",_xlfn.XLOOKUP(Tbla_actores[[#This Row],[codigo_proyecto]],Proyectos!$A:$A,Proyectos!$C:$C)),"")</f>
        <v>NULOS</v>
      </c>
    </row>
    <row r="1604" spans="1:15">
      <c r="A1604" s="9">
        <v>1026302070</v>
      </c>
      <c r="B1604" s="63" t="s">
        <v>61</v>
      </c>
      <c r="C1604" s="62" t="s">
        <v>4409</v>
      </c>
      <c r="D1604" t="s">
        <v>63</v>
      </c>
      <c r="E1604" t="s">
        <v>4866</v>
      </c>
      <c r="F1604" s="61">
        <v>35977</v>
      </c>
      <c r="G1604" s="15" t="s">
        <v>73</v>
      </c>
      <c r="H1604" t="s">
        <v>4867</v>
      </c>
      <c r="I1604" s="62" t="s">
        <v>4868</v>
      </c>
      <c r="K1604" s="36" t="s">
        <v>169</v>
      </c>
      <c r="L1604" t="s">
        <v>69</v>
      </c>
      <c r="M1604" s="62" t="s">
        <v>170</v>
      </c>
      <c r="N1604" t="s">
        <v>71</v>
      </c>
      <c r="O1604" t="str">
        <f>IFERROR(IF(Tbla_actores[[#This Row],[codigo_proyecto]]="","",_xlfn.XLOOKUP(Tbla_actores[[#This Row],[codigo_proyecto]],Proyectos!$A:$A,Proyectos!$C:$C)),"")</f>
        <v>NULOS</v>
      </c>
    </row>
    <row r="1605" spans="1:15">
      <c r="A1605" s="10">
        <v>1018515313</v>
      </c>
      <c r="B1605" s="64" t="s">
        <v>61</v>
      </c>
      <c r="C1605" s="62" t="s">
        <v>4409</v>
      </c>
      <c r="D1605" t="s">
        <v>63</v>
      </c>
      <c r="E1605" t="s">
        <v>4869</v>
      </c>
      <c r="F1605" s="61">
        <v>36512</v>
      </c>
      <c r="G1605" s="15" t="s">
        <v>73</v>
      </c>
      <c r="H1605" t="s">
        <v>4870</v>
      </c>
      <c r="I1605" s="62" t="s">
        <v>4871</v>
      </c>
      <c r="K1605" s="36" t="s">
        <v>169</v>
      </c>
      <c r="L1605" t="s">
        <v>69</v>
      </c>
      <c r="M1605" s="62" t="s">
        <v>170</v>
      </c>
      <c r="N1605" t="s">
        <v>71</v>
      </c>
      <c r="O1605" t="str">
        <f>IFERROR(IF(Tbla_actores[[#This Row],[codigo_proyecto]]="","",_xlfn.XLOOKUP(Tbla_actores[[#This Row],[codigo_proyecto]],Proyectos!$A:$A,Proyectos!$C:$C)),"")</f>
        <v>NULOS</v>
      </c>
    </row>
    <row r="1606" spans="1:15">
      <c r="A1606" s="9">
        <v>1022431928</v>
      </c>
      <c r="B1606" s="63" t="s">
        <v>61</v>
      </c>
      <c r="C1606" s="62" t="s">
        <v>4409</v>
      </c>
      <c r="D1606" t="s">
        <v>63</v>
      </c>
      <c r="E1606" t="s">
        <v>4872</v>
      </c>
      <c r="F1606" s="61">
        <v>35777</v>
      </c>
      <c r="G1606" s="15" t="s">
        <v>73</v>
      </c>
      <c r="H1606" t="s">
        <v>4873</v>
      </c>
      <c r="I1606" s="62" t="s">
        <v>4874</v>
      </c>
      <c r="K1606" s="36" t="s">
        <v>169</v>
      </c>
      <c r="L1606" t="s">
        <v>69</v>
      </c>
      <c r="M1606" s="62" t="s">
        <v>170</v>
      </c>
      <c r="N1606" t="s">
        <v>71</v>
      </c>
      <c r="O1606" t="str">
        <f>IFERROR(IF(Tbla_actores[[#This Row],[codigo_proyecto]]="","",_xlfn.XLOOKUP(Tbla_actores[[#This Row],[codigo_proyecto]],Proyectos!$A:$A,Proyectos!$C:$C)),"")</f>
        <v>NULOS</v>
      </c>
    </row>
    <row r="1607" spans="1:15">
      <c r="A1607" s="10">
        <v>1018515232</v>
      </c>
      <c r="B1607" s="64" t="s">
        <v>61</v>
      </c>
      <c r="C1607" s="62" t="s">
        <v>4409</v>
      </c>
      <c r="D1607" t="s">
        <v>63</v>
      </c>
      <c r="E1607" t="s">
        <v>4875</v>
      </c>
      <c r="F1607" s="61">
        <v>36326</v>
      </c>
      <c r="G1607" s="15" t="s">
        <v>73</v>
      </c>
      <c r="H1607" t="s">
        <v>4876</v>
      </c>
      <c r="I1607" s="62" t="s">
        <v>4877</v>
      </c>
      <c r="K1607" s="36" t="s">
        <v>169</v>
      </c>
      <c r="L1607" t="s">
        <v>69</v>
      </c>
      <c r="M1607" s="62" t="s">
        <v>170</v>
      </c>
      <c r="N1607" t="s">
        <v>71</v>
      </c>
      <c r="O1607" t="str">
        <f>IFERROR(IF(Tbla_actores[[#This Row],[codigo_proyecto]]="","",_xlfn.XLOOKUP(Tbla_actores[[#This Row],[codigo_proyecto]],Proyectos!$A:$A,Proyectos!$C:$C)),"")</f>
        <v>NULOS</v>
      </c>
    </row>
    <row r="1608" spans="1:15">
      <c r="A1608" s="9">
        <v>1000214027</v>
      </c>
      <c r="B1608" s="63" t="s">
        <v>61</v>
      </c>
      <c r="C1608" s="62" t="s">
        <v>4409</v>
      </c>
      <c r="D1608" t="s">
        <v>63</v>
      </c>
      <c r="E1608" t="s">
        <v>4878</v>
      </c>
      <c r="F1608" s="61">
        <v>37220</v>
      </c>
      <c r="G1608" s="15" t="s">
        <v>73</v>
      </c>
      <c r="H1608" t="s">
        <v>4879</v>
      </c>
      <c r="I1608" s="62" t="s">
        <v>4880</v>
      </c>
      <c r="K1608" s="36" t="s">
        <v>169</v>
      </c>
      <c r="L1608" t="s">
        <v>69</v>
      </c>
      <c r="M1608" s="62" t="s">
        <v>170</v>
      </c>
      <c r="N1608" t="s">
        <v>71</v>
      </c>
      <c r="O1608" t="str">
        <f>IFERROR(IF(Tbla_actores[[#This Row],[codigo_proyecto]]="","",_xlfn.XLOOKUP(Tbla_actores[[#This Row],[codigo_proyecto]],Proyectos!$A:$A,Proyectos!$C:$C)),"")</f>
        <v>NULOS</v>
      </c>
    </row>
    <row r="1609" spans="1:15">
      <c r="A1609" s="10">
        <v>1019153351</v>
      </c>
      <c r="B1609" s="64" t="s">
        <v>61</v>
      </c>
      <c r="C1609" s="62" t="s">
        <v>4409</v>
      </c>
      <c r="D1609" t="s">
        <v>63</v>
      </c>
      <c r="E1609" t="s">
        <v>4881</v>
      </c>
      <c r="F1609" s="61">
        <v>36512</v>
      </c>
      <c r="G1609" s="15" t="s">
        <v>65</v>
      </c>
      <c r="H1609" t="s">
        <v>4882</v>
      </c>
      <c r="I1609" s="62" t="s">
        <v>4883</v>
      </c>
      <c r="K1609" s="36" t="s">
        <v>169</v>
      </c>
      <c r="L1609" t="s">
        <v>69</v>
      </c>
      <c r="M1609" s="62" t="s">
        <v>170</v>
      </c>
      <c r="N1609" t="s">
        <v>71</v>
      </c>
      <c r="O1609" t="str">
        <f>IFERROR(IF(Tbla_actores[[#This Row],[codigo_proyecto]]="","",_xlfn.XLOOKUP(Tbla_actores[[#This Row],[codigo_proyecto]],Proyectos!$A:$A,Proyectos!$C:$C)),"")</f>
        <v>NULOS</v>
      </c>
    </row>
    <row r="1610" spans="1:15">
      <c r="A1610" s="9">
        <v>1001343730</v>
      </c>
      <c r="B1610" s="63" t="s">
        <v>61</v>
      </c>
      <c r="C1610" s="62" t="s">
        <v>4409</v>
      </c>
      <c r="D1610" t="s">
        <v>63</v>
      </c>
      <c r="E1610" t="s">
        <v>4884</v>
      </c>
      <c r="F1610" s="61">
        <v>36918</v>
      </c>
      <c r="G1610" s="15" t="s">
        <v>73</v>
      </c>
      <c r="H1610" t="s">
        <v>4885</v>
      </c>
      <c r="I1610" s="62" t="s">
        <v>4886</v>
      </c>
      <c r="K1610" s="36" t="s">
        <v>169</v>
      </c>
      <c r="L1610" t="s">
        <v>69</v>
      </c>
      <c r="M1610" s="62" t="s">
        <v>170</v>
      </c>
      <c r="N1610" t="s">
        <v>71</v>
      </c>
      <c r="O1610" t="str">
        <f>IFERROR(IF(Tbla_actores[[#This Row],[codigo_proyecto]]="","",_xlfn.XLOOKUP(Tbla_actores[[#This Row],[codigo_proyecto]],Proyectos!$A:$A,Proyectos!$C:$C)),"")</f>
        <v>NULOS</v>
      </c>
    </row>
    <row r="1611" spans="1:15">
      <c r="A1611" s="10">
        <v>1000615809</v>
      </c>
      <c r="B1611" s="64" t="s">
        <v>61</v>
      </c>
      <c r="C1611" s="62" t="s">
        <v>4409</v>
      </c>
      <c r="D1611" t="s">
        <v>63</v>
      </c>
      <c r="E1611" t="s">
        <v>4887</v>
      </c>
      <c r="F1611" s="61">
        <v>37057</v>
      </c>
      <c r="G1611" s="15" t="s">
        <v>73</v>
      </c>
      <c r="H1611" t="s">
        <v>4888</v>
      </c>
      <c r="I1611" s="62" t="s">
        <v>4889</v>
      </c>
      <c r="K1611" s="36" t="s">
        <v>169</v>
      </c>
      <c r="L1611" t="s">
        <v>69</v>
      </c>
      <c r="M1611" s="62" t="s">
        <v>170</v>
      </c>
      <c r="N1611" t="s">
        <v>71</v>
      </c>
      <c r="O1611" t="str">
        <f>IFERROR(IF(Tbla_actores[[#This Row],[codigo_proyecto]]="","",_xlfn.XLOOKUP(Tbla_actores[[#This Row],[codigo_proyecto]],Proyectos!$A:$A,Proyectos!$C:$C)),"")</f>
        <v>NULOS</v>
      </c>
    </row>
    <row r="1612" spans="1:15">
      <c r="A1612" s="9">
        <v>1010097888</v>
      </c>
      <c r="B1612" s="63" t="s">
        <v>61</v>
      </c>
      <c r="C1612" s="62" t="s">
        <v>4409</v>
      </c>
      <c r="D1612" t="s">
        <v>63</v>
      </c>
      <c r="E1612" t="s">
        <v>4890</v>
      </c>
      <c r="F1612" s="61">
        <v>36528</v>
      </c>
      <c r="G1612" s="15" t="s">
        <v>65</v>
      </c>
      <c r="H1612" t="s">
        <v>4891</v>
      </c>
      <c r="I1612" s="62" t="s">
        <v>4892</v>
      </c>
      <c r="K1612" s="36" t="s">
        <v>169</v>
      </c>
      <c r="L1612" t="s">
        <v>69</v>
      </c>
      <c r="M1612" s="62" t="s">
        <v>170</v>
      </c>
      <c r="N1612" t="s">
        <v>71</v>
      </c>
      <c r="O1612" t="str">
        <f>IFERROR(IF(Tbla_actores[[#This Row],[codigo_proyecto]]="","",_xlfn.XLOOKUP(Tbla_actores[[#This Row],[codigo_proyecto]],Proyectos!$A:$A,Proyectos!$C:$C)),"")</f>
        <v>NULOS</v>
      </c>
    </row>
    <row r="1613" spans="1:15">
      <c r="A1613" s="10">
        <v>1000794118</v>
      </c>
      <c r="B1613" s="64" t="s">
        <v>61</v>
      </c>
      <c r="C1613" s="62" t="s">
        <v>4409</v>
      </c>
      <c r="D1613" t="s">
        <v>63</v>
      </c>
      <c r="E1613" t="s">
        <v>4893</v>
      </c>
      <c r="F1613" s="61">
        <v>36559</v>
      </c>
      <c r="G1613" s="15" t="s">
        <v>65</v>
      </c>
      <c r="H1613" t="s">
        <v>4894</v>
      </c>
      <c r="I1613" s="62" t="s">
        <v>4895</v>
      </c>
      <c r="K1613" s="36" t="s">
        <v>169</v>
      </c>
      <c r="L1613" t="s">
        <v>69</v>
      </c>
      <c r="M1613" s="62" t="s">
        <v>170</v>
      </c>
      <c r="N1613" t="s">
        <v>71</v>
      </c>
      <c r="O1613" t="str">
        <f>IFERROR(IF(Tbla_actores[[#This Row],[codigo_proyecto]]="","",_xlfn.XLOOKUP(Tbla_actores[[#This Row],[codigo_proyecto]],Proyectos!$A:$A,Proyectos!$C:$C)),"")</f>
        <v>NULOS</v>
      </c>
    </row>
    <row r="1614" spans="1:15">
      <c r="A1614" s="9">
        <v>1015483313</v>
      </c>
      <c r="B1614" s="63" t="s">
        <v>61</v>
      </c>
      <c r="C1614" s="62" t="s">
        <v>4409</v>
      </c>
      <c r="D1614" t="s">
        <v>63</v>
      </c>
      <c r="E1614" t="s">
        <v>4896</v>
      </c>
      <c r="F1614" s="61">
        <v>36424</v>
      </c>
      <c r="G1614" s="15" t="s">
        <v>73</v>
      </c>
      <c r="H1614" t="s">
        <v>4897</v>
      </c>
      <c r="I1614" s="62" t="s">
        <v>4898</v>
      </c>
      <c r="K1614" s="36" t="s">
        <v>169</v>
      </c>
      <c r="L1614" t="s">
        <v>69</v>
      </c>
      <c r="M1614" s="62" t="s">
        <v>170</v>
      </c>
      <c r="N1614" t="s">
        <v>71</v>
      </c>
      <c r="O1614" t="str">
        <f>IFERROR(IF(Tbla_actores[[#This Row],[codigo_proyecto]]="","",_xlfn.XLOOKUP(Tbla_actores[[#This Row],[codigo_proyecto]],Proyectos!$A:$A,Proyectos!$C:$C)),"")</f>
        <v>NULOS</v>
      </c>
    </row>
    <row r="1615" spans="1:15">
      <c r="A1615" s="10">
        <v>1192803026</v>
      </c>
      <c r="B1615" s="64" t="s">
        <v>61</v>
      </c>
      <c r="C1615" s="62" t="s">
        <v>4409</v>
      </c>
      <c r="D1615" t="s">
        <v>63</v>
      </c>
      <c r="E1615" t="s">
        <v>4899</v>
      </c>
      <c r="F1615" s="61">
        <v>36841</v>
      </c>
      <c r="G1615" s="15" t="s">
        <v>73</v>
      </c>
      <c r="H1615" t="s">
        <v>4900</v>
      </c>
      <c r="I1615" s="62" t="s">
        <v>4901</v>
      </c>
      <c r="K1615" s="36" t="s">
        <v>169</v>
      </c>
      <c r="L1615" t="s">
        <v>69</v>
      </c>
      <c r="M1615" s="62" t="s">
        <v>170</v>
      </c>
      <c r="N1615" t="s">
        <v>71</v>
      </c>
      <c r="O1615" t="str">
        <f>IFERROR(IF(Tbla_actores[[#This Row],[codigo_proyecto]]="","",_xlfn.XLOOKUP(Tbla_actores[[#This Row],[codigo_proyecto]],Proyectos!$A:$A,Proyectos!$C:$C)),"")</f>
        <v>NULOS</v>
      </c>
    </row>
    <row r="1616" spans="1:15">
      <c r="A1616" s="9">
        <v>1010135363</v>
      </c>
      <c r="B1616" s="63" t="s">
        <v>61</v>
      </c>
      <c r="C1616" s="62" t="s">
        <v>4409</v>
      </c>
      <c r="D1616" t="s">
        <v>63</v>
      </c>
      <c r="E1616" t="s">
        <v>4902</v>
      </c>
      <c r="F1616" s="61">
        <v>36726</v>
      </c>
      <c r="G1616" s="15" t="s">
        <v>65</v>
      </c>
      <c r="H1616" t="s">
        <v>4903</v>
      </c>
      <c r="I1616" s="62" t="s">
        <v>4904</v>
      </c>
      <c r="K1616" s="36" t="s">
        <v>169</v>
      </c>
      <c r="L1616" t="s">
        <v>69</v>
      </c>
      <c r="M1616" s="62" t="s">
        <v>170</v>
      </c>
      <c r="N1616" t="s">
        <v>71</v>
      </c>
      <c r="O1616" t="str">
        <f>IFERROR(IF(Tbla_actores[[#This Row],[codigo_proyecto]]="","",_xlfn.XLOOKUP(Tbla_actores[[#This Row],[codigo_proyecto]],Proyectos!$A:$A,Proyectos!$C:$C)),"")</f>
        <v>NULOS</v>
      </c>
    </row>
    <row r="1617" spans="1:15">
      <c r="A1617" s="10">
        <v>1001171524</v>
      </c>
      <c r="B1617" s="64" t="s">
        <v>61</v>
      </c>
      <c r="C1617" s="62" t="s">
        <v>4409</v>
      </c>
      <c r="D1617" t="s">
        <v>63</v>
      </c>
      <c r="E1617" t="s">
        <v>4905</v>
      </c>
      <c r="F1617" s="61">
        <v>36426</v>
      </c>
      <c r="G1617" s="15" t="s">
        <v>65</v>
      </c>
      <c r="H1617" t="s">
        <v>4906</v>
      </c>
      <c r="I1617" s="62" t="s">
        <v>4907</v>
      </c>
      <c r="K1617" s="36" t="s">
        <v>169</v>
      </c>
      <c r="L1617" t="s">
        <v>69</v>
      </c>
      <c r="M1617" s="62" t="s">
        <v>170</v>
      </c>
      <c r="N1617" t="s">
        <v>71</v>
      </c>
      <c r="O1617" t="str">
        <f>IFERROR(IF(Tbla_actores[[#This Row],[codigo_proyecto]]="","",_xlfn.XLOOKUP(Tbla_actores[[#This Row],[codigo_proyecto]],Proyectos!$A:$A,Proyectos!$C:$C)),"")</f>
        <v>NULOS</v>
      </c>
    </row>
    <row r="1618" spans="1:15">
      <c r="A1618" s="9">
        <v>1000149088</v>
      </c>
      <c r="B1618" s="63" t="s">
        <v>61</v>
      </c>
      <c r="C1618" s="62" t="s">
        <v>4409</v>
      </c>
      <c r="D1618" t="s">
        <v>63</v>
      </c>
      <c r="E1618" t="s">
        <v>4908</v>
      </c>
      <c r="F1618" s="61">
        <v>36619</v>
      </c>
      <c r="G1618" s="15" t="s">
        <v>73</v>
      </c>
      <c r="H1618" t="s">
        <v>4909</v>
      </c>
      <c r="I1618" s="62" t="s">
        <v>4910</v>
      </c>
      <c r="K1618" s="36" t="s">
        <v>169</v>
      </c>
      <c r="L1618" t="s">
        <v>69</v>
      </c>
      <c r="M1618" s="62" t="s">
        <v>170</v>
      </c>
      <c r="N1618" t="s">
        <v>71</v>
      </c>
      <c r="O1618" t="str">
        <f>IFERROR(IF(Tbla_actores[[#This Row],[codigo_proyecto]]="","",_xlfn.XLOOKUP(Tbla_actores[[#This Row],[codigo_proyecto]],Proyectos!$A:$A,Proyectos!$C:$C)),"")</f>
        <v>NULOS</v>
      </c>
    </row>
    <row r="1619" spans="1:15">
      <c r="A1619" s="10">
        <v>1020835911</v>
      </c>
      <c r="B1619" s="64" t="s">
        <v>61</v>
      </c>
      <c r="C1619" s="62" t="s">
        <v>4409</v>
      </c>
      <c r="D1619" t="s">
        <v>63</v>
      </c>
      <c r="E1619" t="s">
        <v>4911</v>
      </c>
      <c r="F1619" s="61">
        <v>36067</v>
      </c>
      <c r="G1619" s="15" t="s">
        <v>73</v>
      </c>
      <c r="H1619" t="s">
        <v>4912</v>
      </c>
      <c r="I1619" s="62" t="s">
        <v>4913</v>
      </c>
      <c r="K1619" s="36" t="s">
        <v>169</v>
      </c>
      <c r="L1619" t="s">
        <v>69</v>
      </c>
      <c r="M1619" s="62" t="s">
        <v>170</v>
      </c>
      <c r="N1619" t="s">
        <v>71</v>
      </c>
      <c r="O1619" t="str">
        <f>IFERROR(IF(Tbla_actores[[#This Row],[codigo_proyecto]]="","",_xlfn.XLOOKUP(Tbla_actores[[#This Row],[codigo_proyecto]],Proyectos!$A:$A,Proyectos!$C:$C)),"")</f>
        <v>NULOS</v>
      </c>
    </row>
    <row r="1620" spans="1:15">
      <c r="A1620" s="9">
        <v>1005280549</v>
      </c>
      <c r="B1620" s="63" t="s">
        <v>61</v>
      </c>
      <c r="C1620" s="62" t="s">
        <v>4409</v>
      </c>
      <c r="D1620" t="s">
        <v>63</v>
      </c>
      <c r="E1620" t="s">
        <v>4914</v>
      </c>
      <c r="F1620" s="61">
        <v>37090</v>
      </c>
      <c r="G1620" s="15" t="s">
        <v>65</v>
      </c>
      <c r="H1620" t="s">
        <v>4915</v>
      </c>
      <c r="I1620" s="62" t="s">
        <v>4916</v>
      </c>
      <c r="K1620" s="36" t="s">
        <v>169</v>
      </c>
      <c r="L1620" t="s">
        <v>69</v>
      </c>
      <c r="M1620" s="62" t="s">
        <v>170</v>
      </c>
      <c r="N1620" t="s">
        <v>71</v>
      </c>
      <c r="O1620" t="str">
        <f>IFERROR(IF(Tbla_actores[[#This Row],[codigo_proyecto]]="","",_xlfn.XLOOKUP(Tbla_actores[[#This Row],[codigo_proyecto]],Proyectos!$A:$A,Proyectos!$C:$C)),"")</f>
        <v>NULOS</v>
      </c>
    </row>
    <row r="1621" spans="1:15">
      <c r="A1621" s="10">
        <v>1018514880</v>
      </c>
      <c r="B1621" s="64" t="s">
        <v>61</v>
      </c>
      <c r="C1621" s="62" t="s">
        <v>4409</v>
      </c>
      <c r="D1621" t="s">
        <v>63</v>
      </c>
      <c r="E1621" t="s">
        <v>4917</v>
      </c>
      <c r="F1621" s="61">
        <v>36512</v>
      </c>
      <c r="G1621" s="15" t="s">
        <v>65</v>
      </c>
      <c r="H1621" t="s">
        <v>4918</v>
      </c>
      <c r="I1621" s="62" t="s">
        <v>4919</v>
      </c>
      <c r="K1621" s="36" t="s">
        <v>169</v>
      </c>
      <c r="L1621" t="s">
        <v>69</v>
      </c>
      <c r="M1621" s="62" t="s">
        <v>170</v>
      </c>
      <c r="N1621" t="s">
        <v>71</v>
      </c>
      <c r="O1621" t="str">
        <f>IFERROR(IF(Tbla_actores[[#This Row],[codigo_proyecto]]="","",_xlfn.XLOOKUP(Tbla_actores[[#This Row],[codigo_proyecto]],Proyectos!$A:$A,Proyectos!$C:$C)),"")</f>
        <v>NULOS</v>
      </c>
    </row>
    <row r="1622" spans="1:15">
      <c r="A1622" s="9">
        <v>1022431963</v>
      </c>
      <c r="B1622" s="63" t="s">
        <v>61</v>
      </c>
      <c r="C1622" s="62" t="s">
        <v>4409</v>
      </c>
      <c r="D1622" t="s">
        <v>63</v>
      </c>
      <c r="E1622" t="s">
        <v>4920</v>
      </c>
      <c r="F1622" s="61">
        <v>35769</v>
      </c>
      <c r="G1622" s="15" t="s">
        <v>65</v>
      </c>
      <c r="H1622" t="s">
        <v>4921</v>
      </c>
      <c r="I1622" s="62" t="s">
        <v>4922</v>
      </c>
      <c r="K1622" s="36" t="s">
        <v>169</v>
      </c>
      <c r="L1622" t="s">
        <v>69</v>
      </c>
      <c r="M1622" s="62" t="s">
        <v>170</v>
      </c>
      <c r="N1622" t="s">
        <v>71</v>
      </c>
      <c r="O1622" t="str">
        <f>IFERROR(IF(Tbla_actores[[#This Row],[codigo_proyecto]]="","",_xlfn.XLOOKUP(Tbla_actores[[#This Row],[codigo_proyecto]],Proyectos!$A:$A,Proyectos!$C:$C)),"")</f>
        <v>NULOS</v>
      </c>
    </row>
    <row r="1623" spans="1:15">
      <c r="A1623" s="10">
        <v>1015448360</v>
      </c>
      <c r="B1623" s="64" t="s">
        <v>61</v>
      </c>
      <c r="C1623" s="62" t="s">
        <v>4409</v>
      </c>
      <c r="D1623" t="s">
        <v>63</v>
      </c>
      <c r="E1623" t="s">
        <v>4923</v>
      </c>
      <c r="F1623" s="61">
        <v>34546</v>
      </c>
      <c r="G1623" s="15" t="s">
        <v>65</v>
      </c>
      <c r="H1623" t="s">
        <v>4924</v>
      </c>
      <c r="I1623" s="62" t="s">
        <v>4925</v>
      </c>
      <c r="K1623" s="36" t="s">
        <v>169</v>
      </c>
      <c r="L1623" t="s">
        <v>69</v>
      </c>
      <c r="M1623" s="62" t="s">
        <v>170</v>
      </c>
      <c r="N1623" t="s">
        <v>71</v>
      </c>
      <c r="O1623" t="str">
        <f>IFERROR(IF(Tbla_actores[[#This Row],[codigo_proyecto]]="","",_xlfn.XLOOKUP(Tbla_actores[[#This Row],[codigo_proyecto]],Proyectos!$A:$A,Proyectos!$C:$C)),"")</f>
        <v>NULOS</v>
      </c>
    </row>
    <row r="1624" spans="1:15">
      <c r="A1624" s="9">
        <v>1026288862</v>
      </c>
      <c r="B1624" s="63" t="s">
        <v>61</v>
      </c>
      <c r="C1624" s="62" t="s">
        <v>4409</v>
      </c>
      <c r="D1624" t="s">
        <v>63</v>
      </c>
      <c r="E1624" t="s">
        <v>4926</v>
      </c>
      <c r="F1624" s="61">
        <v>34548</v>
      </c>
      <c r="G1624" s="15" t="s">
        <v>73</v>
      </c>
      <c r="H1624" t="s">
        <v>4927</v>
      </c>
      <c r="I1624" s="62" t="s">
        <v>4928</v>
      </c>
      <c r="K1624" s="36" t="s">
        <v>169</v>
      </c>
      <c r="L1624" t="s">
        <v>69</v>
      </c>
      <c r="M1624" s="62" t="s">
        <v>170</v>
      </c>
      <c r="N1624" t="s">
        <v>71</v>
      </c>
      <c r="O1624" t="str">
        <f>IFERROR(IF(Tbla_actores[[#This Row],[codigo_proyecto]]="","",_xlfn.XLOOKUP(Tbla_actores[[#This Row],[codigo_proyecto]],Proyectos!$A:$A,Proyectos!$C:$C)),"")</f>
        <v>NULOS</v>
      </c>
    </row>
    <row r="1625" spans="1:15">
      <c r="A1625" s="10">
        <v>1002760265</v>
      </c>
      <c r="B1625" s="64" t="s">
        <v>61</v>
      </c>
      <c r="C1625" s="62" t="s">
        <v>4409</v>
      </c>
      <c r="D1625" t="s">
        <v>63</v>
      </c>
      <c r="E1625" t="s">
        <v>4929</v>
      </c>
      <c r="F1625" s="61">
        <v>37266</v>
      </c>
      <c r="G1625" s="15" t="s">
        <v>65</v>
      </c>
      <c r="H1625" t="s">
        <v>4930</v>
      </c>
      <c r="I1625" s="62" t="s">
        <v>4931</v>
      </c>
      <c r="K1625" s="36" t="s">
        <v>169</v>
      </c>
      <c r="L1625" t="s">
        <v>69</v>
      </c>
      <c r="M1625" s="62" t="s">
        <v>170</v>
      </c>
      <c r="N1625" t="s">
        <v>71</v>
      </c>
      <c r="O1625" t="str">
        <f>IFERROR(IF(Tbla_actores[[#This Row],[codigo_proyecto]]="","",_xlfn.XLOOKUP(Tbla_actores[[#This Row],[codigo_proyecto]],Proyectos!$A:$A,Proyectos!$C:$C)),"")</f>
        <v>NULOS</v>
      </c>
    </row>
    <row r="1626" spans="1:15">
      <c r="A1626" s="9">
        <v>1000939938</v>
      </c>
      <c r="B1626" s="63" t="s">
        <v>61</v>
      </c>
      <c r="C1626" s="62" t="s">
        <v>4409</v>
      </c>
      <c r="D1626" t="s">
        <v>63</v>
      </c>
      <c r="E1626" t="s">
        <v>4932</v>
      </c>
      <c r="F1626" s="61">
        <v>36732</v>
      </c>
      <c r="G1626" s="15" t="s">
        <v>65</v>
      </c>
      <c r="H1626" t="s">
        <v>4933</v>
      </c>
      <c r="I1626" s="62" t="s">
        <v>4934</v>
      </c>
      <c r="K1626" s="36" t="s">
        <v>169</v>
      </c>
      <c r="L1626" t="s">
        <v>69</v>
      </c>
      <c r="M1626" s="62" t="s">
        <v>170</v>
      </c>
      <c r="N1626" t="s">
        <v>71</v>
      </c>
      <c r="O1626" t="str">
        <f>IFERROR(IF(Tbla_actores[[#This Row],[codigo_proyecto]]="","",_xlfn.XLOOKUP(Tbla_actores[[#This Row],[codigo_proyecto]],Proyectos!$A:$A,Proyectos!$C:$C)),"")</f>
        <v>NULOS</v>
      </c>
    </row>
    <row r="1627" spans="1:15">
      <c r="A1627" s="10">
        <v>1007821080</v>
      </c>
      <c r="B1627" s="64" t="s">
        <v>61</v>
      </c>
      <c r="C1627" s="62" t="s">
        <v>4409</v>
      </c>
      <c r="D1627" t="s">
        <v>63</v>
      </c>
      <c r="E1627" t="s">
        <v>4935</v>
      </c>
      <c r="F1627" s="61">
        <v>36982</v>
      </c>
      <c r="G1627" s="15" t="s">
        <v>65</v>
      </c>
      <c r="H1627" t="s">
        <v>4936</v>
      </c>
      <c r="I1627" s="62" t="s">
        <v>4937</v>
      </c>
      <c r="K1627" s="36" t="s">
        <v>169</v>
      </c>
      <c r="L1627" t="s">
        <v>69</v>
      </c>
      <c r="M1627" s="62" t="s">
        <v>170</v>
      </c>
      <c r="N1627" t="s">
        <v>71</v>
      </c>
      <c r="O1627" t="str">
        <f>IFERROR(IF(Tbla_actores[[#This Row],[codigo_proyecto]]="","",_xlfn.XLOOKUP(Tbla_actores[[#This Row],[codigo_proyecto]],Proyectos!$A:$A,Proyectos!$C:$C)),"")</f>
        <v>NULOS</v>
      </c>
    </row>
    <row r="1628" spans="1:15">
      <c r="A1628" s="9">
        <v>1020816054</v>
      </c>
      <c r="B1628" s="63" t="s">
        <v>61</v>
      </c>
      <c r="C1628" s="62" t="s">
        <v>4409</v>
      </c>
      <c r="D1628" t="s">
        <v>63</v>
      </c>
      <c r="E1628" t="s">
        <v>4938</v>
      </c>
      <c r="F1628" s="61">
        <v>35224</v>
      </c>
      <c r="G1628" s="15" t="s">
        <v>73</v>
      </c>
      <c r="H1628" t="s">
        <v>4939</v>
      </c>
      <c r="I1628" s="62" t="s">
        <v>4940</v>
      </c>
      <c r="K1628" s="36" t="s">
        <v>169</v>
      </c>
      <c r="L1628" t="s">
        <v>69</v>
      </c>
      <c r="M1628" s="62" t="s">
        <v>170</v>
      </c>
      <c r="N1628" t="s">
        <v>71</v>
      </c>
      <c r="O1628" t="str">
        <f>IFERROR(IF(Tbla_actores[[#This Row],[codigo_proyecto]]="","",_xlfn.XLOOKUP(Tbla_actores[[#This Row],[codigo_proyecto]],Proyectos!$A:$A,Proyectos!$C:$C)),"")</f>
        <v>NULOS</v>
      </c>
    </row>
    <row r="1629" spans="1:15">
      <c r="A1629" s="10">
        <v>1007819819</v>
      </c>
      <c r="B1629" s="64" t="s">
        <v>61</v>
      </c>
      <c r="C1629" s="62" t="s">
        <v>4409</v>
      </c>
      <c r="D1629" t="s">
        <v>63</v>
      </c>
      <c r="E1629" t="s">
        <v>4941</v>
      </c>
      <c r="F1629" s="61">
        <v>36847</v>
      </c>
      <c r="G1629" s="15" t="s">
        <v>73</v>
      </c>
      <c r="H1629" t="s">
        <v>4942</v>
      </c>
      <c r="I1629" s="62" t="s">
        <v>4943</v>
      </c>
      <c r="K1629" s="36" t="s">
        <v>169</v>
      </c>
      <c r="L1629" t="s">
        <v>69</v>
      </c>
      <c r="M1629" s="62" t="s">
        <v>170</v>
      </c>
      <c r="N1629" t="s">
        <v>71</v>
      </c>
      <c r="O1629" t="str">
        <f>IFERROR(IF(Tbla_actores[[#This Row],[codigo_proyecto]]="","",_xlfn.XLOOKUP(Tbla_actores[[#This Row],[codigo_proyecto]],Proyectos!$A:$A,Proyectos!$C:$C)),"")</f>
        <v>NULOS</v>
      </c>
    </row>
    <row r="1630" spans="1:15">
      <c r="A1630" s="9">
        <v>1020830826</v>
      </c>
      <c r="B1630" s="63" t="s">
        <v>61</v>
      </c>
      <c r="C1630" s="62" t="s">
        <v>4409</v>
      </c>
      <c r="D1630" t="s">
        <v>63</v>
      </c>
      <c r="E1630" t="s">
        <v>4944</v>
      </c>
      <c r="F1630" s="61">
        <v>35850</v>
      </c>
      <c r="G1630" s="15" t="s">
        <v>65</v>
      </c>
      <c r="H1630" t="s">
        <v>4945</v>
      </c>
      <c r="I1630" s="62" t="s">
        <v>4946</v>
      </c>
      <c r="K1630" s="36" t="s">
        <v>169</v>
      </c>
      <c r="L1630" t="s">
        <v>69</v>
      </c>
      <c r="M1630" s="62" t="s">
        <v>170</v>
      </c>
      <c r="N1630" t="s">
        <v>71</v>
      </c>
      <c r="O1630" t="str">
        <f>IFERROR(IF(Tbla_actores[[#This Row],[codigo_proyecto]]="","",_xlfn.XLOOKUP(Tbla_actores[[#This Row],[codigo_proyecto]],Proyectos!$A:$A,Proyectos!$C:$C)),"")</f>
        <v>NULOS</v>
      </c>
    </row>
    <row r="1631" spans="1:15">
      <c r="A1631" s="10">
        <v>1010068666</v>
      </c>
      <c r="B1631" s="64" t="s">
        <v>61</v>
      </c>
      <c r="C1631" s="62" t="s">
        <v>4409</v>
      </c>
      <c r="D1631" t="s">
        <v>63</v>
      </c>
      <c r="E1631" t="s">
        <v>4947</v>
      </c>
      <c r="F1631" s="61">
        <v>36725</v>
      </c>
      <c r="G1631" s="15" t="s">
        <v>73</v>
      </c>
      <c r="H1631" t="s">
        <v>4948</v>
      </c>
      <c r="I1631" s="62" t="s">
        <v>4949</v>
      </c>
      <c r="K1631" s="36" t="s">
        <v>169</v>
      </c>
      <c r="L1631" t="s">
        <v>69</v>
      </c>
      <c r="M1631" s="62" t="s">
        <v>170</v>
      </c>
      <c r="N1631" t="s">
        <v>71</v>
      </c>
      <c r="O1631" t="str">
        <f>IFERROR(IF(Tbla_actores[[#This Row],[codigo_proyecto]]="","",_xlfn.XLOOKUP(Tbla_actores[[#This Row],[codigo_proyecto]],Proyectos!$A:$A,Proyectos!$C:$C)),"")</f>
        <v>NULOS</v>
      </c>
    </row>
    <row r="1632" spans="1:15">
      <c r="A1632" s="9">
        <v>1007598942</v>
      </c>
      <c r="B1632" s="63" t="s">
        <v>61</v>
      </c>
      <c r="C1632" s="62" t="s">
        <v>4409</v>
      </c>
      <c r="D1632" t="s">
        <v>63</v>
      </c>
      <c r="E1632" t="s">
        <v>4950</v>
      </c>
      <c r="F1632" s="61">
        <v>37113</v>
      </c>
      <c r="G1632" s="15" t="s">
        <v>65</v>
      </c>
      <c r="H1632" t="s">
        <v>4951</v>
      </c>
      <c r="I1632" s="62" t="s">
        <v>4952</v>
      </c>
      <c r="K1632" s="36" t="s">
        <v>169</v>
      </c>
      <c r="L1632" t="s">
        <v>69</v>
      </c>
      <c r="M1632" s="62" t="s">
        <v>170</v>
      </c>
      <c r="N1632" t="s">
        <v>71</v>
      </c>
      <c r="O1632" t="str">
        <f>IFERROR(IF(Tbla_actores[[#This Row],[codigo_proyecto]]="","",_xlfn.XLOOKUP(Tbla_actores[[#This Row],[codigo_proyecto]],Proyectos!$A:$A,Proyectos!$C:$C)),"")</f>
        <v>NULOS</v>
      </c>
    </row>
    <row r="1633" spans="1:15">
      <c r="A1633" s="10">
        <v>1006405652</v>
      </c>
      <c r="B1633" s="64" t="s">
        <v>61</v>
      </c>
      <c r="C1633" s="62" t="s">
        <v>4409</v>
      </c>
      <c r="D1633" t="s">
        <v>63</v>
      </c>
      <c r="E1633" t="s">
        <v>4953</v>
      </c>
      <c r="F1633" s="61">
        <v>37274</v>
      </c>
      <c r="G1633" s="15" t="s">
        <v>65</v>
      </c>
      <c r="H1633" t="s">
        <v>4954</v>
      </c>
      <c r="I1633" s="62" t="s">
        <v>4955</v>
      </c>
      <c r="K1633" s="36" t="s">
        <v>169</v>
      </c>
      <c r="L1633" t="s">
        <v>69</v>
      </c>
      <c r="M1633" s="62" t="s">
        <v>170</v>
      </c>
      <c r="N1633" t="s">
        <v>71</v>
      </c>
      <c r="O1633" t="str">
        <f>IFERROR(IF(Tbla_actores[[#This Row],[codigo_proyecto]]="","",_xlfn.XLOOKUP(Tbla_actores[[#This Row],[codigo_proyecto]],Proyectos!$A:$A,Proyectos!$C:$C)),"")</f>
        <v>NULOS</v>
      </c>
    </row>
    <row r="1634" spans="1:15">
      <c r="A1634" s="9">
        <v>1020833323</v>
      </c>
      <c r="B1634" s="63" t="s">
        <v>61</v>
      </c>
      <c r="C1634" s="62" t="s">
        <v>4409</v>
      </c>
      <c r="D1634" t="s">
        <v>63</v>
      </c>
      <c r="E1634" t="s">
        <v>4956</v>
      </c>
      <c r="F1634" s="61">
        <v>35958</v>
      </c>
      <c r="G1634" s="15" t="s">
        <v>73</v>
      </c>
      <c r="H1634" t="s">
        <v>4957</v>
      </c>
      <c r="I1634" s="62" t="s">
        <v>4958</v>
      </c>
      <c r="K1634" s="36" t="s">
        <v>169</v>
      </c>
      <c r="L1634" t="s">
        <v>69</v>
      </c>
      <c r="M1634" s="62" t="s">
        <v>170</v>
      </c>
      <c r="N1634" t="s">
        <v>71</v>
      </c>
      <c r="O1634" t="str">
        <f>IFERROR(IF(Tbla_actores[[#This Row],[codigo_proyecto]]="","",_xlfn.XLOOKUP(Tbla_actores[[#This Row],[codigo_proyecto]],Proyectos!$A:$A,Proyectos!$C:$C)),"")</f>
        <v>NULOS</v>
      </c>
    </row>
    <row r="1635" spans="1:15">
      <c r="A1635" s="10">
        <v>1076201970</v>
      </c>
      <c r="B1635" s="64" t="s">
        <v>61</v>
      </c>
      <c r="C1635" s="62" t="s">
        <v>4409</v>
      </c>
      <c r="D1635" t="s">
        <v>63</v>
      </c>
      <c r="E1635" t="s">
        <v>4959</v>
      </c>
      <c r="F1635" s="61">
        <v>36299</v>
      </c>
      <c r="G1635" s="15" t="s">
        <v>65</v>
      </c>
      <c r="H1635" t="s">
        <v>4960</v>
      </c>
      <c r="I1635" s="62" t="s">
        <v>4961</v>
      </c>
      <c r="K1635" s="36" t="s">
        <v>169</v>
      </c>
      <c r="L1635" t="s">
        <v>69</v>
      </c>
      <c r="M1635" s="62" t="s">
        <v>170</v>
      </c>
      <c r="N1635" t="s">
        <v>71</v>
      </c>
      <c r="O1635" t="str">
        <f>IFERROR(IF(Tbla_actores[[#This Row],[codigo_proyecto]]="","",_xlfn.XLOOKUP(Tbla_actores[[#This Row],[codigo_proyecto]],Proyectos!$A:$A,Proyectos!$C:$C)),"")</f>
        <v>NULOS</v>
      </c>
    </row>
    <row r="1636" spans="1:15">
      <c r="A1636" s="9">
        <v>1026599220</v>
      </c>
      <c r="B1636" s="63" t="s">
        <v>61</v>
      </c>
      <c r="C1636" s="62" t="s">
        <v>4409</v>
      </c>
      <c r="D1636" t="s">
        <v>63</v>
      </c>
      <c r="E1636" t="s">
        <v>4962</v>
      </c>
      <c r="F1636" s="61">
        <v>36427</v>
      </c>
      <c r="G1636" s="15" t="s">
        <v>73</v>
      </c>
      <c r="H1636" t="s">
        <v>4963</v>
      </c>
      <c r="I1636" s="62" t="s">
        <v>4964</v>
      </c>
      <c r="K1636" s="36" t="s">
        <v>169</v>
      </c>
      <c r="L1636" t="s">
        <v>69</v>
      </c>
      <c r="M1636" s="62" t="s">
        <v>170</v>
      </c>
      <c r="N1636" t="s">
        <v>71</v>
      </c>
      <c r="O1636" t="str">
        <f>IFERROR(IF(Tbla_actores[[#This Row],[codigo_proyecto]]="","",_xlfn.XLOOKUP(Tbla_actores[[#This Row],[codigo_proyecto]],Proyectos!$A:$A,Proyectos!$C:$C)),"")</f>
        <v>NULOS</v>
      </c>
    </row>
    <row r="1637" spans="1:15">
      <c r="A1637" s="10">
        <v>1121967814</v>
      </c>
      <c r="B1637" s="64" t="s">
        <v>61</v>
      </c>
      <c r="C1637" s="62" t="s">
        <v>4409</v>
      </c>
      <c r="D1637" t="s">
        <v>63</v>
      </c>
      <c r="E1637" t="s">
        <v>4965</v>
      </c>
      <c r="F1637" s="61">
        <v>36447</v>
      </c>
      <c r="G1637" s="15" t="s">
        <v>65</v>
      </c>
      <c r="H1637" t="s">
        <v>4966</v>
      </c>
      <c r="I1637" s="62" t="s">
        <v>4967</v>
      </c>
      <c r="K1637" s="36" t="s">
        <v>169</v>
      </c>
      <c r="L1637" t="s">
        <v>69</v>
      </c>
      <c r="M1637" s="62" t="s">
        <v>170</v>
      </c>
      <c r="N1637" t="s">
        <v>71</v>
      </c>
      <c r="O1637" t="str">
        <f>IFERROR(IF(Tbla_actores[[#This Row],[codigo_proyecto]]="","",_xlfn.XLOOKUP(Tbla_actores[[#This Row],[codigo_proyecto]],Proyectos!$A:$A,Proyectos!$C:$C)),"")</f>
        <v>NULOS</v>
      </c>
    </row>
    <row r="1638" spans="1:15">
      <c r="A1638" s="9">
        <v>1010131553</v>
      </c>
      <c r="B1638" s="63" t="s">
        <v>61</v>
      </c>
      <c r="C1638" s="62" t="s">
        <v>3329</v>
      </c>
      <c r="D1638" t="s">
        <v>63</v>
      </c>
      <c r="E1638" t="s">
        <v>4968</v>
      </c>
      <c r="F1638" s="61">
        <v>36739</v>
      </c>
      <c r="G1638" s="15" t="s">
        <v>73</v>
      </c>
      <c r="H1638" t="s">
        <v>4969</v>
      </c>
      <c r="I1638" s="62" t="s">
        <v>4970</v>
      </c>
      <c r="K1638" s="36" t="s">
        <v>169</v>
      </c>
      <c r="L1638" t="s">
        <v>69</v>
      </c>
      <c r="M1638" s="62" t="s">
        <v>170</v>
      </c>
      <c r="N1638" t="s">
        <v>71</v>
      </c>
      <c r="O1638" t="str">
        <f>IFERROR(IF(Tbla_actores[[#This Row],[codigo_proyecto]]="","",_xlfn.XLOOKUP(Tbla_actores[[#This Row],[codigo_proyecto]],Proyectos!$A:$A,Proyectos!$C:$C)),"")</f>
        <v>NULOS</v>
      </c>
    </row>
    <row r="1639" spans="1:15">
      <c r="A1639" s="10">
        <v>1010059884</v>
      </c>
      <c r="B1639" s="64" t="s">
        <v>61</v>
      </c>
      <c r="C1639" s="62" t="s">
        <v>4409</v>
      </c>
      <c r="D1639" t="s">
        <v>63</v>
      </c>
      <c r="E1639" t="s">
        <v>4971</v>
      </c>
      <c r="F1639" s="61">
        <v>36715</v>
      </c>
      <c r="G1639" s="15" t="s">
        <v>73</v>
      </c>
      <c r="H1639" t="s">
        <v>4972</v>
      </c>
      <c r="I1639" s="62" t="s">
        <v>4973</v>
      </c>
      <c r="K1639" s="36" t="s">
        <v>169</v>
      </c>
      <c r="L1639" t="s">
        <v>69</v>
      </c>
      <c r="M1639" s="62" t="s">
        <v>170</v>
      </c>
      <c r="N1639" t="s">
        <v>71</v>
      </c>
      <c r="O1639" t="str">
        <f>IFERROR(IF(Tbla_actores[[#This Row],[codigo_proyecto]]="","",_xlfn.XLOOKUP(Tbla_actores[[#This Row],[codigo_proyecto]],Proyectos!$A:$A,Proyectos!$C:$C)),"")</f>
        <v>NULOS</v>
      </c>
    </row>
    <row r="1640" spans="1:15">
      <c r="A1640" s="9">
        <v>1088351574</v>
      </c>
      <c r="B1640" s="63" t="s">
        <v>61</v>
      </c>
      <c r="C1640" s="62" t="s">
        <v>4409</v>
      </c>
      <c r="D1640" t="s">
        <v>63</v>
      </c>
      <c r="E1640" t="s">
        <v>4974</v>
      </c>
      <c r="F1640" s="61">
        <v>36091</v>
      </c>
      <c r="G1640" s="15" t="s">
        <v>65</v>
      </c>
      <c r="H1640" t="s">
        <v>4975</v>
      </c>
      <c r="I1640" s="62" t="s">
        <v>4976</v>
      </c>
      <c r="K1640" s="36" t="s">
        <v>169</v>
      </c>
      <c r="L1640" t="s">
        <v>69</v>
      </c>
      <c r="M1640" s="62" t="s">
        <v>170</v>
      </c>
      <c r="N1640" t="s">
        <v>71</v>
      </c>
      <c r="O1640" t="str">
        <f>IFERROR(IF(Tbla_actores[[#This Row],[codigo_proyecto]]="","",_xlfn.XLOOKUP(Tbla_actores[[#This Row],[codigo_proyecto]],Proyectos!$A:$A,Proyectos!$C:$C)),"")</f>
        <v>NULOS</v>
      </c>
    </row>
    <row r="1641" spans="1:15">
      <c r="A1641" s="10">
        <v>1121956341</v>
      </c>
      <c r="B1641" s="64" t="s">
        <v>61</v>
      </c>
      <c r="C1641" s="62" t="s">
        <v>4409</v>
      </c>
      <c r="D1641" t="s">
        <v>63</v>
      </c>
      <c r="E1641" t="s">
        <v>4977</v>
      </c>
      <c r="F1641" s="61">
        <v>36010</v>
      </c>
      <c r="G1641" s="15" t="s">
        <v>73</v>
      </c>
      <c r="H1641" t="s">
        <v>4978</v>
      </c>
      <c r="I1641" s="62" t="s">
        <v>4979</v>
      </c>
      <c r="K1641" s="36" t="s">
        <v>169</v>
      </c>
      <c r="L1641" t="s">
        <v>69</v>
      </c>
      <c r="M1641" s="62" t="s">
        <v>170</v>
      </c>
      <c r="N1641" t="s">
        <v>71</v>
      </c>
      <c r="O1641" t="str">
        <f>IFERROR(IF(Tbla_actores[[#This Row],[codigo_proyecto]]="","",_xlfn.XLOOKUP(Tbla_actores[[#This Row],[codigo_proyecto]],Proyectos!$A:$A,Proyectos!$C:$C)),"")</f>
        <v>NULOS</v>
      </c>
    </row>
    <row r="1642" spans="1:15">
      <c r="A1642" s="9">
        <v>1005338866</v>
      </c>
      <c r="B1642" s="63" t="s">
        <v>61</v>
      </c>
      <c r="C1642" s="62" t="s">
        <v>4409</v>
      </c>
      <c r="D1642" t="s">
        <v>63</v>
      </c>
      <c r="E1642" t="s">
        <v>4980</v>
      </c>
      <c r="F1642" s="61">
        <v>36774</v>
      </c>
      <c r="G1642" s="15" t="s">
        <v>65</v>
      </c>
      <c r="H1642" t="s">
        <v>4981</v>
      </c>
      <c r="I1642" s="62" t="s">
        <v>4982</v>
      </c>
      <c r="K1642" s="36" t="s">
        <v>169</v>
      </c>
      <c r="L1642" t="s">
        <v>69</v>
      </c>
      <c r="M1642" s="62" t="s">
        <v>170</v>
      </c>
      <c r="N1642" t="s">
        <v>71</v>
      </c>
      <c r="O1642" t="str">
        <f>IFERROR(IF(Tbla_actores[[#This Row],[codigo_proyecto]]="","",_xlfn.XLOOKUP(Tbla_actores[[#This Row],[codigo_proyecto]],Proyectos!$A:$A,Proyectos!$C:$C)),"")</f>
        <v>NULOS</v>
      </c>
    </row>
    <row r="1643" spans="1:15">
      <c r="A1643" s="10">
        <v>1022447691</v>
      </c>
      <c r="B1643" s="64" t="s">
        <v>61</v>
      </c>
      <c r="C1643" s="62" t="s">
        <v>4409</v>
      </c>
      <c r="D1643" t="s">
        <v>63</v>
      </c>
      <c r="E1643" t="s">
        <v>4983</v>
      </c>
      <c r="F1643" s="61">
        <v>36546</v>
      </c>
      <c r="G1643" s="15" t="s">
        <v>65</v>
      </c>
      <c r="H1643" t="s">
        <v>4984</v>
      </c>
      <c r="I1643" s="62" t="s">
        <v>4985</v>
      </c>
      <c r="K1643" s="36" t="s">
        <v>169</v>
      </c>
      <c r="L1643" t="s">
        <v>69</v>
      </c>
      <c r="M1643" s="62" t="s">
        <v>170</v>
      </c>
      <c r="N1643" t="s">
        <v>71</v>
      </c>
      <c r="O1643" t="str">
        <f>IFERROR(IF(Tbla_actores[[#This Row],[codigo_proyecto]]="","",_xlfn.XLOOKUP(Tbla_actores[[#This Row],[codigo_proyecto]],Proyectos!$A:$A,Proyectos!$C:$C)),"")</f>
        <v>NULOS</v>
      </c>
    </row>
    <row r="1644" spans="1:15">
      <c r="A1644" s="9">
        <v>1014294335</v>
      </c>
      <c r="B1644" s="63" t="s">
        <v>61</v>
      </c>
      <c r="C1644" s="62" t="s">
        <v>3329</v>
      </c>
      <c r="D1644" t="s">
        <v>63</v>
      </c>
      <c r="E1644" t="s">
        <v>4986</v>
      </c>
      <c r="F1644" s="61">
        <v>35768</v>
      </c>
      <c r="G1644" s="15" t="s">
        <v>73</v>
      </c>
      <c r="H1644" t="s">
        <v>4987</v>
      </c>
      <c r="I1644" s="62" t="s">
        <v>4988</v>
      </c>
      <c r="K1644" s="36" t="s">
        <v>169</v>
      </c>
      <c r="L1644" t="s">
        <v>69</v>
      </c>
      <c r="M1644" s="62" t="s">
        <v>170</v>
      </c>
      <c r="N1644" t="s">
        <v>71</v>
      </c>
      <c r="O1644" t="str">
        <f>IFERROR(IF(Tbla_actores[[#This Row],[codigo_proyecto]]="","",_xlfn.XLOOKUP(Tbla_actores[[#This Row],[codigo_proyecto]],Proyectos!$A:$A,Proyectos!$C:$C)),"")</f>
        <v>NULOS</v>
      </c>
    </row>
    <row r="1645" spans="1:15">
      <c r="A1645" s="10">
        <v>1018513804</v>
      </c>
      <c r="B1645" s="64" t="s">
        <v>61</v>
      </c>
      <c r="C1645" s="62" t="s">
        <v>4409</v>
      </c>
      <c r="D1645" t="s">
        <v>63</v>
      </c>
      <c r="E1645" t="s">
        <v>4989</v>
      </c>
      <c r="F1645" s="61">
        <v>36446</v>
      </c>
      <c r="G1645" s="15" t="s">
        <v>73</v>
      </c>
      <c r="H1645" t="s">
        <v>4990</v>
      </c>
      <c r="I1645" s="62" t="s">
        <v>4991</v>
      </c>
      <c r="K1645" s="36" t="s">
        <v>495</v>
      </c>
      <c r="L1645" t="s">
        <v>69</v>
      </c>
      <c r="M1645" s="62" t="s">
        <v>70</v>
      </c>
      <c r="N1645" t="s">
        <v>71</v>
      </c>
      <c r="O1645" t="str">
        <f>IFERROR(IF(Tbla_actores[[#This Row],[codigo_proyecto]]="","",_xlfn.XLOOKUP(Tbla_actores[[#This Row],[codigo_proyecto]],Proyectos!$A:$A,Proyectos!$C:$C)),"")</f>
        <v>NULOS</v>
      </c>
    </row>
    <row r="1646" spans="1:15">
      <c r="A1646" s="9">
        <v>1010042460</v>
      </c>
      <c r="B1646" s="63" t="s">
        <v>61</v>
      </c>
      <c r="C1646" s="62" t="s">
        <v>4409</v>
      </c>
      <c r="D1646" t="s">
        <v>63</v>
      </c>
      <c r="E1646" t="s">
        <v>4992</v>
      </c>
      <c r="F1646" s="61">
        <v>36555</v>
      </c>
      <c r="G1646" s="15" t="s">
        <v>73</v>
      </c>
      <c r="H1646" t="s">
        <v>4993</v>
      </c>
      <c r="I1646" s="62" t="s">
        <v>4994</v>
      </c>
      <c r="K1646" s="36" t="s">
        <v>495</v>
      </c>
      <c r="L1646" t="s">
        <v>69</v>
      </c>
      <c r="M1646" s="62" t="s">
        <v>70</v>
      </c>
      <c r="N1646" t="s">
        <v>71</v>
      </c>
      <c r="O1646" t="str">
        <f>IFERROR(IF(Tbla_actores[[#This Row],[codigo_proyecto]]="","",_xlfn.XLOOKUP(Tbla_actores[[#This Row],[codigo_proyecto]],Proyectos!$A:$A,Proyectos!$C:$C)),"")</f>
        <v>NULOS</v>
      </c>
    </row>
    <row r="1647" spans="1:15">
      <c r="A1647" s="10">
        <v>1072716919</v>
      </c>
      <c r="B1647" s="64" t="s">
        <v>61</v>
      </c>
      <c r="C1647" s="62" t="s">
        <v>4409</v>
      </c>
      <c r="D1647" t="s">
        <v>63</v>
      </c>
      <c r="E1647" t="s">
        <v>4995</v>
      </c>
      <c r="F1647" s="61">
        <v>35842</v>
      </c>
      <c r="G1647" s="15" t="s">
        <v>65</v>
      </c>
      <c r="H1647" t="s">
        <v>4996</v>
      </c>
      <c r="I1647" s="62" t="s">
        <v>4997</v>
      </c>
      <c r="K1647" s="36" t="s">
        <v>495</v>
      </c>
      <c r="L1647" t="s">
        <v>69</v>
      </c>
      <c r="M1647" s="62" t="s">
        <v>70</v>
      </c>
      <c r="N1647" t="s">
        <v>71</v>
      </c>
      <c r="O1647" t="str">
        <f>IFERROR(IF(Tbla_actores[[#This Row],[codigo_proyecto]]="","",_xlfn.XLOOKUP(Tbla_actores[[#This Row],[codigo_proyecto]],Proyectos!$A:$A,Proyectos!$C:$C)),"")</f>
        <v>NULOS</v>
      </c>
    </row>
    <row r="1648" spans="1:15">
      <c r="A1648" s="9">
        <v>1007381408</v>
      </c>
      <c r="B1648" s="63" t="s">
        <v>61</v>
      </c>
      <c r="C1648" s="62" t="s">
        <v>4409</v>
      </c>
      <c r="D1648" t="s">
        <v>63</v>
      </c>
      <c r="E1648" t="s">
        <v>4998</v>
      </c>
      <c r="F1648" s="61">
        <v>36661</v>
      </c>
      <c r="G1648" s="15" t="s">
        <v>73</v>
      </c>
      <c r="H1648" t="s">
        <v>4999</v>
      </c>
      <c r="I1648" s="62" t="s">
        <v>5000</v>
      </c>
      <c r="K1648" s="36" t="s">
        <v>495</v>
      </c>
      <c r="L1648" t="s">
        <v>69</v>
      </c>
      <c r="M1648" s="62" t="s">
        <v>70</v>
      </c>
      <c r="N1648" t="s">
        <v>71</v>
      </c>
      <c r="O1648" t="str">
        <f>IFERROR(IF(Tbla_actores[[#This Row],[codigo_proyecto]]="","",_xlfn.XLOOKUP(Tbla_actores[[#This Row],[codigo_proyecto]],Proyectos!$A:$A,Proyectos!$C:$C)),"")</f>
        <v>NULOS</v>
      </c>
    </row>
    <row r="1649" spans="1:15">
      <c r="A1649" s="10">
        <v>1007351364</v>
      </c>
      <c r="B1649" s="64" t="s">
        <v>61</v>
      </c>
      <c r="C1649" s="62" t="s">
        <v>4409</v>
      </c>
      <c r="D1649" t="s">
        <v>63</v>
      </c>
      <c r="E1649" t="s">
        <v>5001</v>
      </c>
      <c r="F1649" s="61">
        <v>36547</v>
      </c>
      <c r="G1649" s="15" t="s">
        <v>73</v>
      </c>
      <c r="H1649" t="s">
        <v>5002</v>
      </c>
      <c r="I1649" s="62" t="s">
        <v>5003</v>
      </c>
      <c r="K1649" s="36" t="s">
        <v>495</v>
      </c>
      <c r="L1649" t="s">
        <v>69</v>
      </c>
      <c r="M1649" s="62" t="s">
        <v>70</v>
      </c>
      <c r="N1649" t="s">
        <v>71</v>
      </c>
      <c r="O1649" t="str">
        <f>IFERROR(IF(Tbla_actores[[#This Row],[codigo_proyecto]]="","",_xlfn.XLOOKUP(Tbla_actores[[#This Row],[codigo_proyecto]],Proyectos!$A:$A,Proyectos!$C:$C)),"")</f>
        <v>NULOS</v>
      </c>
    </row>
    <row r="1650" spans="1:15">
      <c r="A1650" s="9">
        <v>1019134541</v>
      </c>
      <c r="B1650" s="63" t="s">
        <v>61</v>
      </c>
      <c r="C1650" s="62" t="s">
        <v>4409</v>
      </c>
      <c r="D1650" t="s">
        <v>63</v>
      </c>
      <c r="E1650" t="s">
        <v>5004</v>
      </c>
      <c r="F1650" s="61">
        <v>35737</v>
      </c>
      <c r="G1650" s="15" t="s">
        <v>65</v>
      </c>
      <c r="H1650" t="s">
        <v>5005</v>
      </c>
      <c r="I1650" s="62" t="s">
        <v>5006</v>
      </c>
      <c r="K1650" s="36" t="s">
        <v>495</v>
      </c>
      <c r="L1650" t="s">
        <v>69</v>
      </c>
      <c r="M1650" s="62" t="s">
        <v>70</v>
      </c>
      <c r="N1650" t="s">
        <v>71</v>
      </c>
      <c r="O1650" t="str">
        <f>IFERROR(IF(Tbla_actores[[#This Row],[codigo_proyecto]]="","",_xlfn.XLOOKUP(Tbla_actores[[#This Row],[codigo_proyecto]],Proyectos!$A:$A,Proyectos!$C:$C)),"")</f>
        <v>NULOS</v>
      </c>
    </row>
    <row r="1651" spans="1:15">
      <c r="A1651" s="10">
        <v>1007655097</v>
      </c>
      <c r="B1651" s="64" t="s">
        <v>61</v>
      </c>
      <c r="C1651" s="62" t="s">
        <v>4409</v>
      </c>
      <c r="D1651" t="s">
        <v>63</v>
      </c>
      <c r="E1651" t="s">
        <v>5007</v>
      </c>
      <c r="F1651" s="61">
        <v>36626</v>
      </c>
      <c r="G1651" s="15" t="s">
        <v>73</v>
      </c>
      <c r="H1651" t="s">
        <v>5008</v>
      </c>
      <c r="I1651" s="62" t="s">
        <v>5009</v>
      </c>
      <c r="K1651" s="36" t="s">
        <v>495</v>
      </c>
      <c r="L1651" t="s">
        <v>69</v>
      </c>
      <c r="M1651" s="62" t="s">
        <v>70</v>
      </c>
      <c r="N1651" t="s">
        <v>71</v>
      </c>
      <c r="O1651" t="str">
        <f>IFERROR(IF(Tbla_actores[[#This Row],[codigo_proyecto]]="","",_xlfn.XLOOKUP(Tbla_actores[[#This Row],[codigo_proyecto]],Proyectos!$A:$A,Proyectos!$C:$C)),"")</f>
        <v>NULOS</v>
      </c>
    </row>
    <row r="1652" spans="1:15">
      <c r="A1652" s="9">
        <v>1233892845</v>
      </c>
      <c r="B1652" s="63" t="s">
        <v>61</v>
      </c>
      <c r="C1652" s="62" t="s">
        <v>4409</v>
      </c>
      <c r="D1652" t="s">
        <v>63</v>
      </c>
      <c r="E1652" t="s">
        <v>5010</v>
      </c>
      <c r="F1652" s="61">
        <v>35678</v>
      </c>
      <c r="G1652" s="15" t="s">
        <v>65</v>
      </c>
      <c r="H1652" t="s">
        <v>5011</v>
      </c>
      <c r="I1652" s="62" t="s">
        <v>5012</v>
      </c>
      <c r="K1652" s="36" t="s">
        <v>495</v>
      </c>
      <c r="L1652" t="s">
        <v>69</v>
      </c>
      <c r="M1652" s="62" t="s">
        <v>70</v>
      </c>
      <c r="N1652" t="s">
        <v>71</v>
      </c>
      <c r="O1652" t="str">
        <f>IFERROR(IF(Tbla_actores[[#This Row],[codigo_proyecto]]="","",_xlfn.XLOOKUP(Tbla_actores[[#This Row],[codigo_proyecto]],Proyectos!$A:$A,Proyectos!$C:$C)),"")</f>
        <v>NULOS</v>
      </c>
    </row>
    <row r="1653" spans="1:15">
      <c r="A1653" s="10">
        <v>1121961571</v>
      </c>
      <c r="B1653" s="64" t="s">
        <v>61</v>
      </c>
      <c r="C1653" s="62" t="s">
        <v>4409</v>
      </c>
      <c r="D1653" t="s">
        <v>63</v>
      </c>
      <c r="E1653" t="s">
        <v>5013</v>
      </c>
      <c r="F1653" s="61">
        <v>36183</v>
      </c>
      <c r="G1653" s="15" t="s">
        <v>73</v>
      </c>
      <c r="H1653" t="s">
        <v>5014</v>
      </c>
      <c r="I1653" s="62" t="s">
        <v>5015</v>
      </c>
      <c r="K1653" s="36" t="s">
        <v>495</v>
      </c>
      <c r="L1653" t="s">
        <v>69</v>
      </c>
      <c r="M1653" s="62" t="s">
        <v>70</v>
      </c>
      <c r="N1653" t="s">
        <v>71</v>
      </c>
      <c r="O1653" t="str">
        <f>IFERROR(IF(Tbla_actores[[#This Row],[codigo_proyecto]]="","",_xlfn.XLOOKUP(Tbla_actores[[#This Row],[codigo_proyecto]],Proyectos!$A:$A,Proyectos!$C:$C)),"")</f>
        <v>NULOS</v>
      </c>
    </row>
    <row r="1654" spans="1:15">
      <c r="A1654" s="9">
        <v>1126904283</v>
      </c>
      <c r="B1654" s="63" t="s">
        <v>61</v>
      </c>
      <c r="C1654" s="62" t="s">
        <v>4409</v>
      </c>
      <c r="D1654" t="s">
        <v>63</v>
      </c>
      <c r="E1654" t="s">
        <v>5016</v>
      </c>
      <c r="F1654" s="61">
        <v>36409</v>
      </c>
      <c r="G1654" s="15" t="s">
        <v>65</v>
      </c>
      <c r="H1654" t="s">
        <v>5017</v>
      </c>
      <c r="I1654" s="62" t="s">
        <v>5018</v>
      </c>
      <c r="K1654" s="36" t="s">
        <v>495</v>
      </c>
      <c r="L1654" t="s">
        <v>69</v>
      </c>
      <c r="M1654" s="62" t="s">
        <v>70</v>
      </c>
      <c r="N1654" t="s">
        <v>71</v>
      </c>
      <c r="O1654" t="str">
        <f>IFERROR(IF(Tbla_actores[[#This Row],[codigo_proyecto]]="","",_xlfn.XLOOKUP(Tbla_actores[[#This Row],[codigo_proyecto]],Proyectos!$A:$A,Proyectos!$C:$C)),"")</f>
        <v>NULOS</v>
      </c>
    </row>
    <row r="1655" spans="1:15">
      <c r="A1655" s="10">
        <v>1020841958</v>
      </c>
      <c r="B1655" s="64" t="s">
        <v>61</v>
      </c>
      <c r="C1655" s="62" t="s">
        <v>4409</v>
      </c>
      <c r="D1655" t="s">
        <v>63</v>
      </c>
      <c r="E1655" t="s">
        <v>5019</v>
      </c>
      <c r="F1655" s="61">
        <v>36339</v>
      </c>
      <c r="G1655" s="15" t="s">
        <v>73</v>
      </c>
      <c r="H1655" t="s">
        <v>5020</v>
      </c>
      <c r="I1655" s="62" t="s">
        <v>5021</v>
      </c>
      <c r="K1655" s="36" t="s">
        <v>495</v>
      </c>
      <c r="L1655" t="s">
        <v>69</v>
      </c>
      <c r="M1655" s="62" t="s">
        <v>70</v>
      </c>
      <c r="N1655" t="s">
        <v>71</v>
      </c>
      <c r="O1655" t="str">
        <f>IFERROR(IF(Tbla_actores[[#This Row],[codigo_proyecto]]="","",_xlfn.XLOOKUP(Tbla_actores[[#This Row],[codigo_proyecto]],Proyectos!$A:$A,Proyectos!$C:$C)),"")</f>
        <v>NULOS</v>
      </c>
    </row>
    <row r="1656" spans="1:15">
      <c r="A1656" s="9">
        <v>1000514267</v>
      </c>
      <c r="B1656" s="63" t="s">
        <v>61</v>
      </c>
      <c r="C1656" s="62" t="s">
        <v>4409</v>
      </c>
      <c r="D1656" t="s">
        <v>63</v>
      </c>
      <c r="E1656" t="s">
        <v>5022</v>
      </c>
      <c r="F1656" s="61">
        <v>36583</v>
      </c>
      <c r="G1656" s="15" t="s">
        <v>73</v>
      </c>
      <c r="H1656" t="s">
        <v>5023</v>
      </c>
      <c r="I1656" s="62" t="s">
        <v>5024</v>
      </c>
      <c r="K1656" s="36" t="s">
        <v>495</v>
      </c>
      <c r="L1656" t="s">
        <v>69</v>
      </c>
      <c r="M1656" s="62" t="s">
        <v>70</v>
      </c>
      <c r="N1656" t="s">
        <v>71</v>
      </c>
      <c r="O1656" t="str">
        <f>IFERROR(IF(Tbla_actores[[#This Row],[codigo_proyecto]]="","",_xlfn.XLOOKUP(Tbla_actores[[#This Row],[codigo_proyecto]],Proyectos!$A:$A,Proyectos!$C:$C)),"")</f>
        <v>NULOS</v>
      </c>
    </row>
    <row r="1657" spans="1:15">
      <c r="A1657" s="10">
        <v>1019151170</v>
      </c>
      <c r="B1657" s="64" t="s">
        <v>61</v>
      </c>
      <c r="C1657" s="62" t="s">
        <v>4409</v>
      </c>
      <c r="D1657" t="s">
        <v>63</v>
      </c>
      <c r="E1657" t="s">
        <v>5025</v>
      </c>
      <c r="F1657" s="61">
        <v>36404</v>
      </c>
      <c r="G1657" s="15" t="s">
        <v>73</v>
      </c>
      <c r="H1657" t="s">
        <v>5026</v>
      </c>
      <c r="I1657" s="62" t="s">
        <v>5027</v>
      </c>
      <c r="K1657" s="36" t="s">
        <v>495</v>
      </c>
      <c r="L1657" t="s">
        <v>69</v>
      </c>
      <c r="M1657" s="62" t="s">
        <v>70</v>
      </c>
      <c r="N1657" t="s">
        <v>71</v>
      </c>
      <c r="O1657" t="str">
        <f>IFERROR(IF(Tbla_actores[[#This Row],[codigo_proyecto]]="","",_xlfn.XLOOKUP(Tbla_actores[[#This Row],[codigo_proyecto]],Proyectos!$A:$A,Proyectos!$C:$C)),"")</f>
        <v>NULOS</v>
      </c>
    </row>
    <row r="1658" spans="1:15">
      <c r="A1658" s="9">
        <v>1026599058</v>
      </c>
      <c r="B1658" s="63" t="s">
        <v>61</v>
      </c>
      <c r="C1658" s="62" t="s">
        <v>4409</v>
      </c>
      <c r="D1658" t="s">
        <v>63</v>
      </c>
      <c r="E1658" t="s">
        <v>5028</v>
      </c>
      <c r="F1658" s="61">
        <v>36426</v>
      </c>
      <c r="G1658" s="15" t="s">
        <v>73</v>
      </c>
      <c r="H1658" t="s">
        <v>5029</v>
      </c>
      <c r="I1658" s="62" t="s">
        <v>5030</v>
      </c>
      <c r="K1658" s="36" t="s">
        <v>495</v>
      </c>
      <c r="L1658" t="s">
        <v>69</v>
      </c>
      <c r="M1658" s="62" t="s">
        <v>70</v>
      </c>
      <c r="N1658" t="s">
        <v>71</v>
      </c>
      <c r="O1658" t="str">
        <f>IFERROR(IF(Tbla_actores[[#This Row],[codigo_proyecto]]="","",_xlfn.XLOOKUP(Tbla_actores[[#This Row],[codigo_proyecto]],Proyectos!$A:$A,Proyectos!$C:$C)),"")</f>
        <v>NULOS</v>
      </c>
    </row>
    <row r="1659" spans="1:15">
      <c r="A1659" s="10">
        <v>1070990689</v>
      </c>
      <c r="B1659" s="64" t="s">
        <v>61</v>
      </c>
      <c r="C1659" s="62" t="s">
        <v>4409</v>
      </c>
      <c r="D1659" t="s">
        <v>63</v>
      </c>
      <c r="E1659" t="s">
        <v>5031</v>
      </c>
      <c r="F1659" s="61">
        <v>36526</v>
      </c>
      <c r="G1659" s="15" t="s">
        <v>73</v>
      </c>
      <c r="H1659" t="s">
        <v>5032</v>
      </c>
      <c r="I1659" s="62" t="s">
        <v>5033</v>
      </c>
      <c r="K1659" s="36" t="s">
        <v>495</v>
      </c>
      <c r="L1659" t="s">
        <v>69</v>
      </c>
      <c r="M1659" s="62" t="s">
        <v>70</v>
      </c>
      <c r="N1659" t="s">
        <v>71</v>
      </c>
      <c r="O1659" t="str">
        <f>IFERROR(IF(Tbla_actores[[#This Row],[codigo_proyecto]]="","",_xlfn.XLOOKUP(Tbla_actores[[#This Row],[codigo_proyecto]],Proyectos!$A:$A,Proyectos!$C:$C)),"")</f>
        <v>NULOS</v>
      </c>
    </row>
    <row r="1660" spans="1:15">
      <c r="A1660" s="9">
        <v>1018508800</v>
      </c>
      <c r="B1660" s="63" t="s">
        <v>61</v>
      </c>
      <c r="C1660" s="62" t="s">
        <v>4409</v>
      </c>
      <c r="D1660" t="s">
        <v>63</v>
      </c>
      <c r="E1660" t="s">
        <v>5034</v>
      </c>
      <c r="F1660" s="61">
        <v>36177</v>
      </c>
      <c r="G1660" s="15" t="s">
        <v>65</v>
      </c>
      <c r="H1660" t="s">
        <v>5035</v>
      </c>
      <c r="I1660" s="62" t="s">
        <v>5036</v>
      </c>
      <c r="K1660" s="36" t="s">
        <v>495</v>
      </c>
      <c r="L1660" t="s">
        <v>69</v>
      </c>
      <c r="M1660" s="62" t="s">
        <v>70</v>
      </c>
      <c r="N1660" t="s">
        <v>71</v>
      </c>
      <c r="O1660" t="str">
        <f>IFERROR(IF(Tbla_actores[[#This Row],[codigo_proyecto]]="","",_xlfn.XLOOKUP(Tbla_actores[[#This Row],[codigo_proyecto]],Proyectos!$A:$A,Proyectos!$C:$C)),"")</f>
        <v>NULOS</v>
      </c>
    </row>
    <row r="1661" spans="1:15">
      <c r="A1661" s="10">
        <v>1192799444</v>
      </c>
      <c r="B1661" s="64" t="s">
        <v>61</v>
      </c>
      <c r="C1661" s="62" t="s">
        <v>4409</v>
      </c>
      <c r="D1661" t="s">
        <v>63</v>
      </c>
      <c r="E1661" t="s">
        <v>5037</v>
      </c>
      <c r="F1661" s="61">
        <v>36899</v>
      </c>
      <c r="G1661" s="15" t="s">
        <v>73</v>
      </c>
      <c r="H1661" t="s">
        <v>5038</v>
      </c>
      <c r="I1661" s="62" t="s">
        <v>5039</v>
      </c>
      <c r="K1661" s="36" t="s">
        <v>495</v>
      </c>
      <c r="L1661" t="s">
        <v>69</v>
      </c>
      <c r="M1661" s="62" t="s">
        <v>70</v>
      </c>
      <c r="N1661" t="s">
        <v>71</v>
      </c>
      <c r="O1661" t="str">
        <f>IFERROR(IF(Tbla_actores[[#This Row],[codigo_proyecto]]="","",_xlfn.XLOOKUP(Tbla_actores[[#This Row],[codigo_proyecto]],Proyectos!$A:$A,Proyectos!$C:$C)),"")</f>
        <v>NULOS</v>
      </c>
    </row>
    <row r="1662" spans="1:15">
      <c r="A1662" s="9">
        <v>1018487203</v>
      </c>
      <c r="B1662" s="63" t="s">
        <v>61</v>
      </c>
      <c r="C1662" s="62" t="s">
        <v>4409</v>
      </c>
      <c r="D1662" t="s">
        <v>63</v>
      </c>
      <c r="E1662" t="s">
        <v>5040</v>
      </c>
      <c r="F1662" s="61">
        <v>35246</v>
      </c>
      <c r="G1662" s="15" t="s">
        <v>73</v>
      </c>
      <c r="H1662" t="s">
        <v>5041</v>
      </c>
      <c r="I1662" s="62" t="s">
        <v>5042</v>
      </c>
      <c r="K1662" s="36" t="s">
        <v>495</v>
      </c>
      <c r="L1662" t="s">
        <v>69</v>
      </c>
      <c r="M1662" s="62" t="s">
        <v>70</v>
      </c>
      <c r="N1662" t="s">
        <v>71</v>
      </c>
      <c r="O1662" t="str">
        <f>IFERROR(IF(Tbla_actores[[#This Row],[codigo_proyecto]]="","",_xlfn.XLOOKUP(Tbla_actores[[#This Row],[codigo_proyecto]],Proyectos!$A:$A,Proyectos!$C:$C)),"")</f>
        <v>NULOS</v>
      </c>
    </row>
    <row r="1663" spans="1:15">
      <c r="A1663" s="10">
        <v>1193126702</v>
      </c>
      <c r="B1663" s="64" t="s">
        <v>61</v>
      </c>
      <c r="C1663" s="62" t="s">
        <v>4409</v>
      </c>
      <c r="D1663" t="s">
        <v>63</v>
      </c>
      <c r="E1663" t="s">
        <v>5043</v>
      </c>
      <c r="F1663" s="61">
        <v>36670</v>
      </c>
      <c r="G1663" s="15" t="s">
        <v>73</v>
      </c>
      <c r="H1663" t="s">
        <v>5044</v>
      </c>
      <c r="I1663" s="62" t="s">
        <v>5045</v>
      </c>
      <c r="K1663" s="36" t="s">
        <v>495</v>
      </c>
      <c r="L1663" t="s">
        <v>69</v>
      </c>
      <c r="M1663" s="62" t="s">
        <v>70</v>
      </c>
      <c r="N1663" t="s">
        <v>71</v>
      </c>
      <c r="O1663" t="str">
        <f>IFERROR(IF(Tbla_actores[[#This Row],[codigo_proyecto]]="","",_xlfn.XLOOKUP(Tbla_actores[[#This Row],[codigo_proyecto]],Proyectos!$A:$A,Proyectos!$C:$C)),"")</f>
        <v>NULOS</v>
      </c>
    </row>
    <row r="1664" spans="1:15">
      <c r="A1664" s="9">
        <v>1007327719</v>
      </c>
      <c r="B1664" s="63" t="s">
        <v>61</v>
      </c>
      <c r="C1664" s="62" t="s">
        <v>4409</v>
      </c>
      <c r="D1664" t="s">
        <v>63</v>
      </c>
      <c r="E1664" t="s">
        <v>5046</v>
      </c>
      <c r="F1664" s="61">
        <v>36638</v>
      </c>
      <c r="G1664" s="15" t="s">
        <v>65</v>
      </c>
      <c r="H1664" t="s">
        <v>5047</v>
      </c>
      <c r="I1664" s="62" t="s">
        <v>5048</v>
      </c>
      <c r="K1664" s="36" t="s">
        <v>495</v>
      </c>
      <c r="L1664" t="s">
        <v>69</v>
      </c>
      <c r="M1664" s="62" t="s">
        <v>70</v>
      </c>
      <c r="N1664" t="s">
        <v>71</v>
      </c>
      <c r="O1664" t="str">
        <f>IFERROR(IF(Tbla_actores[[#This Row],[codigo_proyecto]]="","",_xlfn.XLOOKUP(Tbla_actores[[#This Row],[codigo_proyecto]],Proyectos!$A:$A,Proyectos!$C:$C)),"")</f>
        <v>NULOS</v>
      </c>
    </row>
    <row r="1665" spans="1:15">
      <c r="A1665" s="10">
        <v>1001063963</v>
      </c>
      <c r="B1665" s="64" t="s">
        <v>61</v>
      </c>
      <c r="C1665" s="62" t="s">
        <v>4409</v>
      </c>
      <c r="D1665" t="s">
        <v>63</v>
      </c>
      <c r="E1665" t="s">
        <v>5049</v>
      </c>
      <c r="F1665" s="61">
        <v>36556</v>
      </c>
      <c r="G1665" s="15" t="s">
        <v>73</v>
      </c>
      <c r="H1665" t="s">
        <v>5050</v>
      </c>
      <c r="I1665" s="62" t="s">
        <v>5051</v>
      </c>
      <c r="K1665" s="36" t="s">
        <v>495</v>
      </c>
      <c r="L1665" t="s">
        <v>69</v>
      </c>
      <c r="M1665" s="62" t="s">
        <v>70</v>
      </c>
      <c r="N1665" t="s">
        <v>71</v>
      </c>
      <c r="O1665" t="str">
        <f>IFERROR(IF(Tbla_actores[[#This Row],[codigo_proyecto]]="","",_xlfn.XLOOKUP(Tbla_actores[[#This Row],[codigo_proyecto]],Proyectos!$A:$A,Proyectos!$C:$C)),"")</f>
        <v>NULOS</v>
      </c>
    </row>
    <row r="1666" spans="1:15">
      <c r="A1666" s="9">
        <v>1193509296</v>
      </c>
      <c r="B1666" s="63" t="s">
        <v>61</v>
      </c>
      <c r="C1666" s="62" t="s">
        <v>4409</v>
      </c>
      <c r="D1666" t="s">
        <v>63</v>
      </c>
      <c r="E1666" t="s">
        <v>5052</v>
      </c>
      <c r="F1666" s="61">
        <v>36749</v>
      </c>
      <c r="G1666" s="15" t="s">
        <v>73</v>
      </c>
      <c r="H1666" t="s">
        <v>5053</v>
      </c>
      <c r="I1666" s="62" t="s">
        <v>5054</v>
      </c>
      <c r="K1666" s="36" t="s">
        <v>495</v>
      </c>
      <c r="L1666" t="s">
        <v>69</v>
      </c>
      <c r="M1666" s="62" t="s">
        <v>70</v>
      </c>
      <c r="N1666" t="s">
        <v>71</v>
      </c>
      <c r="O1666" t="str">
        <f>IFERROR(IF(Tbla_actores[[#This Row],[codigo_proyecto]]="","",_xlfn.XLOOKUP(Tbla_actores[[#This Row],[codigo_proyecto]],Proyectos!$A:$A,Proyectos!$C:$C)),"")</f>
        <v>NULOS</v>
      </c>
    </row>
    <row r="1667" spans="1:15">
      <c r="A1667" s="10">
        <v>1001064709</v>
      </c>
      <c r="B1667" s="64" t="s">
        <v>61</v>
      </c>
      <c r="C1667" s="62" t="s">
        <v>4409</v>
      </c>
      <c r="D1667" t="s">
        <v>63</v>
      </c>
      <c r="E1667" t="s">
        <v>5055</v>
      </c>
      <c r="F1667" s="61">
        <v>36554</v>
      </c>
      <c r="G1667" s="15" t="s">
        <v>73</v>
      </c>
      <c r="H1667" t="s">
        <v>5056</v>
      </c>
      <c r="I1667" s="62" t="s">
        <v>5057</v>
      </c>
      <c r="K1667" s="36" t="s">
        <v>495</v>
      </c>
      <c r="L1667" t="s">
        <v>69</v>
      </c>
      <c r="M1667" s="62" t="s">
        <v>70</v>
      </c>
      <c r="N1667" t="s">
        <v>71</v>
      </c>
      <c r="O1667" t="str">
        <f>IFERROR(IF(Tbla_actores[[#This Row],[codigo_proyecto]]="","",_xlfn.XLOOKUP(Tbla_actores[[#This Row],[codigo_proyecto]],Proyectos!$A:$A,Proyectos!$C:$C)),"")</f>
        <v>NULOS</v>
      </c>
    </row>
    <row r="1668" spans="1:15">
      <c r="A1668" s="9">
        <v>1140892451</v>
      </c>
      <c r="B1668" s="63" t="s">
        <v>61</v>
      </c>
      <c r="C1668" s="62" t="s">
        <v>4409</v>
      </c>
      <c r="D1668" t="s">
        <v>63</v>
      </c>
      <c r="E1668" t="s">
        <v>5058</v>
      </c>
      <c r="F1668" s="61">
        <v>35563</v>
      </c>
      <c r="G1668" s="15" t="s">
        <v>73</v>
      </c>
      <c r="H1668" t="s">
        <v>5059</v>
      </c>
      <c r="I1668" s="62" t="s">
        <v>5060</v>
      </c>
      <c r="K1668" s="36" t="s">
        <v>495</v>
      </c>
      <c r="L1668" t="s">
        <v>69</v>
      </c>
      <c r="M1668" s="62" t="s">
        <v>70</v>
      </c>
      <c r="N1668" t="s">
        <v>71</v>
      </c>
      <c r="O1668" t="str">
        <f>IFERROR(IF(Tbla_actores[[#This Row],[codigo_proyecto]]="","",_xlfn.XLOOKUP(Tbla_actores[[#This Row],[codigo_proyecto]],Proyectos!$A:$A,Proyectos!$C:$C)),"")</f>
        <v>NULOS</v>
      </c>
    </row>
    <row r="1669" spans="1:15">
      <c r="A1669" s="10">
        <v>1002544728</v>
      </c>
      <c r="B1669" s="64" t="s">
        <v>61</v>
      </c>
      <c r="C1669" s="62" t="s">
        <v>4409</v>
      </c>
      <c r="D1669" t="s">
        <v>63</v>
      </c>
      <c r="E1669" t="s">
        <v>5061</v>
      </c>
      <c r="F1669" s="61">
        <v>37415</v>
      </c>
      <c r="G1669" s="15" t="s">
        <v>65</v>
      </c>
      <c r="H1669" t="s">
        <v>5062</v>
      </c>
      <c r="I1669" s="62" t="s">
        <v>5063</v>
      </c>
      <c r="K1669" s="36" t="s">
        <v>495</v>
      </c>
      <c r="L1669" t="s">
        <v>69</v>
      </c>
      <c r="M1669" s="62" t="s">
        <v>70</v>
      </c>
      <c r="N1669" t="s">
        <v>71</v>
      </c>
      <c r="O1669" t="str">
        <f>IFERROR(IF(Tbla_actores[[#This Row],[codigo_proyecto]]="","",_xlfn.XLOOKUP(Tbla_actores[[#This Row],[codigo_proyecto]],Proyectos!$A:$A,Proyectos!$C:$C)),"")</f>
        <v>NULOS</v>
      </c>
    </row>
    <row r="1670" spans="1:15">
      <c r="A1670" s="9">
        <v>1032508945</v>
      </c>
      <c r="B1670" s="63" t="s">
        <v>61</v>
      </c>
      <c r="C1670" s="62" t="s">
        <v>4409</v>
      </c>
      <c r="D1670" t="s">
        <v>63</v>
      </c>
      <c r="E1670" t="s">
        <v>5064</v>
      </c>
      <c r="F1670" s="61">
        <v>36527</v>
      </c>
      <c r="G1670" s="15" t="s">
        <v>65</v>
      </c>
      <c r="H1670" t="s">
        <v>5065</v>
      </c>
      <c r="I1670" s="62" t="s">
        <v>5066</v>
      </c>
      <c r="K1670" s="36" t="s">
        <v>495</v>
      </c>
      <c r="L1670" t="s">
        <v>69</v>
      </c>
      <c r="M1670" s="62" t="s">
        <v>70</v>
      </c>
      <c r="N1670" t="s">
        <v>71</v>
      </c>
      <c r="O1670" t="str">
        <f>IFERROR(IF(Tbla_actores[[#This Row],[codigo_proyecto]]="","",_xlfn.XLOOKUP(Tbla_actores[[#This Row],[codigo_proyecto]],Proyectos!$A:$A,Proyectos!$C:$C)),"")</f>
        <v>NULOS</v>
      </c>
    </row>
    <row r="1671" spans="1:15">
      <c r="A1671" s="10">
        <v>1192773084</v>
      </c>
      <c r="B1671" s="64" t="s">
        <v>61</v>
      </c>
      <c r="C1671" s="62" t="s">
        <v>4409</v>
      </c>
      <c r="D1671" t="s">
        <v>63</v>
      </c>
      <c r="E1671" t="s">
        <v>5067</v>
      </c>
      <c r="F1671" s="61">
        <v>36895</v>
      </c>
      <c r="G1671" s="15" t="s">
        <v>73</v>
      </c>
      <c r="H1671" t="s">
        <v>5068</v>
      </c>
      <c r="I1671" s="62" t="s">
        <v>5069</v>
      </c>
      <c r="K1671" s="36" t="s">
        <v>495</v>
      </c>
      <c r="L1671" t="s">
        <v>69</v>
      </c>
      <c r="M1671" s="62" t="s">
        <v>70</v>
      </c>
      <c r="N1671" t="s">
        <v>71</v>
      </c>
      <c r="O1671" t="str">
        <f>IFERROR(IF(Tbla_actores[[#This Row],[codigo_proyecto]]="","",_xlfn.XLOOKUP(Tbla_actores[[#This Row],[codigo_proyecto]],Proyectos!$A:$A,Proyectos!$C:$C)),"")</f>
        <v>NULOS</v>
      </c>
    </row>
    <row r="1672" spans="1:15">
      <c r="A1672" s="9">
        <v>1006130655</v>
      </c>
      <c r="B1672" s="63" t="s">
        <v>61</v>
      </c>
      <c r="C1672" s="62" t="s">
        <v>4409</v>
      </c>
      <c r="D1672" t="s">
        <v>63</v>
      </c>
      <c r="E1672" t="s">
        <v>5070</v>
      </c>
      <c r="F1672" s="61">
        <v>36554</v>
      </c>
      <c r="G1672" s="15" t="s">
        <v>73</v>
      </c>
      <c r="H1672" t="s">
        <v>5071</v>
      </c>
      <c r="I1672" s="62" t="s">
        <v>5072</v>
      </c>
      <c r="K1672" s="36" t="s">
        <v>495</v>
      </c>
      <c r="L1672" t="s">
        <v>69</v>
      </c>
      <c r="M1672" s="62" t="s">
        <v>70</v>
      </c>
      <c r="N1672" t="s">
        <v>71</v>
      </c>
      <c r="O1672" t="str">
        <f>IFERROR(IF(Tbla_actores[[#This Row],[codigo_proyecto]]="","",_xlfn.XLOOKUP(Tbla_actores[[#This Row],[codigo_proyecto]],Proyectos!$A:$A,Proyectos!$C:$C)),"")</f>
        <v>NULOS</v>
      </c>
    </row>
    <row r="1673" spans="1:15">
      <c r="A1673" s="10">
        <v>1107061017</v>
      </c>
      <c r="B1673" s="64" t="s">
        <v>61</v>
      </c>
      <c r="C1673" s="62" t="s">
        <v>4409</v>
      </c>
      <c r="D1673" t="s">
        <v>63</v>
      </c>
      <c r="E1673" t="s">
        <v>5073</v>
      </c>
      <c r="F1673" s="61">
        <v>36459</v>
      </c>
      <c r="G1673" s="15" t="s">
        <v>73</v>
      </c>
      <c r="H1673" t="s">
        <v>5074</v>
      </c>
      <c r="I1673" s="62" t="s">
        <v>5075</v>
      </c>
      <c r="K1673" s="36" t="s">
        <v>495</v>
      </c>
      <c r="L1673" t="s">
        <v>69</v>
      </c>
      <c r="M1673" s="62" t="s">
        <v>70</v>
      </c>
      <c r="N1673" t="s">
        <v>71</v>
      </c>
      <c r="O1673" t="str">
        <f>IFERROR(IF(Tbla_actores[[#This Row],[codigo_proyecto]]="","",_xlfn.XLOOKUP(Tbla_actores[[#This Row],[codigo_proyecto]],Proyectos!$A:$A,Proyectos!$C:$C)),"")</f>
        <v>NULOS</v>
      </c>
    </row>
    <row r="1674" spans="1:15">
      <c r="A1674" s="9">
        <v>1019129317</v>
      </c>
      <c r="B1674" s="63" t="s">
        <v>61</v>
      </c>
      <c r="C1674" s="62" t="s">
        <v>4409</v>
      </c>
      <c r="D1674" t="s">
        <v>63</v>
      </c>
      <c r="E1674" t="s">
        <v>5076</v>
      </c>
      <c r="F1674" s="61">
        <v>35530</v>
      </c>
      <c r="G1674" s="15" t="s">
        <v>73</v>
      </c>
      <c r="H1674" t="s">
        <v>5077</v>
      </c>
      <c r="I1674" s="62" t="s">
        <v>5078</v>
      </c>
      <c r="K1674" s="36" t="s">
        <v>495</v>
      </c>
      <c r="L1674" t="s">
        <v>69</v>
      </c>
      <c r="M1674" s="62" t="s">
        <v>70</v>
      </c>
      <c r="N1674" t="s">
        <v>71</v>
      </c>
      <c r="O1674" t="str">
        <f>IFERROR(IF(Tbla_actores[[#This Row],[codigo_proyecto]]="","",_xlfn.XLOOKUP(Tbla_actores[[#This Row],[codigo_proyecto]],Proyectos!$A:$A,Proyectos!$C:$C)),"")</f>
        <v>NULOS</v>
      </c>
    </row>
    <row r="1675" spans="1:15">
      <c r="A1675" s="10">
        <v>1015473125</v>
      </c>
      <c r="B1675" s="64" t="s">
        <v>61</v>
      </c>
      <c r="C1675" s="62" t="s">
        <v>4409</v>
      </c>
      <c r="D1675" t="s">
        <v>63</v>
      </c>
      <c r="E1675" t="s">
        <v>5079</v>
      </c>
      <c r="F1675" s="61">
        <v>35799</v>
      </c>
      <c r="G1675" s="15" t="s">
        <v>73</v>
      </c>
      <c r="H1675" t="s">
        <v>5080</v>
      </c>
      <c r="I1675" s="62" t="s">
        <v>5081</v>
      </c>
      <c r="K1675" s="36" t="s">
        <v>495</v>
      </c>
      <c r="L1675" t="s">
        <v>69</v>
      </c>
      <c r="M1675" s="62" t="s">
        <v>70</v>
      </c>
      <c r="N1675" t="s">
        <v>71</v>
      </c>
      <c r="O1675" t="str">
        <f>IFERROR(IF(Tbla_actores[[#This Row],[codigo_proyecto]]="","",_xlfn.XLOOKUP(Tbla_actores[[#This Row],[codigo_proyecto]],Proyectos!$A:$A,Proyectos!$C:$C)),"")</f>
        <v>NULOS</v>
      </c>
    </row>
    <row r="1676" spans="1:15">
      <c r="A1676" s="9">
        <v>1010142778</v>
      </c>
      <c r="B1676" s="63" t="s">
        <v>61</v>
      </c>
      <c r="C1676" s="62" t="s">
        <v>4409</v>
      </c>
      <c r="D1676" t="s">
        <v>63</v>
      </c>
      <c r="E1676" t="s">
        <v>5082</v>
      </c>
      <c r="F1676" s="61">
        <v>36756</v>
      </c>
      <c r="G1676" s="15" t="s">
        <v>73</v>
      </c>
      <c r="H1676" t="s">
        <v>5083</v>
      </c>
      <c r="I1676" s="62" t="s">
        <v>5084</v>
      </c>
      <c r="K1676" s="36" t="s">
        <v>495</v>
      </c>
      <c r="L1676" t="s">
        <v>69</v>
      </c>
      <c r="M1676" s="62" t="s">
        <v>70</v>
      </c>
      <c r="N1676" t="s">
        <v>71</v>
      </c>
      <c r="O1676" t="str">
        <f>IFERROR(IF(Tbla_actores[[#This Row],[codigo_proyecto]]="","",_xlfn.XLOOKUP(Tbla_actores[[#This Row],[codigo_proyecto]],Proyectos!$A:$A,Proyectos!$C:$C)),"")</f>
        <v>NULOS</v>
      </c>
    </row>
    <row r="1677" spans="1:15">
      <c r="A1677" s="10">
        <v>1010136979</v>
      </c>
      <c r="B1677" s="64" t="s">
        <v>61</v>
      </c>
      <c r="C1677" s="62" t="s">
        <v>4409</v>
      </c>
      <c r="D1677" t="s">
        <v>63</v>
      </c>
      <c r="E1677" t="s">
        <v>5085</v>
      </c>
      <c r="F1677" s="61">
        <v>36717</v>
      </c>
      <c r="G1677" s="15" t="s">
        <v>73</v>
      </c>
      <c r="H1677" t="s">
        <v>5086</v>
      </c>
      <c r="I1677" s="62" t="s">
        <v>5087</v>
      </c>
      <c r="K1677" s="36" t="s">
        <v>495</v>
      </c>
      <c r="L1677" t="s">
        <v>69</v>
      </c>
      <c r="M1677" s="62" t="s">
        <v>70</v>
      </c>
      <c r="N1677" t="s">
        <v>71</v>
      </c>
      <c r="O1677" t="str">
        <f>IFERROR(IF(Tbla_actores[[#This Row],[codigo_proyecto]]="","",_xlfn.XLOOKUP(Tbla_actores[[#This Row],[codigo_proyecto]],Proyectos!$A:$A,Proyectos!$C:$C)),"")</f>
        <v>NULOS</v>
      </c>
    </row>
    <row r="1678" spans="1:15">
      <c r="A1678" s="9">
        <v>1233503649</v>
      </c>
      <c r="B1678" s="63" t="s">
        <v>61</v>
      </c>
      <c r="C1678" s="62" t="s">
        <v>4409</v>
      </c>
      <c r="D1678" t="s">
        <v>63</v>
      </c>
      <c r="E1678" t="s">
        <v>5088</v>
      </c>
      <c r="F1678" s="61">
        <v>36181</v>
      </c>
      <c r="G1678" s="15" t="s">
        <v>73</v>
      </c>
      <c r="H1678" t="s">
        <v>5089</v>
      </c>
      <c r="I1678" s="62" t="s">
        <v>5090</v>
      </c>
      <c r="K1678" s="36" t="s">
        <v>495</v>
      </c>
      <c r="L1678" t="s">
        <v>69</v>
      </c>
      <c r="M1678" s="62" t="s">
        <v>70</v>
      </c>
      <c r="N1678" t="s">
        <v>71</v>
      </c>
      <c r="O1678" t="str">
        <f>IFERROR(IF(Tbla_actores[[#This Row],[codigo_proyecto]]="","",_xlfn.XLOOKUP(Tbla_actores[[#This Row],[codigo_proyecto]],Proyectos!$A:$A,Proyectos!$C:$C)),"")</f>
        <v>NULOS</v>
      </c>
    </row>
    <row r="1679" spans="1:15">
      <c r="A1679" s="10">
        <v>1000270395</v>
      </c>
      <c r="B1679" s="64" t="s">
        <v>61</v>
      </c>
      <c r="C1679" s="62" t="s">
        <v>4409</v>
      </c>
      <c r="D1679" t="s">
        <v>63</v>
      </c>
      <c r="E1679" t="s">
        <v>5091</v>
      </c>
      <c r="F1679" s="61">
        <v>36856</v>
      </c>
      <c r="G1679" s="15" t="s">
        <v>65</v>
      </c>
      <c r="H1679" t="s">
        <v>5092</v>
      </c>
      <c r="I1679" s="62" t="s">
        <v>5093</v>
      </c>
      <c r="K1679" s="36" t="s">
        <v>495</v>
      </c>
      <c r="L1679" t="s">
        <v>69</v>
      </c>
      <c r="M1679" s="62" t="s">
        <v>70</v>
      </c>
      <c r="N1679" t="s">
        <v>71</v>
      </c>
      <c r="O1679" t="str">
        <f>IFERROR(IF(Tbla_actores[[#This Row],[codigo_proyecto]]="","",_xlfn.XLOOKUP(Tbla_actores[[#This Row],[codigo_proyecto]],Proyectos!$A:$A,Proyectos!$C:$C)),"")</f>
        <v>NULOS</v>
      </c>
    </row>
    <row r="1680" spans="1:15">
      <c r="A1680" s="9">
        <v>1126004867</v>
      </c>
      <c r="B1680" s="63" t="s">
        <v>61</v>
      </c>
      <c r="C1680" s="62" t="s">
        <v>4409</v>
      </c>
      <c r="D1680" t="s">
        <v>63</v>
      </c>
      <c r="E1680" t="s">
        <v>5094</v>
      </c>
      <c r="F1680" s="61">
        <v>35507</v>
      </c>
      <c r="G1680" s="15" t="s">
        <v>73</v>
      </c>
      <c r="H1680" t="s">
        <v>5095</v>
      </c>
      <c r="I1680" s="62" t="s">
        <v>5096</v>
      </c>
      <c r="K1680" s="36" t="s">
        <v>495</v>
      </c>
      <c r="L1680" t="s">
        <v>69</v>
      </c>
      <c r="M1680" s="62" t="s">
        <v>70</v>
      </c>
      <c r="N1680" t="s">
        <v>71</v>
      </c>
      <c r="O1680" t="str">
        <f>IFERROR(IF(Tbla_actores[[#This Row],[codigo_proyecto]]="","",_xlfn.XLOOKUP(Tbla_actores[[#This Row],[codigo_proyecto]],Proyectos!$A:$A,Proyectos!$C:$C)),"")</f>
        <v>NULOS</v>
      </c>
    </row>
    <row r="1681" spans="1:15">
      <c r="A1681" s="10">
        <v>1000255123</v>
      </c>
      <c r="B1681" s="64" t="s">
        <v>61</v>
      </c>
      <c r="C1681" s="62" t="s">
        <v>4409</v>
      </c>
      <c r="D1681" t="s">
        <v>63</v>
      </c>
      <c r="E1681" t="s">
        <v>5097</v>
      </c>
      <c r="F1681" s="61">
        <v>37044</v>
      </c>
      <c r="G1681" s="15" t="s">
        <v>73</v>
      </c>
      <c r="H1681" t="s">
        <v>5098</v>
      </c>
      <c r="I1681" s="62" t="s">
        <v>5099</v>
      </c>
      <c r="K1681" s="36" t="s">
        <v>495</v>
      </c>
      <c r="L1681" t="s">
        <v>69</v>
      </c>
      <c r="M1681" s="62" t="s">
        <v>70</v>
      </c>
      <c r="N1681" t="s">
        <v>71</v>
      </c>
      <c r="O1681" t="str">
        <f>IFERROR(IF(Tbla_actores[[#This Row],[codigo_proyecto]]="","",_xlfn.XLOOKUP(Tbla_actores[[#This Row],[codigo_proyecto]],Proyectos!$A:$A,Proyectos!$C:$C)),"")</f>
        <v>NULOS</v>
      </c>
    </row>
    <row r="1682" spans="1:15">
      <c r="A1682" s="9">
        <v>1010246264</v>
      </c>
      <c r="B1682" s="63" t="s">
        <v>61</v>
      </c>
      <c r="C1682" s="62" t="s">
        <v>4409</v>
      </c>
      <c r="D1682" t="s">
        <v>63</v>
      </c>
      <c r="E1682" t="s">
        <v>5100</v>
      </c>
      <c r="F1682" s="61">
        <v>36329</v>
      </c>
      <c r="G1682" s="15" t="s">
        <v>65</v>
      </c>
      <c r="H1682" t="s">
        <v>5101</v>
      </c>
      <c r="I1682" s="62" t="s">
        <v>5102</v>
      </c>
      <c r="K1682" s="36" t="s">
        <v>495</v>
      </c>
      <c r="L1682" t="s">
        <v>69</v>
      </c>
      <c r="M1682" s="62" t="s">
        <v>70</v>
      </c>
      <c r="N1682" t="s">
        <v>71</v>
      </c>
      <c r="O1682" t="str">
        <f>IFERROR(IF(Tbla_actores[[#This Row],[codigo_proyecto]]="","",_xlfn.XLOOKUP(Tbla_actores[[#This Row],[codigo_proyecto]],Proyectos!$A:$A,Proyectos!$C:$C)),"")</f>
        <v>NULOS</v>
      </c>
    </row>
    <row r="1683" spans="1:15">
      <c r="A1683" s="10">
        <v>1019144682</v>
      </c>
      <c r="B1683" s="64" t="s">
        <v>61</v>
      </c>
      <c r="C1683" s="62" t="s">
        <v>4409</v>
      </c>
      <c r="D1683" t="s">
        <v>63</v>
      </c>
      <c r="E1683" t="s">
        <v>5103</v>
      </c>
      <c r="F1683" s="61">
        <v>36124</v>
      </c>
      <c r="G1683" s="15" t="s">
        <v>65</v>
      </c>
      <c r="H1683" t="s">
        <v>5104</v>
      </c>
      <c r="I1683" s="62" t="s">
        <v>5105</v>
      </c>
      <c r="K1683" s="36" t="s">
        <v>495</v>
      </c>
      <c r="L1683" t="s">
        <v>69</v>
      </c>
      <c r="M1683" s="62" t="s">
        <v>70</v>
      </c>
      <c r="N1683" t="s">
        <v>71</v>
      </c>
      <c r="O1683" t="str">
        <f>IFERROR(IF(Tbla_actores[[#This Row],[codigo_proyecto]]="","",_xlfn.XLOOKUP(Tbla_actores[[#This Row],[codigo_proyecto]],Proyectos!$A:$A,Proyectos!$C:$C)),"")</f>
        <v>NULOS</v>
      </c>
    </row>
    <row r="1684" spans="1:15">
      <c r="A1684" s="9">
        <v>1193245650</v>
      </c>
      <c r="B1684" s="63" t="s">
        <v>61</v>
      </c>
      <c r="C1684" s="62" t="s">
        <v>4409</v>
      </c>
      <c r="D1684" t="s">
        <v>63</v>
      </c>
      <c r="E1684" t="s">
        <v>5106</v>
      </c>
      <c r="F1684" s="61">
        <v>36936</v>
      </c>
      <c r="G1684" s="15" t="s">
        <v>73</v>
      </c>
      <c r="H1684" t="s">
        <v>5107</v>
      </c>
      <c r="I1684" s="62" t="s">
        <v>5108</v>
      </c>
      <c r="K1684" s="36" t="s">
        <v>495</v>
      </c>
      <c r="L1684" t="s">
        <v>69</v>
      </c>
      <c r="M1684" s="62" t="s">
        <v>70</v>
      </c>
      <c r="N1684" t="s">
        <v>71</v>
      </c>
      <c r="O1684" t="str">
        <f>IFERROR(IF(Tbla_actores[[#This Row],[codigo_proyecto]]="","",_xlfn.XLOOKUP(Tbla_actores[[#This Row],[codigo_proyecto]],Proyectos!$A:$A,Proyectos!$C:$C)),"")</f>
        <v>NULOS</v>
      </c>
    </row>
    <row r="1685" spans="1:15">
      <c r="A1685" s="10">
        <v>1007579666</v>
      </c>
      <c r="B1685" s="64" t="s">
        <v>61</v>
      </c>
      <c r="C1685" s="62" t="s">
        <v>4409</v>
      </c>
      <c r="D1685" t="s">
        <v>63</v>
      </c>
      <c r="E1685" t="s">
        <v>5109</v>
      </c>
      <c r="F1685" s="61">
        <v>36806</v>
      </c>
      <c r="G1685" s="15" t="s">
        <v>73</v>
      </c>
      <c r="H1685" t="s">
        <v>5110</v>
      </c>
      <c r="I1685" s="62" t="s">
        <v>5111</v>
      </c>
      <c r="K1685" s="36" t="s">
        <v>495</v>
      </c>
      <c r="L1685" t="s">
        <v>69</v>
      </c>
      <c r="M1685" s="62" t="s">
        <v>70</v>
      </c>
      <c r="N1685" t="s">
        <v>71</v>
      </c>
      <c r="O1685" t="str">
        <f>IFERROR(IF(Tbla_actores[[#This Row],[codigo_proyecto]]="","",_xlfn.XLOOKUP(Tbla_actores[[#This Row],[codigo_proyecto]],Proyectos!$A:$A,Proyectos!$C:$C)),"")</f>
        <v>NULOS</v>
      </c>
    </row>
    <row r="1686" spans="1:15">
      <c r="A1686" s="9">
        <v>1000250336</v>
      </c>
      <c r="B1686" s="63" t="s">
        <v>61</v>
      </c>
      <c r="C1686" s="62" t="s">
        <v>4409</v>
      </c>
      <c r="D1686" t="s">
        <v>63</v>
      </c>
      <c r="E1686" t="s">
        <v>5112</v>
      </c>
      <c r="F1686" s="61">
        <v>36724</v>
      </c>
      <c r="G1686" s="15" t="s">
        <v>73</v>
      </c>
      <c r="H1686" t="s">
        <v>5113</v>
      </c>
      <c r="I1686" s="62" t="s">
        <v>5114</v>
      </c>
      <c r="K1686" s="36" t="s">
        <v>495</v>
      </c>
      <c r="L1686" t="s">
        <v>69</v>
      </c>
      <c r="M1686" s="62" t="s">
        <v>70</v>
      </c>
      <c r="N1686" t="s">
        <v>71</v>
      </c>
      <c r="O1686" t="str">
        <f>IFERROR(IF(Tbla_actores[[#This Row],[codigo_proyecto]]="","",_xlfn.XLOOKUP(Tbla_actores[[#This Row],[codigo_proyecto]],Proyectos!$A:$A,Proyectos!$C:$C)),"")</f>
        <v>NULOS</v>
      </c>
    </row>
    <row r="1687" spans="1:15">
      <c r="A1687" s="10">
        <v>1065011525</v>
      </c>
      <c r="B1687" s="64" t="s">
        <v>61</v>
      </c>
      <c r="C1687" s="62" t="s">
        <v>4409</v>
      </c>
      <c r="D1687" t="s">
        <v>63</v>
      </c>
      <c r="E1687" t="s">
        <v>5115</v>
      </c>
      <c r="F1687" s="61">
        <v>35780</v>
      </c>
      <c r="G1687" s="15" t="s">
        <v>73</v>
      </c>
      <c r="H1687" t="s">
        <v>5116</v>
      </c>
      <c r="I1687" s="62" t="s">
        <v>5117</v>
      </c>
      <c r="K1687" s="36" t="s">
        <v>495</v>
      </c>
      <c r="L1687" t="s">
        <v>69</v>
      </c>
      <c r="M1687" s="62" t="s">
        <v>70</v>
      </c>
      <c r="N1687" t="s">
        <v>71</v>
      </c>
      <c r="O1687" t="str">
        <f>IFERROR(IF(Tbla_actores[[#This Row],[codigo_proyecto]]="","",_xlfn.XLOOKUP(Tbla_actores[[#This Row],[codigo_proyecto]],Proyectos!$A:$A,Proyectos!$C:$C)),"")</f>
        <v>NULOS</v>
      </c>
    </row>
    <row r="1688" spans="1:15">
      <c r="A1688" s="9">
        <v>1022446397</v>
      </c>
      <c r="B1688" s="63" t="s">
        <v>61</v>
      </c>
      <c r="C1688" s="62" t="s">
        <v>4409</v>
      </c>
      <c r="D1688" t="s">
        <v>63</v>
      </c>
      <c r="E1688" t="s">
        <v>5118</v>
      </c>
      <c r="F1688" s="61">
        <v>36462</v>
      </c>
      <c r="G1688" s="15" t="s">
        <v>73</v>
      </c>
      <c r="H1688" t="s">
        <v>5119</v>
      </c>
      <c r="I1688" s="62" t="s">
        <v>5120</v>
      </c>
      <c r="K1688" s="36" t="s">
        <v>495</v>
      </c>
      <c r="L1688" t="s">
        <v>69</v>
      </c>
      <c r="M1688" s="62" t="s">
        <v>70</v>
      </c>
      <c r="N1688" t="s">
        <v>71</v>
      </c>
      <c r="O1688" t="str">
        <f>IFERROR(IF(Tbla_actores[[#This Row],[codigo_proyecto]]="","",_xlfn.XLOOKUP(Tbla_actores[[#This Row],[codigo_proyecto]],Proyectos!$A:$A,Proyectos!$C:$C)),"")</f>
        <v>NULOS</v>
      </c>
    </row>
    <row r="1689" spans="1:15">
      <c r="A1689" s="10">
        <v>1014287826</v>
      </c>
      <c r="B1689" s="64" t="s">
        <v>61</v>
      </c>
      <c r="C1689" s="62" t="s">
        <v>4409</v>
      </c>
      <c r="D1689" t="s">
        <v>63</v>
      </c>
      <c r="E1689" t="s">
        <v>5121</v>
      </c>
      <c r="F1689" s="61">
        <v>35492</v>
      </c>
      <c r="G1689" s="15" t="s">
        <v>65</v>
      </c>
      <c r="H1689" t="s">
        <v>5122</v>
      </c>
      <c r="I1689" s="62" t="s">
        <v>5123</v>
      </c>
      <c r="K1689" s="36" t="s">
        <v>495</v>
      </c>
      <c r="L1689" t="s">
        <v>69</v>
      </c>
      <c r="M1689" s="62" t="s">
        <v>70</v>
      </c>
      <c r="N1689" t="s">
        <v>71</v>
      </c>
      <c r="O1689" t="str">
        <f>IFERROR(IF(Tbla_actores[[#This Row],[codigo_proyecto]]="","",_xlfn.XLOOKUP(Tbla_actores[[#This Row],[codigo_proyecto]],Proyectos!$A:$A,Proyectos!$C:$C)),"")</f>
        <v>NULOS</v>
      </c>
    </row>
    <row r="1690" spans="1:15">
      <c r="A1690" s="9">
        <v>1075686588</v>
      </c>
      <c r="B1690" s="63" t="s">
        <v>61</v>
      </c>
      <c r="C1690" s="62" t="s">
        <v>4409</v>
      </c>
      <c r="D1690" t="s">
        <v>63</v>
      </c>
      <c r="E1690" t="s">
        <v>5124</v>
      </c>
      <c r="F1690" s="61">
        <v>36026</v>
      </c>
      <c r="G1690" s="15" t="s">
        <v>65</v>
      </c>
      <c r="H1690" t="s">
        <v>5125</v>
      </c>
      <c r="I1690" s="62" t="s">
        <v>5126</v>
      </c>
      <c r="K1690" s="36" t="s">
        <v>495</v>
      </c>
      <c r="L1690" t="s">
        <v>69</v>
      </c>
      <c r="M1690" s="62" t="s">
        <v>70</v>
      </c>
      <c r="N1690" t="s">
        <v>71</v>
      </c>
      <c r="O1690" t="str">
        <f>IFERROR(IF(Tbla_actores[[#This Row],[codigo_proyecto]]="","",_xlfn.XLOOKUP(Tbla_actores[[#This Row],[codigo_proyecto]],Proyectos!$A:$A,Proyectos!$C:$C)),"")</f>
        <v>NULOS</v>
      </c>
    </row>
    <row r="1691" spans="1:15">
      <c r="A1691" s="10">
        <v>1075689647</v>
      </c>
      <c r="B1691" s="64" t="s">
        <v>61</v>
      </c>
      <c r="C1691" s="62" t="s">
        <v>4409</v>
      </c>
      <c r="D1691" t="s">
        <v>63</v>
      </c>
      <c r="E1691" t="s">
        <v>5127</v>
      </c>
      <c r="F1691" s="61">
        <v>36431</v>
      </c>
      <c r="G1691" s="15" t="s">
        <v>73</v>
      </c>
      <c r="H1691" t="s">
        <v>5128</v>
      </c>
      <c r="I1691" s="62" t="s">
        <v>5129</v>
      </c>
      <c r="K1691" s="36" t="s">
        <v>1489</v>
      </c>
      <c r="L1691" t="s">
        <v>69</v>
      </c>
      <c r="M1691" s="62" t="s">
        <v>70</v>
      </c>
      <c r="N1691" t="s">
        <v>71</v>
      </c>
      <c r="O1691" t="str">
        <f>IFERROR(IF(Tbla_actores[[#This Row],[codigo_proyecto]]="","",_xlfn.XLOOKUP(Tbla_actores[[#This Row],[codigo_proyecto]],Proyectos!$A:$A,Proyectos!$C:$C)),"")</f>
        <v>NULOS</v>
      </c>
    </row>
    <row r="1692" spans="1:15">
      <c r="A1692" s="9">
        <v>1010143553</v>
      </c>
      <c r="B1692" s="63" t="s">
        <v>61</v>
      </c>
      <c r="C1692" s="62" t="s">
        <v>4409</v>
      </c>
      <c r="D1692" t="s">
        <v>63</v>
      </c>
      <c r="E1692" t="s">
        <v>5130</v>
      </c>
      <c r="F1692" s="61">
        <v>36671</v>
      </c>
      <c r="G1692" s="15" t="s">
        <v>73</v>
      </c>
      <c r="H1692" t="s">
        <v>5131</v>
      </c>
      <c r="I1692" s="62" t="s">
        <v>5132</v>
      </c>
      <c r="K1692" s="36" t="s">
        <v>1489</v>
      </c>
      <c r="L1692" t="s">
        <v>69</v>
      </c>
      <c r="M1692" s="62" t="s">
        <v>70</v>
      </c>
      <c r="N1692" t="s">
        <v>71</v>
      </c>
      <c r="O1692" t="str">
        <f>IFERROR(IF(Tbla_actores[[#This Row],[codigo_proyecto]]="","",_xlfn.XLOOKUP(Tbla_actores[[#This Row],[codigo_proyecto]],Proyectos!$A:$A,Proyectos!$C:$C)),"")</f>
        <v>NULOS</v>
      </c>
    </row>
    <row r="1693" spans="1:15">
      <c r="A1693" s="10">
        <v>1004136642</v>
      </c>
      <c r="B1693" s="64" t="s">
        <v>61</v>
      </c>
      <c r="C1693" s="62" t="s">
        <v>4409</v>
      </c>
      <c r="D1693" t="s">
        <v>63</v>
      </c>
      <c r="E1693" t="s">
        <v>5133</v>
      </c>
      <c r="F1693" s="61">
        <v>36796</v>
      </c>
      <c r="G1693" s="15" t="s">
        <v>73</v>
      </c>
      <c r="H1693" t="s">
        <v>5134</v>
      </c>
      <c r="I1693" s="62" t="s">
        <v>5135</v>
      </c>
      <c r="K1693" s="36" t="s">
        <v>1489</v>
      </c>
      <c r="L1693" t="s">
        <v>69</v>
      </c>
      <c r="M1693" s="62" t="s">
        <v>70</v>
      </c>
      <c r="N1693" t="s">
        <v>71</v>
      </c>
      <c r="O1693" t="str">
        <f>IFERROR(IF(Tbla_actores[[#This Row],[codigo_proyecto]]="","",_xlfn.XLOOKUP(Tbla_actores[[#This Row],[codigo_proyecto]],Proyectos!$A:$A,Proyectos!$C:$C)),"")</f>
        <v>NULOS</v>
      </c>
    </row>
    <row r="1694" spans="1:15">
      <c r="A1694" s="9">
        <v>1193545659</v>
      </c>
      <c r="B1694" s="63" t="s">
        <v>61</v>
      </c>
      <c r="C1694" s="62" t="s">
        <v>4409</v>
      </c>
      <c r="D1694" t="s">
        <v>63</v>
      </c>
      <c r="E1694" t="s">
        <v>5136</v>
      </c>
      <c r="F1694" s="61">
        <v>36931</v>
      </c>
      <c r="G1694" s="15" t="s">
        <v>73</v>
      </c>
      <c r="H1694" t="s">
        <v>5137</v>
      </c>
      <c r="I1694" s="62" t="s">
        <v>5138</v>
      </c>
      <c r="K1694" s="36" t="s">
        <v>1489</v>
      </c>
      <c r="L1694" t="s">
        <v>69</v>
      </c>
      <c r="M1694" s="62" t="s">
        <v>70</v>
      </c>
      <c r="N1694" t="s">
        <v>71</v>
      </c>
      <c r="O1694" t="str">
        <f>IFERROR(IF(Tbla_actores[[#This Row],[codigo_proyecto]]="","",_xlfn.XLOOKUP(Tbla_actores[[#This Row],[codigo_proyecto]],Proyectos!$A:$A,Proyectos!$C:$C)),"")</f>
        <v>NULOS</v>
      </c>
    </row>
    <row r="1695" spans="1:15">
      <c r="A1695" s="10">
        <v>1192914993</v>
      </c>
      <c r="B1695" s="64" t="s">
        <v>61</v>
      </c>
      <c r="C1695" s="62" t="s">
        <v>4409</v>
      </c>
      <c r="D1695" t="s">
        <v>63</v>
      </c>
      <c r="E1695" t="s">
        <v>5139</v>
      </c>
      <c r="F1695" s="61">
        <v>36833</v>
      </c>
      <c r="G1695" s="15" t="s">
        <v>73</v>
      </c>
      <c r="H1695" t="s">
        <v>5140</v>
      </c>
      <c r="I1695" s="62" t="s">
        <v>5141</v>
      </c>
      <c r="K1695" s="36" t="s">
        <v>1489</v>
      </c>
      <c r="L1695" t="s">
        <v>69</v>
      </c>
      <c r="M1695" s="62" t="s">
        <v>70</v>
      </c>
      <c r="N1695" t="s">
        <v>71</v>
      </c>
      <c r="O1695" t="str">
        <f>IFERROR(IF(Tbla_actores[[#This Row],[codigo_proyecto]]="","",_xlfn.XLOOKUP(Tbla_actores[[#This Row],[codigo_proyecto]],Proyectos!$A:$A,Proyectos!$C:$C)),"")</f>
        <v>NULOS</v>
      </c>
    </row>
    <row r="1696" spans="1:15">
      <c r="A1696" s="9">
        <v>1007630506</v>
      </c>
      <c r="B1696" s="63" t="s">
        <v>61</v>
      </c>
      <c r="C1696" s="62" t="s">
        <v>4409</v>
      </c>
      <c r="D1696" t="s">
        <v>63</v>
      </c>
      <c r="E1696" t="s">
        <v>5142</v>
      </c>
      <c r="F1696" s="61">
        <v>36592</v>
      </c>
      <c r="G1696" s="15" t="s">
        <v>73</v>
      </c>
      <c r="H1696" t="s">
        <v>5143</v>
      </c>
      <c r="I1696" s="62" t="s">
        <v>5144</v>
      </c>
      <c r="K1696" s="36" t="s">
        <v>1489</v>
      </c>
      <c r="L1696" t="s">
        <v>69</v>
      </c>
      <c r="M1696" s="62" t="s">
        <v>70</v>
      </c>
      <c r="N1696" t="s">
        <v>71</v>
      </c>
      <c r="O1696" t="str">
        <f>IFERROR(IF(Tbla_actores[[#This Row],[codigo_proyecto]]="","",_xlfn.XLOOKUP(Tbla_actores[[#This Row],[codigo_proyecto]],Proyectos!$A:$A,Proyectos!$C:$C)),"")</f>
        <v>NULOS</v>
      </c>
    </row>
    <row r="1697" spans="1:15">
      <c r="A1697" s="10">
        <v>1006120851</v>
      </c>
      <c r="B1697" s="64" t="s">
        <v>61</v>
      </c>
      <c r="C1697" s="62" t="s">
        <v>4409</v>
      </c>
      <c r="D1697" t="s">
        <v>63</v>
      </c>
      <c r="E1697" t="s">
        <v>5145</v>
      </c>
      <c r="F1697" s="61">
        <v>37221</v>
      </c>
      <c r="G1697" s="15" t="s">
        <v>73</v>
      </c>
      <c r="H1697" t="s">
        <v>5146</v>
      </c>
      <c r="I1697" s="62" t="s">
        <v>5147</v>
      </c>
      <c r="K1697" s="36" t="s">
        <v>1489</v>
      </c>
      <c r="L1697" t="s">
        <v>69</v>
      </c>
      <c r="M1697" s="62" t="s">
        <v>70</v>
      </c>
      <c r="N1697" t="s">
        <v>71</v>
      </c>
      <c r="O1697" t="str">
        <f>IFERROR(IF(Tbla_actores[[#This Row],[codigo_proyecto]]="","",_xlfn.XLOOKUP(Tbla_actores[[#This Row],[codigo_proyecto]],Proyectos!$A:$A,Proyectos!$C:$C)),"")</f>
        <v>NULOS</v>
      </c>
    </row>
    <row r="1698" spans="1:15">
      <c r="A1698" s="9">
        <v>1136911831</v>
      </c>
      <c r="B1698" s="63" t="s">
        <v>61</v>
      </c>
      <c r="C1698" s="62" t="s">
        <v>4409</v>
      </c>
      <c r="D1698" t="s">
        <v>63</v>
      </c>
      <c r="E1698" t="s">
        <v>5148</v>
      </c>
      <c r="F1698" s="61">
        <v>36410</v>
      </c>
      <c r="G1698" s="15" t="s">
        <v>65</v>
      </c>
      <c r="H1698" t="s">
        <v>5149</v>
      </c>
      <c r="I1698" s="62" t="s">
        <v>5150</v>
      </c>
      <c r="K1698" s="36" t="s">
        <v>1489</v>
      </c>
      <c r="L1698" t="s">
        <v>69</v>
      </c>
      <c r="M1698" s="62" t="s">
        <v>70</v>
      </c>
      <c r="N1698" t="s">
        <v>71</v>
      </c>
      <c r="O1698" t="str">
        <f>IFERROR(IF(Tbla_actores[[#This Row],[codigo_proyecto]]="","",_xlfn.XLOOKUP(Tbla_actores[[#This Row],[codigo_proyecto]],Proyectos!$A:$A,Proyectos!$C:$C)),"")</f>
        <v>NULOS</v>
      </c>
    </row>
    <row r="1699" spans="1:15">
      <c r="A1699" s="10">
        <v>1018513867</v>
      </c>
      <c r="B1699" s="64" t="s">
        <v>61</v>
      </c>
      <c r="C1699" s="62" t="s">
        <v>4409</v>
      </c>
      <c r="D1699" t="s">
        <v>63</v>
      </c>
      <c r="E1699" t="s">
        <v>5151</v>
      </c>
      <c r="F1699" s="61">
        <v>36446</v>
      </c>
      <c r="G1699" s="15" t="s">
        <v>65</v>
      </c>
      <c r="H1699" t="s">
        <v>5152</v>
      </c>
      <c r="I1699" s="62" t="s">
        <v>5153</v>
      </c>
      <c r="K1699" s="36" t="s">
        <v>1489</v>
      </c>
      <c r="L1699" t="s">
        <v>69</v>
      </c>
      <c r="M1699" s="62" t="s">
        <v>70</v>
      </c>
      <c r="N1699" t="s">
        <v>71</v>
      </c>
      <c r="O1699" t="str">
        <f>IFERROR(IF(Tbla_actores[[#This Row],[codigo_proyecto]]="","",_xlfn.XLOOKUP(Tbla_actores[[#This Row],[codigo_proyecto]],Proyectos!$A:$A,Proyectos!$C:$C)),"")</f>
        <v>NULOS</v>
      </c>
    </row>
    <row r="1700" spans="1:15">
      <c r="A1700" s="9">
        <v>1007202806</v>
      </c>
      <c r="B1700" s="63" t="s">
        <v>61</v>
      </c>
      <c r="C1700" s="62" t="s">
        <v>4409</v>
      </c>
      <c r="D1700" t="s">
        <v>63</v>
      </c>
      <c r="E1700" t="s">
        <v>5154</v>
      </c>
      <c r="F1700" s="61">
        <v>36865</v>
      </c>
      <c r="G1700" s="15" t="s">
        <v>65</v>
      </c>
      <c r="H1700" t="s">
        <v>5155</v>
      </c>
      <c r="I1700" s="62" t="s">
        <v>5156</v>
      </c>
      <c r="K1700" s="36" t="s">
        <v>1489</v>
      </c>
      <c r="L1700" t="s">
        <v>69</v>
      </c>
      <c r="M1700" s="62" t="s">
        <v>70</v>
      </c>
      <c r="N1700" t="s">
        <v>71</v>
      </c>
      <c r="O1700" t="str">
        <f>IFERROR(IF(Tbla_actores[[#This Row],[codigo_proyecto]]="","",_xlfn.XLOOKUP(Tbla_actores[[#This Row],[codigo_proyecto]],Proyectos!$A:$A,Proyectos!$C:$C)),"")</f>
        <v>NULOS</v>
      </c>
    </row>
    <row r="1701" spans="1:15">
      <c r="A1701" s="10">
        <v>1000288527</v>
      </c>
      <c r="B1701" s="64" t="s">
        <v>61</v>
      </c>
      <c r="C1701" s="62" t="s">
        <v>4409</v>
      </c>
      <c r="D1701" t="s">
        <v>63</v>
      </c>
      <c r="E1701" t="s">
        <v>5157</v>
      </c>
      <c r="F1701" s="61">
        <v>36931</v>
      </c>
      <c r="G1701" s="15" t="s">
        <v>73</v>
      </c>
      <c r="H1701" t="s">
        <v>5158</v>
      </c>
      <c r="I1701" s="62" t="s">
        <v>5159</v>
      </c>
      <c r="K1701" s="36" t="s">
        <v>1489</v>
      </c>
      <c r="L1701" t="s">
        <v>69</v>
      </c>
      <c r="M1701" s="62" t="s">
        <v>70</v>
      </c>
      <c r="N1701" t="s">
        <v>71</v>
      </c>
      <c r="O1701" t="str">
        <f>IFERROR(IF(Tbla_actores[[#This Row],[codigo_proyecto]]="","",_xlfn.XLOOKUP(Tbla_actores[[#This Row],[codigo_proyecto]],Proyectos!$A:$A,Proyectos!$C:$C)),"")</f>
        <v>NULOS</v>
      </c>
    </row>
    <row r="1702" spans="1:15">
      <c r="A1702" s="9">
        <v>1007698925</v>
      </c>
      <c r="B1702" s="63" t="s">
        <v>61</v>
      </c>
      <c r="C1702" s="62" t="s">
        <v>4409</v>
      </c>
      <c r="D1702" t="s">
        <v>63</v>
      </c>
      <c r="E1702" t="s">
        <v>5160</v>
      </c>
      <c r="F1702" s="61">
        <v>36875</v>
      </c>
      <c r="G1702" s="15" t="s">
        <v>73</v>
      </c>
      <c r="H1702" t="s">
        <v>5161</v>
      </c>
      <c r="I1702" s="62" t="s">
        <v>5162</v>
      </c>
      <c r="K1702" s="36" t="s">
        <v>1489</v>
      </c>
      <c r="L1702" t="s">
        <v>69</v>
      </c>
      <c r="M1702" s="62" t="s">
        <v>70</v>
      </c>
      <c r="N1702" t="s">
        <v>71</v>
      </c>
      <c r="O1702" t="str">
        <f>IFERROR(IF(Tbla_actores[[#This Row],[codigo_proyecto]]="","",_xlfn.XLOOKUP(Tbla_actores[[#This Row],[codigo_proyecto]],Proyectos!$A:$A,Proyectos!$C:$C)),"")</f>
        <v>NULOS</v>
      </c>
    </row>
    <row r="1703" spans="1:15">
      <c r="A1703" s="10">
        <v>1026596807</v>
      </c>
      <c r="B1703" s="64" t="s">
        <v>61</v>
      </c>
      <c r="C1703" s="62" t="s">
        <v>4409</v>
      </c>
      <c r="D1703" t="s">
        <v>63</v>
      </c>
      <c r="E1703" t="s">
        <v>5163</v>
      </c>
      <c r="F1703" s="61">
        <v>36197</v>
      </c>
      <c r="G1703" s="15" t="s">
        <v>73</v>
      </c>
      <c r="H1703" t="s">
        <v>5164</v>
      </c>
      <c r="I1703" s="62" t="s">
        <v>5165</v>
      </c>
      <c r="K1703" s="36" t="s">
        <v>1489</v>
      </c>
      <c r="L1703" t="s">
        <v>69</v>
      </c>
      <c r="M1703" s="62" t="s">
        <v>70</v>
      </c>
      <c r="N1703" t="s">
        <v>71</v>
      </c>
      <c r="O1703" t="str">
        <f>IFERROR(IF(Tbla_actores[[#This Row],[codigo_proyecto]]="","",_xlfn.XLOOKUP(Tbla_actores[[#This Row],[codigo_proyecto]],Proyectos!$A:$A,Proyectos!$C:$C)),"")</f>
        <v>NULOS</v>
      </c>
    </row>
    <row r="1704" spans="1:15">
      <c r="A1704" s="9">
        <v>1192891783</v>
      </c>
      <c r="B1704" s="63" t="s">
        <v>61</v>
      </c>
      <c r="C1704" s="62" t="s">
        <v>4409</v>
      </c>
      <c r="D1704" t="s">
        <v>63</v>
      </c>
      <c r="E1704" t="s">
        <v>5166</v>
      </c>
      <c r="F1704" s="61">
        <v>36770</v>
      </c>
      <c r="G1704" s="15" t="s">
        <v>73</v>
      </c>
      <c r="H1704" t="s">
        <v>5167</v>
      </c>
      <c r="I1704" s="62" t="s">
        <v>5168</v>
      </c>
      <c r="K1704" s="36" t="s">
        <v>1489</v>
      </c>
      <c r="L1704" t="s">
        <v>69</v>
      </c>
      <c r="M1704" s="62" t="s">
        <v>70</v>
      </c>
      <c r="N1704" t="s">
        <v>71</v>
      </c>
      <c r="O1704" t="str">
        <f>IFERROR(IF(Tbla_actores[[#This Row],[codigo_proyecto]]="","",_xlfn.XLOOKUP(Tbla_actores[[#This Row],[codigo_proyecto]],Proyectos!$A:$A,Proyectos!$C:$C)),"")</f>
        <v>NULOS</v>
      </c>
    </row>
    <row r="1705" spans="1:15">
      <c r="A1705" s="10">
        <v>1070989028</v>
      </c>
      <c r="B1705" s="64" t="s">
        <v>61</v>
      </c>
      <c r="C1705" s="62" t="s">
        <v>4409</v>
      </c>
      <c r="D1705" t="s">
        <v>63</v>
      </c>
      <c r="E1705" t="s">
        <v>5169</v>
      </c>
      <c r="F1705" s="61">
        <v>36348</v>
      </c>
      <c r="G1705" s="15" t="s">
        <v>73</v>
      </c>
      <c r="H1705" t="s">
        <v>5170</v>
      </c>
      <c r="I1705" s="62" t="s">
        <v>5171</v>
      </c>
      <c r="K1705" s="36" t="s">
        <v>1489</v>
      </c>
      <c r="L1705" t="s">
        <v>69</v>
      </c>
      <c r="M1705" s="62" t="s">
        <v>70</v>
      </c>
      <c r="N1705" t="s">
        <v>71</v>
      </c>
      <c r="O1705" t="str">
        <f>IFERROR(IF(Tbla_actores[[#This Row],[codigo_proyecto]]="","",_xlfn.XLOOKUP(Tbla_actores[[#This Row],[codigo_proyecto]],Proyectos!$A:$A,Proyectos!$C:$C)),"")</f>
        <v>NULOS</v>
      </c>
    </row>
    <row r="1706" spans="1:15">
      <c r="A1706" s="9">
        <v>1007379286</v>
      </c>
      <c r="B1706" s="63" t="s">
        <v>61</v>
      </c>
      <c r="C1706" s="62" t="s">
        <v>4409</v>
      </c>
      <c r="D1706" t="s">
        <v>63</v>
      </c>
      <c r="E1706" t="s">
        <v>5172</v>
      </c>
      <c r="F1706" s="61">
        <v>36754</v>
      </c>
      <c r="G1706" s="15" t="s">
        <v>65</v>
      </c>
      <c r="H1706" t="s">
        <v>5173</v>
      </c>
      <c r="I1706" s="62" t="s">
        <v>5174</v>
      </c>
      <c r="K1706" s="36" t="s">
        <v>1489</v>
      </c>
      <c r="L1706" t="s">
        <v>69</v>
      </c>
      <c r="M1706" s="62" t="s">
        <v>70</v>
      </c>
      <c r="N1706" t="s">
        <v>71</v>
      </c>
      <c r="O1706" t="str">
        <f>IFERROR(IF(Tbla_actores[[#This Row],[codigo_proyecto]]="","",_xlfn.XLOOKUP(Tbla_actores[[#This Row],[codigo_proyecto]],Proyectos!$A:$A,Proyectos!$C:$C)),"")</f>
        <v>NULOS</v>
      </c>
    </row>
    <row r="1707" spans="1:15">
      <c r="A1707" s="10">
        <v>1001090795</v>
      </c>
      <c r="B1707" s="64" t="s">
        <v>61</v>
      </c>
      <c r="C1707" s="62" t="s">
        <v>4409</v>
      </c>
      <c r="D1707" t="s">
        <v>63</v>
      </c>
      <c r="E1707" t="s">
        <v>5175</v>
      </c>
      <c r="F1707" s="61">
        <v>37104</v>
      </c>
      <c r="G1707" s="15" t="s">
        <v>73</v>
      </c>
      <c r="H1707" t="s">
        <v>5176</v>
      </c>
      <c r="I1707" s="62" t="s">
        <v>5177</v>
      </c>
      <c r="K1707" s="36" t="s">
        <v>1489</v>
      </c>
      <c r="L1707" t="s">
        <v>69</v>
      </c>
      <c r="M1707" s="62" t="s">
        <v>70</v>
      </c>
      <c r="N1707" t="s">
        <v>71</v>
      </c>
      <c r="O1707" t="str">
        <f>IFERROR(IF(Tbla_actores[[#This Row],[codigo_proyecto]]="","",_xlfn.XLOOKUP(Tbla_actores[[#This Row],[codigo_proyecto]],Proyectos!$A:$A,Proyectos!$C:$C)),"")</f>
        <v>NULOS</v>
      </c>
    </row>
    <row r="1708" spans="1:15">
      <c r="A1708" s="9">
        <v>1087008445</v>
      </c>
      <c r="B1708" s="63" t="s">
        <v>61</v>
      </c>
      <c r="C1708" s="62" t="s">
        <v>4409</v>
      </c>
      <c r="D1708" t="s">
        <v>63</v>
      </c>
      <c r="E1708" t="s">
        <v>5178</v>
      </c>
      <c r="F1708" s="61">
        <v>36509</v>
      </c>
      <c r="G1708" s="15" t="s">
        <v>73</v>
      </c>
      <c r="H1708" t="s">
        <v>5179</v>
      </c>
      <c r="I1708" s="62" t="s">
        <v>5180</v>
      </c>
      <c r="K1708" s="36" t="s">
        <v>1489</v>
      </c>
      <c r="L1708" t="s">
        <v>69</v>
      </c>
      <c r="M1708" s="62" t="s">
        <v>70</v>
      </c>
      <c r="N1708" t="s">
        <v>71</v>
      </c>
      <c r="O1708" t="str">
        <f>IFERROR(IF(Tbla_actores[[#This Row],[codigo_proyecto]]="","",_xlfn.XLOOKUP(Tbla_actores[[#This Row],[codigo_proyecto]],Proyectos!$A:$A,Proyectos!$C:$C)),"")</f>
        <v>NULOS</v>
      </c>
    </row>
    <row r="1709" spans="1:15">
      <c r="A1709" s="10">
        <v>1001173525</v>
      </c>
      <c r="B1709" s="64" t="s">
        <v>61</v>
      </c>
      <c r="C1709" s="62" t="s">
        <v>4409</v>
      </c>
      <c r="D1709" t="s">
        <v>63</v>
      </c>
      <c r="E1709" t="s">
        <v>5181</v>
      </c>
      <c r="F1709" s="61">
        <v>36998</v>
      </c>
      <c r="G1709" s="15" t="s">
        <v>73</v>
      </c>
      <c r="H1709" t="s">
        <v>5182</v>
      </c>
      <c r="I1709" s="62" t="s">
        <v>5183</v>
      </c>
      <c r="K1709" s="36" t="s">
        <v>1489</v>
      </c>
      <c r="L1709" t="s">
        <v>69</v>
      </c>
      <c r="M1709" s="62" t="s">
        <v>70</v>
      </c>
      <c r="N1709" t="s">
        <v>71</v>
      </c>
      <c r="O1709" t="str">
        <f>IFERROR(IF(Tbla_actores[[#This Row],[codigo_proyecto]]="","",_xlfn.XLOOKUP(Tbla_actores[[#This Row],[codigo_proyecto]],Proyectos!$A:$A,Proyectos!$C:$C)),"")</f>
        <v>NULOS</v>
      </c>
    </row>
    <row r="1710" spans="1:15">
      <c r="A1710" s="9">
        <v>1000689657</v>
      </c>
      <c r="B1710" s="63" t="s">
        <v>61</v>
      </c>
      <c r="C1710" s="62" t="s">
        <v>4409</v>
      </c>
      <c r="D1710" t="s">
        <v>63</v>
      </c>
      <c r="E1710" t="s">
        <v>5184</v>
      </c>
      <c r="F1710" s="61">
        <v>36675</v>
      </c>
      <c r="G1710" s="15" t="s">
        <v>73</v>
      </c>
      <c r="H1710" t="s">
        <v>5185</v>
      </c>
      <c r="I1710" s="62" t="s">
        <v>5186</v>
      </c>
      <c r="K1710" s="36" t="s">
        <v>1489</v>
      </c>
      <c r="L1710" t="s">
        <v>69</v>
      </c>
      <c r="M1710" s="62" t="s">
        <v>70</v>
      </c>
      <c r="N1710" t="s">
        <v>71</v>
      </c>
      <c r="O1710" t="str">
        <f>IFERROR(IF(Tbla_actores[[#This Row],[codigo_proyecto]]="","",_xlfn.XLOOKUP(Tbla_actores[[#This Row],[codigo_proyecto]],Proyectos!$A:$A,Proyectos!$C:$C)),"")</f>
        <v>NULOS</v>
      </c>
    </row>
    <row r="1711" spans="1:15">
      <c r="A1711" s="10">
        <v>1000250485</v>
      </c>
      <c r="B1711" s="64" t="s">
        <v>61</v>
      </c>
      <c r="C1711" s="62" t="s">
        <v>4409</v>
      </c>
      <c r="D1711" t="s">
        <v>63</v>
      </c>
      <c r="E1711" t="s">
        <v>5187</v>
      </c>
      <c r="F1711" s="61">
        <v>36626</v>
      </c>
      <c r="G1711" s="15" t="s">
        <v>73</v>
      </c>
      <c r="H1711" t="s">
        <v>5188</v>
      </c>
      <c r="I1711" s="62" t="s">
        <v>5189</v>
      </c>
      <c r="K1711" s="36" t="s">
        <v>1489</v>
      </c>
      <c r="L1711" t="s">
        <v>69</v>
      </c>
      <c r="M1711" s="62" t="s">
        <v>70</v>
      </c>
      <c r="N1711" t="s">
        <v>71</v>
      </c>
      <c r="O1711" t="str">
        <f>IFERROR(IF(Tbla_actores[[#This Row],[codigo_proyecto]]="","",_xlfn.XLOOKUP(Tbla_actores[[#This Row],[codigo_proyecto]],Proyectos!$A:$A,Proyectos!$C:$C)),"")</f>
        <v>NULOS</v>
      </c>
    </row>
    <row r="1712" spans="1:15">
      <c r="A1712" s="9">
        <v>1083925758</v>
      </c>
      <c r="B1712" s="63" t="s">
        <v>61</v>
      </c>
      <c r="C1712" s="62" t="s">
        <v>4409</v>
      </c>
      <c r="D1712" t="s">
        <v>63</v>
      </c>
      <c r="E1712" t="s">
        <v>5190</v>
      </c>
      <c r="F1712" s="61">
        <v>36033</v>
      </c>
      <c r="G1712" s="15" t="s">
        <v>73</v>
      </c>
      <c r="H1712" t="s">
        <v>5191</v>
      </c>
      <c r="I1712" s="62" t="s">
        <v>5192</v>
      </c>
      <c r="K1712" s="36" t="s">
        <v>1489</v>
      </c>
      <c r="L1712" t="s">
        <v>69</v>
      </c>
      <c r="M1712" s="62" t="s">
        <v>70</v>
      </c>
      <c r="N1712" t="s">
        <v>71</v>
      </c>
      <c r="O1712" t="str">
        <f>IFERROR(IF(Tbla_actores[[#This Row],[codigo_proyecto]]="","",_xlfn.XLOOKUP(Tbla_actores[[#This Row],[codigo_proyecto]],Proyectos!$A:$A,Proyectos!$C:$C)),"")</f>
        <v>NULOS</v>
      </c>
    </row>
    <row r="1713" spans="1:15">
      <c r="A1713" s="10">
        <v>1000708920</v>
      </c>
      <c r="B1713" s="64" t="s">
        <v>61</v>
      </c>
      <c r="C1713" s="62" t="s">
        <v>4409</v>
      </c>
      <c r="D1713" t="s">
        <v>63</v>
      </c>
      <c r="E1713" t="s">
        <v>5193</v>
      </c>
      <c r="F1713" s="61">
        <v>37004</v>
      </c>
      <c r="G1713" s="15" t="s">
        <v>73</v>
      </c>
      <c r="H1713" t="s">
        <v>5194</v>
      </c>
      <c r="I1713" s="62" t="s">
        <v>5195</v>
      </c>
      <c r="K1713" s="36" t="s">
        <v>1489</v>
      </c>
      <c r="L1713" t="s">
        <v>69</v>
      </c>
      <c r="M1713" s="62" t="s">
        <v>70</v>
      </c>
      <c r="N1713" t="s">
        <v>71</v>
      </c>
      <c r="O1713" t="str">
        <f>IFERROR(IF(Tbla_actores[[#This Row],[codigo_proyecto]]="","",_xlfn.XLOOKUP(Tbla_actores[[#This Row],[codigo_proyecto]],Proyectos!$A:$A,Proyectos!$C:$C)),"")</f>
        <v>NULOS</v>
      </c>
    </row>
    <row r="1714" spans="1:15">
      <c r="A1714" s="9">
        <v>1002012744</v>
      </c>
      <c r="B1714" s="63" t="s">
        <v>61</v>
      </c>
      <c r="C1714" s="62" t="s">
        <v>3329</v>
      </c>
      <c r="D1714" t="s">
        <v>63</v>
      </c>
      <c r="E1714" t="s">
        <v>4406</v>
      </c>
      <c r="F1714" s="61">
        <v>36781</v>
      </c>
      <c r="G1714" s="15" t="s">
        <v>73</v>
      </c>
      <c r="H1714" t="s">
        <v>4407</v>
      </c>
      <c r="I1714" s="62" t="s">
        <v>4408</v>
      </c>
      <c r="K1714" s="36" t="s">
        <v>1489</v>
      </c>
      <c r="L1714" t="s">
        <v>69</v>
      </c>
      <c r="M1714" s="62" t="s">
        <v>70</v>
      </c>
      <c r="N1714" t="s">
        <v>71</v>
      </c>
      <c r="O1714" t="str">
        <f>IFERROR(IF(Tbla_actores[[#This Row],[codigo_proyecto]]="","",_xlfn.XLOOKUP(Tbla_actores[[#This Row],[codigo_proyecto]],Proyectos!$A:$A,Proyectos!$C:$C)),"")</f>
        <v>NULOS</v>
      </c>
    </row>
    <row r="1715" spans="1:15">
      <c r="A1715" s="10">
        <v>1052315069</v>
      </c>
      <c r="B1715" s="64" t="s">
        <v>61</v>
      </c>
      <c r="C1715" s="62" t="s">
        <v>4409</v>
      </c>
      <c r="D1715" t="s">
        <v>63</v>
      </c>
      <c r="E1715" t="s">
        <v>5196</v>
      </c>
      <c r="F1715" s="61">
        <v>36455</v>
      </c>
      <c r="G1715" s="15" t="s">
        <v>73</v>
      </c>
      <c r="H1715" t="s">
        <v>5197</v>
      </c>
      <c r="I1715" s="62" t="s">
        <v>5198</v>
      </c>
      <c r="K1715" s="36" t="s">
        <v>1489</v>
      </c>
      <c r="L1715" t="s">
        <v>69</v>
      </c>
      <c r="M1715" s="62" t="s">
        <v>70</v>
      </c>
      <c r="N1715" t="s">
        <v>71</v>
      </c>
      <c r="O1715" t="str">
        <f>IFERROR(IF(Tbla_actores[[#This Row],[codigo_proyecto]]="","",_xlfn.XLOOKUP(Tbla_actores[[#This Row],[codigo_proyecto]],Proyectos!$A:$A,Proyectos!$C:$C)),"")</f>
        <v>NULOS</v>
      </c>
    </row>
    <row r="1716" spans="1:15">
      <c r="A1716" s="9">
        <v>1000602745</v>
      </c>
      <c r="B1716" s="63" t="s">
        <v>61</v>
      </c>
      <c r="C1716" s="62" t="s">
        <v>4409</v>
      </c>
      <c r="D1716" t="s">
        <v>63</v>
      </c>
      <c r="E1716" t="s">
        <v>5199</v>
      </c>
      <c r="F1716" s="61">
        <v>36862</v>
      </c>
      <c r="G1716" s="15" t="s">
        <v>73</v>
      </c>
      <c r="H1716" t="s">
        <v>5200</v>
      </c>
      <c r="I1716" s="62" t="s">
        <v>5201</v>
      </c>
      <c r="K1716" s="36" t="s">
        <v>1489</v>
      </c>
      <c r="L1716" t="s">
        <v>69</v>
      </c>
      <c r="M1716" s="62" t="s">
        <v>70</v>
      </c>
      <c r="N1716" t="s">
        <v>71</v>
      </c>
      <c r="O1716" t="str">
        <f>IFERROR(IF(Tbla_actores[[#This Row],[codigo_proyecto]]="","",_xlfn.XLOOKUP(Tbla_actores[[#This Row],[codigo_proyecto]],Proyectos!$A:$A,Proyectos!$C:$C)),"")</f>
        <v>NULOS</v>
      </c>
    </row>
    <row r="1717" spans="1:15">
      <c r="A1717" s="10">
        <v>1010053383</v>
      </c>
      <c r="B1717" s="64" t="s">
        <v>61</v>
      </c>
      <c r="C1717" s="62" t="s">
        <v>4409</v>
      </c>
      <c r="D1717" t="s">
        <v>63</v>
      </c>
      <c r="E1717" t="s">
        <v>5202</v>
      </c>
      <c r="F1717" s="61">
        <v>36850</v>
      </c>
      <c r="G1717" s="15" t="s">
        <v>73</v>
      </c>
      <c r="H1717" t="s">
        <v>5203</v>
      </c>
      <c r="I1717" s="62" t="s">
        <v>5204</v>
      </c>
      <c r="K1717" s="36" t="s">
        <v>1489</v>
      </c>
      <c r="L1717" t="s">
        <v>69</v>
      </c>
      <c r="M1717" s="62" t="s">
        <v>70</v>
      </c>
      <c r="N1717" t="s">
        <v>71</v>
      </c>
      <c r="O1717" t="str">
        <f>IFERROR(IF(Tbla_actores[[#This Row],[codigo_proyecto]]="","",_xlfn.XLOOKUP(Tbla_actores[[#This Row],[codigo_proyecto]],Proyectos!$A:$A,Proyectos!$C:$C)),"")</f>
        <v>NULOS</v>
      </c>
    </row>
    <row r="1718" spans="1:15">
      <c r="A1718" s="9">
        <v>1000285185</v>
      </c>
      <c r="B1718" s="63" t="s">
        <v>61</v>
      </c>
      <c r="C1718" s="62" t="s">
        <v>4409</v>
      </c>
      <c r="D1718" t="s">
        <v>63</v>
      </c>
      <c r="E1718" t="s">
        <v>5205</v>
      </c>
      <c r="F1718" s="61">
        <v>37033</v>
      </c>
      <c r="G1718" s="15" t="s">
        <v>73</v>
      </c>
      <c r="H1718" t="s">
        <v>5206</v>
      </c>
      <c r="I1718" s="62" t="s">
        <v>5207</v>
      </c>
      <c r="K1718" s="36" t="s">
        <v>1489</v>
      </c>
      <c r="L1718" t="s">
        <v>69</v>
      </c>
      <c r="M1718" s="62" t="s">
        <v>70</v>
      </c>
      <c r="N1718" t="s">
        <v>71</v>
      </c>
      <c r="O1718" t="str">
        <f>IFERROR(IF(Tbla_actores[[#This Row],[codigo_proyecto]]="","",_xlfn.XLOOKUP(Tbla_actores[[#This Row],[codigo_proyecto]],Proyectos!$A:$A,Proyectos!$C:$C)),"")</f>
        <v>NULOS</v>
      </c>
    </row>
    <row r="1719" spans="1:15">
      <c r="A1719" s="10">
        <v>1192735425</v>
      </c>
      <c r="B1719" s="64" t="s">
        <v>61</v>
      </c>
      <c r="C1719" s="62" t="s">
        <v>4409</v>
      </c>
      <c r="D1719" t="s">
        <v>63</v>
      </c>
      <c r="E1719" t="s">
        <v>5208</v>
      </c>
      <c r="F1719" s="61">
        <v>36784</v>
      </c>
      <c r="G1719" s="15" t="s">
        <v>73</v>
      </c>
      <c r="H1719" t="s">
        <v>5209</v>
      </c>
      <c r="I1719" s="62" t="s">
        <v>5210</v>
      </c>
      <c r="K1719" s="36" t="s">
        <v>1489</v>
      </c>
      <c r="L1719" t="s">
        <v>69</v>
      </c>
      <c r="M1719" s="62" t="s">
        <v>70</v>
      </c>
      <c r="N1719" t="s">
        <v>71</v>
      </c>
      <c r="O1719" t="str">
        <f>IFERROR(IF(Tbla_actores[[#This Row],[codigo_proyecto]]="","",_xlfn.XLOOKUP(Tbla_actores[[#This Row],[codigo_proyecto]],Proyectos!$A:$A,Proyectos!$C:$C)),"")</f>
        <v>NULOS</v>
      </c>
    </row>
    <row r="1720" spans="1:15">
      <c r="A1720" s="9">
        <v>1019145035</v>
      </c>
      <c r="B1720" s="63" t="s">
        <v>61</v>
      </c>
      <c r="C1720" s="62" t="s">
        <v>4409</v>
      </c>
      <c r="D1720" t="s">
        <v>63</v>
      </c>
      <c r="E1720" t="s">
        <v>5211</v>
      </c>
      <c r="F1720" s="61">
        <v>36108</v>
      </c>
      <c r="G1720" s="15" t="s">
        <v>73</v>
      </c>
      <c r="H1720" t="s">
        <v>5212</v>
      </c>
      <c r="I1720" s="62" t="s">
        <v>5213</v>
      </c>
      <c r="K1720" s="36" t="s">
        <v>169</v>
      </c>
      <c r="L1720" t="s">
        <v>69</v>
      </c>
      <c r="M1720" s="62" t="s">
        <v>170</v>
      </c>
      <c r="N1720" t="s">
        <v>71</v>
      </c>
      <c r="O1720" t="str">
        <f>IFERROR(IF(Tbla_actores[[#This Row],[codigo_proyecto]]="","",_xlfn.XLOOKUP(Tbla_actores[[#This Row],[codigo_proyecto]],Proyectos!$A:$A,Proyectos!$C:$C)),"")</f>
        <v>NULOS</v>
      </c>
    </row>
    <row r="1721" spans="1:15">
      <c r="A1721" s="10">
        <v>1000035480</v>
      </c>
      <c r="B1721" s="64" t="s">
        <v>61</v>
      </c>
      <c r="C1721" s="62" t="s">
        <v>4409</v>
      </c>
      <c r="D1721" t="s">
        <v>63</v>
      </c>
      <c r="E1721" t="s">
        <v>5214</v>
      </c>
      <c r="F1721" s="61">
        <v>37575</v>
      </c>
      <c r="G1721" s="15" t="s">
        <v>65</v>
      </c>
      <c r="H1721" t="s">
        <v>5215</v>
      </c>
      <c r="I1721" s="62" t="s">
        <v>5216</v>
      </c>
      <c r="K1721" s="36" t="s">
        <v>169</v>
      </c>
      <c r="L1721" t="s">
        <v>69</v>
      </c>
      <c r="M1721" s="62" t="s">
        <v>170</v>
      </c>
      <c r="N1721" t="s">
        <v>71</v>
      </c>
      <c r="O1721" t="str">
        <f>IFERROR(IF(Tbla_actores[[#This Row],[codigo_proyecto]]="","",_xlfn.XLOOKUP(Tbla_actores[[#This Row],[codigo_proyecto]],Proyectos!$A:$A,Proyectos!$C:$C)),"")</f>
        <v>NULOS</v>
      </c>
    </row>
    <row r="1722" spans="1:15">
      <c r="A1722" s="9">
        <v>1000952474</v>
      </c>
      <c r="B1722" s="63" t="s">
        <v>61</v>
      </c>
      <c r="C1722" s="62" t="s">
        <v>4409</v>
      </c>
      <c r="D1722" t="s">
        <v>63</v>
      </c>
      <c r="E1722" t="s">
        <v>5217</v>
      </c>
      <c r="F1722" s="61">
        <v>37642</v>
      </c>
      <c r="G1722" s="15" t="s">
        <v>73</v>
      </c>
      <c r="H1722" t="s">
        <v>5218</v>
      </c>
      <c r="I1722" s="62" t="s">
        <v>5219</v>
      </c>
      <c r="K1722" s="36" t="s">
        <v>169</v>
      </c>
      <c r="L1722" t="s">
        <v>69</v>
      </c>
      <c r="M1722" s="62" t="s">
        <v>170</v>
      </c>
      <c r="N1722" t="s">
        <v>71</v>
      </c>
      <c r="O1722" t="str">
        <f>IFERROR(IF(Tbla_actores[[#This Row],[codigo_proyecto]]="","",_xlfn.XLOOKUP(Tbla_actores[[#This Row],[codigo_proyecto]],Proyectos!$A:$A,Proyectos!$C:$C)),"")</f>
        <v>NULOS</v>
      </c>
    </row>
    <row r="1723" spans="1:15">
      <c r="A1723" s="10">
        <v>1000274441</v>
      </c>
      <c r="B1723" s="64" t="s">
        <v>61</v>
      </c>
      <c r="C1723" s="62" t="s">
        <v>4409</v>
      </c>
      <c r="D1723" t="s">
        <v>63</v>
      </c>
      <c r="E1723" t="s">
        <v>5220</v>
      </c>
      <c r="F1723" s="61">
        <v>37021</v>
      </c>
      <c r="G1723" s="15" t="s">
        <v>73</v>
      </c>
      <c r="H1723" t="s">
        <v>5221</v>
      </c>
      <c r="I1723" s="62" t="s">
        <v>5222</v>
      </c>
      <c r="K1723" s="36" t="s">
        <v>169</v>
      </c>
      <c r="L1723" t="s">
        <v>69</v>
      </c>
      <c r="M1723" s="62" t="s">
        <v>170</v>
      </c>
      <c r="N1723" t="s">
        <v>71</v>
      </c>
      <c r="O1723" t="str">
        <f>IFERROR(IF(Tbla_actores[[#This Row],[codigo_proyecto]]="","",_xlfn.XLOOKUP(Tbla_actores[[#This Row],[codigo_proyecto]],Proyectos!$A:$A,Proyectos!$C:$C)),"")</f>
        <v>NULOS</v>
      </c>
    </row>
    <row r="1724" spans="1:15">
      <c r="A1724" s="9">
        <v>1000613280</v>
      </c>
      <c r="B1724" s="63" t="s">
        <v>61</v>
      </c>
      <c r="C1724" s="62" t="s">
        <v>4409</v>
      </c>
      <c r="D1724" t="s">
        <v>63</v>
      </c>
      <c r="E1724" t="s">
        <v>5223</v>
      </c>
      <c r="F1724" s="61">
        <v>37158</v>
      </c>
      <c r="G1724" s="15" t="s">
        <v>73</v>
      </c>
      <c r="H1724" t="s">
        <v>5224</v>
      </c>
      <c r="I1724" s="62" t="s">
        <v>5225</v>
      </c>
      <c r="K1724" s="36" t="s">
        <v>169</v>
      </c>
      <c r="L1724" t="s">
        <v>69</v>
      </c>
      <c r="M1724" s="62" t="s">
        <v>170</v>
      </c>
      <c r="N1724" t="s">
        <v>71</v>
      </c>
      <c r="O1724" t="str">
        <f>IFERROR(IF(Tbla_actores[[#This Row],[codigo_proyecto]]="","",_xlfn.XLOOKUP(Tbla_actores[[#This Row],[codigo_proyecto]],Proyectos!$A:$A,Proyectos!$C:$C)),"")</f>
        <v>NULOS</v>
      </c>
    </row>
    <row r="1725" spans="1:15">
      <c r="A1725" s="10">
        <v>1001084323</v>
      </c>
      <c r="B1725" s="64" t="s">
        <v>61</v>
      </c>
      <c r="C1725" s="62" t="s">
        <v>4409</v>
      </c>
      <c r="D1725" t="s">
        <v>63</v>
      </c>
      <c r="E1725" t="s">
        <v>5226</v>
      </c>
      <c r="F1725" s="61">
        <v>37461</v>
      </c>
      <c r="G1725" s="15" t="s">
        <v>65</v>
      </c>
      <c r="H1725" t="s">
        <v>5227</v>
      </c>
      <c r="I1725" s="62" t="s">
        <v>5228</v>
      </c>
      <c r="K1725" s="36" t="s">
        <v>169</v>
      </c>
      <c r="L1725" t="s">
        <v>69</v>
      </c>
      <c r="M1725" s="62" t="s">
        <v>170</v>
      </c>
      <c r="N1725" t="s">
        <v>71</v>
      </c>
      <c r="O1725" t="str">
        <f>IFERROR(IF(Tbla_actores[[#This Row],[codigo_proyecto]]="","",_xlfn.XLOOKUP(Tbla_actores[[#This Row],[codigo_proyecto]],Proyectos!$A:$A,Proyectos!$C:$C)),"")</f>
        <v>NULOS</v>
      </c>
    </row>
    <row r="1726" spans="1:15">
      <c r="A1726" s="9">
        <v>1192743127</v>
      </c>
      <c r="B1726" s="63" t="s">
        <v>61</v>
      </c>
      <c r="C1726" s="62" t="s">
        <v>4409</v>
      </c>
      <c r="D1726" t="s">
        <v>63</v>
      </c>
      <c r="E1726" t="s">
        <v>5229</v>
      </c>
      <c r="F1726" s="61">
        <v>37575</v>
      </c>
      <c r="G1726" s="15" t="s">
        <v>65</v>
      </c>
      <c r="H1726" t="s">
        <v>5230</v>
      </c>
      <c r="I1726" s="62" t="s">
        <v>5231</v>
      </c>
      <c r="K1726" s="36" t="s">
        <v>169</v>
      </c>
      <c r="L1726" t="s">
        <v>69</v>
      </c>
      <c r="M1726" s="62" t="s">
        <v>170</v>
      </c>
      <c r="N1726" t="s">
        <v>71</v>
      </c>
      <c r="O1726" t="str">
        <f>IFERROR(IF(Tbla_actores[[#This Row],[codigo_proyecto]]="","",_xlfn.XLOOKUP(Tbla_actores[[#This Row],[codigo_proyecto]],Proyectos!$A:$A,Proyectos!$C:$C)),"")</f>
        <v>NULOS</v>
      </c>
    </row>
    <row r="1727" spans="1:15">
      <c r="A1727" s="10">
        <v>1000255835</v>
      </c>
      <c r="B1727" s="64" t="s">
        <v>61</v>
      </c>
      <c r="C1727" s="62" t="s">
        <v>4409</v>
      </c>
      <c r="D1727" t="s">
        <v>63</v>
      </c>
      <c r="E1727" t="s">
        <v>5232</v>
      </c>
      <c r="F1727" s="61">
        <v>37629</v>
      </c>
      <c r="G1727" s="15" t="s">
        <v>65</v>
      </c>
      <c r="H1727" t="s">
        <v>5233</v>
      </c>
      <c r="I1727" s="62" t="s">
        <v>5234</v>
      </c>
      <c r="K1727" s="36" t="s">
        <v>169</v>
      </c>
      <c r="L1727" t="s">
        <v>69</v>
      </c>
      <c r="M1727" s="62" t="s">
        <v>170</v>
      </c>
      <c r="N1727" t="s">
        <v>71</v>
      </c>
      <c r="O1727" t="str">
        <f>IFERROR(IF(Tbla_actores[[#This Row],[codigo_proyecto]]="","",_xlfn.XLOOKUP(Tbla_actores[[#This Row],[codigo_proyecto]],Proyectos!$A:$A,Proyectos!$C:$C)),"")</f>
        <v>NULOS</v>
      </c>
    </row>
    <row r="1728" spans="1:15">
      <c r="A1728" s="9">
        <v>1000286784</v>
      </c>
      <c r="B1728" s="63" t="s">
        <v>61</v>
      </c>
      <c r="C1728" s="62" t="s">
        <v>4409</v>
      </c>
      <c r="D1728" t="s">
        <v>63</v>
      </c>
      <c r="E1728" t="s">
        <v>5235</v>
      </c>
      <c r="F1728" s="61">
        <v>37405</v>
      </c>
      <c r="G1728" s="15" t="s">
        <v>73</v>
      </c>
      <c r="H1728" t="s">
        <v>5236</v>
      </c>
      <c r="I1728" s="62" t="s">
        <v>5237</v>
      </c>
      <c r="K1728" s="36" t="s">
        <v>169</v>
      </c>
      <c r="L1728" t="s">
        <v>69</v>
      </c>
      <c r="M1728" s="62" t="s">
        <v>170</v>
      </c>
      <c r="N1728" t="s">
        <v>71</v>
      </c>
      <c r="O1728" t="str">
        <f>IFERROR(IF(Tbla_actores[[#This Row],[codigo_proyecto]]="","",_xlfn.XLOOKUP(Tbla_actores[[#This Row],[codigo_proyecto]],Proyectos!$A:$A,Proyectos!$C:$C)),"")</f>
        <v>NULOS</v>
      </c>
    </row>
    <row r="1729" spans="1:15">
      <c r="A1729" s="10">
        <v>1000182967</v>
      </c>
      <c r="B1729" s="64" t="s">
        <v>61</v>
      </c>
      <c r="C1729" s="62" t="s">
        <v>4409</v>
      </c>
      <c r="D1729" t="s">
        <v>63</v>
      </c>
      <c r="E1729" t="s">
        <v>5238</v>
      </c>
      <c r="F1729" s="61">
        <v>37456</v>
      </c>
      <c r="G1729" s="15" t="s">
        <v>73</v>
      </c>
      <c r="H1729" t="s">
        <v>5239</v>
      </c>
      <c r="I1729" s="62" t="s">
        <v>5240</v>
      </c>
      <c r="K1729" s="36" t="s">
        <v>169</v>
      </c>
      <c r="L1729" t="s">
        <v>69</v>
      </c>
      <c r="M1729" s="62" t="s">
        <v>170</v>
      </c>
      <c r="N1729" t="s">
        <v>71</v>
      </c>
      <c r="O1729" t="str">
        <f>IFERROR(IF(Tbla_actores[[#This Row],[codigo_proyecto]]="","",_xlfn.XLOOKUP(Tbla_actores[[#This Row],[codigo_proyecto]],Proyectos!$A:$A,Proyectos!$C:$C)),"")</f>
        <v>NULOS</v>
      </c>
    </row>
    <row r="1730" spans="1:15">
      <c r="A1730" s="9">
        <v>1000503212</v>
      </c>
      <c r="B1730" s="63" t="s">
        <v>61</v>
      </c>
      <c r="C1730" s="62" t="s">
        <v>4409</v>
      </c>
      <c r="D1730" t="s">
        <v>63</v>
      </c>
      <c r="E1730" t="s">
        <v>5241</v>
      </c>
      <c r="F1730" s="61">
        <v>37562</v>
      </c>
      <c r="G1730" s="15" t="s">
        <v>65</v>
      </c>
      <c r="H1730" t="s">
        <v>5242</v>
      </c>
      <c r="I1730" s="62" t="s">
        <v>5243</v>
      </c>
      <c r="K1730" s="36" t="s">
        <v>169</v>
      </c>
      <c r="L1730" t="s">
        <v>69</v>
      </c>
      <c r="M1730" s="62" t="s">
        <v>170</v>
      </c>
      <c r="N1730" t="s">
        <v>71</v>
      </c>
      <c r="O1730" t="str">
        <f>IFERROR(IF(Tbla_actores[[#This Row],[codigo_proyecto]]="","",_xlfn.XLOOKUP(Tbla_actores[[#This Row],[codigo_proyecto]],Proyectos!$A:$A,Proyectos!$C:$C)),"")</f>
        <v>NULOS</v>
      </c>
    </row>
    <row r="1731" spans="1:15">
      <c r="A1731" s="10">
        <v>1000286708</v>
      </c>
      <c r="B1731" s="64" t="s">
        <v>61</v>
      </c>
      <c r="C1731" s="62" t="s">
        <v>4409</v>
      </c>
      <c r="D1731" t="s">
        <v>63</v>
      </c>
      <c r="E1731" t="s">
        <v>5244</v>
      </c>
      <c r="F1731" s="61">
        <v>37662</v>
      </c>
      <c r="G1731" s="15" t="s">
        <v>65</v>
      </c>
      <c r="H1731" t="s">
        <v>5245</v>
      </c>
      <c r="I1731" s="62" t="s">
        <v>5246</v>
      </c>
      <c r="K1731" s="36" t="s">
        <v>169</v>
      </c>
      <c r="L1731" t="s">
        <v>69</v>
      </c>
      <c r="M1731" s="62" t="s">
        <v>170</v>
      </c>
      <c r="N1731" t="s">
        <v>71</v>
      </c>
      <c r="O1731" t="str">
        <f>IFERROR(IF(Tbla_actores[[#This Row],[codigo_proyecto]]="","",_xlfn.XLOOKUP(Tbla_actores[[#This Row],[codigo_proyecto]],Proyectos!$A:$A,Proyectos!$C:$C)),"")</f>
        <v>NULOS</v>
      </c>
    </row>
    <row r="1732" spans="1:15">
      <c r="A1732" s="9">
        <v>1032507739</v>
      </c>
      <c r="B1732" s="63" t="s">
        <v>61</v>
      </c>
      <c r="C1732" s="62" t="s">
        <v>4409</v>
      </c>
      <c r="D1732" t="s">
        <v>63</v>
      </c>
      <c r="E1732" t="s">
        <v>5247</v>
      </c>
      <c r="F1732" s="61">
        <v>36442</v>
      </c>
      <c r="G1732" s="15" t="s">
        <v>65</v>
      </c>
      <c r="H1732" t="s">
        <v>5248</v>
      </c>
      <c r="I1732" s="62" t="s">
        <v>5249</v>
      </c>
      <c r="K1732" s="36" t="s">
        <v>169</v>
      </c>
      <c r="L1732" t="s">
        <v>69</v>
      </c>
      <c r="M1732" s="62" t="s">
        <v>170</v>
      </c>
      <c r="N1732" t="s">
        <v>71</v>
      </c>
      <c r="O1732" t="str">
        <f>IFERROR(IF(Tbla_actores[[#This Row],[codigo_proyecto]]="","",_xlfn.XLOOKUP(Tbla_actores[[#This Row],[codigo_proyecto]],Proyectos!$A:$A,Proyectos!$C:$C)),"")</f>
        <v>NULOS</v>
      </c>
    </row>
    <row r="1733" spans="1:15">
      <c r="A1733" s="10">
        <v>498244</v>
      </c>
      <c r="B1733" s="64" t="s">
        <v>61</v>
      </c>
      <c r="C1733" s="62" t="s">
        <v>4409</v>
      </c>
      <c r="D1733" t="s">
        <v>63</v>
      </c>
      <c r="E1733" t="s">
        <v>5250</v>
      </c>
      <c r="F1733" s="61">
        <v>36436</v>
      </c>
      <c r="G1733" s="15" t="s">
        <v>73</v>
      </c>
      <c r="H1733" t="s">
        <v>5251</v>
      </c>
      <c r="I1733" s="62" t="s">
        <v>5252</v>
      </c>
      <c r="K1733" s="36" t="s">
        <v>1489</v>
      </c>
      <c r="L1733" t="s">
        <v>69</v>
      </c>
      <c r="M1733" s="62" t="s">
        <v>70</v>
      </c>
      <c r="N1733" t="s">
        <v>71</v>
      </c>
      <c r="O1733" t="str">
        <f>IFERROR(IF(Tbla_actores[[#This Row],[codigo_proyecto]]="","",_xlfn.XLOOKUP(Tbla_actores[[#This Row],[codigo_proyecto]],Proyectos!$A:$A,Proyectos!$C:$C)),"")</f>
        <v>NULOS</v>
      </c>
    </row>
    <row r="1734" spans="1:15">
      <c r="A1734" s="9">
        <v>1000034631</v>
      </c>
      <c r="B1734" s="63" t="s">
        <v>61</v>
      </c>
      <c r="C1734" s="62" t="s">
        <v>4409</v>
      </c>
      <c r="D1734" t="s">
        <v>63</v>
      </c>
      <c r="E1734" t="s">
        <v>5253</v>
      </c>
      <c r="F1734" s="61">
        <v>37284</v>
      </c>
      <c r="G1734" s="15" t="s">
        <v>73</v>
      </c>
      <c r="H1734" t="s">
        <v>5254</v>
      </c>
      <c r="I1734" s="62" t="s">
        <v>5255</v>
      </c>
      <c r="K1734" s="36" t="s">
        <v>169</v>
      </c>
      <c r="L1734" t="s">
        <v>69</v>
      </c>
      <c r="M1734" s="62" t="s">
        <v>170</v>
      </c>
      <c r="N1734" t="s">
        <v>71</v>
      </c>
      <c r="O1734" t="str">
        <f>IFERROR(IF(Tbla_actores[[#This Row],[codigo_proyecto]]="","",_xlfn.XLOOKUP(Tbla_actores[[#This Row],[codigo_proyecto]],Proyectos!$A:$A,Proyectos!$C:$C)),"")</f>
        <v>NULOS</v>
      </c>
    </row>
    <row r="1735" spans="1:15">
      <c r="A1735" s="10">
        <v>1000049596</v>
      </c>
      <c r="B1735" s="64" t="s">
        <v>61</v>
      </c>
      <c r="C1735" s="62" t="s">
        <v>4409</v>
      </c>
      <c r="D1735" t="s">
        <v>63</v>
      </c>
      <c r="E1735" t="s">
        <v>5256</v>
      </c>
      <c r="F1735" s="61">
        <v>37427</v>
      </c>
      <c r="G1735" s="15" t="s">
        <v>65</v>
      </c>
      <c r="H1735" t="s">
        <v>5257</v>
      </c>
      <c r="I1735" s="62" t="s">
        <v>5258</v>
      </c>
      <c r="K1735" s="36" t="s">
        <v>169</v>
      </c>
      <c r="L1735" t="s">
        <v>69</v>
      </c>
      <c r="M1735" s="62" t="s">
        <v>170</v>
      </c>
      <c r="N1735" t="s">
        <v>71</v>
      </c>
      <c r="O1735" t="str">
        <f>IFERROR(IF(Tbla_actores[[#This Row],[codigo_proyecto]]="","",_xlfn.XLOOKUP(Tbla_actores[[#This Row],[codigo_proyecto]],Proyectos!$A:$A,Proyectos!$C:$C)),"")</f>
        <v>NULOS</v>
      </c>
    </row>
    <row r="1736" spans="1:15">
      <c r="A1736" s="9">
        <v>1032504233</v>
      </c>
      <c r="B1736" s="63" t="s">
        <v>61</v>
      </c>
      <c r="C1736" s="62" t="s">
        <v>4409</v>
      </c>
      <c r="D1736" t="s">
        <v>63</v>
      </c>
      <c r="E1736" t="s">
        <v>5259</v>
      </c>
      <c r="F1736" s="61">
        <v>36275</v>
      </c>
      <c r="G1736" s="15" t="s">
        <v>73</v>
      </c>
      <c r="H1736" t="s">
        <v>5260</v>
      </c>
      <c r="I1736" s="62" t="s">
        <v>5261</v>
      </c>
      <c r="K1736" s="36" t="s">
        <v>169</v>
      </c>
      <c r="L1736" t="s">
        <v>69</v>
      </c>
      <c r="M1736" s="62" t="s">
        <v>170</v>
      </c>
      <c r="N1736" t="s">
        <v>71</v>
      </c>
      <c r="O1736" t="str">
        <f>IFERROR(IF(Tbla_actores[[#This Row],[codigo_proyecto]]="","",_xlfn.XLOOKUP(Tbla_actores[[#This Row],[codigo_proyecto]],Proyectos!$A:$A,Proyectos!$C:$C)),"")</f>
        <v>NULOS</v>
      </c>
    </row>
    <row r="1737" spans="1:15">
      <c r="A1737" s="10">
        <v>1000252296</v>
      </c>
      <c r="B1737" s="64" t="s">
        <v>61</v>
      </c>
      <c r="C1737" s="62" t="s">
        <v>4409</v>
      </c>
      <c r="D1737" t="s">
        <v>63</v>
      </c>
      <c r="E1737" t="s">
        <v>5262</v>
      </c>
      <c r="F1737" s="61">
        <v>37137</v>
      </c>
      <c r="G1737" s="15" t="s">
        <v>65</v>
      </c>
      <c r="H1737" t="s">
        <v>5263</v>
      </c>
      <c r="I1737" s="62" t="s">
        <v>5264</v>
      </c>
      <c r="K1737" s="36" t="s">
        <v>169</v>
      </c>
      <c r="L1737" t="s">
        <v>69</v>
      </c>
      <c r="M1737" s="62" t="s">
        <v>170</v>
      </c>
      <c r="N1737" t="s">
        <v>71</v>
      </c>
      <c r="O1737" t="str">
        <f>IFERROR(IF(Tbla_actores[[#This Row],[codigo_proyecto]]="","",_xlfn.XLOOKUP(Tbla_actores[[#This Row],[codigo_proyecto]],Proyectos!$A:$A,Proyectos!$C:$C)),"")</f>
        <v>NULOS</v>
      </c>
    </row>
    <row r="1738" spans="1:15">
      <c r="A1738" s="9">
        <v>1193274364</v>
      </c>
      <c r="B1738" s="63" t="s">
        <v>61</v>
      </c>
      <c r="C1738" s="62" t="s">
        <v>4409</v>
      </c>
      <c r="D1738" t="s">
        <v>63</v>
      </c>
      <c r="E1738" t="s">
        <v>5265</v>
      </c>
      <c r="F1738" s="61">
        <v>37410</v>
      </c>
      <c r="G1738" s="15" t="s">
        <v>65</v>
      </c>
      <c r="H1738" t="s">
        <v>5266</v>
      </c>
      <c r="I1738" s="62" t="s">
        <v>5267</v>
      </c>
      <c r="K1738" s="36" t="s">
        <v>169</v>
      </c>
      <c r="L1738" t="s">
        <v>69</v>
      </c>
      <c r="M1738" s="62" t="s">
        <v>170</v>
      </c>
      <c r="N1738" t="s">
        <v>71</v>
      </c>
      <c r="O1738" t="str">
        <f>IFERROR(IF(Tbla_actores[[#This Row],[codigo_proyecto]]="","",_xlfn.XLOOKUP(Tbla_actores[[#This Row],[codigo_proyecto]],Proyectos!$A:$A,Proyectos!$C:$C)),"")</f>
        <v>NULOS</v>
      </c>
    </row>
    <row r="1739" spans="1:15">
      <c r="A1739" s="10">
        <v>1003265958</v>
      </c>
      <c r="B1739" s="64" t="s">
        <v>61</v>
      </c>
      <c r="C1739" s="62" t="s">
        <v>4409</v>
      </c>
      <c r="D1739" t="s">
        <v>63</v>
      </c>
      <c r="E1739" t="s">
        <v>5268</v>
      </c>
      <c r="F1739" s="61">
        <v>37419</v>
      </c>
      <c r="G1739" s="15" t="s">
        <v>73</v>
      </c>
      <c r="H1739" t="s">
        <v>5269</v>
      </c>
      <c r="I1739" s="62" t="s">
        <v>5270</v>
      </c>
      <c r="K1739" s="36" t="s">
        <v>169</v>
      </c>
      <c r="L1739" t="s">
        <v>69</v>
      </c>
      <c r="M1739" s="62" t="s">
        <v>170</v>
      </c>
      <c r="N1739" t="s">
        <v>71</v>
      </c>
      <c r="O1739" t="str">
        <f>IFERROR(IF(Tbla_actores[[#This Row],[codigo_proyecto]]="","",_xlfn.XLOOKUP(Tbla_actores[[#This Row],[codigo_proyecto]],Proyectos!$A:$A,Proyectos!$C:$C)),"")</f>
        <v>NULOS</v>
      </c>
    </row>
    <row r="1740" spans="1:15">
      <c r="A1740" s="9">
        <v>1123639256</v>
      </c>
      <c r="B1740" s="63" t="s">
        <v>61</v>
      </c>
      <c r="C1740" s="62" t="s">
        <v>4409</v>
      </c>
      <c r="D1740" t="s">
        <v>63</v>
      </c>
      <c r="E1740" t="s">
        <v>5271</v>
      </c>
      <c r="F1740" s="61">
        <v>36537</v>
      </c>
      <c r="G1740" s="15" t="s">
        <v>73</v>
      </c>
      <c r="H1740" t="s">
        <v>5272</v>
      </c>
      <c r="I1740" s="62" t="s">
        <v>5273</v>
      </c>
      <c r="K1740" s="36" t="s">
        <v>169</v>
      </c>
      <c r="L1740" t="s">
        <v>69</v>
      </c>
      <c r="M1740" s="62" t="s">
        <v>170</v>
      </c>
      <c r="N1740" t="s">
        <v>71</v>
      </c>
      <c r="O1740" t="str">
        <f>IFERROR(IF(Tbla_actores[[#This Row],[codigo_proyecto]]="","",_xlfn.XLOOKUP(Tbla_actores[[#This Row],[codigo_proyecto]],Proyectos!$A:$A,Proyectos!$C:$C)),"")</f>
        <v>NULOS</v>
      </c>
    </row>
    <row r="1741" spans="1:15">
      <c r="A1741" s="10">
        <v>1000944024</v>
      </c>
      <c r="B1741" s="64" t="s">
        <v>61</v>
      </c>
      <c r="C1741" s="62" t="s">
        <v>4409</v>
      </c>
      <c r="D1741" t="s">
        <v>63</v>
      </c>
      <c r="E1741" t="s">
        <v>5274</v>
      </c>
      <c r="F1741" s="61">
        <v>36964</v>
      </c>
      <c r="G1741" s="15" t="s">
        <v>73</v>
      </c>
      <c r="H1741" t="s">
        <v>5275</v>
      </c>
      <c r="I1741" s="62" t="s">
        <v>5276</v>
      </c>
      <c r="K1741" s="36" t="s">
        <v>169</v>
      </c>
      <c r="L1741" t="s">
        <v>69</v>
      </c>
      <c r="M1741" s="62" t="s">
        <v>170</v>
      </c>
      <c r="N1741" t="s">
        <v>71</v>
      </c>
      <c r="O1741" t="str">
        <f>IFERROR(IF(Tbla_actores[[#This Row],[codigo_proyecto]]="","",_xlfn.XLOOKUP(Tbla_actores[[#This Row],[codigo_proyecto]],Proyectos!$A:$A,Proyectos!$C:$C)),"")</f>
        <v>NULOS</v>
      </c>
    </row>
    <row r="1742" spans="1:15">
      <c r="A1742" s="9">
        <v>1002958053</v>
      </c>
      <c r="B1742" s="63" t="s">
        <v>61</v>
      </c>
      <c r="C1742" s="62" t="s">
        <v>4409</v>
      </c>
      <c r="D1742" t="s">
        <v>63</v>
      </c>
      <c r="E1742" t="s">
        <v>5277</v>
      </c>
      <c r="F1742" s="61">
        <v>36871</v>
      </c>
      <c r="G1742" s="15" t="s">
        <v>73</v>
      </c>
      <c r="H1742" t="s">
        <v>5278</v>
      </c>
      <c r="I1742" s="62" t="s">
        <v>5279</v>
      </c>
      <c r="K1742" s="36" t="s">
        <v>169</v>
      </c>
      <c r="L1742" t="s">
        <v>69</v>
      </c>
      <c r="M1742" s="62" t="s">
        <v>170</v>
      </c>
      <c r="N1742" t="s">
        <v>71</v>
      </c>
      <c r="O1742" t="str">
        <f>IFERROR(IF(Tbla_actores[[#This Row],[codigo_proyecto]]="","",_xlfn.XLOOKUP(Tbla_actores[[#This Row],[codigo_proyecto]],Proyectos!$A:$A,Proyectos!$C:$C)),"")</f>
        <v>NULOS</v>
      </c>
    </row>
    <row r="1743" spans="1:15">
      <c r="A1743" s="10">
        <v>1001971952</v>
      </c>
      <c r="B1743" s="64" t="s">
        <v>61</v>
      </c>
      <c r="C1743" s="62" t="s">
        <v>4409</v>
      </c>
      <c r="D1743" t="s">
        <v>63</v>
      </c>
      <c r="E1743" t="s">
        <v>5280</v>
      </c>
      <c r="F1743" s="61">
        <v>37005</v>
      </c>
      <c r="G1743" s="15" t="s">
        <v>73</v>
      </c>
      <c r="H1743" t="s">
        <v>5281</v>
      </c>
      <c r="I1743" s="62" t="s">
        <v>5282</v>
      </c>
      <c r="K1743" s="36" t="s">
        <v>169</v>
      </c>
      <c r="L1743" t="s">
        <v>69</v>
      </c>
      <c r="M1743" s="62" t="s">
        <v>170</v>
      </c>
      <c r="N1743" t="s">
        <v>71</v>
      </c>
      <c r="O1743" t="str">
        <f>IFERROR(IF(Tbla_actores[[#This Row],[codigo_proyecto]]="","",_xlfn.XLOOKUP(Tbla_actores[[#This Row],[codigo_proyecto]],Proyectos!$A:$A,Proyectos!$C:$C)),"")</f>
        <v>NULOS</v>
      </c>
    </row>
    <row r="1744" spans="1:15">
      <c r="A1744" s="9">
        <v>1020818526</v>
      </c>
      <c r="B1744" s="63" t="s">
        <v>61</v>
      </c>
      <c r="C1744" s="62" t="s">
        <v>4409</v>
      </c>
      <c r="D1744" t="s">
        <v>63</v>
      </c>
      <c r="E1744" t="s">
        <v>5283</v>
      </c>
      <c r="F1744" s="61">
        <v>35306</v>
      </c>
      <c r="G1744" s="15" t="s">
        <v>65</v>
      </c>
      <c r="H1744" t="s">
        <v>5284</v>
      </c>
      <c r="I1744" s="62" t="s">
        <v>5285</v>
      </c>
      <c r="K1744" s="36" t="s">
        <v>495</v>
      </c>
      <c r="L1744" t="s">
        <v>69</v>
      </c>
      <c r="M1744" s="62" t="s">
        <v>70</v>
      </c>
      <c r="N1744" t="s">
        <v>71</v>
      </c>
      <c r="O1744" t="str">
        <f>IFERROR(IF(Tbla_actores[[#This Row],[codigo_proyecto]]="","",_xlfn.XLOOKUP(Tbla_actores[[#This Row],[codigo_proyecto]],Proyectos!$A:$A,Proyectos!$C:$C)),"")</f>
        <v>NULOS</v>
      </c>
    </row>
    <row r="1745" spans="1:15">
      <c r="A1745" s="10">
        <v>1003650672</v>
      </c>
      <c r="B1745" s="64" t="s">
        <v>61</v>
      </c>
      <c r="C1745" s="62" t="s">
        <v>4409</v>
      </c>
      <c r="D1745" t="s">
        <v>63</v>
      </c>
      <c r="E1745" t="s">
        <v>5286</v>
      </c>
      <c r="F1745" s="61">
        <v>36632</v>
      </c>
      <c r="G1745" s="15" t="s">
        <v>65</v>
      </c>
      <c r="H1745" t="s">
        <v>5287</v>
      </c>
      <c r="I1745" s="62" t="s">
        <v>5288</v>
      </c>
      <c r="K1745" s="36" t="s">
        <v>495</v>
      </c>
      <c r="L1745" t="s">
        <v>69</v>
      </c>
      <c r="M1745" s="62" t="s">
        <v>70</v>
      </c>
      <c r="N1745" t="s">
        <v>71</v>
      </c>
      <c r="O1745" t="str">
        <f>IFERROR(IF(Tbla_actores[[#This Row],[codigo_proyecto]]="","",_xlfn.XLOOKUP(Tbla_actores[[#This Row],[codigo_proyecto]],Proyectos!$A:$A,Proyectos!$C:$C)),"")</f>
        <v>NULOS</v>
      </c>
    </row>
    <row r="1746" spans="1:15">
      <c r="A1746" s="9">
        <v>1000612903</v>
      </c>
      <c r="B1746" s="63" t="s">
        <v>61</v>
      </c>
      <c r="C1746" s="62" t="s">
        <v>4409</v>
      </c>
      <c r="D1746" t="s">
        <v>63</v>
      </c>
      <c r="E1746" t="s">
        <v>5289</v>
      </c>
      <c r="F1746" s="61">
        <v>37238</v>
      </c>
      <c r="G1746" s="15" t="s">
        <v>73</v>
      </c>
      <c r="H1746" t="s">
        <v>5290</v>
      </c>
      <c r="I1746" s="62" t="s">
        <v>5291</v>
      </c>
      <c r="K1746" s="36" t="s">
        <v>169</v>
      </c>
      <c r="L1746" t="s">
        <v>69</v>
      </c>
      <c r="M1746" s="62" t="s">
        <v>170</v>
      </c>
      <c r="N1746" t="s">
        <v>71</v>
      </c>
      <c r="O1746" t="str">
        <f>IFERROR(IF(Tbla_actores[[#This Row],[codigo_proyecto]]="","",_xlfn.XLOOKUP(Tbla_actores[[#This Row],[codigo_proyecto]],Proyectos!$A:$A,Proyectos!$C:$C)),"")</f>
        <v>NULOS</v>
      </c>
    </row>
    <row r="1747" spans="1:15">
      <c r="A1747" s="10">
        <v>1001200570</v>
      </c>
      <c r="B1747" s="64" t="s">
        <v>61</v>
      </c>
      <c r="C1747" s="62" t="s">
        <v>4409</v>
      </c>
      <c r="D1747" t="s">
        <v>63</v>
      </c>
      <c r="E1747" t="s">
        <v>5292</v>
      </c>
      <c r="F1747" s="61">
        <v>37360</v>
      </c>
      <c r="G1747" s="15" t="s">
        <v>73</v>
      </c>
      <c r="H1747" t="s">
        <v>5293</v>
      </c>
      <c r="I1747" s="62" t="s">
        <v>5294</v>
      </c>
      <c r="K1747" s="36" t="s">
        <v>169</v>
      </c>
      <c r="L1747" t="s">
        <v>69</v>
      </c>
      <c r="M1747" s="62" t="s">
        <v>170</v>
      </c>
      <c r="N1747" t="s">
        <v>71</v>
      </c>
      <c r="O1747" t="str">
        <f>IFERROR(IF(Tbla_actores[[#This Row],[codigo_proyecto]]="","",_xlfn.XLOOKUP(Tbla_actores[[#This Row],[codigo_proyecto]],Proyectos!$A:$A,Proyectos!$C:$C)),"")</f>
        <v>NULOS</v>
      </c>
    </row>
    <row r="1748" spans="1:15">
      <c r="A1748" s="9">
        <v>1000017507</v>
      </c>
      <c r="B1748" s="63" t="s">
        <v>61</v>
      </c>
      <c r="C1748" s="62" t="s">
        <v>4409</v>
      </c>
      <c r="D1748" t="s">
        <v>63</v>
      </c>
      <c r="E1748" t="s">
        <v>5295</v>
      </c>
      <c r="F1748" s="61">
        <v>37232</v>
      </c>
      <c r="G1748" s="15" t="s">
        <v>65</v>
      </c>
      <c r="H1748" t="s">
        <v>5296</v>
      </c>
      <c r="I1748" s="62" t="s">
        <v>5297</v>
      </c>
      <c r="K1748" s="36" t="s">
        <v>169</v>
      </c>
      <c r="L1748" t="s">
        <v>69</v>
      </c>
      <c r="M1748" s="62" t="s">
        <v>170</v>
      </c>
      <c r="N1748" t="s">
        <v>71</v>
      </c>
      <c r="O1748" t="str">
        <f>IFERROR(IF(Tbla_actores[[#This Row],[codigo_proyecto]]="","",_xlfn.XLOOKUP(Tbla_actores[[#This Row],[codigo_proyecto]],Proyectos!$A:$A,Proyectos!$C:$C)),"")</f>
        <v>NULOS</v>
      </c>
    </row>
    <row r="1749" spans="1:15">
      <c r="A1749" s="10">
        <v>1007422029</v>
      </c>
      <c r="B1749" s="64" t="s">
        <v>61</v>
      </c>
      <c r="C1749" s="62" t="s">
        <v>4409</v>
      </c>
      <c r="D1749" t="s">
        <v>63</v>
      </c>
      <c r="E1749" t="s">
        <v>5298</v>
      </c>
      <c r="F1749" s="61">
        <v>36794</v>
      </c>
      <c r="G1749" s="15" t="s">
        <v>65</v>
      </c>
      <c r="H1749" t="s">
        <v>5299</v>
      </c>
      <c r="I1749" s="62" t="s">
        <v>5300</v>
      </c>
      <c r="K1749" s="36" t="s">
        <v>495</v>
      </c>
      <c r="L1749" t="s">
        <v>69</v>
      </c>
      <c r="M1749" s="62" t="s">
        <v>70</v>
      </c>
      <c r="N1749" t="s">
        <v>71</v>
      </c>
      <c r="O1749" t="str">
        <f>IFERROR(IF(Tbla_actores[[#This Row],[codigo_proyecto]]="","",_xlfn.XLOOKUP(Tbla_actores[[#This Row],[codigo_proyecto]],Proyectos!$A:$A,Proyectos!$C:$C)),"")</f>
        <v>NULOS</v>
      </c>
    </row>
    <row r="1750" spans="1:15">
      <c r="A1750" s="9">
        <v>1007514427</v>
      </c>
      <c r="B1750" s="63" t="s">
        <v>61</v>
      </c>
      <c r="C1750" s="62" t="s">
        <v>4409</v>
      </c>
      <c r="D1750" t="s">
        <v>63</v>
      </c>
      <c r="E1750" t="s">
        <v>5301</v>
      </c>
      <c r="F1750" s="61">
        <v>36735</v>
      </c>
      <c r="G1750" s="15" t="s">
        <v>65</v>
      </c>
      <c r="H1750" t="s">
        <v>5302</v>
      </c>
      <c r="I1750" s="62" t="s">
        <v>5303</v>
      </c>
      <c r="K1750" s="36" t="s">
        <v>169</v>
      </c>
      <c r="L1750" t="s">
        <v>69</v>
      </c>
      <c r="M1750" s="62" t="s">
        <v>170</v>
      </c>
      <c r="N1750" t="s">
        <v>71</v>
      </c>
      <c r="O1750" t="str">
        <f>IFERROR(IF(Tbla_actores[[#This Row],[codigo_proyecto]]="","",_xlfn.XLOOKUP(Tbla_actores[[#This Row],[codigo_proyecto]],Proyectos!$A:$A,Proyectos!$C:$C)),"")</f>
        <v>NULOS</v>
      </c>
    </row>
    <row r="1751" spans="1:15">
      <c r="A1751" s="10">
        <v>1000974411</v>
      </c>
      <c r="B1751" s="64" t="s">
        <v>61</v>
      </c>
      <c r="C1751" s="62" t="s">
        <v>4409</v>
      </c>
      <c r="D1751" t="s">
        <v>63</v>
      </c>
      <c r="E1751" t="s">
        <v>5304</v>
      </c>
      <c r="F1751" s="61">
        <v>37036</v>
      </c>
      <c r="G1751" s="15" t="s">
        <v>65</v>
      </c>
      <c r="H1751" t="s">
        <v>5305</v>
      </c>
      <c r="I1751" s="62" t="s">
        <v>5306</v>
      </c>
      <c r="K1751" s="36" t="s">
        <v>169</v>
      </c>
      <c r="L1751" t="s">
        <v>69</v>
      </c>
      <c r="M1751" s="62" t="s">
        <v>170</v>
      </c>
      <c r="N1751" t="s">
        <v>71</v>
      </c>
      <c r="O1751" t="str">
        <f>IFERROR(IF(Tbla_actores[[#This Row],[codigo_proyecto]]="","",_xlfn.XLOOKUP(Tbla_actores[[#This Row],[codigo_proyecto]],Proyectos!$A:$A,Proyectos!$C:$C)),"")</f>
        <v>NULOS</v>
      </c>
    </row>
    <row r="1752" spans="1:15">
      <c r="A1752" s="9">
        <v>1002211677</v>
      </c>
      <c r="B1752" s="63" t="s">
        <v>61</v>
      </c>
      <c r="C1752" s="62" t="s">
        <v>4409</v>
      </c>
      <c r="D1752" t="s">
        <v>63</v>
      </c>
      <c r="E1752" t="s">
        <v>5307</v>
      </c>
      <c r="F1752" s="61">
        <v>37140</v>
      </c>
      <c r="G1752" s="15" t="s">
        <v>65</v>
      </c>
      <c r="H1752" t="s">
        <v>5308</v>
      </c>
      <c r="I1752" s="62" t="s">
        <v>5309</v>
      </c>
      <c r="K1752" s="36" t="s">
        <v>169</v>
      </c>
      <c r="L1752" t="s">
        <v>69</v>
      </c>
      <c r="M1752" s="62" t="s">
        <v>170</v>
      </c>
      <c r="N1752" t="s">
        <v>71</v>
      </c>
      <c r="O1752" t="str">
        <f>IFERROR(IF(Tbla_actores[[#This Row],[codigo_proyecto]]="","",_xlfn.XLOOKUP(Tbla_actores[[#This Row],[codigo_proyecto]],Proyectos!$A:$A,Proyectos!$C:$C)),"")</f>
        <v>NULOS</v>
      </c>
    </row>
    <row r="1753" spans="1:15">
      <c r="A1753" s="10">
        <v>1004997646</v>
      </c>
      <c r="B1753" s="64" t="s">
        <v>61</v>
      </c>
      <c r="C1753" s="62" t="s">
        <v>4409</v>
      </c>
      <c r="D1753" t="s">
        <v>63</v>
      </c>
      <c r="E1753" t="s">
        <v>5310</v>
      </c>
      <c r="F1753" s="61">
        <v>37122</v>
      </c>
      <c r="G1753" s="15" t="s">
        <v>73</v>
      </c>
      <c r="H1753" t="s">
        <v>5311</v>
      </c>
      <c r="I1753" s="62" t="s">
        <v>5312</v>
      </c>
      <c r="K1753" s="36" t="s">
        <v>169</v>
      </c>
      <c r="L1753" t="s">
        <v>69</v>
      </c>
      <c r="M1753" s="62" t="s">
        <v>170</v>
      </c>
      <c r="N1753" t="s">
        <v>71</v>
      </c>
      <c r="O1753" t="str">
        <f>IFERROR(IF(Tbla_actores[[#This Row],[codigo_proyecto]]="","",_xlfn.XLOOKUP(Tbla_actores[[#This Row],[codigo_proyecto]],Proyectos!$A:$A,Proyectos!$C:$C)),"")</f>
        <v>NULOS</v>
      </c>
    </row>
    <row r="1754" spans="1:15">
      <c r="A1754" s="9">
        <v>1193091670</v>
      </c>
      <c r="B1754" s="63" t="s">
        <v>61</v>
      </c>
      <c r="C1754" s="62" t="s">
        <v>4409</v>
      </c>
      <c r="D1754" t="s">
        <v>63</v>
      </c>
      <c r="E1754" t="s">
        <v>5313</v>
      </c>
      <c r="F1754" s="61">
        <v>37506</v>
      </c>
      <c r="G1754" s="15" t="s">
        <v>65</v>
      </c>
      <c r="H1754" t="s">
        <v>5314</v>
      </c>
      <c r="I1754" s="62" t="s">
        <v>5315</v>
      </c>
      <c r="K1754" s="36" t="s">
        <v>169</v>
      </c>
      <c r="L1754" t="s">
        <v>69</v>
      </c>
      <c r="M1754" s="62" t="s">
        <v>170</v>
      </c>
      <c r="N1754" t="s">
        <v>71</v>
      </c>
      <c r="O1754" t="str">
        <f>IFERROR(IF(Tbla_actores[[#This Row],[codigo_proyecto]]="","",_xlfn.XLOOKUP(Tbla_actores[[#This Row],[codigo_proyecto]],Proyectos!$A:$A,Proyectos!$C:$C)),"")</f>
        <v>NULOS</v>
      </c>
    </row>
    <row r="1755" spans="1:15">
      <c r="A1755" s="10">
        <v>1010144979</v>
      </c>
      <c r="B1755" s="64" t="s">
        <v>61</v>
      </c>
      <c r="C1755" s="62" t="s">
        <v>4409</v>
      </c>
      <c r="D1755" t="s">
        <v>63</v>
      </c>
      <c r="E1755" t="s">
        <v>5316</v>
      </c>
      <c r="F1755" s="61">
        <v>36902</v>
      </c>
      <c r="G1755" s="15" t="s">
        <v>65</v>
      </c>
      <c r="H1755" t="s">
        <v>5317</v>
      </c>
      <c r="I1755" s="62" t="s">
        <v>5318</v>
      </c>
      <c r="K1755" s="36" t="s">
        <v>169</v>
      </c>
      <c r="L1755" t="s">
        <v>69</v>
      </c>
      <c r="M1755" s="62" t="s">
        <v>170</v>
      </c>
      <c r="N1755" t="s">
        <v>71</v>
      </c>
      <c r="O1755" t="str">
        <f>IFERROR(IF(Tbla_actores[[#This Row],[codigo_proyecto]]="","",_xlfn.XLOOKUP(Tbla_actores[[#This Row],[codigo_proyecto]],Proyectos!$A:$A,Proyectos!$C:$C)),"")</f>
        <v>NULOS</v>
      </c>
    </row>
    <row r="1756" spans="1:15">
      <c r="A1756" s="9">
        <v>1001192559</v>
      </c>
      <c r="B1756" s="63" t="s">
        <v>61</v>
      </c>
      <c r="C1756" s="62" t="s">
        <v>4409</v>
      </c>
      <c r="D1756" t="s">
        <v>63</v>
      </c>
      <c r="E1756" t="s">
        <v>5319</v>
      </c>
      <c r="F1756" s="61">
        <v>37361</v>
      </c>
      <c r="G1756" s="15" t="s">
        <v>65</v>
      </c>
      <c r="H1756" t="s">
        <v>5320</v>
      </c>
      <c r="I1756" s="62" t="s">
        <v>5321</v>
      </c>
      <c r="K1756" s="36" t="s">
        <v>169</v>
      </c>
      <c r="L1756" t="s">
        <v>69</v>
      </c>
      <c r="M1756" s="62" t="s">
        <v>170</v>
      </c>
      <c r="N1756" t="s">
        <v>71</v>
      </c>
      <c r="O1756" t="str">
        <f>IFERROR(IF(Tbla_actores[[#This Row],[codigo_proyecto]]="","",_xlfn.XLOOKUP(Tbla_actores[[#This Row],[codigo_proyecto]],Proyectos!$A:$A,Proyectos!$C:$C)),"")</f>
        <v>NULOS</v>
      </c>
    </row>
    <row r="1757" spans="1:15">
      <c r="A1757" s="10">
        <v>1000364027</v>
      </c>
      <c r="B1757" s="64" t="s">
        <v>61</v>
      </c>
      <c r="C1757" s="62" t="s">
        <v>4409</v>
      </c>
      <c r="D1757" t="s">
        <v>63</v>
      </c>
      <c r="E1757" t="s">
        <v>5322</v>
      </c>
      <c r="F1757" s="61">
        <v>37697</v>
      </c>
      <c r="G1757" s="15" t="s">
        <v>73</v>
      </c>
      <c r="H1757" t="s">
        <v>5323</v>
      </c>
      <c r="I1757" s="62" t="s">
        <v>5324</v>
      </c>
      <c r="K1757" s="36" t="s">
        <v>169</v>
      </c>
      <c r="L1757" t="s">
        <v>69</v>
      </c>
      <c r="M1757" s="62" t="s">
        <v>170</v>
      </c>
      <c r="N1757" t="s">
        <v>71</v>
      </c>
      <c r="O1757" t="str">
        <f>IFERROR(IF(Tbla_actores[[#This Row],[codigo_proyecto]]="","",_xlfn.XLOOKUP(Tbla_actores[[#This Row],[codigo_proyecto]],Proyectos!$A:$A,Proyectos!$C:$C)),"")</f>
        <v>NULOS</v>
      </c>
    </row>
    <row r="1758" spans="1:15">
      <c r="A1758" s="9">
        <v>1003314181</v>
      </c>
      <c r="B1758" s="63" t="s">
        <v>61</v>
      </c>
      <c r="C1758" s="62" t="s">
        <v>4409</v>
      </c>
      <c r="D1758" t="s">
        <v>63</v>
      </c>
      <c r="E1758" t="s">
        <v>5325</v>
      </c>
      <c r="F1758" s="61">
        <v>37147</v>
      </c>
      <c r="G1758" s="15" t="s">
        <v>65</v>
      </c>
      <c r="H1758" t="s">
        <v>5326</v>
      </c>
      <c r="I1758" s="62" t="s">
        <v>5327</v>
      </c>
      <c r="K1758" s="36" t="s">
        <v>169</v>
      </c>
      <c r="L1758" t="s">
        <v>69</v>
      </c>
      <c r="M1758" s="62" t="s">
        <v>170</v>
      </c>
      <c r="N1758" t="s">
        <v>71</v>
      </c>
      <c r="O1758" t="str">
        <f>IFERROR(IF(Tbla_actores[[#This Row],[codigo_proyecto]]="","",_xlfn.XLOOKUP(Tbla_actores[[#This Row],[codigo_proyecto]],Proyectos!$A:$A,Proyectos!$C:$C)),"")</f>
        <v>NULOS</v>
      </c>
    </row>
    <row r="1759" spans="1:15">
      <c r="A1759" s="10">
        <v>1000603967</v>
      </c>
      <c r="B1759" s="64" t="s">
        <v>61</v>
      </c>
      <c r="C1759" s="62" t="s">
        <v>4409</v>
      </c>
      <c r="D1759" t="s">
        <v>63</v>
      </c>
      <c r="E1759" t="s">
        <v>5328</v>
      </c>
      <c r="F1759" s="61">
        <v>37470</v>
      </c>
      <c r="G1759" s="15" t="s">
        <v>73</v>
      </c>
      <c r="H1759" t="s">
        <v>5329</v>
      </c>
      <c r="I1759" s="62" t="s">
        <v>5330</v>
      </c>
      <c r="K1759" s="36" t="s">
        <v>169</v>
      </c>
      <c r="L1759" t="s">
        <v>69</v>
      </c>
      <c r="M1759" s="62" t="s">
        <v>170</v>
      </c>
      <c r="N1759" t="s">
        <v>71</v>
      </c>
      <c r="O1759" t="str">
        <f>IFERROR(IF(Tbla_actores[[#This Row],[codigo_proyecto]]="","",_xlfn.XLOOKUP(Tbla_actores[[#This Row],[codigo_proyecto]],Proyectos!$A:$A,Proyectos!$C:$C)),"")</f>
        <v>NULOS</v>
      </c>
    </row>
    <row r="1760" spans="1:15">
      <c r="A1760" s="9">
        <v>1005717033</v>
      </c>
      <c r="B1760" s="63" t="s">
        <v>61</v>
      </c>
      <c r="C1760" s="62" t="s">
        <v>4409</v>
      </c>
      <c r="D1760" t="s">
        <v>63</v>
      </c>
      <c r="E1760" t="s">
        <v>5331</v>
      </c>
      <c r="F1760" s="61">
        <v>37664</v>
      </c>
      <c r="G1760" s="15" t="s">
        <v>73</v>
      </c>
      <c r="H1760" t="s">
        <v>5332</v>
      </c>
      <c r="I1760" s="62" t="s">
        <v>5333</v>
      </c>
      <c r="K1760" s="36" t="s">
        <v>169</v>
      </c>
      <c r="L1760" t="s">
        <v>69</v>
      </c>
      <c r="M1760" s="62" t="s">
        <v>170</v>
      </c>
      <c r="N1760" t="s">
        <v>71</v>
      </c>
      <c r="O1760" t="str">
        <f>IFERROR(IF(Tbla_actores[[#This Row],[codigo_proyecto]]="","",_xlfn.XLOOKUP(Tbla_actores[[#This Row],[codigo_proyecto]],Proyectos!$A:$A,Proyectos!$C:$C)),"")</f>
        <v>NULOS</v>
      </c>
    </row>
    <row r="1761" spans="1:15">
      <c r="A1761" s="10">
        <v>1000859400</v>
      </c>
      <c r="B1761" s="64" t="s">
        <v>61</v>
      </c>
      <c r="C1761" s="62" t="s">
        <v>4409</v>
      </c>
      <c r="D1761" t="s">
        <v>63</v>
      </c>
      <c r="E1761" t="s">
        <v>5334</v>
      </c>
      <c r="F1761" s="61">
        <v>37443</v>
      </c>
      <c r="G1761" s="15" t="s">
        <v>73</v>
      </c>
      <c r="H1761" t="s">
        <v>5335</v>
      </c>
      <c r="I1761" s="62" t="s">
        <v>5336</v>
      </c>
      <c r="K1761" s="36" t="s">
        <v>169</v>
      </c>
      <c r="L1761" t="s">
        <v>69</v>
      </c>
      <c r="M1761" s="62" t="s">
        <v>170</v>
      </c>
      <c r="N1761" t="s">
        <v>71</v>
      </c>
      <c r="O1761" t="str">
        <f>IFERROR(IF(Tbla_actores[[#This Row],[codigo_proyecto]]="","",_xlfn.XLOOKUP(Tbla_actores[[#This Row],[codigo_proyecto]],Proyectos!$A:$A,Proyectos!$C:$C)),"")</f>
        <v>NULOS</v>
      </c>
    </row>
    <row r="1762" spans="1:15">
      <c r="A1762" s="9">
        <v>1000365089</v>
      </c>
      <c r="B1762" s="63" t="s">
        <v>61</v>
      </c>
      <c r="C1762" s="62" t="s">
        <v>4409</v>
      </c>
      <c r="D1762" t="s">
        <v>63</v>
      </c>
      <c r="E1762" t="s">
        <v>5337</v>
      </c>
      <c r="F1762" s="61">
        <v>37680</v>
      </c>
      <c r="G1762" s="15" t="s">
        <v>65</v>
      </c>
      <c r="H1762" t="s">
        <v>5338</v>
      </c>
      <c r="I1762" s="62" t="s">
        <v>5339</v>
      </c>
      <c r="K1762" s="36" t="s">
        <v>169</v>
      </c>
      <c r="L1762" t="s">
        <v>69</v>
      </c>
      <c r="M1762" s="62" t="s">
        <v>170</v>
      </c>
      <c r="N1762" t="s">
        <v>71</v>
      </c>
      <c r="O1762" t="str">
        <f>IFERROR(IF(Tbla_actores[[#This Row],[codigo_proyecto]]="","",_xlfn.XLOOKUP(Tbla_actores[[#This Row],[codigo_proyecto]],Proyectos!$A:$A,Proyectos!$C:$C)),"")</f>
        <v>NULOS</v>
      </c>
    </row>
    <row r="1763" spans="1:15">
      <c r="A1763" s="10">
        <v>1001298620</v>
      </c>
      <c r="B1763" s="64" t="s">
        <v>61</v>
      </c>
      <c r="C1763" s="62" t="s">
        <v>4409</v>
      </c>
      <c r="D1763" t="s">
        <v>63</v>
      </c>
      <c r="E1763" t="s">
        <v>5340</v>
      </c>
      <c r="F1763" s="61">
        <v>37330</v>
      </c>
      <c r="G1763" s="15" t="s">
        <v>73</v>
      </c>
      <c r="H1763" t="s">
        <v>5341</v>
      </c>
      <c r="I1763" s="62" t="s">
        <v>5342</v>
      </c>
      <c r="K1763" s="36" t="s">
        <v>169</v>
      </c>
      <c r="L1763" t="s">
        <v>69</v>
      </c>
      <c r="M1763" s="62" t="s">
        <v>170</v>
      </c>
      <c r="N1763" t="s">
        <v>71</v>
      </c>
      <c r="O1763" t="str">
        <f>IFERROR(IF(Tbla_actores[[#This Row],[codigo_proyecto]]="","",_xlfn.XLOOKUP(Tbla_actores[[#This Row],[codigo_proyecto]],Proyectos!$A:$A,Proyectos!$C:$C)),"")</f>
        <v>NULOS</v>
      </c>
    </row>
    <row r="1764" spans="1:15">
      <c r="A1764" s="9">
        <v>1010001553</v>
      </c>
      <c r="B1764" s="63" t="s">
        <v>61</v>
      </c>
      <c r="C1764" s="62" t="s">
        <v>4409</v>
      </c>
      <c r="D1764" t="s">
        <v>63</v>
      </c>
      <c r="E1764" t="s">
        <v>5343</v>
      </c>
      <c r="F1764" s="61">
        <v>36826</v>
      </c>
      <c r="G1764" s="15" t="s">
        <v>73</v>
      </c>
      <c r="H1764" t="s">
        <v>5344</v>
      </c>
      <c r="I1764" s="62" t="s">
        <v>5345</v>
      </c>
      <c r="K1764" s="36" t="s">
        <v>169</v>
      </c>
      <c r="L1764" t="s">
        <v>69</v>
      </c>
      <c r="M1764" s="62" t="s">
        <v>170</v>
      </c>
      <c r="N1764" t="s">
        <v>71</v>
      </c>
      <c r="O1764" t="str">
        <f>IFERROR(IF(Tbla_actores[[#This Row],[codigo_proyecto]]="","",_xlfn.XLOOKUP(Tbla_actores[[#This Row],[codigo_proyecto]],Proyectos!$A:$A,Proyectos!$C:$C)),"")</f>
        <v>NULOS</v>
      </c>
    </row>
    <row r="1765" spans="1:15">
      <c r="A1765" s="10">
        <v>1000035427</v>
      </c>
      <c r="B1765" s="64" t="s">
        <v>61</v>
      </c>
      <c r="C1765" s="62" t="s">
        <v>4409</v>
      </c>
      <c r="D1765" t="s">
        <v>63</v>
      </c>
      <c r="E1765" t="s">
        <v>5346</v>
      </c>
      <c r="F1765" s="61">
        <v>37658</v>
      </c>
      <c r="G1765" s="15" t="s">
        <v>65</v>
      </c>
      <c r="H1765" t="s">
        <v>5347</v>
      </c>
      <c r="I1765" s="62" t="s">
        <v>5348</v>
      </c>
      <c r="K1765" s="36" t="s">
        <v>169</v>
      </c>
      <c r="L1765" t="s">
        <v>69</v>
      </c>
      <c r="M1765" s="62" t="s">
        <v>170</v>
      </c>
      <c r="N1765" t="s">
        <v>71</v>
      </c>
      <c r="O1765" t="str">
        <f>IFERROR(IF(Tbla_actores[[#This Row],[codigo_proyecto]]="","",_xlfn.XLOOKUP(Tbla_actores[[#This Row],[codigo_proyecto]],Proyectos!$A:$A,Proyectos!$C:$C)),"")</f>
        <v>NULOS</v>
      </c>
    </row>
    <row r="1766" spans="1:15">
      <c r="A1766" s="9">
        <v>1001092304</v>
      </c>
      <c r="B1766" s="63" t="s">
        <v>61</v>
      </c>
      <c r="C1766" s="62" t="s">
        <v>4409</v>
      </c>
      <c r="D1766" t="s">
        <v>63</v>
      </c>
      <c r="E1766" t="s">
        <v>5349</v>
      </c>
      <c r="F1766" s="61">
        <v>37552</v>
      </c>
      <c r="G1766" s="15" t="s">
        <v>65</v>
      </c>
      <c r="H1766" t="s">
        <v>5350</v>
      </c>
      <c r="I1766" s="62" t="s">
        <v>5351</v>
      </c>
      <c r="K1766" s="36" t="s">
        <v>169</v>
      </c>
      <c r="L1766" t="s">
        <v>69</v>
      </c>
      <c r="M1766" s="62" t="s">
        <v>170</v>
      </c>
      <c r="N1766" t="s">
        <v>71</v>
      </c>
      <c r="O1766" t="str">
        <f>IFERROR(IF(Tbla_actores[[#This Row],[codigo_proyecto]]="","",_xlfn.XLOOKUP(Tbla_actores[[#This Row],[codigo_proyecto]],Proyectos!$A:$A,Proyectos!$C:$C)),"")</f>
        <v>NULOS</v>
      </c>
    </row>
    <row r="1767" spans="1:15">
      <c r="A1767" s="10">
        <v>1018503471</v>
      </c>
      <c r="B1767" s="64" t="s">
        <v>61</v>
      </c>
      <c r="C1767" s="62" t="s">
        <v>4409</v>
      </c>
      <c r="D1767" t="s">
        <v>63</v>
      </c>
      <c r="E1767" t="s">
        <v>5352</v>
      </c>
      <c r="F1767" s="61">
        <v>35942</v>
      </c>
      <c r="G1767" s="15" t="s">
        <v>73</v>
      </c>
      <c r="H1767" t="s">
        <v>5353</v>
      </c>
      <c r="I1767" s="62" t="s">
        <v>5354</v>
      </c>
      <c r="K1767" s="36" t="s">
        <v>495</v>
      </c>
      <c r="L1767" t="s">
        <v>69</v>
      </c>
      <c r="M1767" s="62" t="s">
        <v>70</v>
      </c>
      <c r="N1767" t="s">
        <v>71</v>
      </c>
      <c r="O1767" t="str">
        <f>IFERROR(IF(Tbla_actores[[#This Row],[codigo_proyecto]]="","",_xlfn.XLOOKUP(Tbla_actores[[#This Row],[codigo_proyecto]],Proyectos!$A:$A,Proyectos!$C:$C)),"")</f>
        <v>NULOS</v>
      </c>
    </row>
    <row r="1768" spans="1:15">
      <c r="A1768" s="9">
        <v>1000338499</v>
      </c>
      <c r="B1768" s="63" t="s">
        <v>61</v>
      </c>
      <c r="C1768" s="62" t="s">
        <v>4409</v>
      </c>
      <c r="D1768" t="s">
        <v>63</v>
      </c>
      <c r="E1768" t="s">
        <v>5355</v>
      </c>
      <c r="F1768" s="61">
        <v>37050</v>
      </c>
      <c r="G1768" s="15" t="s">
        <v>73</v>
      </c>
      <c r="H1768" t="s">
        <v>5356</v>
      </c>
      <c r="I1768" s="62" t="s">
        <v>5357</v>
      </c>
      <c r="K1768" s="36" t="s">
        <v>169</v>
      </c>
      <c r="L1768" t="s">
        <v>69</v>
      </c>
      <c r="M1768" s="62" t="s">
        <v>170</v>
      </c>
      <c r="N1768" t="s">
        <v>71</v>
      </c>
      <c r="O1768" t="str">
        <f>IFERROR(IF(Tbla_actores[[#This Row],[codigo_proyecto]]="","",_xlfn.XLOOKUP(Tbla_actores[[#This Row],[codigo_proyecto]],Proyectos!$A:$A,Proyectos!$C:$C)),"")</f>
        <v>NULOS</v>
      </c>
    </row>
    <row r="1769" spans="1:15">
      <c r="A1769" s="10">
        <v>1007228181</v>
      </c>
      <c r="B1769" s="64" t="s">
        <v>61</v>
      </c>
      <c r="C1769" s="62" t="s">
        <v>4409</v>
      </c>
      <c r="D1769" t="s">
        <v>63</v>
      </c>
      <c r="E1769" t="s">
        <v>5358</v>
      </c>
      <c r="F1769" s="61">
        <v>36795</v>
      </c>
      <c r="G1769" s="15" t="s">
        <v>73</v>
      </c>
      <c r="H1769" t="s">
        <v>5359</v>
      </c>
      <c r="I1769" s="62" t="s">
        <v>5360</v>
      </c>
      <c r="K1769" s="36" t="s">
        <v>169</v>
      </c>
      <c r="L1769" t="s">
        <v>69</v>
      </c>
      <c r="M1769" s="62" t="s">
        <v>170</v>
      </c>
      <c r="N1769" t="s">
        <v>71</v>
      </c>
      <c r="O1769" t="str">
        <f>IFERROR(IF(Tbla_actores[[#This Row],[codigo_proyecto]]="","",_xlfn.XLOOKUP(Tbla_actores[[#This Row],[codigo_proyecto]],Proyectos!$A:$A,Proyectos!$C:$C)),"")</f>
        <v>NULOS</v>
      </c>
    </row>
    <row r="1770" spans="1:15">
      <c r="A1770" s="9">
        <v>1000409323</v>
      </c>
      <c r="B1770" s="63" t="s">
        <v>61</v>
      </c>
      <c r="C1770" s="62" t="s">
        <v>3329</v>
      </c>
      <c r="D1770" t="s">
        <v>63</v>
      </c>
      <c r="E1770" t="s">
        <v>5361</v>
      </c>
      <c r="F1770" s="61">
        <v>37034</v>
      </c>
      <c r="G1770" s="15" t="s">
        <v>65</v>
      </c>
      <c r="H1770" t="s">
        <v>5362</v>
      </c>
      <c r="I1770" s="62" t="s">
        <v>5363</v>
      </c>
      <c r="K1770" s="36" t="s">
        <v>169</v>
      </c>
      <c r="L1770" t="s">
        <v>69</v>
      </c>
      <c r="M1770" s="62" t="s">
        <v>170</v>
      </c>
      <c r="N1770" t="s">
        <v>71</v>
      </c>
      <c r="O1770" t="str">
        <f>IFERROR(IF(Tbla_actores[[#This Row],[codigo_proyecto]]="","",_xlfn.XLOOKUP(Tbla_actores[[#This Row],[codigo_proyecto]],Proyectos!$A:$A,Proyectos!$C:$C)),"")</f>
        <v>NULOS</v>
      </c>
    </row>
    <row r="1771" spans="1:15">
      <c r="A1771" s="10">
        <v>1005161506</v>
      </c>
      <c r="B1771" s="64" t="s">
        <v>61</v>
      </c>
      <c r="C1771" s="62" t="s">
        <v>4409</v>
      </c>
      <c r="D1771" t="s">
        <v>63</v>
      </c>
      <c r="E1771" t="s">
        <v>5364</v>
      </c>
      <c r="F1771" s="61">
        <v>37224</v>
      </c>
      <c r="G1771" s="15" t="s">
        <v>73</v>
      </c>
      <c r="H1771" t="s">
        <v>5365</v>
      </c>
      <c r="I1771" s="62" t="s">
        <v>5366</v>
      </c>
      <c r="K1771" s="36" t="s">
        <v>169</v>
      </c>
      <c r="L1771" t="s">
        <v>69</v>
      </c>
      <c r="M1771" s="62" t="s">
        <v>170</v>
      </c>
      <c r="N1771" t="s">
        <v>71</v>
      </c>
      <c r="O1771" t="str">
        <f>IFERROR(IF(Tbla_actores[[#This Row],[codigo_proyecto]]="","",_xlfn.XLOOKUP(Tbla_actores[[#This Row],[codigo_proyecto]],Proyectos!$A:$A,Proyectos!$C:$C)),"")</f>
        <v>NULOS</v>
      </c>
    </row>
    <row r="1772" spans="1:15">
      <c r="A1772" s="9">
        <v>1192718760</v>
      </c>
      <c r="B1772" s="63" t="s">
        <v>61</v>
      </c>
      <c r="C1772" s="62" t="s">
        <v>4409</v>
      </c>
      <c r="D1772" t="s">
        <v>63</v>
      </c>
      <c r="E1772" t="s">
        <v>5367</v>
      </c>
      <c r="F1772" s="61">
        <v>37210</v>
      </c>
      <c r="G1772" s="15" t="s">
        <v>65</v>
      </c>
      <c r="H1772" t="s">
        <v>5368</v>
      </c>
      <c r="I1772" s="62" t="s">
        <v>5369</v>
      </c>
      <c r="K1772" s="36" t="s">
        <v>169</v>
      </c>
      <c r="L1772" t="s">
        <v>69</v>
      </c>
      <c r="M1772" s="62" t="s">
        <v>170</v>
      </c>
      <c r="N1772" t="s">
        <v>71</v>
      </c>
      <c r="O1772" t="str">
        <f>IFERROR(IF(Tbla_actores[[#This Row],[codigo_proyecto]]="","",_xlfn.XLOOKUP(Tbla_actores[[#This Row],[codigo_proyecto]],Proyectos!$A:$A,Proyectos!$C:$C)),"")</f>
        <v>NULOS</v>
      </c>
    </row>
    <row r="1773" spans="1:15">
      <c r="A1773" s="10">
        <v>1000271277</v>
      </c>
      <c r="B1773" s="64" t="s">
        <v>61</v>
      </c>
      <c r="C1773" s="62" t="s">
        <v>4409</v>
      </c>
      <c r="D1773" t="s">
        <v>63</v>
      </c>
      <c r="E1773" t="s">
        <v>5370</v>
      </c>
      <c r="F1773" s="61">
        <v>36985</v>
      </c>
      <c r="G1773" s="15" t="s">
        <v>73</v>
      </c>
      <c r="H1773" t="s">
        <v>5371</v>
      </c>
      <c r="I1773" s="62" t="s">
        <v>5372</v>
      </c>
      <c r="K1773" s="36" t="s">
        <v>169</v>
      </c>
      <c r="L1773" t="s">
        <v>69</v>
      </c>
      <c r="M1773" s="62" t="s">
        <v>170</v>
      </c>
      <c r="N1773" t="s">
        <v>71</v>
      </c>
      <c r="O1773" t="str">
        <f>IFERROR(IF(Tbla_actores[[#This Row],[codigo_proyecto]]="","",_xlfn.XLOOKUP(Tbla_actores[[#This Row],[codigo_proyecto]],Proyectos!$A:$A,Proyectos!$C:$C)),"")</f>
        <v>NULOS</v>
      </c>
    </row>
    <row r="1774" spans="1:15">
      <c r="A1774" s="9">
        <v>1193073402</v>
      </c>
      <c r="B1774" s="63" t="s">
        <v>61</v>
      </c>
      <c r="C1774" s="62" t="s">
        <v>4409</v>
      </c>
      <c r="D1774" t="s">
        <v>63</v>
      </c>
      <c r="E1774" t="s">
        <v>5373</v>
      </c>
      <c r="F1774" s="61">
        <v>37606</v>
      </c>
      <c r="G1774" s="15" t="s">
        <v>73</v>
      </c>
      <c r="H1774" t="s">
        <v>5374</v>
      </c>
      <c r="I1774" s="62" t="s">
        <v>5375</v>
      </c>
      <c r="K1774" s="36" t="s">
        <v>169</v>
      </c>
      <c r="L1774" t="s">
        <v>69</v>
      </c>
      <c r="M1774" s="62" t="s">
        <v>170</v>
      </c>
      <c r="N1774" t="s">
        <v>71</v>
      </c>
      <c r="O1774" t="str">
        <f>IFERROR(IF(Tbla_actores[[#This Row],[codigo_proyecto]]="","",_xlfn.XLOOKUP(Tbla_actores[[#This Row],[codigo_proyecto]],Proyectos!$A:$A,Proyectos!$C:$C)),"")</f>
        <v>NULOS</v>
      </c>
    </row>
    <row r="1775" spans="1:15">
      <c r="A1775" s="10">
        <v>1007571740</v>
      </c>
      <c r="B1775" s="64" t="s">
        <v>61</v>
      </c>
      <c r="C1775" s="62" t="s">
        <v>4409</v>
      </c>
      <c r="D1775" t="s">
        <v>63</v>
      </c>
      <c r="E1775" t="s">
        <v>5376</v>
      </c>
      <c r="F1775" s="61">
        <v>37256</v>
      </c>
      <c r="G1775" s="15" t="s">
        <v>65</v>
      </c>
      <c r="H1775" t="s">
        <v>5377</v>
      </c>
      <c r="I1775" s="62" t="s">
        <v>5378</v>
      </c>
      <c r="K1775" s="36" t="s">
        <v>169</v>
      </c>
      <c r="L1775" t="s">
        <v>69</v>
      </c>
      <c r="M1775" s="62" t="s">
        <v>170</v>
      </c>
      <c r="N1775" t="s">
        <v>71</v>
      </c>
      <c r="O1775" t="str">
        <f>IFERROR(IF(Tbla_actores[[#This Row],[codigo_proyecto]]="","",_xlfn.XLOOKUP(Tbla_actores[[#This Row],[codigo_proyecto]],Proyectos!$A:$A,Proyectos!$C:$C)),"")</f>
        <v>NULOS</v>
      </c>
    </row>
    <row r="1776" spans="1:15">
      <c r="A1776" s="9">
        <v>1000613068</v>
      </c>
      <c r="B1776" s="63" t="s">
        <v>61</v>
      </c>
      <c r="C1776" s="62" t="s">
        <v>3329</v>
      </c>
      <c r="D1776" t="s">
        <v>63</v>
      </c>
      <c r="E1776" t="s">
        <v>5379</v>
      </c>
      <c r="F1776" s="61">
        <v>37211</v>
      </c>
      <c r="G1776" s="15" t="s">
        <v>65</v>
      </c>
      <c r="H1776" t="s">
        <v>5380</v>
      </c>
      <c r="I1776" s="62" t="s">
        <v>5381</v>
      </c>
      <c r="K1776" s="36" t="s">
        <v>169</v>
      </c>
      <c r="L1776" t="s">
        <v>69</v>
      </c>
      <c r="M1776" s="62" t="s">
        <v>170</v>
      </c>
      <c r="N1776" t="s">
        <v>71</v>
      </c>
      <c r="O1776" t="str">
        <f>IFERROR(IF(Tbla_actores[[#This Row],[codigo_proyecto]]="","",_xlfn.XLOOKUP(Tbla_actores[[#This Row],[codigo_proyecto]],Proyectos!$A:$A,Proyectos!$C:$C)),"")</f>
        <v>NULOS</v>
      </c>
    </row>
    <row r="1777" spans="1:15">
      <c r="A1777" s="10">
        <v>1000941865</v>
      </c>
      <c r="B1777" s="64" t="s">
        <v>61</v>
      </c>
      <c r="C1777" s="62" t="s">
        <v>3329</v>
      </c>
      <c r="D1777" t="s">
        <v>63</v>
      </c>
      <c r="E1777" t="s">
        <v>5382</v>
      </c>
      <c r="F1777" s="61">
        <v>37609</v>
      </c>
      <c r="G1777" s="15" t="s">
        <v>65</v>
      </c>
      <c r="H1777" t="s">
        <v>5383</v>
      </c>
      <c r="I1777" s="62" t="s">
        <v>5384</v>
      </c>
      <c r="K1777" s="36" t="s">
        <v>169</v>
      </c>
      <c r="L1777" t="s">
        <v>69</v>
      </c>
      <c r="M1777" s="62" t="s">
        <v>170</v>
      </c>
      <c r="N1777" t="s">
        <v>71</v>
      </c>
      <c r="O1777" t="str">
        <f>IFERROR(IF(Tbla_actores[[#This Row],[codigo_proyecto]]="","",_xlfn.XLOOKUP(Tbla_actores[[#This Row],[codigo_proyecto]],Proyectos!$A:$A,Proyectos!$C:$C)),"")</f>
        <v>NULOS</v>
      </c>
    </row>
    <row r="1778" spans="1:15">
      <c r="A1778" s="9">
        <v>1002393745</v>
      </c>
      <c r="B1778" s="63" t="s">
        <v>61</v>
      </c>
      <c r="C1778" s="62" t="s">
        <v>4409</v>
      </c>
      <c r="D1778" t="s">
        <v>63</v>
      </c>
      <c r="E1778" t="s">
        <v>5385</v>
      </c>
      <c r="F1778" s="61">
        <v>37446</v>
      </c>
      <c r="G1778" s="15" t="s">
        <v>65</v>
      </c>
      <c r="H1778" t="s">
        <v>5386</v>
      </c>
      <c r="I1778" s="62" t="s">
        <v>5387</v>
      </c>
      <c r="K1778" s="36" t="s">
        <v>169</v>
      </c>
      <c r="L1778" t="s">
        <v>69</v>
      </c>
      <c r="M1778" s="62" t="s">
        <v>170</v>
      </c>
      <c r="N1778" t="s">
        <v>71</v>
      </c>
      <c r="O1778" t="str">
        <f>IFERROR(IF(Tbla_actores[[#This Row],[codigo_proyecto]]="","",_xlfn.XLOOKUP(Tbla_actores[[#This Row],[codigo_proyecto]],Proyectos!$A:$A,Proyectos!$C:$C)),"")</f>
        <v>NULOS</v>
      </c>
    </row>
    <row r="1779" spans="1:15">
      <c r="A1779" s="10">
        <v>1192817329</v>
      </c>
      <c r="B1779" s="64" t="s">
        <v>61</v>
      </c>
      <c r="C1779" s="62" t="s">
        <v>4409</v>
      </c>
      <c r="D1779" t="s">
        <v>63</v>
      </c>
      <c r="E1779" t="s">
        <v>5388</v>
      </c>
      <c r="F1779" s="61">
        <v>36926</v>
      </c>
      <c r="G1779" s="15" t="s">
        <v>73</v>
      </c>
      <c r="H1779" t="s">
        <v>5389</v>
      </c>
      <c r="I1779" s="62" t="s">
        <v>5390</v>
      </c>
      <c r="K1779" s="36" t="s">
        <v>495</v>
      </c>
      <c r="L1779" t="s">
        <v>69</v>
      </c>
      <c r="M1779" s="62" t="s">
        <v>70</v>
      </c>
      <c r="N1779" t="s">
        <v>71</v>
      </c>
      <c r="O1779" t="str">
        <f>IFERROR(IF(Tbla_actores[[#This Row],[codigo_proyecto]]="","",_xlfn.XLOOKUP(Tbla_actores[[#This Row],[codigo_proyecto]],Proyectos!$A:$A,Proyectos!$C:$C)),"")</f>
        <v>NULOS</v>
      </c>
    </row>
    <row r="1780" spans="1:15">
      <c r="A1780" s="9">
        <v>1019142620</v>
      </c>
      <c r="B1780" s="63" t="s">
        <v>61</v>
      </c>
      <c r="C1780" s="62" t="s">
        <v>4409</v>
      </c>
      <c r="D1780" t="s">
        <v>63</v>
      </c>
      <c r="E1780" t="s">
        <v>5391</v>
      </c>
      <c r="F1780" s="61">
        <v>36001</v>
      </c>
      <c r="G1780" s="15" t="s">
        <v>73</v>
      </c>
      <c r="H1780" t="s">
        <v>5392</v>
      </c>
      <c r="I1780" s="62" t="s">
        <v>5393</v>
      </c>
      <c r="K1780" s="36" t="s">
        <v>495</v>
      </c>
      <c r="L1780" t="s">
        <v>69</v>
      </c>
      <c r="M1780" s="62" t="s">
        <v>70</v>
      </c>
      <c r="N1780" t="s">
        <v>71</v>
      </c>
      <c r="O1780" t="str">
        <f>IFERROR(IF(Tbla_actores[[#This Row],[codigo_proyecto]]="","",_xlfn.XLOOKUP(Tbla_actores[[#This Row],[codigo_proyecto]],Proyectos!$A:$A,Proyectos!$C:$C)),"")</f>
        <v>NULOS</v>
      </c>
    </row>
    <row r="1781" spans="1:15">
      <c r="A1781" s="10">
        <v>1020835570</v>
      </c>
      <c r="B1781" s="64" t="s">
        <v>61</v>
      </c>
      <c r="C1781" s="62" t="s">
        <v>4409</v>
      </c>
      <c r="D1781" t="s">
        <v>63</v>
      </c>
      <c r="E1781" t="s">
        <v>5394</v>
      </c>
      <c r="F1781" s="61">
        <v>36055</v>
      </c>
      <c r="G1781" s="15" t="s">
        <v>73</v>
      </c>
      <c r="H1781" t="s">
        <v>5395</v>
      </c>
      <c r="I1781" s="62" t="s">
        <v>5396</v>
      </c>
      <c r="K1781" s="36" t="s">
        <v>495</v>
      </c>
      <c r="L1781" t="s">
        <v>69</v>
      </c>
      <c r="M1781" s="62" t="s">
        <v>70</v>
      </c>
      <c r="N1781" t="s">
        <v>71</v>
      </c>
      <c r="O1781" t="str">
        <f>IFERROR(IF(Tbla_actores[[#This Row],[codigo_proyecto]]="","",_xlfn.XLOOKUP(Tbla_actores[[#This Row],[codigo_proyecto]],Proyectos!$A:$A,Proyectos!$C:$C)),"")</f>
        <v>NULOS</v>
      </c>
    </row>
    <row r="1782" spans="1:15">
      <c r="A1782" s="9">
        <v>1000047971</v>
      </c>
      <c r="B1782" s="63" t="s">
        <v>61</v>
      </c>
      <c r="C1782" s="62" t="s">
        <v>4409</v>
      </c>
      <c r="D1782" t="s">
        <v>63</v>
      </c>
      <c r="E1782" t="s">
        <v>5397</v>
      </c>
      <c r="F1782" s="61">
        <v>36781</v>
      </c>
      <c r="G1782" s="15" t="s">
        <v>65</v>
      </c>
      <c r="H1782" t="s">
        <v>5398</v>
      </c>
      <c r="I1782" s="62" t="s">
        <v>5399</v>
      </c>
      <c r="K1782" s="36" t="s">
        <v>169</v>
      </c>
      <c r="L1782" t="s">
        <v>69</v>
      </c>
      <c r="M1782" s="62" t="s">
        <v>170</v>
      </c>
      <c r="N1782" t="s">
        <v>71</v>
      </c>
      <c r="O1782" t="str">
        <f>IFERROR(IF(Tbla_actores[[#This Row],[codigo_proyecto]]="","",_xlfn.XLOOKUP(Tbla_actores[[#This Row],[codigo_proyecto]],Proyectos!$A:$A,Proyectos!$C:$C)),"")</f>
        <v>NULOS</v>
      </c>
    </row>
    <row r="1783" spans="1:15">
      <c r="A1783" s="10">
        <v>1193545741</v>
      </c>
      <c r="B1783" s="64" t="s">
        <v>61</v>
      </c>
      <c r="C1783" s="62" t="s">
        <v>4409</v>
      </c>
      <c r="D1783" t="s">
        <v>63</v>
      </c>
      <c r="E1783" t="s">
        <v>5400</v>
      </c>
      <c r="F1783" s="61">
        <v>37276</v>
      </c>
      <c r="G1783" s="15" t="s">
        <v>73</v>
      </c>
      <c r="H1783" t="s">
        <v>5401</v>
      </c>
      <c r="I1783" s="62" t="s">
        <v>5402</v>
      </c>
      <c r="K1783" s="36" t="s">
        <v>169</v>
      </c>
      <c r="L1783" t="s">
        <v>69</v>
      </c>
      <c r="M1783" s="62" t="s">
        <v>170</v>
      </c>
      <c r="N1783" t="s">
        <v>71</v>
      </c>
      <c r="O1783" t="str">
        <f>IFERROR(IF(Tbla_actores[[#This Row],[codigo_proyecto]]="","",_xlfn.XLOOKUP(Tbla_actores[[#This Row],[codigo_proyecto]],Proyectos!$A:$A,Proyectos!$C:$C)),"")</f>
        <v>NULOS</v>
      </c>
    </row>
    <row r="1784" spans="1:15">
      <c r="A1784" s="9">
        <v>1007604169</v>
      </c>
      <c r="B1784" s="63" t="s">
        <v>61</v>
      </c>
      <c r="C1784" s="62" t="s">
        <v>4409</v>
      </c>
      <c r="D1784" t="s">
        <v>63</v>
      </c>
      <c r="E1784" t="s">
        <v>5403</v>
      </c>
      <c r="F1784" s="61">
        <v>36931</v>
      </c>
      <c r="G1784" s="15" t="s">
        <v>73</v>
      </c>
      <c r="H1784" t="s">
        <v>5404</v>
      </c>
      <c r="I1784" s="62" t="s">
        <v>5405</v>
      </c>
      <c r="K1784" s="36" t="s">
        <v>169</v>
      </c>
      <c r="L1784" t="s">
        <v>69</v>
      </c>
      <c r="M1784" s="62" t="s">
        <v>170</v>
      </c>
      <c r="N1784" t="s">
        <v>71</v>
      </c>
      <c r="O1784" t="str">
        <f>IFERROR(IF(Tbla_actores[[#This Row],[codigo_proyecto]]="","",_xlfn.XLOOKUP(Tbla_actores[[#This Row],[codigo_proyecto]],Proyectos!$A:$A,Proyectos!$C:$C)),"")</f>
        <v>NULOS</v>
      </c>
    </row>
    <row r="1785" spans="1:15">
      <c r="A1785" s="10">
        <v>1005335341</v>
      </c>
      <c r="B1785" s="64" t="s">
        <v>61</v>
      </c>
      <c r="C1785" s="62" t="s">
        <v>4409</v>
      </c>
      <c r="D1785" t="s">
        <v>63</v>
      </c>
      <c r="E1785" t="s">
        <v>5406</v>
      </c>
      <c r="F1785" s="61">
        <v>36677</v>
      </c>
      <c r="G1785" s="15" t="s">
        <v>65</v>
      </c>
      <c r="H1785" t="s">
        <v>5407</v>
      </c>
      <c r="I1785" s="62" t="s">
        <v>5408</v>
      </c>
      <c r="K1785" s="36" t="s">
        <v>169</v>
      </c>
      <c r="L1785" t="s">
        <v>69</v>
      </c>
      <c r="M1785" s="62" t="s">
        <v>170</v>
      </c>
      <c r="N1785" t="s">
        <v>71</v>
      </c>
      <c r="O1785" t="str">
        <f>IFERROR(IF(Tbla_actores[[#This Row],[codigo_proyecto]]="","",_xlfn.XLOOKUP(Tbla_actores[[#This Row],[codigo_proyecto]],Proyectos!$A:$A,Proyectos!$C:$C)),"")</f>
        <v>NULOS</v>
      </c>
    </row>
    <row r="1786" spans="1:15">
      <c r="A1786" s="9">
        <v>1005480425</v>
      </c>
      <c r="B1786" s="63" t="s">
        <v>61</v>
      </c>
      <c r="C1786" s="62" t="s">
        <v>4409</v>
      </c>
      <c r="D1786" t="s">
        <v>63</v>
      </c>
      <c r="E1786" t="s">
        <v>5409</v>
      </c>
      <c r="F1786" s="61">
        <v>37174</v>
      </c>
      <c r="G1786" s="15" t="s">
        <v>73</v>
      </c>
      <c r="H1786" t="s">
        <v>5410</v>
      </c>
      <c r="I1786" s="62" t="s">
        <v>5411</v>
      </c>
      <c r="K1786" s="36" t="s">
        <v>169</v>
      </c>
      <c r="L1786" t="s">
        <v>69</v>
      </c>
      <c r="M1786" s="62" t="s">
        <v>170</v>
      </c>
      <c r="N1786" t="s">
        <v>71</v>
      </c>
      <c r="O1786" t="str">
        <f>IFERROR(IF(Tbla_actores[[#This Row],[codigo_proyecto]]="","",_xlfn.XLOOKUP(Tbla_actores[[#This Row],[codigo_proyecto]],Proyectos!$A:$A,Proyectos!$C:$C)),"")</f>
        <v>NULOS</v>
      </c>
    </row>
    <row r="1787" spans="1:15">
      <c r="A1787" s="10">
        <v>1193067869</v>
      </c>
      <c r="B1787" s="64" t="s">
        <v>61</v>
      </c>
      <c r="C1787" s="62" t="s">
        <v>4409</v>
      </c>
      <c r="D1787" t="s">
        <v>63</v>
      </c>
      <c r="E1787" t="s">
        <v>5412</v>
      </c>
      <c r="F1787" s="61">
        <v>36810</v>
      </c>
      <c r="G1787" s="15" t="s">
        <v>73</v>
      </c>
      <c r="H1787" t="s">
        <v>5413</v>
      </c>
      <c r="I1787" s="62" t="s">
        <v>5414</v>
      </c>
      <c r="K1787" s="36" t="s">
        <v>169</v>
      </c>
      <c r="L1787" t="s">
        <v>69</v>
      </c>
      <c r="M1787" s="62" t="s">
        <v>170</v>
      </c>
      <c r="N1787" t="s">
        <v>71</v>
      </c>
      <c r="O1787" t="str">
        <f>IFERROR(IF(Tbla_actores[[#This Row],[codigo_proyecto]]="","",_xlfn.XLOOKUP(Tbla_actores[[#This Row],[codigo_proyecto]],Proyectos!$A:$A,Proyectos!$C:$C)),"")</f>
        <v>NULOS</v>
      </c>
    </row>
    <row r="1788" spans="1:15">
      <c r="A1788" s="9">
        <v>1000034378</v>
      </c>
      <c r="B1788" s="63" t="s">
        <v>61</v>
      </c>
      <c r="C1788" s="62" t="s">
        <v>4409</v>
      </c>
      <c r="D1788" t="s">
        <v>63</v>
      </c>
      <c r="E1788" t="s">
        <v>5415</v>
      </c>
      <c r="F1788" s="61">
        <v>37174</v>
      </c>
      <c r="G1788" s="15" t="s">
        <v>73</v>
      </c>
      <c r="H1788" t="s">
        <v>5416</v>
      </c>
      <c r="I1788" s="62" t="s">
        <v>5417</v>
      </c>
      <c r="K1788" s="36" t="s">
        <v>169</v>
      </c>
      <c r="L1788" t="s">
        <v>69</v>
      </c>
      <c r="M1788" s="62" t="s">
        <v>170</v>
      </c>
      <c r="N1788" t="s">
        <v>71</v>
      </c>
      <c r="O1788" t="str">
        <f>IFERROR(IF(Tbla_actores[[#This Row],[codigo_proyecto]]="","",_xlfn.XLOOKUP(Tbla_actores[[#This Row],[codigo_proyecto]],Proyectos!$A:$A,Proyectos!$C:$C)),"")</f>
        <v>NULOS</v>
      </c>
    </row>
    <row r="1789" spans="1:15">
      <c r="A1789" s="10">
        <v>1010058870</v>
      </c>
      <c r="B1789" s="64" t="s">
        <v>61</v>
      </c>
      <c r="C1789" s="62" t="s">
        <v>4409</v>
      </c>
      <c r="D1789" t="s">
        <v>63</v>
      </c>
      <c r="E1789" t="s">
        <v>5418</v>
      </c>
      <c r="F1789" s="61">
        <v>36859</v>
      </c>
      <c r="G1789" s="15" t="s">
        <v>73</v>
      </c>
      <c r="H1789" t="s">
        <v>5419</v>
      </c>
      <c r="I1789" s="62" t="s">
        <v>5420</v>
      </c>
      <c r="K1789" s="36" t="s">
        <v>169</v>
      </c>
      <c r="L1789" t="s">
        <v>69</v>
      </c>
      <c r="M1789" s="62" t="s">
        <v>170</v>
      </c>
      <c r="N1789" t="s">
        <v>71</v>
      </c>
      <c r="O1789" t="str">
        <f>IFERROR(IF(Tbla_actores[[#This Row],[codigo_proyecto]]="","",_xlfn.XLOOKUP(Tbla_actores[[#This Row],[codigo_proyecto]],Proyectos!$A:$A,Proyectos!$C:$C)),"")</f>
        <v>NULOS</v>
      </c>
    </row>
    <row r="1790" spans="1:15">
      <c r="A1790" s="9">
        <v>1000472648</v>
      </c>
      <c r="B1790" s="63" t="s">
        <v>61</v>
      </c>
      <c r="C1790" s="62" t="s">
        <v>4409</v>
      </c>
      <c r="D1790" t="s">
        <v>63</v>
      </c>
      <c r="E1790" t="s">
        <v>5421</v>
      </c>
      <c r="F1790" s="61">
        <v>37585</v>
      </c>
      <c r="G1790" s="15" t="s">
        <v>73</v>
      </c>
      <c r="H1790" t="s">
        <v>5422</v>
      </c>
      <c r="I1790" s="62" t="s">
        <v>5423</v>
      </c>
      <c r="K1790" s="36" t="s">
        <v>169</v>
      </c>
      <c r="L1790" t="s">
        <v>69</v>
      </c>
      <c r="M1790" s="62" t="s">
        <v>170</v>
      </c>
      <c r="N1790" t="s">
        <v>71</v>
      </c>
      <c r="O1790" t="str">
        <f>IFERROR(IF(Tbla_actores[[#This Row],[codigo_proyecto]]="","",_xlfn.XLOOKUP(Tbla_actores[[#This Row],[codigo_proyecto]],Proyectos!$A:$A,Proyectos!$C:$C)),"")</f>
        <v>NULOS</v>
      </c>
    </row>
    <row r="1791" spans="1:15">
      <c r="A1791" s="10">
        <v>1090180438</v>
      </c>
      <c r="B1791" s="64" t="s">
        <v>61</v>
      </c>
      <c r="C1791" s="62" t="s">
        <v>3329</v>
      </c>
      <c r="D1791" t="s">
        <v>63</v>
      </c>
      <c r="E1791" t="s">
        <v>5424</v>
      </c>
      <c r="F1791" s="61">
        <v>35219</v>
      </c>
      <c r="G1791" s="15" t="s">
        <v>73</v>
      </c>
      <c r="H1791" t="s">
        <v>5425</v>
      </c>
      <c r="I1791" s="62" t="s">
        <v>5426</v>
      </c>
      <c r="K1791" s="36" t="s">
        <v>169</v>
      </c>
      <c r="L1791" t="s">
        <v>69</v>
      </c>
      <c r="M1791" s="62" t="s">
        <v>170</v>
      </c>
      <c r="N1791" t="s">
        <v>71</v>
      </c>
      <c r="O1791" t="str">
        <f>IFERROR(IF(Tbla_actores[[#This Row],[codigo_proyecto]]="","",_xlfn.XLOOKUP(Tbla_actores[[#This Row],[codigo_proyecto]],Proyectos!$A:$A,Proyectos!$C:$C)),"")</f>
        <v>NULOS</v>
      </c>
    </row>
    <row r="1792" spans="1:15">
      <c r="A1792" s="9">
        <v>1001192435</v>
      </c>
      <c r="B1792" s="63" t="s">
        <v>61</v>
      </c>
      <c r="C1792" s="62" t="s">
        <v>4409</v>
      </c>
      <c r="D1792" t="s">
        <v>63</v>
      </c>
      <c r="E1792" t="s">
        <v>5427</v>
      </c>
      <c r="F1792" s="61">
        <v>37253</v>
      </c>
      <c r="G1792" s="15" t="s">
        <v>65</v>
      </c>
      <c r="H1792" t="s">
        <v>5428</v>
      </c>
      <c r="I1792" s="62" t="s">
        <v>5429</v>
      </c>
      <c r="K1792" s="36" t="s">
        <v>169</v>
      </c>
      <c r="L1792" t="s">
        <v>69</v>
      </c>
      <c r="M1792" s="62" t="s">
        <v>170</v>
      </c>
      <c r="N1792" t="s">
        <v>71</v>
      </c>
      <c r="O1792" t="str">
        <f>IFERROR(IF(Tbla_actores[[#This Row],[codigo_proyecto]]="","",_xlfn.XLOOKUP(Tbla_actores[[#This Row],[codigo_proyecto]],Proyectos!$A:$A,Proyectos!$C:$C)),"")</f>
        <v>NULOS</v>
      </c>
    </row>
    <row r="1793" spans="1:15">
      <c r="A1793" s="10">
        <v>606200</v>
      </c>
      <c r="B1793" s="64" t="s">
        <v>61</v>
      </c>
      <c r="C1793" s="62" t="s">
        <v>4409</v>
      </c>
      <c r="D1793" t="s">
        <v>63</v>
      </c>
      <c r="E1793" t="s">
        <v>5430</v>
      </c>
      <c r="F1793" s="61">
        <v>35893</v>
      </c>
      <c r="G1793" s="15" t="s">
        <v>73</v>
      </c>
      <c r="H1793" t="s">
        <v>5431</v>
      </c>
      <c r="I1793" s="62" t="s">
        <v>5432</v>
      </c>
      <c r="K1793" s="36" t="s">
        <v>169</v>
      </c>
      <c r="L1793" t="s">
        <v>69</v>
      </c>
      <c r="M1793" s="62" t="s">
        <v>170</v>
      </c>
      <c r="N1793" t="s">
        <v>71</v>
      </c>
      <c r="O1793" t="str">
        <f>IFERROR(IF(Tbla_actores[[#This Row],[codigo_proyecto]]="","",_xlfn.XLOOKUP(Tbla_actores[[#This Row],[codigo_proyecto]],Proyectos!$A:$A,Proyectos!$C:$C)),"")</f>
        <v>NULOS</v>
      </c>
    </row>
    <row r="1794" spans="1:15">
      <c r="A1794" s="9">
        <v>1020814801</v>
      </c>
      <c r="B1794" s="63" t="s">
        <v>61</v>
      </c>
      <c r="C1794" s="62" t="s">
        <v>4409</v>
      </c>
      <c r="D1794" t="s">
        <v>63</v>
      </c>
      <c r="E1794" t="s">
        <v>5433</v>
      </c>
      <c r="F1794" s="61">
        <v>35175</v>
      </c>
      <c r="G1794" s="15" t="s">
        <v>73</v>
      </c>
      <c r="H1794" t="s">
        <v>5434</v>
      </c>
      <c r="I1794" s="62" t="s">
        <v>5435</v>
      </c>
      <c r="K1794" s="36" t="s">
        <v>169</v>
      </c>
      <c r="L1794" t="s">
        <v>69</v>
      </c>
      <c r="M1794" s="62" t="s">
        <v>170</v>
      </c>
      <c r="N1794" t="s">
        <v>71</v>
      </c>
      <c r="O1794" t="str">
        <f>IFERROR(IF(Tbla_actores[[#This Row],[codigo_proyecto]]="","",_xlfn.XLOOKUP(Tbla_actores[[#This Row],[codigo_proyecto]],Proyectos!$A:$A,Proyectos!$C:$C)),"")</f>
        <v>NULOS</v>
      </c>
    </row>
    <row r="1795" spans="1:15">
      <c r="A1795" s="10">
        <v>1000035589</v>
      </c>
      <c r="B1795" s="64" t="s">
        <v>61</v>
      </c>
      <c r="C1795" s="62" t="s">
        <v>4409</v>
      </c>
      <c r="D1795" t="s">
        <v>63</v>
      </c>
      <c r="E1795" t="s">
        <v>5436</v>
      </c>
      <c r="F1795" s="61">
        <v>37564</v>
      </c>
      <c r="G1795" s="15" t="s">
        <v>73</v>
      </c>
      <c r="H1795" t="s">
        <v>5437</v>
      </c>
      <c r="I1795" s="62" t="s">
        <v>5438</v>
      </c>
      <c r="K1795" s="36" t="s">
        <v>169</v>
      </c>
      <c r="L1795" t="s">
        <v>69</v>
      </c>
      <c r="M1795" s="62" t="s">
        <v>170</v>
      </c>
      <c r="N1795" t="s">
        <v>71</v>
      </c>
      <c r="O1795" t="str">
        <f>IFERROR(IF(Tbla_actores[[#This Row],[codigo_proyecto]]="","",_xlfn.XLOOKUP(Tbla_actores[[#This Row],[codigo_proyecto]],Proyectos!$A:$A,Proyectos!$C:$C)),"")</f>
        <v>NULOS</v>
      </c>
    </row>
    <row r="1796" spans="1:15">
      <c r="A1796" s="9">
        <v>1001091057</v>
      </c>
      <c r="B1796" s="63" t="s">
        <v>61</v>
      </c>
      <c r="C1796" s="62" t="s">
        <v>4409</v>
      </c>
      <c r="D1796" t="s">
        <v>63</v>
      </c>
      <c r="E1796" t="s">
        <v>5439</v>
      </c>
      <c r="F1796" s="61">
        <v>37464</v>
      </c>
      <c r="G1796" s="15" t="s">
        <v>73</v>
      </c>
      <c r="H1796" t="s">
        <v>5440</v>
      </c>
      <c r="I1796" s="62" t="s">
        <v>5441</v>
      </c>
      <c r="K1796" s="36" t="s">
        <v>169</v>
      </c>
      <c r="L1796" t="s">
        <v>69</v>
      </c>
      <c r="M1796" s="62" t="s">
        <v>170</v>
      </c>
      <c r="N1796" t="s">
        <v>71</v>
      </c>
      <c r="O1796" t="str">
        <f>IFERROR(IF(Tbla_actores[[#This Row],[codigo_proyecto]]="","",_xlfn.XLOOKUP(Tbla_actores[[#This Row],[codigo_proyecto]],Proyectos!$A:$A,Proyectos!$C:$C)),"")</f>
        <v>NULOS</v>
      </c>
    </row>
    <row r="1797" spans="1:15">
      <c r="A1797" s="10">
        <v>1006771815</v>
      </c>
      <c r="B1797" s="64" t="s">
        <v>61</v>
      </c>
      <c r="C1797" s="62" t="s">
        <v>4409</v>
      </c>
      <c r="D1797" t="s">
        <v>63</v>
      </c>
      <c r="E1797" t="s">
        <v>5442</v>
      </c>
      <c r="F1797" s="61">
        <v>37086</v>
      </c>
      <c r="G1797" s="15" t="s">
        <v>65</v>
      </c>
      <c r="H1797" t="s">
        <v>5443</v>
      </c>
      <c r="I1797" s="62" t="s">
        <v>5444</v>
      </c>
      <c r="K1797" s="36" t="s">
        <v>169</v>
      </c>
      <c r="L1797" t="s">
        <v>69</v>
      </c>
      <c r="M1797" s="62" t="s">
        <v>170</v>
      </c>
      <c r="N1797" t="s">
        <v>71</v>
      </c>
      <c r="O1797" t="str">
        <f>IFERROR(IF(Tbla_actores[[#This Row],[codigo_proyecto]]="","",_xlfn.XLOOKUP(Tbla_actores[[#This Row],[codigo_proyecto]],Proyectos!$A:$A,Proyectos!$C:$C)),"")</f>
        <v>NULOS</v>
      </c>
    </row>
    <row r="1798" spans="1:15">
      <c r="A1798" s="9">
        <v>1001283404</v>
      </c>
      <c r="B1798" s="63" t="s">
        <v>61</v>
      </c>
      <c r="C1798" s="62" t="s">
        <v>4409</v>
      </c>
      <c r="D1798" t="s">
        <v>63</v>
      </c>
      <c r="E1798" t="s">
        <v>5445</v>
      </c>
      <c r="F1798" s="61">
        <v>36974</v>
      </c>
      <c r="G1798" s="15" t="s">
        <v>73</v>
      </c>
      <c r="H1798" t="s">
        <v>5446</v>
      </c>
      <c r="I1798" s="62" t="s">
        <v>5447</v>
      </c>
      <c r="K1798" s="36" t="s">
        <v>169</v>
      </c>
      <c r="L1798" t="s">
        <v>69</v>
      </c>
      <c r="M1798" s="62" t="s">
        <v>170</v>
      </c>
      <c r="N1798" t="s">
        <v>71</v>
      </c>
      <c r="O1798" t="str">
        <f>IFERROR(IF(Tbla_actores[[#This Row],[codigo_proyecto]]="","",_xlfn.XLOOKUP(Tbla_actores[[#This Row],[codigo_proyecto]],Proyectos!$A:$A,Proyectos!$C:$C)),"")</f>
        <v>NULOS</v>
      </c>
    </row>
    <row r="1799" spans="1:15">
      <c r="A1799" s="10">
        <v>1001286157</v>
      </c>
      <c r="B1799" s="64" t="s">
        <v>61</v>
      </c>
      <c r="C1799" s="62" t="s">
        <v>4409</v>
      </c>
      <c r="D1799" t="s">
        <v>63</v>
      </c>
      <c r="E1799" t="s">
        <v>5448</v>
      </c>
      <c r="F1799" s="61">
        <v>37517</v>
      </c>
      <c r="G1799" s="15" t="s">
        <v>65</v>
      </c>
      <c r="H1799" t="s">
        <v>5449</v>
      </c>
      <c r="I1799" s="62" t="s">
        <v>5450</v>
      </c>
      <c r="K1799" s="36" t="s">
        <v>169</v>
      </c>
      <c r="L1799" t="s">
        <v>69</v>
      </c>
      <c r="M1799" s="62" t="s">
        <v>170</v>
      </c>
      <c r="N1799" t="s">
        <v>71</v>
      </c>
      <c r="O1799" t="str">
        <f>IFERROR(IF(Tbla_actores[[#This Row],[codigo_proyecto]]="","",_xlfn.XLOOKUP(Tbla_actores[[#This Row],[codigo_proyecto]],Proyectos!$A:$A,Proyectos!$C:$C)),"")</f>
        <v>NULOS</v>
      </c>
    </row>
    <row r="1800" spans="1:15">
      <c r="A1800" s="9">
        <v>1010040574</v>
      </c>
      <c r="B1800" s="63" t="s">
        <v>61</v>
      </c>
      <c r="C1800" s="62" t="s">
        <v>3329</v>
      </c>
      <c r="D1800" t="s">
        <v>63</v>
      </c>
      <c r="E1800" t="s">
        <v>5451</v>
      </c>
      <c r="F1800" s="61">
        <v>36775</v>
      </c>
      <c r="G1800" s="15" t="s">
        <v>73</v>
      </c>
      <c r="H1800" t="s">
        <v>5452</v>
      </c>
      <c r="I1800" s="62" t="s">
        <v>5453</v>
      </c>
      <c r="K1800" s="36" t="s">
        <v>169</v>
      </c>
      <c r="L1800" t="s">
        <v>69</v>
      </c>
      <c r="M1800" s="62" t="s">
        <v>170</v>
      </c>
      <c r="N1800" t="s">
        <v>71</v>
      </c>
      <c r="O1800" t="str">
        <f>IFERROR(IF(Tbla_actores[[#This Row],[codigo_proyecto]]="","",_xlfn.XLOOKUP(Tbla_actores[[#This Row],[codigo_proyecto]],Proyectos!$A:$A,Proyectos!$C:$C)),"")</f>
        <v>NULOS</v>
      </c>
    </row>
    <row r="1801" spans="1:15">
      <c r="A1801" s="10">
        <v>1000239119</v>
      </c>
      <c r="B1801" s="64" t="s">
        <v>61</v>
      </c>
      <c r="C1801" s="62" t="s">
        <v>4409</v>
      </c>
      <c r="D1801" t="s">
        <v>63</v>
      </c>
      <c r="E1801" t="s">
        <v>5454</v>
      </c>
      <c r="F1801" s="61">
        <v>36862</v>
      </c>
      <c r="G1801" s="15" t="s">
        <v>73</v>
      </c>
      <c r="H1801" t="s">
        <v>5455</v>
      </c>
      <c r="I1801" s="62" t="s">
        <v>5456</v>
      </c>
      <c r="K1801" s="36" t="s">
        <v>169</v>
      </c>
      <c r="L1801" t="s">
        <v>69</v>
      </c>
      <c r="M1801" s="62" t="s">
        <v>170</v>
      </c>
      <c r="N1801" t="s">
        <v>71</v>
      </c>
      <c r="O1801" t="str">
        <f>IFERROR(IF(Tbla_actores[[#This Row],[codigo_proyecto]]="","",_xlfn.XLOOKUP(Tbla_actores[[#This Row],[codigo_proyecto]],Proyectos!$A:$A,Proyectos!$C:$C)),"")</f>
        <v>NULOS</v>
      </c>
    </row>
    <row r="1802" spans="1:15">
      <c r="A1802" s="9">
        <v>1000619857</v>
      </c>
      <c r="B1802" s="63" t="s">
        <v>61</v>
      </c>
      <c r="C1802" s="62" t="s">
        <v>4409</v>
      </c>
      <c r="D1802" t="s">
        <v>63</v>
      </c>
      <c r="E1802" t="s">
        <v>5457</v>
      </c>
      <c r="F1802" s="61">
        <v>36994</v>
      </c>
      <c r="G1802" s="15" t="s">
        <v>73</v>
      </c>
      <c r="H1802" t="s">
        <v>5458</v>
      </c>
      <c r="I1802" s="62" t="s">
        <v>5459</v>
      </c>
      <c r="K1802" s="36" t="s">
        <v>169</v>
      </c>
      <c r="L1802" t="s">
        <v>69</v>
      </c>
      <c r="M1802" s="62" t="s">
        <v>170</v>
      </c>
      <c r="N1802" t="s">
        <v>71</v>
      </c>
      <c r="O1802" t="str">
        <f>IFERROR(IF(Tbla_actores[[#This Row],[codigo_proyecto]]="","",_xlfn.XLOOKUP(Tbla_actores[[#This Row],[codigo_proyecto]],Proyectos!$A:$A,Proyectos!$C:$C)),"")</f>
        <v>NULOS</v>
      </c>
    </row>
    <row r="1803" spans="1:15">
      <c r="A1803" s="10">
        <v>1019153892</v>
      </c>
      <c r="B1803" s="64" t="s">
        <v>61</v>
      </c>
      <c r="C1803" s="62" t="s">
        <v>4409</v>
      </c>
      <c r="D1803" t="s">
        <v>63</v>
      </c>
      <c r="E1803" t="s">
        <v>5460</v>
      </c>
      <c r="F1803" s="61">
        <v>36511</v>
      </c>
      <c r="G1803" s="15" t="s">
        <v>73</v>
      </c>
      <c r="H1803" t="s">
        <v>5461</v>
      </c>
      <c r="I1803" s="62" t="s">
        <v>5462</v>
      </c>
      <c r="K1803" s="36" t="s">
        <v>169</v>
      </c>
      <c r="L1803" t="s">
        <v>69</v>
      </c>
      <c r="M1803" s="62" t="s">
        <v>170</v>
      </c>
      <c r="N1803" t="s">
        <v>71</v>
      </c>
      <c r="O1803" t="str">
        <f>IFERROR(IF(Tbla_actores[[#This Row],[codigo_proyecto]]="","",_xlfn.XLOOKUP(Tbla_actores[[#This Row],[codigo_proyecto]],Proyectos!$A:$A,Proyectos!$C:$C)),"")</f>
        <v>NULOS</v>
      </c>
    </row>
    <row r="1804" spans="1:15">
      <c r="A1804" s="9">
        <v>1002458244</v>
      </c>
      <c r="B1804" s="63" t="s">
        <v>61</v>
      </c>
      <c r="C1804" s="62" t="s">
        <v>4409</v>
      </c>
      <c r="D1804" t="s">
        <v>63</v>
      </c>
      <c r="E1804" t="s">
        <v>5463</v>
      </c>
      <c r="F1804" s="61">
        <v>37144</v>
      </c>
      <c r="G1804" s="15" t="s">
        <v>65</v>
      </c>
      <c r="H1804" t="s">
        <v>5464</v>
      </c>
      <c r="I1804" s="62" t="s">
        <v>5465</v>
      </c>
      <c r="K1804" s="36" t="s">
        <v>169</v>
      </c>
      <c r="L1804" t="s">
        <v>69</v>
      </c>
      <c r="M1804" s="62" t="s">
        <v>170</v>
      </c>
      <c r="N1804" t="s">
        <v>71</v>
      </c>
      <c r="O1804" t="str">
        <f>IFERROR(IF(Tbla_actores[[#This Row],[codigo_proyecto]]="","",_xlfn.XLOOKUP(Tbla_actores[[#This Row],[codigo_proyecto]],Proyectos!$A:$A,Proyectos!$C:$C)),"")</f>
        <v>NULOS</v>
      </c>
    </row>
    <row r="1805" spans="1:15">
      <c r="A1805" s="10">
        <v>1010130562</v>
      </c>
      <c r="B1805" s="64" t="s">
        <v>61</v>
      </c>
      <c r="C1805" s="62" t="s">
        <v>4409</v>
      </c>
      <c r="D1805" t="s">
        <v>63</v>
      </c>
      <c r="E1805" t="s">
        <v>5466</v>
      </c>
      <c r="F1805" s="61">
        <v>36654</v>
      </c>
      <c r="G1805" s="15" t="s">
        <v>65</v>
      </c>
      <c r="H1805" t="s">
        <v>5467</v>
      </c>
      <c r="I1805" s="62" t="s">
        <v>5468</v>
      </c>
      <c r="K1805" s="36" t="s">
        <v>169</v>
      </c>
      <c r="L1805" t="s">
        <v>69</v>
      </c>
      <c r="M1805" s="62" t="s">
        <v>170</v>
      </c>
      <c r="N1805" t="s">
        <v>71</v>
      </c>
      <c r="O1805" t="str">
        <f>IFERROR(IF(Tbla_actores[[#This Row],[codigo_proyecto]]="","",_xlfn.XLOOKUP(Tbla_actores[[#This Row],[codigo_proyecto]],Proyectos!$A:$A,Proyectos!$C:$C)),"")</f>
        <v>NULOS</v>
      </c>
    </row>
    <row r="1806" spans="1:15">
      <c r="A1806" s="9">
        <v>1007475552</v>
      </c>
      <c r="B1806" s="63" t="s">
        <v>61</v>
      </c>
      <c r="C1806" s="62" t="s">
        <v>4409</v>
      </c>
      <c r="D1806" t="s">
        <v>63</v>
      </c>
      <c r="E1806" t="s">
        <v>5469</v>
      </c>
      <c r="F1806" s="61">
        <v>36893</v>
      </c>
      <c r="G1806" s="15" t="s">
        <v>65</v>
      </c>
      <c r="H1806" t="s">
        <v>5470</v>
      </c>
      <c r="I1806" s="62" t="s">
        <v>5471</v>
      </c>
      <c r="K1806" s="36" t="s">
        <v>169</v>
      </c>
      <c r="L1806" t="s">
        <v>69</v>
      </c>
      <c r="M1806" s="62" t="s">
        <v>170</v>
      </c>
      <c r="N1806" t="s">
        <v>71</v>
      </c>
      <c r="O1806" t="str">
        <f>IFERROR(IF(Tbla_actores[[#This Row],[codigo_proyecto]]="","",_xlfn.XLOOKUP(Tbla_actores[[#This Row],[codigo_proyecto]],Proyectos!$A:$A,Proyectos!$C:$C)),"")</f>
        <v>NULOS</v>
      </c>
    </row>
    <row r="1807" spans="1:15">
      <c r="A1807" s="10">
        <v>1007475914</v>
      </c>
      <c r="B1807" s="64" t="s">
        <v>61</v>
      </c>
      <c r="C1807" s="62" t="s">
        <v>4409</v>
      </c>
      <c r="D1807" t="s">
        <v>63</v>
      </c>
      <c r="E1807" t="s">
        <v>5472</v>
      </c>
      <c r="F1807" s="61">
        <v>37303</v>
      </c>
      <c r="G1807" s="15" t="s">
        <v>65</v>
      </c>
      <c r="H1807" t="s">
        <v>5473</v>
      </c>
      <c r="I1807" s="62" t="s">
        <v>5474</v>
      </c>
      <c r="K1807" s="36" t="s">
        <v>169</v>
      </c>
      <c r="L1807" t="s">
        <v>69</v>
      </c>
      <c r="M1807" s="62" t="s">
        <v>170</v>
      </c>
      <c r="N1807" t="s">
        <v>71</v>
      </c>
      <c r="O1807" t="str">
        <f>IFERROR(IF(Tbla_actores[[#This Row],[codigo_proyecto]]="","",_xlfn.XLOOKUP(Tbla_actores[[#This Row],[codigo_proyecto]],Proyectos!$A:$A,Proyectos!$C:$C)),"")</f>
        <v>NULOS</v>
      </c>
    </row>
    <row r="1808" spans="1:15">
      <c r="A1808" s="9">
        <v>1001167909</v>
      </c>
      <c r="B1808" s="63" t="s">
        <v>61</v>
      </c>
      <c r="C1808" s="62" t="s">
        <v>4409</v>
      </c>
      <c r="D1808" t="s">
        <v>63</v>
      </c>
      <c r="E1808" t="s">
        <v>5475</v>
      </c>
      <c r="F1808" s="61">
        <v>36939</v>
      </c>
      <c r="G1808" s="15" t="s">
        <v>73</v>
      </c>
      <c r="H1808" t="s">
        <v>5476</v>
      </c>
      <c r="I1808" s="62" t="s">
        <v>5477</v>
      </c>
      <c r="K1808" s="36" t="s">
        <v>169</v>
      </c>
      <c r="L1808" t="s">
        <v>69</v>
      </c>
      <c r="M1808" s="62" t="s">
        <v>170</v>
      </c>
      <c r="N1808" t="s">
        <v>71</v>
      </c>
      <c r="O1808" t="str">
        <f>IFERROR(IF(Tbla_actores[[#This Row],[codigo_proyecto]]="","",_xlfn.XLOOKUP(Tbla_actores[[#This Row],[codigo_proyecto]],Proyectos!$A:$A,Proyectos!$C:$C)),"")</f>
        <v>NULOS</v>
      </c>
    </row>
    <row r="1809" spans="1:15">
      <c r="A1809" s="10">
        <v>1000066094</v>
      </c>
      <c r="B1809" s="64" t="s">
        <v>61</v>
      </c>
      <c r="C1809" s="62" t="s">
        <v>3329</v>
      </c>
      <c r="D1809" t="s">
        <v>63</v>
      </c>
      <c r="E1809" t="s">
        <v>5478</v>
      </c>
      <c r="F1809" s="61">
        <v>36947</v>
      </c>
      <c r="G1809" s="15" t="s">
        <v>73</v>
      </c>
      <c r="H1809" t="s">
        <v>5479</v>
      </c>
      <c r="I1809" s="62" t="s">
        <v>5480</v>
      </c>
      <c r="K1809" s="36" t="s">
        <v>169</v>
      </c>
      <c r="L1809" t="s">
        <v>69</v>
      </c>
      <c r="M1809" s="62" t="s">
        <v>170</v>
      </c>
      <c r="N1809" t="s">
        <v>71</v>
      </c>
      <c r="O1809" t="str">
        <f>IFERROR(IF(Tbla_actores[[#This Row],[codigo_proyecto]]="","",_xlfn.XLOOKUP(Tbla_actores[[#This Row],[codigo_proyecto]],Proyectos!$A:$A,Proyectos!$C:$C)),"")</f>
        <v>NULOS</v>
      </c>
    </row>
    <row r="1810" spans="1:15">
      <c r="A1810" s="9">
        <v>1000588662</v>
      </c>
      <c r="B1810" s="63" t="s">
        <v>61</v>
      </c>
      <c r="C1810" s="62" t="s">
        <v>4409</v>
      </c>
      <c r="D1810" t="s">
        <v>63</v>
      </c>
      <c r="E1810" t="s">
        <v>5481</v>
      </c>
      <c r="F1810" s="61">
        <v>36618</v>
      </c>
      <c r="G1810" s="15" t="s">
        <v>73</v>
      </c>
      <c r="H1810" t="s">
        <v>5482</v>
      </c>
      <c r="I1810" s="62" t="s">
        <v>5483</v>
      </c>
      <c r="K1810" s="36" t="s">
        <v>169</v>
      </c>
      <c r="L1810" t="s">
        <v>69</v>
      </c>
      <c r="M1810" s="62" t="s">
        <v>170</v>
      </c>
      <c r="N1810" t="s">
        <v>71</v>
      </c>
      <c r="O1810" t="str">
        <f>IFERROR(IF(Tbla_actores[[#This Row],[codigo_proyecto]]="","",_xlfn.XLOOKUP(Tbla_actores[[#This Row],[codigo_proyecto]],Proyectos!$A:$A,Proyectos!$C:$C)),"")</f>
        <v>NULOS</v>
      </c>
    </row>
    <row r="1811" spans="1:15">
      <c r="A1811" s="10">
        <v>1001852851</v>
      </c>
      <c r="B1811" s="64" t="s">
        <v>61</v>
      </c>
      <c r="C1811" s="62" t="s">
        <v>4409</v>
      </c>
      <c r="D1811" t="s">
        <v>63</v>
      </c>
      <c r="E1811" t="s">
        <v>5484</v>
      </c>
      <c r="F1811" s="61">
        <v>37340</v>
      </c>
      <c r="G1811" s="15" t="s">
        <v>65</v>
      </c>
      <c r="H1811" t="s">
        <v>5485</v>
      </c>
      <c r="I1811" s="62" t="s">
        <v>5486</v>
      </c>
      <c r="K1811" s="36" t="s">
        <v>169</v>
      </c>
      <c r="L1811" t="s">
        <v>69</v>
      </c>
      <c r="M1811" s="62" t="s">
        <v>170</v>
      </c>
      <c r="N1811" t="s">
        <v>71</v>
      </c>
      <c r="O1811" t="str">
        <f>IFERROR(IF(Tbla_actores[[#This Row],[codigo_proyecto]]="","",_xlfn.XLOOKUP(Tbla_actores[[#This Row],[codigo_proyecto]],Proyectos!$A:$A,Proyectos!$C:$C)),"")</f>
        <v>NULOS</v>
      </c>
    </row>
    <row r="1812" spans="1:15">
      <c r="A1812" s="9">
        <v>1001184091</v>
      </c>
      <c r="B1812" s="63" t="s">
        <v>61</v>
      </c>
      <c r="C1812" s="62" t="s">
        <v>4409</v>
      </c>
      <c r="D1812" t="s">
        <v>63</v>
      </c>
      <c r="E1812" t="s">
        <v>5487</v>
      </c>
      <c r="F1812" s="61">
        <v>36678</v>
      </c>
      <c r="G1812" s="15" t="s">
        <v>73</v>
      </c>
      <c r="H1812" t="s">
        <v>5488</v>
      </c>
      <c r="I1812" s="62" t="s">
        <v>5489</v>
      </c>
      <c r="K1812" s="36" t="s">
        <v>169</v>
      </c>
      <c r="L1812" t="s">
        <v>69</v>
      </c>
      <c r="M1812" s="62" t="s">
        <v>170</v>
      </c>
      <c r="N1812" t="s">
        <v>71</v>
      </c>
      <c r="O1812" t="str">
        <f>IFERROR(IF(Tbla_actores[[#This Row],[codigo_proyecto]]="","",_xlfn.XLOOKUP(Tbla_actores[[#This Row],[codigo_proyecto]],Proyectos!$A:$A,Proyectos!$C:$C)),"")</f>
        <v>NULOS</v>
      </c>
    </row>
    <row r="1813" spans="1:15">
      <c r="A1813" s="10">
        <v>1002479221</v>
      </c>
      <c r="B1813" s="64" t="s">
        <v>61</v>
      </c>
      <c r="C1813" s="62" t="s">
        <v>4409</v>
      </c>
      <c r="D1813" t="s">
        <v>63</v>
      </c>
      <c r="E1813" t="s">
        <v>5490</v>
      </c>
      <c r="F1813" s="61">
        <v>37135</v>
      </c>
      <c r="G1813" s="15" t="s">
        <v>73</v>
      </c>
      <c r="H1813" t="s">
        <v>5491</v>
      </c>
      <c r="I1813" s="62" t="s">
        <v>5492</v>
      </c>
      <c r="K1813" s="36" t="s">
        <v>169</v>
      </c>
      <c r="L1813" t="s">
        <v>69</v>
      </c>
      <c r="M1813" s="62" t="s">
        <v>170</v>
      </c>
      <c r="N1813" t="s">
        <v>71</v>
      </c>
      <c r="O1813" t="str">
        <f>IFERROR(IF(Tbla_actores[[#This Row],[codigo_proyecto]]="","",_xlfn.XLOOKUP(Tbla_actores[[#This Row],[codigo_proyecto]],Proyectos!$A:$A,Proyectos!$C:$C)),"")</f>
        <v>NULOS</v>
      </c>
    </row>
    <row r="1814" spans="1:15">
      <c r="A1814" s="9">
        <v>1000709219</v>
      </c>
      <c r="B1814" s="63" t="s">
        <v>61</v>
      </c>
      <c r="C1814" s="62" t="s">
        <v>4409</v>
      </c>
      <c r="D1814" t="s">
        <v>63</v>
      </c>
      <c r="E1814" t="s">
        <v>5493</v>
      </c>
      <c r="F1814" s="61">
        <v>37096</v>
      </c>
      <c r="G1814" s="15" t="s">
        <v>73</v>
      </c>
      <c r="H1814" t="s">
        <v>5494</v>
      </c>
      <c r="I1814" s="62" t="s">
        <v>5495</v>
      </c>
      <c r="K1814" s="36" t="s">
        <v>169</v>
      </c>
      <c r="L1814" t="s">
        <v>69</v>
      </c>
      <c r="M1814" s="62" t="s">
        <v>170</v>
      </c>
      <c r="N1814" t="s">
        <v>71</v>
      </c>
      <c r="O1814" t="str">
        <f>IFERROR(IF(Tbla_actores[[#This Row],[codigo_proyecto]]="","",_xlfn.XLOOKUP(Tbla_actores[[#This Row],[codigo_proyecto]],Proyectos!$A:$A,Proyectos!$C:$C)),"")</f>
        <v>NULOS</v>
      </c>
    </row>
    <row r="1815" spans="1:15">
      <c r="A1815" s="10">
        <v>1005105563</v>
      </c>
      <c r="B1815" s="64" t="s">
        <v>61</v>
      </c>
      <c r="C1815" s="62" t="s">
        <v>4409</v>
      </c>
      <c r="D1815" t="s">
        <v>63</v>
      </c>
      <c r="E1815" t="s">
        <v>5496</v>
      </c>
      <c r="F1815" s="61">
        <v>37110</v>
      </c>
      <c r="G1815" s="15" t="s">
        <v>73</v>
      </c>
      <c r="H1815" t="s">
        <v>5497</v>
      </c>
      <c r="I1815" s="62" t="s">
        <v>5498</v>
      </c>
      <c r="K1815" s="36" t="s">
        <v>169</v>
      </c>
      <c r="L1815" t="s">
        <v>69</v>
      </c>
      <c r="M1815" s="62" t="s">
        <v>170</v>
      </c>
      <c r="N1815" t="s">
        <v>71</v>
      </c>
      <c r="O1815" t="str">
        <f>IFERROR(IF(Tbla_actores[[#This Row],[codigo_proyecto]]="","",_xlfn.XLOOKUP(Tbla_actores[[#This Row],[codigo_proyecto]],Proyectos!$A:$A,Proyectos!$C:$C)),"")</f>
        <v>NULOS</v>
      </c>
    </row>
    <row r="1816" spans="1:15">
      <c r="A1816" s="9">
        <v>1000049404</v>
      </c>
      <c r="B1816" s="63" t="s">
        <v>61</v>
      </c>
      <c r="C1816" s="62" t="s">
        <v>4409</v>
      </c>
      <c r="D1816" t="s">
        <v>63</v>
      </c>
      <c r="E1816" t="s">
        <v>5499</v>
      </c>
      <c r="F1816" s="61">
        <v>37483</v>
      </c>
      <c r="G1816" s="15" t="s">
        <v>73</v>
      </c>
      <c r="H1816" t="s">
        <v>5500</v>
      </c>
      <c r="I1816" s="62" t="s">
        <v>5501</v>
      </c>
      <c r="K1816" s="36" t="s">
        <v>169</v>
      </c>
      <c r="L1816" t="s">
        <v>69</v>
      </c>
      <c r="M1816" s="62" t="s">
        <v>170</v>
      </c>
      <c r="N1816" t="s">
        <v>71</v>
      </c>
      <c r="O1816" t="str">
        <f>IFERROR(IF(Tbla_actores[[#This Row],[codigo_proyecto]]="","",_xlfn.XLOOKUP(Tbla_actores[[#This Row],[codigo_proyecto]],Proyectos!$A:$A,Proyectos!$C:$C)),"")</f>
        <v>NULOS</v>
      </c>
    </row>
    <row r="1817" spans="1:15">
      <c r="A1817" s="10">
        <v>1000519071</v>
      </c>
      <c r="B1817" s="64" t="s">
        <v>61</v>
      </c>
      <c r="C1817" s="62" t="s">
        <v>4409</v>
      </c>
      <c r="D1817" t="s">
        <v>63</v>
      </c>
      <c r="E1817" t="s">
        <v>5502</v>
      </c>
      <c r="F1817" s="61">
        <v>37546</v>
      </c>
      <c r="G1817" s="15" t="s">
        <v>65</v>
      </c>
      <c r="H1817" t="s">
        <v>5503</v>
      </c>
      <c r="I1817" s="62" t="s">
        <v>5504</v>
      </c>
      <c r="K1817" s="36" t="s">
        <v>169</v>
      </c>
      <c r="L1817" t="s">
        <v>69</v>
      </c>
      <c r="M1817" s="62" t="s">
        <v>170</v>
      </c>
      <c r="N1817" t="s">
        <v>71</v>
      </c>
      <c r="O1817" t="str">
        <f>IFERROR(IF(Tbla_actores[[#This Row],[codigo_proyecto]]="","",_xlfn.XLOOKUP(Tbla_actores[[#This Row],[codigo_proyecto]],Proyectos!$A:$A,Proyectos!$C:$C)),"")</f>
        <v>NULOS</v>
      </c>
    </row>
    <row r="1818" spans="1:15">
      <c r="A1818" s="9">
        <v>1001168578</v>
      </c>
      <c r="B1818" s="63" t="s">
        <v>61</v>
      </c>
      <c r="C1818" s="62" t="s">
        <v>4409</v>
      </c>
      <c r="D1818" t="s">
        <v>63</v>
      </c>
      <c r="E1818" t="s">
        <v>5505</v>
      </c>
      <c r="F1818" s="61">
        <v>37362</v>
      </c>
      <c r="G1818" s="15" t="s">
        <v>73</v>
      </c>
      <c r="H1818" t="s">
        <v>5506</v>
      </c>
      <c r="I1818" s="62" t="s">
        <v>5507</v>
      </c>
      <c r="K1818" s="36" t="s">
        <v>169</v>
      </c>
      <c r="L1818" t="s">
        <v>69</v>
      </c>
      <c r="M1818" s="62" t="s">
        <v>170</v>
      </c>
      <c r="N1818" t="s">
        <v>71</v>
      </c>
      <c r="O1818" t="str">
        <f>IFERROR(IF(Tbla_actores[[#This Row],[codigo_proyecto]]="","",_xlfn.XLOOKUP(Tbla_actores[[#This Row],[codigo_proyecto]],Proyectos!$A:$A,Proyectos!$C:$C)),"")</f>
        <v>NULOS</v>
      </c>
    </row>
    <row r="1819" spans="1:15">
      <c r="A1819" s="10">
        <v>1001169256</v>
      </c>
      <c r="B1819" s="64" t="s">
        <v>61</v>
      </c>
      <c r="C1819" s="62" t="s">
        <v>4409</v>
      </c>
      <c r="D1819" t="s">
        <v>63</v>
      </c>
      <c r="E1819" t="s">
        <v>5508</v>
      </c>
      <c r="F1819" s="61">
        <v>36556</v>
      </c>
      <c r="G1819" s="15" t="s">
        <v>65</v>
      </c>
      <c r="H1819" t="s">
        <v>5509</v>
      </c>
      <c r="I1819" s="62" t="s">
        <v>5510</v>
      </c>
      <c r="K1819" s="36" t="s">
        <v>169</v>
      </c>
      <c r="L1819" t="s">
        <v>69</v>
      </c>
      <c r="M1819" s="62" t="s">
        <v>170</v>
      </c>
      <c r="N1819" t="s">
        <v>71</v>
      </c>
      <c r="O1819" t="str">
        <f>IFERROR(IF(Tbla_actores[[#This Row],[codigo_proyecto]]="","",_xlfn.XLOOKUP(Tbla_actores[[#This Row],[codigo_proyecto]],Proyectos!$A:$A,Proyectos!$C:$C)),"")</f>
        <v>NULOS</v>
      </c>
    </row>
    <row r="1820" spans="1:15">
      <c r="A1820" s="9">
        <v>1001899892</v>
      </c>
      <c r="B1820" s="63" t="s">
        <v>61</v>
      </c>
      <c r="C1820" s="62" t="s">
        <v>4409</v>
      </c>
      <c r="D1820" t="s">
        <v>63</v>
      </c>
      <c r="E1820" t="s">
        <v>5511</v>
      </c>
      <c r="F1820" s="61">
        <v>37288</v>
      </c>
      <c r="G1820" s="15" t="s">
        <v>73</v>
      </c>
      <c r="H1820" t="s">
        <v>5512</v>
      </c>
      <c r="I1820" s="62" t="s">
        <v>5513</v>
      </c>
      <c r="K1820" s="36" t="s">
        <v>169</v>
      </c>
      <c r="L1820" t="s">
        <v>69</v>
      </c>
      <c r="M1820" s="62" t="s">
        <v>170</v>
      </c>
      <c r="N1820" t="s">
        <v>71</v>
      </c>
      <c r="O1820" t="str">
        <f>IFERROR(IF(Tbla_actores[[#This Row],[codigo_proyecto]]="","",_xlfn.XLOOKUP(Tbla_actores[[#This Row],[codigo_proyecto]],Proyectos!$A:$A,Proyectos!$C:$C)),"")</f>
        <v>NULOS</v>
      </c>
    </row>
    <row r="1821" spans="1:15">
      <c r="A1821" s="10">
        <v>1010060155</v>
      </c>
      <c r="B1821" s="64" t="s">
        <v>61</v>
      </c>
      <c r="C1821" s="62" t="s">
        <v>4409</v>
      </c>
      <c r="D1821" t="s">
        <v>63</v>
      </c>
      <c r="E1821" t="s">
        <v>5514</v>
      </c>
      <c r="F1821" s="61">
        <v>36913</v>
      </c>
      <c r="G1821" s="15" t="s">
        <v>73</v>
      </c>
      <c r="H1821" t="s">
        <v>5515</v>
      </c>
      <c r="I1821" s="62" t="s">
        <v>5516</v>
      </c>
      <c r="K1821" s="36" t="s">
        <v>169</v>
      </c>
      <c r="L1821" t="s">
        <v>69</v>
      </c>
      <c r="M1821" s="62" t="s">
        <v>170</v>
      </c>
      <c r="N1821" t="s">
        <v>71</v>
      </c>
      <c r="O1821" t="str">
        <f>IFERROR(IF(Tbla_actores[[#This Row],[codigo_proyecto]]="","",_xlfn.XLOOKUP(Tbla_actores[[#This Row],[codigo_proyecto]],Proyectos!$A:$A,Proyectos!$C:$C)),"")</f>
        <v>NULOS</v>
      </c>
    </row>
    <row r="1822" spans="1:15">
      <c r="A1822" s="9">
        <v>1010124567</v>
      </c>
      <c r="B1822" s="63" t="s">
        <v>61</v>
      </c>
      <c r="C1822" s="62" t="s">
        <v>4409</v>
      </c>
      <c r="D1822" t="s">
        <v>63</v>
      </c>
      <c r="E1822" t="s">
        <v>5517</v>
      </c>
      <c r="F1822" s="61">
        <v>36686</v>
      </c>
      <c r="G1822" s="15" t="s">
        <v>73</v>
      </c>
      <c r="H1822" t="s">
        <v>5518</v>
      </c>
      <c r="I1822" s="62" t="s">
        <v>5519</v>
      </c>
      <c r="K1822" s="36" t="s">
        <v>169</v>
      </c>
      <c r="L1822" t="s">
        <v>69</v>
      </c>
      <c r="M1822" s="62" t="s">
        <v>170</v>
      </c>
      <c r="N1822" t="s">
        <v>71</v>
      </c>
      <c r="O1822" t="str">
        <f>IFERROR(IF(Tbla_actores[[#This Row],[codigo_proyecto]]="","",_xlfn.XLOOKUP(Tbla_actores[[#This Row],[codigo_proyecto]],Proyectos!$A:$A,Proyectos!$C:$C)),"")</f>
        <v>NULOS</v>
      </c>
    </row>
    <row r="1823" spans="1:15">
      <c r="A1823" s="10">
        <v>1007476292</v>
      </c>
      <c r="B1823" s="64" t="s">
        <v>61</v>
      </c>
      <c r="C1823" s="62" t="s">
        <v>4409</v>
      </c>
      <c r="D1823" t="s">
        <v>63</v>
      </c>
      <c r="E1823" t="s">
        <v>5520</v>
      </c>
      <c r="F1823" s="61">
        <v>37186</v>
      </c>
      <c r="G1823" s="15" t="s">
        <v>73</v>
      </c>
      <c r="H1823" t="s">
        <v>5521</v>
      </c>
      <c r="I1823" s="62" t="s">
        <v>5522</v>
      </c>
      <c r="K1823" s="36" t="s">
        <v>169</v>
      </c>
      <c r="L1823" t="s">
        <v>69</v>
      </c>
      <c r="M1823" s="62" t="s">
        <v>170</v>
      </c>
      <c r="N1823" t="s">
        <v>71</v>
      </c>
      <c r="O1823" t="str">
        <f>IFERROR(IF(Tbla_actores[[#This Row],[codigo_proyecto]]="","",_xlfn.XLOOKUP(Tbla_actores[[#This Row],[codigo_proyecto]],Proyectos!$A:$A,Proyectos!$C:$C)),"")</f>
        <v>NULOS</v>
      </c>
    </row>
    <row r="1824" spans="1:15">
      <c r="A1824" s="9">
        <v>1018497430</v>
      </c>
      <c r="B1824" s="63" t="s">
        <v>61</v>
      </c>
      <c r="C1824" s="62" t="s">
        <v>4409</v>
      </c>
      <c r="D1824" t="s">
        <v>63</v>
      </c>
      <c r="E1824" t="s">
        <v>5523</v>
      </c>
      <c r="F1824" s="61">
        <v>35693</v>
      </c>
      <c r="G1824" s="15" t="s">
        <v>65</v>
      </c>
      <c r="H1824" t="s">
        <v>5524</v>
      </c>
      <c r="I1824" s="62" t="s">
        <v>5525</v>
      </c>
      <c r="K1824" s="36" t="s">
        <v>169</v>
      </c>
      <c r="L1824" t="s">
        <v>69</v>
      </c>
      <c r="M1824" s="62" t="s">
        <v>170</v>
      </c>
      <c r="N1824" t="s">
        <v>71</v>
      </c>
      <c r="O1824" t="str">
        <f>IFERROR(IF(Tbla_actores[[#This Row],[codigo_proyecto]]="","",_xlfn.XLOOKUP(Tbla_actores[[#This Row],[codigo_proyecto]],Proyectos!$A:$A,Proyectos!$C:$C)),"")</f>
        <v>NULOS</v>
      </c>
    </row>
    <row r="1825" spans="1:15">
      <c r="A1825" s="10">
        <v>1026307400</v>
      </c>
      <c r="B1825" s="64" t="s">
        <v>61</v>
      </c>
      <c r="C1825" s="62" t="s">
        <v>5526</v>
      </c>
      <c r="D1825" t="s">
        <v>63</v>
      </c>
      <c r="E1825" t="s">
        <v>5527</v>
      </c>
      <c r="F1825" s="61">
        <v>36469</v>
      </c>
      <c r="G1825" s="15" t="s">
        <v>73</v>
      </c>
      <c r="H1825" t="s">
        <v>5528</v>
      </c>
      <c r="I1825" s="62" t="s">
        <v>5529</v>
      </c>
      <c r="K1825" s="36" t="s">
        <v>1489</v>
      </c>
      <c r="L1825" t="s">
        <v>69</v>
      </c>
      <c r="M1825" s="62" t="s">
        <v>70</v>
      </c>
      <c r="N1825" t="s">
        <v>71</v>
      </c>
      <c r="O1825" t="str">
        <f>IFERROR(IF(Tbla_actores[[#This Row],[codigo_proyecto]]="","",_xlfn.XLOOKUP(Tbla_actores[[#This Row],[codigo_proyecto]],Proyectos!$A:$A,Proyectos!$C:$C)),"")</f>
        <v>NULOS</v>
      </c>
    </row>
    <row r="1826" spans="1:15">
      <c r="A1826" s="9">
        <v>1032496664</v>
      </c>
      <c r="B1826" s="63" t="s">
        <v>61</v>
      </c>
      <c r="C1826" s="62" t="s">
        <v>5526</v>
      </c>
      <c r="D1826" t="s">
        <v>63</v>
      </c>
      <c r="E1826" t="s">
        <v>5530</v>
      </c>
      <c r="F1826" s="61">
        <v>35858</v>
      </c>
      <c r="G1826" s="15" t="s">
        <v>73</v>
      </c>
      <c r="H1826" t="s">
        <v>5531</v>
      </c>
      <c r="I1826" s="62" t="s">
        <v>5532</v>
      </c>
      <c r="K1826" s="36" t="s">
        <v>1489</v>
      </c>
      <c r="L1826" t="s">
        <v>69</v>
      </c>
      <c r="M1826" s="62" t="s">
        <v>70</v>
      </c>
      <c r="N1826" t="s">
        <v>71</v>
      </c>
      <c r="O1826" t="str">
        <f>IFERROR(IF(Tbla_actores[[#This Row],[codigo_proyecto]]="","",_xlfn.XLOOKUP(Tbla_actores[[#This Row],[codigo_proyecto]],Proyectos!$A:$A,Proyectos!$C:$C)),"")</f>
        <v>NULOS</v>
      </c>
    </row>
    <row r="1827" spans="1:15">
      <c r="A1827" s="10">
        <v>1010230779</v>
      </c>
      <c r="B1827" s="64" t="s">
        <v>61</v>
      </c>
      <c r="C1827" s="62" t="s">
        <v>5526</v>
      </c>
      <c r="D1827" t="s">
        <v>63</v>
      </c>
      <c r="E1827" t="s">
        <v>5533</v>
      </c>
      <c r="F1827" s="61">
        <v>35362</v>
      </c>
      <c r="G1827" s="15" t="s">
        <v>73</v>
      </c>
      <c r="H1827" t="s">
        <v>5534</v>
      </c>
      <c r="I1827" s="62" t="s">
        <v>5535</v>
      </c>
      <c r="K1827" s="36" t="s">
        <v>1489</v>
      </c>
      <c r="L1827" t="s">
        <v>69</v>
      </c>
      <c r="M1827" s="62" t="s">
        <v>70</v>
      </c>
      <c r="N1827" t="s">
        <v>71</v>
      </c>
      <c r="O1827" t="str">
        <f>IFERROR(IF(Tbla_actores[[#This Row],[codigo_proyecto]]="","",_xlfn.XLOOKUP(Tbla_actores[[#This Row],[codigo_proyecto]],Proyectos!$A:$A,Proyectos!$C:$C)),"")</f>
        <v>NULOS</v>
      </c>
    </row>
    <row r="1828" spans="1:15">
      <c r="A1828" s="9">
        <v>1007646810</v>
      </c>
      <c r="B1828" s="63" t="s">
        <v>61</v>
      </c>
      <c r="C1828" s="62" t="s">
        <v>5526</v>
      </c>
      <c r="D1828" t="s">
        <v>63</v>
      </c>
      <c r="E1828" t="s">
        <v>5536</v>
      </c>
      <c r="F1828" s="61">
        <v>36587</v>
      </c>
      <c r="G1828" s="15" t="s">
        <v>73</v>
      </c>
      <c r="H1828" t="s">
        <v>5537</v>
      </c>
      <c r="I1828" s="62" t="s">
        <v>5538</v>
      </c>
      <c r="K1828" s="36" t="s">
        <v>1489</v>
      </c>
      <c r="L1828" t="s">
        <v>69</v>
      </c>
      <c r="M1828" s="62" t="s">
        <v>70</v>
      </c>
      <c r="N1828" t="s">
        <v>71</v>
      </c>
      <c r="O1828" t="str">
        <f>IFERROR(IF(Tbla_actores[[#This Row],[codigo_proyecto]]="","",_xlfn.XLOOKUP(Tbla_actores[[#This Row],[codigo_proyecto]],Proyectos!$A:$A,Proyectos!$C:$C)),"")</f>
        <v>NULOS</v>
      </c>
    </row>
    <row r="1829" spans="1:15">
      <c r="A1829" s="10">
        <v>1001067356</v>
      </c>
      <c r="B1829" s="64" t="s">
        <v>61</v>
      </c>
      <c r="C1829" s="62" t="s">
        <v>5526</v>
      </c>
      <c r="D1829" t="s">
        <v>63</v>
      </c>
      <c r="E1829" t="s">
        <v>5539</v>
      </c>
      <c r="F1829" s="61">
        <v>36991</v>
      </c>
      <c r="G1829" s="15" t="s">
        <v>73</v>
      </c>
      <c r="H1829" t="s">
        <v>5540</v>
      </c>
      <c r="I1829" s="62" t="s">
        <v>5541</v>
      </c>
      <c r="K1829" s="36" t="s">
        <v>1489</v>
      </c>
      <c r="L1829" t="s">
        <v>69</v>
      </c>
      <c r="M1829" s="62" t="s">
        <v>70</v>
      </c>
      <c r="N1829" t="s">
        <v>71</v>
      </c>
      <c r="O1829" t="str">
        <f>IFERROR(IF(Tbla_actores[[#This Row],[codigo_proyecto]]="","",_xlfn.XLOOKUP(Tbla_actores[[#This Row],[codigo_proyecto]],Proyectos!$A:$A,Proyectos!$C:$C)),"")</f>
        <v>NULOS</v>
      </c>
    </row>
    <row r="1830" spans="1:15">
      <c r="A1830" s="9">
        <v>1001317462</v>
      </c>
      <c r="B1830" s="63" t="s">
        <v>61</v>
      </c>
      <c r="C1830" s="62" t="s">
        <v>5526</v>
      </c>
      <c r="D1830" t="s">
        <v>63</v>
      </c>
      <c r="E1830" t="s">
        <v>5542</v>
      </c>
      <c r="F1830" s="61">
        <v>36794</v>
      </c>
      <c r="G1830" s="15" t="s">
        <v>73</v>
      </c>
      <c r="H1830" t="s">
        <v>5543</v>
      </c>
      <c r="I1830" s="62" t="s">
        <v>5544</v>
      </c>
      <c r="K1830" s="36" t="s">
        <v>1489</v>
      </c>
      <c r="L1830" t="s">
        <v>69</v>
      </c>
      <c r="M1830" s="62" t="s">
        <v>70</v>
      </c>
      <c r="N1830" t="s">
        <v>71</v>
      </c>
      <c r="O1830" t="str">
        <f>IFERROR(IF(Tbla_actores[[#This Row],[codigo_proyecto]]="","",_xlfn.XLOOKUP(Tbla_actores[[#This Row],[codigo_proyecto]],Proyectos!$A:$A,Proyectos!$C:$C)),"")</f>
        <v>NULOS</v>
      </c>
    </row>
    <row r="1831" spans="1:15">
      <c r="A1831" s="10">
        <v>1043302940</v>
      </c>
      <c r="B1831" s="64" t="s">
        <v>61</v>
      </c>
      <c r="C1831" s="62" t="s">
        <v>5526</v>
      </c>
      <c r="D1831" t="s">
        <v>63</v>
      </c>
      <c r="E1831" t="s">
        <v>5545</v>
      </c>
      <c r="F1831" s="61">
        <v>36323</v>
      </c>
      <c r="G1831" s="15" t="s">
        <v>73</v>
      </c>
      <c r="H1831" t="s">
        <v>5546</v>
      </c>
      <c r="I1831" s="62" t="s">
        <v>5547</v>
      </c>
      <c r="K1831" s="36" t="s">
        <v>1489</v>
      </c>
      <c r="L1831" t="s">
        <v>69</v>
      </c>
      <c r="M1831" s="62" t="s">
        <v>70</v>
      </c>
      <c r="N1831" t="s">
        <v>71</v>
      </c>
      <c r="O1831" t="str">
        <f>IFERROR(IF(Tbla_actores[[#This Row],[codigo_proyecto]]="","",_xlfn.XLOOKUP(Tbla_actores[[#This Row],[codigo_proyecto]],Proyectos!$A:$A,Proyectos!$C:$C)),"")</f>
        <v>NULOS</v>
      </c>
    </row>
    <row r="1832" spans="1:15">
      <c r="A1832" s="9">
        <v>1002329531</v>
      </c>
      <c r="B1832" s="63" t="s">
        <v>61</v>
      </c>
      <c r="C1832" s="62" t="s">
        <v>5526</v>
      </c>
      <c r="D1832" t="s">
        <v>63</v>
      </c>
      <c r="E1832" t="s">
        <v>5548</v>
      </c>
      <c r="F1832" s="61">
        <v>36973</v>
      </c>
      <c r="G1832" s="15" t="s">
        <v>73</v>
      </c>
      <c r="H1832" t="s">
        <v>5549</v>
      </c>
      <c r="I1832" s="62" t="s">
        <v>5550</v>
      </c>
      <c r="K1832" s="36" t="s">
        <v>1489</v>
      </c>
      <c r="L1832" t="s">
        <v>69</v>
      </c>
      <c r="M1832" s="62" t="s">
        <v>70</v>
      </c>
      <c r="N1832" t="s">
        <v>71</v>
      </c>
      <c r="O1832" t="str">
        <f>IFERROR(IF(Tbla_actores[[#This Row],[codigo_proyecto]]="","",_xlfn.XLOOKUP(Tbla_actores[[#This Row],[codigo_proyecto]],Proyectos!$A:$A,Proyectos!$C:$C)),"")</f>
        <v>NULOS</v>
      </c>
    </row>
    <row r="1833" spans="1:15">
      <c r="A1833" s="10">
        <v>1010115672</v>
      </c>
      <c r="B1833" s="64" t="s">
        <v>61</v>
      </c>
      <c r="C1833" s="62" t="s">
        <v>5526</v>
      </c>
      <c r="D1833" t="s">
        <v>63</v>
      </c>
      <c r="E1833" t="s">
        <v>5551</v>
      </c>
      <c r="F1833" s="61">
        <v>37023</v>
      </c>
      <c r="G1833" s="15" t="s">
        <v>73</v>
      </c>
      <c r="H1833" t="s">
        <v>5552</v>
      </c>
      <c r="I1833" s="62" t="s">
        <v>5553</v>
      </c>
      <c r="K1833" s="36" t="s">
        <v>1489</v>
      </c>
      <c r="L1833" t="s">
        <v>69</v>
      </c>
      <c r="M1833" s="62" t="s">
        <v>70</v>
      </c>
      <c r="N1833" t="s">
        <v>71</v>
      </c>
      <c r="O1833" t="str">
        <f>IFERROR(IF(Tbla_actores[[#This Row],[codigo_proyecto]]="","",_xlfn.XLOOKUP(Tbla_actores[[#This Row],[codigo_proyecto]],Proyectos!$A:$A,Proyectos!$C:$C)),"")</f>
        <v>NULOS</v>
      </c>
    </row>
    <row r="1834" spans="1:15">
      <c r="A1834" s="9">
        <v>1019148431</v>
      </c>
      <c r="B1834" s="63" t="s">
        <v>61</v>
      </c>
      <c r="C1834" s="62" t="s">
        <v>5526</v>
      </c>
      <c r="D1834" t="s">
        <v>63</v>
      </c>
      <c r="E1834" t="s">
        <v>5554</v>
      </c>
      <c r="F1834" s="61">
        <v>36270</v>
      </c>
      <c r="G1834" s="15" t="s">
        <v>73</v>
      </c>
      <c r="H1834" t="s">
        <v>5555</v>
      </c>
      <c r="I1834" s="62" t="s">
        <v>5556</v>
      </c>
      <c r="K1834" s="36" t="s">
        <v>1489</v>
      </c>
      <c r="L1834" t="s">
        <v>69</v>
      </c>
      <c r="M1834" s="62" t="s">
        <v>70</v>
      </c>
      <c r="N1834" t="s">
        <v>71</v>
      </c>
      <c r="O1834" t="str">
        <f>IFERROR(IF(Tbla_actores[[#This Row],[codigo_proyecto]]="","",_xlfn.XLOOKUP(Tbla_actores[[#This Row],[codigo_proyecto]],Proyectos!$A:$A,Proyectos!$C:$C)),"")</f>
        <v>NULOS</v>
      </c>
    </row>
    <row r="1835" spans="1:15">
      <c r="A1835" s="10">
        <v>1000506247</v>
      </c>
      <c r="B1835" s="64" t="s">
        <v>61</v>
      </c>
      <c r="C1835" s="62" t="s">
        <v>5526</v>
      </c>
      <c r="D1835" t="s">
        <v>63</v>
      </c>
      <c r="E1835" t="s">
        <v>5557</v>
      </c>
      <c r="F1835" s="61">
        <v>37198</v>
      </c>
      <c r="G1835" s="15" t="s">
        <v>65</v>
      </c>
      <c r="H1835" t="s">
        <v>5558</v>
      </c>
      <c r="I1835" s="62" t="s">
        <v>5559</v>
      </c>
      <c r="K1835" s="36" t="s">
        <v>1489</v>
      </c>
      <c r="L1835" t="s">
        <v>69</v>
      </c>
      <c r="M1835" s="62" t="s">
        <v>70</v>
      </c>
      <c r="N1835" t="s">
        <v>71</v>
      </c>
      <c r="O1835" t="str">
        <f>IFERROR(IF(Tbla_actores[[#This Row],[codigo_proyecto]]="","",_xlfn.XLOOKUP(Tbla_actores[[#This Row],[codigo_proyecto]],Proyectos!$A:$A,Proyectos!$C:$C)),"")</f>
        <v>NULOS</v>
      </c>
    </row>
    <row r="1836" spans="1:15">
      <c r="A1836" s="9">
        <v>1004961070</v>
      </c>
      <c r="B1836" s="63" t="s">
        <v>61</v>
      </c>
      <c r="C1836" s="62" t="s">
        <v>5526</v>
      </c>
      <c r="D1836" t="s">
        <v>63</v>
      </c>
      <c r="E1836" t="s">
        <v>5560</v>
      </c>
      <c r="F1836" s="61">
        <v>37457</v>
      </c>
      <c r="G1836" s="15" t="s">
        <v>65</v>
      </c>
      <c r="H1836" t="s">
        <v>5561</v>
      </c>
      <c r="I1836" s="62" t="s">
        <v>5562</v>
      </c>
      <c r="K1836" s="36" t="s">
        <v>1489</v>
      </c>
      <c r="L1836" t="s">
        <v>69</v>
      </c>
      <c r="M1836" s="62" t="s">
        <v>70</v>
      </c>
      <c r="N1836" t="s">
        <v>71</v>
      </c>
      <c r="O1836" t="str">
        <f>IFERROR(IF(Tbla_actores[[#This Row],[codigo_proyecto]]="","",_xlfn.XLOOKUP(Tbla_actores[[#This Row],[codigo_proyecto]],Proyectos!$A:$A,Proyectos!$C:$C)),"")</f>
        <v>NULOS</v>
      </c>
    </row>
    <row r="1837" spans="1:15">
      <c r="A1837" s="10">
        <v>1010041941</v>
      </c>
      <c r="B1837" s="64" t="s">
        <v>61</v>
      </c>
      <c r="C1837" s="62" t="s">
        <v>5526</v>
      </c>
      <c r="D1837" t="s">
        <v>63</v>
      </c>
      <c r="E1837" t="s">
        <v>5563</v>
      </c>
      <c r="F1837" s="61">
        <v>36809</v>
      </c>
      <c r="G1837" s="15" t="s">
        <v>73</v>
      </c>
      <c r="H1837" t="s">
        <v>5564</v>
      </c>
      <c r="I1837" s="62" t="s">
        <v>5565</v>
      </c>
      <c r="K1837" s="36" t="s">
        <v>1489</v>
      </c>
      <c r="L1837" t="s">
        <v>69</v>
      </c>
      <c r="M1837" s="62" t="s">
        <v>70</v>
      </c>
      <c r="N1837" t="s">
        <v>71</v>
      </c>
      <c r="O1837" t="str">
        <f>IFERROR(IF(Tbla_actores[[#This Row],[codigo_proyecto]]="","",_xlfn.XLOOKUP(Tbla_actores[[#This Row],[codigo_proyecto]],Proyectos!$A:$A,Proyectos!$C:$C)),"")</f>
        <v>NULOS</v>
      </c>
    </row>
    <row r="1838" spans="1:15">
      <c r="A1838" s="9">
        <v>1000454651</v>
      </c>
      <c r="B1838" s="63" t="s">
        <v>61</v>
      </c>
      <c r="C1838" s="62" t="s">
        <v>5526</v>
      </c>
      <c r="D1838" t="s">
        <v>63</v>
      </c>
      <c r="E1838" t="s">
        <v>5566</v>
      </c>
      <c r="F1838" s="61">
        <v>37117</v>
      </c>
      <c r="G1838" s="15" t="s">
        <v>65</v>
      </c>
      <c r="H1838" t="s">
        <v>5567</v>
      </c>
      <c r="I1838" s="62" t="s">
        <v>5568</v>
      </c>
      <c r="K1838" s="36" t="s">
        <v>1489</v>
      </c>
      <c r="L1838" t="s">
        <v>69</v>
      </c>
      <c r="M1838" s="62" t="s">
        <v>70</v>
      </c>
      <c r="N1838" t="s">
        <v>71</v>
      </c>
      <c r="O1838" t="str">
        <f>IFERROR(IF(Tbla_actores[[#This Row],[codigo_proyecto]]="","",_xlfn.XLOOKUP(Tbla_actores[[#This Row],[codigo_proyecto]],Proyectos!$A:$A,Proyectos!$C:$C)),"")</f>
        <v>NULOS</v>
      </c>
    </row>
    <row r="1839" spans="1:15">
      <c r="A1839" s="10">
        <v>1010115672</v>
      </c>
      <c r="B1839" s="64" t="s">
        <v>61</v>
      </c>
      <c r="C1839" s="62" t="s">
        <v>5526</v>
      </c>
      <c r="D1839" t="s">
        <v>63</v>
      </c>
      <c r="E1839" t="s">
        <v>5551</v>
      </c>
      <c r="F1839" s="61">
        <v>37023</v>
      </c>
      <c r="G1839" s="15" t="s">
        <v>73</v>
      </c>
      <c r="H1839" t="s">
        <v>5552</v>
      </c>
      <c r="I1839" s="62" t="s">
        <v>5553</v>
      </c>
      <c r="K1839" s="36" t="s">
        <v>1489</v>
      </c>
      <c r="L1839" t="s">
        <v>69</v>
      </c>
      <c r="M1839" s="62" t="s">
        <v>70</v>
      </c>
      <c r="N1839" t="s">
        <v>71</v>
      </c>
      <c r="O1839" t="str">
        <f>IFERROR(IF(Tbla_actores[[#This Row],[codigo_proyecto]]="","",_xlfn.XLOOKUP(Tbla_actores[[#This Row],[codigo_proyecto]],Proyectos!$A:$A,Proyectos!$C:$C)),"")</f>
        <v>NULOS</v>
      </c>
    </row>
    <row r="1840" spans="1:15">
      <c r="A1840" s="9">
        <v>1000506247</v>
      </c>
      <c r="B1840" s="63" t="s">
        <v>61</v>
      </c>
      <c r="C1840" s="62" t="s">
        <v>5526</v>
      </c>
      <c r="D1840" t="s">
        <v>63</v>
      </c>
      <c r="E1840" t="s">
        <v>5557</v>
      </c>
      <c r="F1840" s="61">
        <v>37198</v>
      </c>
      <c r="G1840" s="15" t="s">
        <v>65</v>
      </c>
      <c r="H1840" t="s">
        <v>5558</v>
      </c>
      <c r="I1840" s="62" t="s">
        <v>5559</v>
      </c>
      <c r="K1840" s="36" t="s">
        <v>1489</v>
      </c>
      <c r="L1840" t="s">
        <v>69</v>
      </c>
      <c r="M1840" s="62" t="s">
        <v>70</v>
      </c>
      <c r="N1840" t="s">
        <v>71</v>
      </c>
      <c r="O1840" t="str">
        <f>IFERROR(IF(Tbla_actores[[#This Row],[codigo_proyecto]]="","",_xlfn.XLOOKUP(Tbla_actores[[#This Row],[codigo_proyecto]],Proyectos!$A:$A,Proyectos!$C:$C)),"")</f>
        <v>NULOS</v>
      </c>
    </row>
    <row r="1841" spans="1:15">
      <c r="A1841" s="10">
        <v>1004961070</v>
      </c>
      <c r="B1841" s="64" t="s">
        <v>61</v>
      </c>
      <c r="C1841" s="62" t="s">
        <v>5526</v>
      </c>
      <c r="D1841" t="s">
        <v>63</v>
      </c>
      <c r="E1841" t="s">
        <v>5560</v>
      </c>
      <c r="F1841" s="61">
        <v>37457</v>
      </c>
      <c r="G1841" s="15" t="s">
        <v>65</v>
      </c>
      <c r="H1841" t="s">
        <v>5561</v>
      </c>
      <c r="I1841" s="62" t="s">
        <v>5562</v>
      </c>
      <c r="K1841" s="36" t="s">
        <v>1489</v>
      </c>
      <c r="L1841" t="s">
        <v>69</v>
      </c>
      <c r="M1841" s="62" t="s">
        <v>70</v>
      </c>
      <c r="N1841" t="s">
        <v>71</v>
      </c>
      <c r="O1841" t="str">
        <f>IFERROR(IF(Tbla_actores[[#This Row],[codigo_proyecto]]="","",_xlfn.XLOOKUP(Tbla_actores[[#This Row],[codigo_proyecto]],Proyectos!$A:$A,Proyectos!$C:$C)),"")</f>
        <v>NULOS</v>
      </c>
    </row>
    <row r="1842" spans="1:15">
      <c r="A1842" s="9">
        <v>1010122842</v>
      </c>
      <c r="B1842" s="63" t="s">
        <v>61</v>
      </c>
      <c r="C1842" s="62" t="s">
        <v>5526</v>
      </c>
      <c r="D1842" t="s">
        <v>63</v>
      </c>
      <c r="E1842" t="s">
        <v>5569</v>
      </c>
      <c r="F1842" s="61">
        <v>36771</v>
      </c>
      <c r="G1842" s="15" t="s">
        <v>73</v>
      </c>
      <c r="H1842" t="s">
        <v>5570</v>
      </c>
      <c r="I1842" s="62" t="s">
        <v>5571</v>
      </c>
      <c r="K1842" s="36" t="s">
        <v>1489</v>
      </c>
      <c r="L1842" t="s">
        <v>69</v>
      </c>
      <c r="M1842" s="62" t="s">
        <v>70</v>
      </c>
      <c r="N1842" t="s">
        <v>71</v>
      </c>
      <c r="O1842" t="str">
        <f>IFERROR(IF(Tbla_actores[[#This Row],[codigo_proyecto]]="","",_xlfn.XLOOKUP(Tbla_actores[[#This Row],[codigo_proyecto]],Proyectos!$A:$A,Proyectos!$C:$C)),"")</f>
        <v>NULOS</v>
      </c>
    </row>
    <row r="1843" spans="1:15">
      <c r="A1843" s="10">
        <v>1019148431</v>
      </c>
      <c r="B1843" s="64" t="s">
        <v>61</v>
      </c>
      <c r="C1843" s="62" t="s">
        <v>5526</v>
      </c>
      <c r="D1843" t="s">
        <v>63</v>
      </c>
      <c r="E1843" t="s">
        <v>5554</v>
      </c>
      <c r="F1843" s="61">
        <v>36270</v>
      </c>
      <c r="G1843" s="15" t="s">
        <v>73</v>
      </c>
      <c r="H1843" t="s">
        <v>5555</v>
      </c>
      <c r="I1843" s="62" t="s">
        <v>5556</v>
      </c>
      <c r="K1843" s="36" t="s">
        <v>1489</v>
      </c>
      <c r="L1843" t="s">
        <v>69</v>
      </c>
      <c r="M1843" s="62" t="s">
        <v>70</v>
      </c>
      <c r="N1843" t="s">
        <v>71</v>
      </c>
      <c r="O1843" t="str">
        <f>IFERROR(IF(Tbla_actores[[#This Row],[codigo_proyecto]]="","",_xlfn.XLOOKUP(Tbla_actores[[#This Row],[codigo_proyecto]],Proyectos!$A:$A,Proyectos!$C:$C)),"")</f>
        <v>NULOS</v>
      </c>
    </row>
    <row r="1844" spans="1:15">
      <c r="A1844" s="9">
        <v>1010041941</v>
      </c>
      <c r="B1844" s="63" t="s">
        <v>61</v>
      </c>
      <c r="C1844" s="62" t="s">
        <v>5526</v>
      </c>
      <c r="D1844" t="s">
        <v>63</v>
      </c>
      <c r="E1844" t="s">
        <v>5563</v>
      </c>
      <c r="F1844" s="61">
        <v>36809</v>
      </c>
      <c r="G1844" s="15" t="s">
        <v>73</v>
      </c>
      <c r="H1844" t="s">
        <v>5564</v>
      </c>
      <c r="I1844" s="62" t="s">
        <v>5565</v>
      </c>
      <c r="K1844" s="36" t="s">
        <v>1489</v>
      </c>
      <c r="L1844" t="s">
        <v>69</v>
      </c>
      <c r="M1844" s="62" t="s">
        <v>70</v>
      </c>
      <c r="N1844" t="s">
        <v>71</v>
      </c>
      <c r="O1844" t="str">
        <f>IFERROR(IF(Tbla_actores[[#This Row],[codigo_proyecto]]="","",_xlfn.XLOOKUP(Tbla_actores[[#This Row],[codigo_proyecto]],Proyectos!$A:$A,Proyectos!$C:$C)),"")</f>
        <v>NULOS</v>
      </c>
    </row>
    <row r="1845" spans="1:15">
      <c r="A1845" s="10">
        <v>1000454651</v>
      </c>
      <c r="B1845" s="64" t="s">
        <v>61</v>
      </c>
      <c r="C1845" s="62" t="s">
        <v>5526</v>
      </c>
      <c r="D1845" t="s">
        <v>63</v>
      </c>
      <c r="E1845" t="s">
        <v>5566</v>
      </c>
      <c r="F1845" s="61">
        <v>37117</v>
      </c>
      <c r="G1845" s="15" t="s">
        <v>65</v>
      </c>
      <c r="H1845" t="s">
        <v>5567</v>
      </c>
      <c r="I1845" s="62" t="s">
        <v>5568</v>
      </c>
      <c r="K1845" s="36" t="s">
        <v>1489</v>
      </c>
      <c r="L1845" t="s">
        <v>69</v>
      </c>
      <c r="M1845" s="62" t="s">
        <v>70</v>
      </c>
      <c r="N1845" t="s">
        <v>71</v>
      </c>
      <c r="O1845" t="str">
        <f>IFERROR(IF(Tbla_actores[[#This Row],[codigo_proyecto]]="","",_xlfn.XLOOKUP(Tbla_actores[[#This Row],[codigo_proyecto]],Proyectos!$A:$A,Proyectos!$C:$C)),"")</f>
        <v>NULOS</v>
      </c>
    </row>
    <row r="1846" spans="1:15">
      <c r="A1846" s="9">
        <v>1007423508</v>
      </c>
      <c r="B1846" s="63" t="s">
        <v>61</v>
      </c>
      <c r="C1846" s="62" t="s">
        <v>5526</v>
      </c>
      <c r="D1846" t="s">
        <v>63</v>
      </c>
      <c r="E1846" t="s">
        <v>5572</v>
      </c>
      <c r="F1846" s="61">
        <v>36671</v>
      </c>
      <c r="G1846" s="15" t="s">
        <v>73</v>
      </c>
      <c r="H1846" t="s">
        <v>5573</v>
      </c>
      <c r="I1846" s="62" t="s">
        <v>5574</v>
      </c>
      <c r="K1846" s="36" t="s">
        <v>1489</v>
      </c>
      <c r="L1846" t="s">
        <v>69</v>
      </c>
      <c r="M1846" s="62" t="s">
        <v>70</v>
      </c>
      <c r="N1846" t="s">
        <v>71</v>
      </c>
      <c r="O1846" t="str">
        <f>IFERROR(IF(Tbla_actores[[#This Row],[codigo_proyecto]]="","",_xlfn.XLOOKUP(Tbla_actores[[#This Row],[codigo_proyecto]],Proyectos!$A:$A,Proyectos!$C:$C)),"")</f>
        <v>NULOS</v>
      </c>
    </row>
    <row r="1847" spans="1:15">
      <c r="A1847" s="10">
        <v>1001317462</v>
      </c>
      <c r="B1847" s="64" t="s">
        <v>61</v>
      </c>
      <c r="C1847" s="62" t="s">
        <v>5526</v>
      </c>
      <c r="D1847" t="s">
        <v>63</v>
      </c>
      <c r="E1847" t="s">
        <v>5542</v>
      </c>
      <c r="F1847" s="61">
        <v>36794</v>
      </c>
      <c r="G1847" s="15" t="s">
        <v>73</v>
      </c>
      <c r="H1847" t="s">
        <v>5543</v>
      </c>
      <c r="I1847" s="62" t="s">
        <v>5544</v>
      </c>
      <c r="K1847" s="36" t="s">
        <v>1489</v>
      </c>
      <c r="L1847" t="s">
        <v>69</v>
      </c>
      <c r="M1847" s="62" t="s">
        <v>70</v>
      </c>
      <c r="N1847" t="s">
        <v>71</v>
      </c>
      <c r="O1847" t="str">
        <f>IFERROR(IF(Tbla_actores[[#This Row],[codigo_proyecto]]="","",_xlfn.XLOOKUP(Tbla_actores[[#This Row],[codigo_proyecto]],Proyectos!$A:$A,Proyectos!$C:$C)),"")</f>
        <v>NULOS</v>
      </c>
    </row>
    <row r="1848" spans="1:15">
      <c r="A1848" s="9">
        <v>1002329531</v>
      </c>
      <c r="B1848" s="63" t="s">
        <v>61</v>
      </c>
      <c r="C1848" s="62" t="s">
        <v>5526</v>
      </c>
      <c r="D1848" t="s">
        <v>63</v>
      </c>
      <c r="E1848" t="s">
        <v>5548</v>
      </c>
      <c r="F1848" s="61">
        <v>36973</v>
      </c>
      <c r="G1848" s="15" t="s">
        <v>73</v>
      </c>
      <c r="H1848" t="s">
        <v>5549</v>
      </c>
      <c r="I1848" s="62" t="s">
        <v>5550</v>
      </c>
      <c r="K1848" s="36" t="s">
        <v>1489</v>
      </c>
      <c r="L1848" t="s">
        <v>69</v>
      </c>
      <c r="M1848" s="62" t="s">
        <v>70</v>
      </c>
      <c r="N1848" t="s">
        <v>71</v>
      </c>
      <c r="O1848" t="str">
        <f>IFERROR(IF(Tbla_actores[[#This Row],[codigo_proyecto]]="","",_xlfn.XLOOKUP(Tbla_actores[[#This Row],[codigo_proyecto]],Proyectos!$A:$A,Proyectos!$C:$C)),"")</f>
        <v>NULOS</v>
      </c>
    </row>
    <row r="1849" spans="1:15">
      <c r="A1849" s="10">
        <v>1043302940</v>
      </c>
      <c r="B1849" s="64" t="s">
        <v>61</v>
      </c>
      <c r="C1849" s="62" t="s">
        <v>5526</v>
      </c>
      <c r="D1849" t="s">
        <v>63</v>
      </c>
      <c r="E1849" t="s">
        <v>5545</v>
      </c>
      <c r="F1849" s="61">
        <v>36323</v>
      </c>
      <c r="G1849" s="15" t="s">
        <v>73</v>
      </c>
      <c r="H1849" t="s">
        <v>5546</v>
      </c>
      <c r="I1849" s="62" t="s">
        <v>5547</v>
      </c>
      <c r="K1849" s="36" t="s">
        <v>1489</v>
      </c>
      <c r="L1849" t="s">
        <v>69</v>
      </c>
      <c r="M1849" s="62" t="s">
        <v>70</v>
      </c>
      <c r="N1849" t="s">
        <v>71</v>
      </c>
      <c r="O1849" t="str">
        <f>IFERROR(IF(Tbla_actores[[#This Row],[codigo_proyecto]]="","",_xlfn.XLOOKUP(Tbla_actores[[#This Row],[codigo_proyecto]],Proyectos!$A:$A,Proyectos!$C:$C)),"")</f>
        <v>NULOS</v>
      </c>
    </row>
    <row r="1850" spans="1:15">
      <c r="A1850" s="9">
        <v>1001067356</v>
      </c>
      <c r="B1850" s="63" t="s">
        <v>61</v>
      </c>
      <c r="C1850" s="62" t="s">
        <v>5526</v>
      </c>
      <c r="D1850" t="s">
        <v>63</v>
      </c>
      <c r="E1850" t="s">
        <v>5539</v>
      </c>
      <c r="F1850" s="61">
        <v>36991</v>
      </c>
      <c r="G1850" s="15" t="s">
        <v>73</v>
      </c>
      <c r="H1850" t="s">
        <v>5540</v>
      </c>
      <c r="I1850" s="62" t="s">
        <v>5541</v>
      </c>
      <c r="K1850" s="36" t="s">
        <v>1489</v>
      </c>
      <c r="L1850" t="s">
        <v>69</v>
      </c>
      <c r="M1850" s="62" t="s">
        <v>70</v>
      </c>
      <c r="N1850" t="s">
        <v>71</v>
      </c>
      <c r="O1850" t="str">
        <f>IFERROR(IF(Tbla_actores[[#This Row],[codigo_proyecto]]="","",_xlfn.XLOOKUP(Tbla_actores[[#This Row],[codigo_proyecto]],Proyectos!$A:$A,Proyectos!$C:$C)),"")</f>
        <v>NULOS</v>
      </c>
    </row>
    <row r="1851" spans="1:15">
      <c r="A1851" s="10">
        <v>1003313330</v>
      </c>
      <c r="B1851" s="64" t="s">
        <v>61</v>
      </c>
      <c r="C1851" s="62" t="s">
        <v>5575</v>
      </c>
      <c r="D1851" t="s">
        <v>63</v>
      </c>
      <c r="E1851" t="s">
        <v>5576</v>
      </c>
      <c r="F1851" s="61">
        <v>36843</v>
      </c>
      <c r="G1851" s="15" t="s">
        <v>65</v>
      </c>
      <c r="H1851" t="s">
        <v>5577</v>
      </c>
      <c r="I1851" s="62" t="s">
        <v>5578</v>
      </c>
      <c r="K1851" s="36" t="s">
        <v>169</v>
      </c>
      <c r="L1851" t="s">
        <v>69</v>
      </c>
      <c r="M1851" s="62" t="s">
        <v>170</v>
      </c>
      <c r="N1851" t="s">
        <v>71</v>
      </c>
      <c r="O1851" t="str">
        <f>IFERROR(IF(Tbla_actores[[#This Row],[codigo_proyecto]]="","",_xlfn.XLOOKUP(Tbla_actores[[#This Row],[codigo_proyecto]],Proyectos!$A:$A,Proyectos!$C:$C)),"")</f>
        <v>NULOS</v>
      </c>
    </row>
    <row r="1852" spans="1:15">
      <c r="A1852" s="9">
        <v>1020823590</v>
      </c>
      <c r="B1852" s="63" t="s">
        <v>61</v>
      </c>
      <c r="C1852" s="62" t="s">
        <v>5575</v>
      </c>
      <c r="D1852" t="s">
        <v>63</v>
      </c>
      <c r="E1852" t="s">
        <v>5579</v>
      </c>
      <c r="F1852" s="61">
        <v>35488</v>
      </c>
      <c r="G1852" s="15" t="s">
        <v>73</v>
      </c>
      <c r="H1852" t="s">
        <v>5580</v>
      </c>
      <c r="I1852" s="62" t="s">
        <v>5581</v>
      </c>
      <c r="K1852" s="36" t="s">
        <v>169</v>
      </c>
      <c r="L1852" t="s">
        <v>69</v>
      </c>
      <c r="M1852" s="62" t="s">
        <v>170</v>
      </c>
      <c r="N1852" t="s">
        <v>71</v>
      </c>
      <c r="O1852" t="str">
        <f>IFERROR(IF(Tbla_actores[[#This Row],[codigo_proyecto]]="","",_xlfn.XLOOKUP(Tbla_actores[[#This Row],[codigo_proyecto]],Proyectos!$A:$A,Proyectos!$C:$C)),"")</f>
        <v>NULOS</v>
      </c>
    </row>
    <row r="1853" spans="1:15">
      <c r="A1853" s="10">
        <v>1003073686</v>
      </c>
      <c r="B1853" s="64" t="s">
        <v>61</v>
      </c>
      <c r="C1853" s="62" t="s">
        <v>5575</v>
      </c>
      <c r="D1853" t="s">
        <v>63</v>
      </c>
      <c r="E1853" t="s">
        <v>5582</v>
      </c>
      <c r="F1853" s="61">
        <v>36811</v>
      </c>
      <c r="G1853" s="15" t="s">
        <v>73</v>
      </c>
      <c r="H1853" t="s">
        <v>5583</v>
      </c>
      <c r="I1853" s="62" t="s">
        <v>5584</v>
      </c>
      <c r="K1853" s="36" t="s">
        <v>169</v>
      </c>
      <c r="L1853" t="s">
        <v>69</v>
      </c>
      <c r="M1853" s="62" t="s">
        <v>170</v>
      </c>
      <c r="N1853" t="s">
        <v>71</v>
      </c>
      <c r="O1853" t="str">
        <f>IFERROR(IF(Tbla_actores[[#This Row],[codigo_proyecto]]="","",_xlfn.XLOOKUP(Tbla_actores[[#This Row],[codigo_proyecto]],Proyectos!$A:$A,Proyectos!$C:$C)),"")</f>
        <v>NULOS</v>
      </c>
    </row>
    <row r="1854" spans="1:15">
      <c r="A1854" s="9">
        <v>1101696378</v>
      </c>
      <c r="B1854" s="63" t="s">
        <v>61</v>
      </c>
      <c r="C1854" s="62" t="s">
        <v>5575</v>
      </c>
      <c r="D1854" t="s">
        <v>63</v>
      </c>
      <c r="E1854" t="s">
        <v>5585</v>
      </c>
      <c r="F1854" s="61">
        <v>35691</v>
      </c>
      <c r="G1854" s="15" t="s">
        <v>73</v>
      </c>
      <c r="H1854" t="s">
        <v>5586</v>
      </c>
      <c r="I1854" s="62" t="s">
        <v>5587</v>
      </c>
      <c r="K1854" s="36" t="s">
        <v>169</v>
      </c>
      <c r="L1854" t="s">
        <v>69</v>
      </c>
      <c r="M1854" s="62" t="s">
        <v>170</v>
      </c>
      <c r="N1854" t="s">
        <v>71</v>
      </c>
      <c r="O1854" t="str">
        <f>IFERROR(IF(Tbla_actores[[#This Row],[codigo_proyecto]]="","",_xlfn.XLOOKUP(Tbla_actores[[#This Row],[codigo_proyecto]],Proyectos!$A:$A,Proyectos!$C:$C)),"")</f>
        <v>NULOS</v>
      </c>
    </row>
    <row r="1855" spans="1:15">
      <c r="A1855" s="10">
        <v>1000831743</v>
      </c>
      <c r="B1855" s="64" t="s">
        <v>61</v>
      </c>
      <c r="C1855" s="62" t="s">
        <v>5575</v>
      </c>
      <c r="D1855" t="s">
        <v>63</v>
      </c>
      <c r="E1855" t="s">
        <v>5588</v>
      </c>
      <c r="F1855" s="61">
        <v>36571</v>
      </c>
      <c r="G1855" s="15" t="s">
        <v>73</v>
      </c>
      <c r="H1855" t="s">
        <v>5589</v>
      </c>
      <c r="I1855" s="62" t="s">
        <v>5590</v>
      </c>
      <c r="K1855" s="36" t="s">
        <v>169</v>
      </c>
      <c r="L1855" t="s">
        <v>69</v>
      </c>
      <c r="M1855" s="62" t="s">
        <v>170</v>
      </c>
      <c r="N1855" t="s">
        <v>71</v>
      </c>
      <c r="O1855" t="str">
        <f>IFERROR(IF(Tbla_actores[[#This Row],[codigo_proyecto]]="","",_xlfn.XLOOKUP(Tbla_actores[[#This Row],[codigo_proyecto]],Proyectos!$A:$A,Proyectos!$C:$C)),"")</f>
        <v>NULOS</v>
      </c>
    </row>
    <row r="1856" spans="1:15">
      <c r="A1856" s="9">
        <v>1000575364</v>
      </c>
      <c r="B1856" s="63" t="s">
        <v>61</v>
      </c>
      <c r="C1856" s="62" t="s">
        <v>5575</v>
      </c>
      <c r="D1856" t="s">
        <v>63</v>
      </c>
      <c r="E1856" t="s">
        <v>5591</v>
      </c>
      <c r="F1856" s="61">
        <v>36774</v>
      </c>
      <c r="G1856" s="15" t="s">
        <v>65</v>
      </c>
      <c r="H1856" t="s">
        <v>5592</v>
      </c>
      <c r="I1856" s="62" t="s">
        <v>5593</v>
      </c>
      <c r="K1856" s="36" t="s">
        <v>169</v>
      </c>
      <c r="L1856" t="s">
        <v>69</v>
      </c>
      <c r="M1856" s="62" t="s">
        <v>170</v>
      </c>
      <c r="N1856" t="s">
        <v>71</v>
      </c>
      <c r="O1856" t="str">
        <f>IFERROR(IF(Tbla_actores[[#This Row],[codigo_proyecto]]="","",_xlfn.XLOOKUP(Tbla_actores[[#This Row],[codigo_proyecto]],Proyectos!$A:$A,Proyectos!$C:$C)),"")</f>
        <v>NULOS</v>
      </c>
    </row>
    <row r="1857" spans="1:15">
      <c r="A1857" s="10">
        <v>1020839644</v>
      </c>
      <c r="B1857" s="64" t="s">
        <v>61</v>
      </c>
      <c r="C1857" s="62" t="s">
        <v>5575</v>
      </c>
      <c r="D1857" t="s">
        <v>63</v>
      </c>
      <c r="E1857" t="s">
        <v>5594</v>
      </c>
      <c r="F1857" s="61">
        <v>36232</v>
      </c>
      <c r="G1857" s="15" t="s">
        <v>73</v>
      </c>
      <c r="H1857" t="s">
        <v>5595</v>
      </c>
      <c r="I1857" s="62" t="s">
        <v>5596</v>
      </c>
      <c r="K1857" s="36" t="s">
        <v>169</v>
      </c>
      <c r="L1857" t="s">
        <v>69</v>
      </c>
      <c r="M1857" s="62" t="s">
        <v>170</v>
      </c>
      <c r="N1857" t="s">
        <v>71</v>
      </c>
      <c r="O1857" t="str">
        <f>IFERROR(IF(Tbla_actores[[#This Row],[codigo_proyecto]]="","",_xlfn.XLOOKUP(Tbla_actores[[#This Row],[codigo_proyecto]],Proyectos!$A:$A,Proyectos!$C:$C)),"")</f>
        <v>NULOS</v>
      </c>
    </row>
    <row r="1858" spans="1:15">
      <c r="A1858" s="9">
        <v>1020820426</v>
      </c>
      <c r="B1858" s="63" t="s">
        <v>61</v>
      </c>
      <c r="C1858" s="62" t="s">
        <v>5575</v>
      </c>
      <c r="D1858" t="s">
        <v>63</v>
      </c>
      <c r="E1858" t="s">
        <v>5597</v>
      </c>
      <c r="F1858" s="61">
        <v>35388</v>
      </c>
      <c r="G1858" s="15" t="s">
        <v>65</v>
      </c>
      <c r="H1858" t="s">
        <v>5598</v>
      </c>
      <c r="I1858" s="62" t="s">
        <v>5599</v>
      </c>
      <c r="K1858" s="36" t="s">
        <v>169</v>
      </c>
      <c r="L1858" t="s">
        <v>69</v>
      </c>
      <c r="M1858" s="62" t="s">
        <v>170</v>
      </c>
      <c r="N1858" t="s">
        <v>71</v>
      </c>
      <c r="O1858" t="str">
        <f>IFERROR(IF(Tbla_actores[[#This Row],[codigo_proyecto]]="","",_xlfn.XLOOKUP(Tbla_actores[[#This Row],[codigo_proyecto]],Proyectos!$A:$A,Proyectos!$C:$C)),"")</f>
        <v>NULOS</v>
      </c>
    </row>
    <row r="1859" spans="1:15">
      <c r="A1859" s="10">
        <v>1024580762</v>
      </c>
      <c r="B1859" s="64" t="s">
        <v>61</v>
      </c>
      <c r="C1859" s="62" t="s">
        <v>5575</v>
      </c>
      <c r="D1859" t="s">
        <v>63</v>
      </c>
      <c r="E1859" t="s">
        <v>5600</v>
      </c>
      <c r="F1859" s="61">
        <v>35573</v>
      </c>
      <c r="G1859" s="15" t="s">
        <v>73</v>
      </c>
      <c r="H1859" t="s">
        <v>5601</v>
      </c>
      <c r="I1859" s="62" t="s">
        <v>5602</v>
      </c>
      <c r="K1859" s="36" t="s">
        <v>1489</v>
      </c>
      <c r="L1859" t="s">
        <v>69</v>
      </c>
      <c r="M1859" s="62" t="s">
        <v>70</v>
      </c>
      <c r="N1859" t="s">
        <v>71</v>
      </c>
      <c r="O1859" t="str">
        <f>IFERROR(IF(Tbla_actores[[#This Row],[codigo_proyecto]]="","",_xlfn.XLOOKUP(Tbla_actores[[#This Row],[codigo_proyecto]],Proyectos!$A:$A,Proyectos!$C:$C)),"")</f>
        <v>NULOS</v>
      </c>
    </row>
    <row r="1860" spans="1:15">
      <c r="A1860" s="9">
        <v>1061802607</v>
      </c>
      <c r="B1860" s="63" t="s">
        <v>61</v>
      </c>
      <c r="C1860" s="62" t="s">
        <v>5575</v>
      </c>
      <c r="D1860" t="s">
        <v>63</v>
      </c>
      <c r="E1860" t="s">
        <v>5603</v>
      </c>
      <c r="F1860" s="61">
        <v>35643</v>
      </c>
      <c r="G1860" s="15" t="s">
        <v>65</v>
      </c>
      <c r="H1860" t="s">
        <v>5604</v>
      </c>
      <c r="I1860" s="62" t="s">
        <v>5605</v>
      </c>
      <c r="K1860" s="36" t="s">
        <v>1489</v>
      </c>
      <c r="L1860" t="s">
        <v>69</v>
      </c>
      <c r="M1860" s="62" t="s">
        <v>70</v>
      </c>
      <c r="N1860" t="s">
        <v>71</v>
      </c>
      <c r="O1860" t="str">
        <f>IFERROR(IF(Tbla_actores[[#This Row],[codigo_proyecto]]="","",_xlfn.XLOOKUP(Tbla_actores[[#This Row],[codigo_proyecto]],Proyectos!$A:$A,Proyectos!$C:$C)),"")</f>
        <v>NULOS</v>
      </c>
    </row>
    <row r="1861" spans="1:15">
      <c r="A1861" s="10">
        <v>1193383357</v>
      </c>
      <c r="B1861" s="64" t="s">
        <v>61</v>
      </c>
      <c r="C1861" s="62" t="s">
        <v>5575</v>
      </c>
      <c r="D1861" t="s">
        <v>63</v>
      </c>
      <c r="E1861" t="s">
        <v>5606</v>
      </c>
      <c r="F1861" s="61">
        <v>36941</v>
      </c>
      <c r="G1861" s="15" t="s">
        <v>65</v>
      </c>
      <c r="H1861" t="s">
        <v>5607</v>
      </c>
      <c r="I1861" s="62" t="s">
        <v>5608</v>
      </c>
      <c r="K1861" s="36" t="s">
        <v>1489</v>
      </c>
      <c r="L1861" t="s">
        <v>69</v>
      </c>
      <c r="M1861" s="62" t="s">
        <v>70</v>
      </c>
      <c r="N1861" t="s">
        <v>71</v>
      </c>
      <c r="O1861" t="str">
        <f>IFERROR(IF(Tbla_actores[[#This Row],[codigo_proyecto]]="","",_xlfn.XLOOKUP(Tbla_actores[[#This Row],[codigo_proyecto]],Proyectos!$A:$A,Proyectos!$C:$C)),"")</f>
        <v>NULOS</v>
      </c>
    </row>
    <row r="1862" spans="1:15">
      <c r="A1862" s="9">
        <v>1013682197</v>
      </c>
      <c r="B1862" s="63" t="s">
        <v>61</v>
      </c>
      <c r="C1862" s="62" t="s">
        <v>5575</v>
      </c>
      <c r="D1862" t="s">
        <v>63</v>
      </c>
      <c r="E1862" t="s">
        <v>5609</v>
      </c>
      <c r="F1862" s="61">
        <v>35960</v>
      </c>
      <c r="G1862" s="15" t="s">
        <v>73</v>
      </c>
      <c r="H1862" t="s">
        <v>5610</v>
      </c>
      <c r="I1862" s="62" t="s">
        <v>5611</v>
      </c>
      <c r="K1862" s="36" t="s">
        <v>68</v>
      </c>
      <c r="L1862" t="s">
        <v>69</v>
      </c>
      <c r="M1862" s="62" t="s">
        <v>70</v>
      </c>
      <c r="N1862" t="s">
        <v>71</v>
      </c>
      <c r="O1862" t="str">
        <f>IFERROR(IF(Tbla_actores[[#This Row],[codigo_proyecto]]="","",_xlfn.XLOOKUP(Tbla_actores[[#This Row],[codigo_proyecto]],Proyectos!$A:$A,Proyectos!$C:$C)),"")</f>
        <v>NULOS</v>
      </c>
    </row>
    <row r="1863" spans="1:15">
      <c r="A1863" s="10">
        <v>1020843724</v>
      </c>
      <c r="B1863" s="64" t="s">
        <v>61</v>
      </c>
      <c r="C1863" s="62" t="s">
        <v>5575</v>
      </c>
      <c r="D1863" t="s">
        <v>63</v>
      </c>
      <c r="E1863" t="s">
        <v>5612</v>
      </c>
      <c r="F1863" s="61">
        <v>36416</v>
      </c>
      <c r="G1863" s="15" t="s">
        <v>73</v>
      </c>
      <c r="H1863" t="s">
        <v>5613</v>
      </c>
      <c r="I1863" s="62" t="s">
        <v>5614</v>
      </c>
      <c r="K1863" s="36" t="s">
        <v>1489</v>
      </c>
      <c r="L1863" t="s">
        <v>69</v>
      </c>
      <c r="M1863" s="62" t="s">
        <v>70</v>
      </c>
      <c r="N1863" t="s">
        <v>71</v>
      </c>
      <c r="O1863" t="str">
        <f>IFERROR(IF(Tbla_actores[[#This Row],[codigo_proyecto]]="","",_xlfn.XLOOKUP(Tbla_actores[[#This Row],[codigo_proyecto]],Proyectos!$A:$A,Proyectos!$C:$C)),"")</f>
        <v>NULOS</v>
      </c>
    </row>
    <row r="1864" spans="1:15">
      <c r="A1864" s="9">
        <v>1000283872</v>
      </c>
      <c r="B1864" s="63" t="s">
        <v>61</v>
      </c>
      <c r="C1864" s="62" t="s">
        <v>5575</v>
      </c>
      <c r="D1864" t="s">
        <v>63</v>
      </c>
      <c r="E1864" t="s">
        <v>5615</v>
      </c>
      <c r="F1864" s="61">
        <v>36609</v>
      </c>
      <c r="G1864" s="15" t="s">
        <v>73</v>
      </c>
      <c r="H1864" t="s">
        <v>5616</v>
      </c>
      <c r="I1864" s="62" t="s">
        <v>5617</v>
      </c>
      <c r="K1864" s="36" t="s">
        <v>1489</v>
      </c>
      <c r="L1864" t="s">
        <v>69</v>
      </c>
      <c r="M1864" s="62" t="s">
        <v>70</v>
      </c>
      <c r="N1864" t="s">
        <v>71</v>
      </c>
      <c r="O1864" t="str">
        <f>IFERROR(IF(Tbla_actores[[#This Row],[codigo_proyecto]]="","",_xlfn.XLOOKUP(Tbla_actores[[#This Row],[codigo_proyecto]],Proyectos!$A:$A,Proyectos!$C:$C)),"")</f>
        <v>NULOS</v>
      </c>
    </row>
    <row r="1865" spans="1:15">
      <c r="A1865" s="10">
        <v>1010012975</v>
      </c>
      <c r="B1865" s="64" t="s">
        <v>61</v>
      </c>
      <c r="C1865" s="62" t="s">
        <v>5575</v>
      </c>
      <c r="D1865" t="s">
        <v>63</v>
      </c>
      <c r="E1865" t="s">
        <v>5618</v>
      </c>
      <c r="F1865" s="61">
        <v>36641</v>
      </c>
      <c r="G1865" s="15" t="s">
        <v>65</v>
      </c>
      <c r="H1865" t="s">
        <v>5619</v>
      </c>
      <c r="I1865" s="62" t="s">
        <v>5620</v>
      </c>
      <c r="K1865" s="36" t="s">
        <v>495</v>
      </c>
      <c r="L1865" t="s">
        <v>69</v>
      </c>
      <c r="M1865" s="62" t="s">
        <v>70</v>
      </c>
      <c r="N1865" t="s">
        <v>71</v>
      </c>
      <c r="O1865" t="str">
        <f>IFERROR(IF(Tbla_actores[[#This Row],[codigo_proyecto]]="","",_xlfn.XLOOKUP(Tbla_actores[[#This Row],[codigo_proyecto]],Proyectos!$A:$A,Proyectos!$C:$C)),"")</f>
        <v>NULOS</v>
      </c>
    </row>
    <row r="1866" spans="1:15">
      <c r="A1866" s="9">
        <v>1030698878</v>
      </c>
      <c r="B1866" s="63" t="s">
        <v>61</v>
      </c>
      <c r="C1866" s="62" t="s">
        <v>5575</v>
      </c>
      <c r="D1866" t="s">
        <v>63</v>
      </c>
      <c r="E1866" t="s">
        <v>5621</v>
      </c>
      <c r="F1866" s="61">
        <v>36392</v>
      </c>
      <c r="G1866" s="15" t="s">
        <v>73</v>
      </c>
      <c r="H1866" t="s">
        <v>5622</v>
      </c>
      <c r="I1866" s="62" t="s">
        <v>5623</v>
      </c>
      <c r="K1866" s="36" t="s">
        <v>169</v>
      </c>
      <c r="L1866" t="s">
        <v>69</v>
      </c>
      <c r="M1866" s="62" t="s">
        <v>170</v>
      </c>
      <c r="N1866" t="s">
        <v>71</v>
      </c>
      <c r="O1866" t="str">
        <f>IFERROR(IF(Tbla_actores[[#This Row],[codigo_proyecto]]="","",_xlfn.XLOOKUP(Tbla_actores[[#This Row],[codigo_proyecto]],Proyectos!$A:$A,Proyectos!$C:$C)),"")</f>
        <v>NULOS</v>
      </c>
    </row>
    <row r="1867" spans="1:15">
      <c r="A1867" s="10">
        <v>1018510693</v>
      </c>
      <c r="B1867" s="64" t="s">
        <v>61</v>
      </c>
      <c r="C1867" s="62" t="s">
        <v>5575</v>
      </c>
      <c r="D1867" t="s">
        <v>63</v>
      </c>
      <c r="E1867" t="s">
        <v>5624</v>
      </c>
      <c r="F1867" s="61">
        <v>36254</v>
      </c>
      <c r="G1867" s="15" t="s">
        <v>65</v>
      </c>
      <c r="H1867" t="s">
        <v>5625</v>
      </c>
      <c r="I1867" s="62" t="s">
        <v>5626</v>
      </c>
      <c r="K1867" s="36" t="s">
        <v>495</v>
      </c>
      <c r="L1867" t="s">
        <v>69</v>
      </c>
      <c r="M1867" s="62" t="s">
        <v>70</v>
      </c>
      <c r="N1867" t="s">
        <v>71</v>
      </c>
      <c r="O1867" t="str">
        <f>IFERROR(IF(Tbla_actores[[#This Row],[codigo_proyecto]]="","",_xlfn.XLOOKUP(Tbla_actores[[#This Row],[codigo_proyecto]],Proyectos!$A:$A,Proyectos!$C:$C)),"")</f>
        <v>NULOS</v>
      </c>
    </row>
    <row r="1868" spans="1:15">
      <c r="A1868" s="9">
        <v>1007538699</v>
      </c>
      <c r="B1868" s="63" t="s">
        <v>61</v>
      </c>
      <c r="C1868" s="62" t="s">
        <v>5575</v>
      </c>
      <c r="D1868" t="s">
        <v>63</v>
      </c>
      <c r="E1868" t="s">
        <v>5627</v>
      </c>
      <c r="F1868" s="61">
        <v>36661</v>
      </c>
      <c r="G1868" s="15" t="s">
        <v>73</v>
      </c>
      <c r="H1868" t="s">
        <v>5628</v>
      </c>
      <c r="I1868" s="62" t="s">
        <v>5629</v>
      </c>
      <c r="K1868" s="36" t="s">
        <v>68</v>
      </c>
      <c r="L1868" t="s">
        <v>69</v>
      </c>
      <c r="M1868" s="62" t="s">
        <v>70</v>
      </c>
      <c r="N1868" t="s">
        <v>71</v>
      </c>
      <c r="O1868" t="str">
        <f>IFERROR(IF(Tbla_actores[[#This Row],[codigo_proyecto]]="","",_xlfn.XLOOKUP(Tbla_actores[[#This Row],[codigo_proyecto]],Proyectos!$A:$A,Proyectos!$C:$C)),"")</f>
        <v>NULOS</v>
      </c>
    </row>
    <row r="1869" spans="1:15">
      <c r="A1869" s="10">
        <v>1143170630</v>
      </c>
      <c r="B1869" s="64" t="s">
        <v>61</v>
      </c>
      <c r="C1869" s="62" t="s">
        <v>5575</v>
      </c>
      <c r="D1869" t="s">
        <v>63</v>
      </c>
      <c r="E1869" t="s">
        <v>5630</v>
      </c>
      <c r="F1869" s="61">
        <v>36455</v>
      </c>
      <c r="G1869" s="15" t="s">
        <v>73</v>
      </c>
      <c r="H1869" t="s">
        <v>5631</v>
      </c>
      <c r="I1869" s="62" t="s">
        <v>5632</v>
      </c>
      <c r="K1869" s="36" t="s">
        <v>1489</v>
      </c>
      <c r="L1869" t="s">
        <v>69</v>
      </c>
      <c r="M1869" s="62" t="s">
        <v>70</v>
      </c>
      <c r="N1869" t="s">
        <v>71</v>
      </c>
      <c r="O1869" t="str">
        <f>IFERROR(IF(Tbla_actores[[#This Row],[codigo_proyecto]]="","",_xlfn.XLOOKUP(Tbla_actores[[#This Row],[codigo_proyecto]],Proyectos!$A:$A,Proyectos!$C:$C)),"")</f>
        <v>NULOS</v>
      </c>
    </row>
    <row r="1870" spans="1:15">
      <c r="A1870" s="9">
        <v>1002527255</v>
      </c>
      <c r="B1870" s="63" t="s">
        <v>61</v>
      </c>
      <c r="C1870" s="62" t="s">
        <v>5575</v>
      </c>
      <c r="D1870" t="s">
        <v>63</v>
      </c>
      <c r="E1870" t="s">
        <v>5633</v>
      </c>
      <c r="F1870" s="61">
        <v>36578</v>
      </c>
      <c r="G1870" s="15" t="s">
        <v>65</v>
      </c>
      <c r="H1870" t="s">
        <v>5634</v>
      </c>
      <c r="I1870" s="62" t="s">
        <v>5635</v>
      </c>
      <c r="K1870" s="36" t="s">
        <v>169</v>
      </c>
      <c r="L1870" t="s">
        <v>69</v>
      </c>
      <c r="M1870" s="62" t="s">
        <v>170</v>
      </c>
      <c r="N1870" t="s">
        <v>71</v>
      </c>
      <c r="O1870" t="str">
        <f>IFERROR(IF(Tbla_actores[[#This Row],[codigo_proyecto]]="","",_xlfn.XLOOKUP(Tbla_actores[[#This Row],[codigo_proyecto]],Proyectos!$A:$A,Proyectos!$C:$C)),"")</f>
        <v>NULOS</v>
      </c>
    </row>
    <row r="1871" spans="1:15">
      <c r="A1871" s="10">
        <v>1006443387</v>
      </c>
      <c r="B1871" s="64" t="s">
        <v>61</v>
      </c>
      <c r="C1871" s="62" t="s">
        <v>5575</v>
      </c>
      <c r="D1871" t="s">
        <v>63</v>
      </c>
      <c r="E1871" t="s">
        <v>5636</v>
      </c>
      <c r="F1871" s="61">
        <v>37079</v>
      </c>
      <c r="G1871" s="15" t="s">
        <v>73</v>
      </c>
      <c r="H1871" t="s">
        <v>5637</v>
      </c>
      <c r="I1871" s="62" t="s">
        <v>5638</v>
      </c>
      <c r="K1871" s="36" t="s">
        <v>1489</v>
      </c>
      <c r="L1871" t="s">
        <v>69</v>
      </c>
      <c r="M1871" s="62" t="s">
        <v>70</v>
      </c>
      <c r="N1871" t="s">
        <v>71</v>
      </c>
      <c r="O1871" t="str">
        <f>IFERROR(IF(Tbla_actores[[#This Row],[codigo_proyecto]]="","",_xlfn.XLOOKUP(Tbla_actores[[#This Row],[codigo_proyecto]],Proyectos!$A:$A,Proyectos!$C:$C)),"")</f>
        <v>NULOS</v>
      </c>
    </row>
    <row r="1872" spans="1:15">
      <c r="A1872" s="9">
        <v>1003950356</v>
      </c>
      <c r="B1872" s="63" t="s">
        <v>61</v>
      </c>
      <c r="C1872" s="62" t="s">
        <v>5575</v>
      </c>
      <c r="D1872" t="s">
        <v>63</v>
      </c>
      <c r="E1872" t="s">
        <v>5639</v>
      </c>
      <c r="F1872" s="61">
        <v>37167</v>
      </c>
      <c r="G1872" s="15" t="s">
        <v>73</v>
      </c>
      <c r="H1872" t="s">
        <v>5640</v>
      </c>
      <c r="I1872" s="62" t="s">
        <v>5641</v>
      </c>
      <c r="K1872" s="36" t="s">
        <v>495</v>
      </c>
      <c r="L1872" t="s">
        <v>69</v>
      </c>
      <c r="M1872" s="62" t="s">
        <v>70</v>
      </c>
      <c r="N1872" t="s">
        <v>71</v>
      </c>
      <c r="O1872" t="str">
        <f>IFERROR(IF(Tbla_actores[[#This Row],[codigo_proyecto]]="","",_xlfn.XLOOKUP(Tbla_actores[[#This Row],[codigo_proyecto]],Proyectos!$A:$A,Proyectos!$C:$C)),"")</f>
        <v>NULOS</v>
      </c>
    </row>
    <row r="1873" spans="1:15">
      <c r="A1873" s="10">
        <v>1000794330</v>
      </c>
      <c r="B1873" s="64" t="s">
        <v>61</v>
      </c>
      <c r="C1873" s="62" t="s">
        <v>5575</v>
      </c>
      <c r="D1873" t="s">
        <v>63</v>
      </c>
      <c r="E1873" t="s">
        <v>5642</v>
      </c>
      <c r="F1873" s="61">
        <v>36788</v>
      </c>
      <c r="G1873" s="15" t="s">
        <v>73</v>
      </c>
      <c r="H1873" t="s">
        <v>5643</v>
      </c>
      <c r="I1873" s="62" t="s">
        <v>5644</v>
      </c>
      <c r="K1873" s="36" t="s">
        <v>495</v>
      </c>
      <c r="L1873" t="s">
        <v>69</v>
      </c>
      <c r="M1873" s="62" t="s">
        <v>70</v>
      </c>
      <c r="N1873" t="s">
        <v>71</v>
      </c>
      <c r="O1873" t="str">
        <f>IFERROR(IF(Tbla_actores[[#This Row],[codigo_proyecto]]="","",_xlfn.XLOOKUP(Tbla_actores[[#This Row],[codigo_proyecto]],Proyectos!$A:$A,Proyectos!$C:$C)),"")</f>
        <v>NULOS</v>
      </c>
    </row>
    <row r="1874" spans="1:15">
      <c r="A1874" s="9">
        <v>1004355791</v>
      </c>
      <c r="B1874" s="63" t="s">
        <v>61</v>
      </c>
      <c r="C1874" s="62" t="s">
        <v>5575</v>
      </c>
      <c r="D1874" t="s">
        <v>63</v>
      </c>
      <c r="E1874" t="s">
        <v>5645</v>
      </c>
      <c r="F1874" s="61">
        <v>37282</v>
      </c>
      <c r="G1874" s="15" t="s">
        <v>65</v>
      </c>
      <c r="H1874" t="s">
        <v>5646</v>
      </c>
      <c r="I1874" s="62" t="s">
        <v>5647</v>
      </c>
      <c r="K1874" s="36" t="s">
        <v>495</v>
      </c>
      <c r="L1874" t="s">
        <v>69</v>
      </c>
      <c r="M1874" s="62" t="s">
        <v>70</v>
      </c>
      <c r="N1874" t="s">
        <v>71</v>
      </c>
      <c r="O1874" t="str">
        <f>IFERROR(IF(Tbla_actores[[#This Row],[codigo_proyecto]]="","",_xlfn.XLOOKUP(Tbla_actores[[#This Row],[codigo_proyecto]],Proyectos!$A:$A,Proyectos!$C:$C)),"")</f>
        <v>NULOS</v>
      </c>
    </row>
    <row r="1875" spans="1:15">
      <c r="A1875" s="10">
        <v>1006373285</v>
      </c>
      <c r="B1875" s="64" t="s">
        <v>61</v>
      </c>
      <c r="C1875" s="62" t="s">
        <v>5575</v>
      </c>
      <c r="D1875" t="s">
        <v>63</v>
      </c>
      <c r="E1875" t="s">
        <v>5648</v>
      </c>
      <c r="F1875" s="61">
        <v>36904</v>
      </c>
      <c r="G1875" s="15" t="s">
        <v>73</v>
      </c>
      <c r="H1875" t="s">
        <v>5649</v>
      </c>
      <c r="I1875" s="62" t="s">
        <v>5650</v>
      </c>
      <c r="K1875" s="36" t="s">
        <v>495</v>
      </c>
      <c r="L1875" t="s">
        <v>69</v>
      </c>
      <c r="M1875" s="62" t="s">
        <v>70</v>
      </c>
      <c r="N1875" t="s">
        <v>71</v>
      </c>
      <c r="O1875" t="str">
        <f>IFERROR(IF(Tbla_actores[[#This Row],[codigo_proyecto]]="","",_xlfn.XLOOKUP(Tbla_actores[[#This Row],[codigo_proyecto]],Proyectos!$A:$A,Proyectos!$C:$C)),"")</f>
        <v>NULOS</v>
      </c>
    </row>
    <row r="1876" spans="1:15">
      <c r="A1876" s="9">
        <v>1192766420</v>
      </c>
      <c r="B1876" s="63" t="s">
        <v>61</v>
      </c>
      <c r="C1876" s="62" t="s">
        <v>5575</v>
      </c>
      <c r="D1876" t="s">
        <v>63</v>
      </c>
      <c r="E1876" t="s">
        <v>5651</v>
      </c>
      <c r="F1876" s="61">
        <v>36730</v>
      </c>
      <c r="G1876" s="15" t="s">
        <v>73</v>
      </c>
      <c r="H1876" t="s">
        <v>5652</v>
      </c>
      <c r="I1876" s="62" t="s">
        <v>5653</v>
      </c>
      <c r="K1876" s="36" t="s">
        <v>495</v>
      </c>
      <c r="L1876" t="s">
        <v>69</v>
      </c>
      <c r="M1876" s="62" t="s">
        <v>70</v>
      </c>
      <c r="N1876" t="s">
        <v>71</v>
      </c>
      <c r="O1876" t="str">
        <f>IFERROR(IF(Tbla_actores[[#This Row],[codigo_proyecto]]="","",_xlfn.XLOOKUP(Tbla_actores[[#This Row],[codigo_proyecto]],Proyectos!$A:$A,Proyectos!$C:$C)),"")</f>
        <v>NULOS</v>
      </c>
    </row>
    <row r="1877" spans="1:15">
      <c r="A1877" s="10">
        <v>1015478946</v>
      </c>
      <c r="B1877" s="64" t="s">
        <v>61</v>
      </c>
      <c r="C1877" s="62" t="s">
        <v>5575</v>
      </c>
      <c r="D1877" t="s">
        <v>63</v>
      </c>
      <c r="E1877" t="s">
        <v>5654</v>
      </c>
      <c r="F1877" s="61">
        <v>36173</v>
      </c>
      <c r="G1877" s="15" t="s">
        <v>73</v>
      </c>
      <c r="H1877" t="s">
        <v>5655</v>
      </c>
      <c r="I1877" s="62" t="s">
        <v>5656</v>
      </c>
      <c r="K1877" s="36" t="s">
        <v>495</v>
      </c>
      <c r="L1877" t="s">
        <v>69</v>
      </c>
      <c r="M1877" s="62" t="s">
        <v>70</v>
      </c>
      <c r="N1877" t="s">
        <v>71</v>
      </c>
      <c r="O1877" t="str">
        <f>IFERROR(IF(Tbla_actores[[#This Row],[codigo_proyecto]]="","",_xlfn.XLOOKUP(Tbla_actores[[#This Row],[codigo_proyecto]],Proyectos!$A:$A,Proyectos!$C:$C)),"")</f>
        <v>NULOS</v>
      </c>
    </row>
    <row r="1878" spans="1:15">
      <c r="A1878" s="9">
        <v>1005338119</v>
      </c>
      <c r="B1878" s="63" t="s">
        <v>61</v>
      </c>
      <c r="C1878" s="62" t="s">
        <v>5575</v>
      </c>
      <c r="D1878" t="s">
        <v>63</v>
      </c>
      <c r="E1878" t="s">
        <v>5657</v>
      </c>
      <c r="F1878" s="61">
        <v>36721</v>
      </c>
      <c r="G1878" s="15" t="s">
        <v>65</v>
      </c>
      <c r="H1878" t="s">
        <v>5658</v>
      </c>
      <c r="I1878" s="62" t="s">
        <v>5659</v>
      </c>
      <c r="K1878" s="36" t="s">
        <v>495</v>
      </c>
      <c r="L1878" t="s">
        <v>69</v>
      </c>
      <c r="M1878" s="62" t="s">
        <v>70</v>
      </c>
      <c r="N1878" t="s">
        <v>71</v>
      </c>
      <c r="O1878" t="str">
        <f>IFERROR(IF(Tbla_actores[[#This Row],[codigo_proyecto]]="","",_xlfn.XLOOKUP(Tbla_actores[[#This Row],[codigo_proyecto]],Proyectos!$A:$A,Proyectos!$C:$C)),"")</f>
        <v>NULOS</v>
      </c>
    </row>
    <row r="1879" spans="1:15">
      <c r="A1879" s="10">
        <v>1013692043</v>
      </c>
      <c r="B1879" s="64" t="s">
        <v>61</v>
      </c>
      <c r="C1879" s="62" t="s">
        <v>5575</v>
      </c>
      <c r="D1879" t="s">
        <v>63</v>
      </c>
      <c r="E1879" t="s">
        <v>5660</v>
      </c>
      <c r="F1879" s="61">
        <v>36456</v>
      </c>
      <c r="G1879" s="15" t="s">
        <v>73</v>
      </c>
      <c r="H1879" t="s">
        <v>5661</v>
      </c>
      <c r="I1879" s="62" t="s">
        <v>5662</v>
      </c>
      <c r="K1879" s="36" t="s">
        <v>495</v>
      </c>
      <c r="L1879" t="s">
        <v>69</v>
      </c>
      <c r="M1879" s="62" t="s">
        <v>70</v>
      </c>
      <c r="N1879" t="s">
        <v>71</v>
      </c>
      <c r="O1879" t="str">
        <f>IFERROR(IF(Tbla_actores[[#This Row],[codigo_proyecto]]="","",_xlfn.XLOOKUP(Tbla_actores[[#This Row],[codigo_proyecto]],Proyectos!$A:$A,Proyectos!$C:$C)),"")</f>
        <v>NULOS</v>
      </c>
    </row>
    <row r="1880" spans="1:15">
      <c r="A1880" s="9">
        <v>1032500607</v>
      </c>
      <c r="B1880" s="63" t="s">
        <v>61</v>
      </c>
      <c r="C1880" s="62" t="s">
        <v>5575</v>
      </c>
      <c r="D1880" t="s">
        <v>63</v>
      </c>
      <c r="E1880" t="s">
        <v>5663</v>
      </c>
      <c r="F1880" s="61">
        <v>36079</v>
      </c>
      <c r="G1880" s="15" t="s">
        <v>73</v>
      </c>
      <c r="H1880" t="s">
        <v>5664</v>
      </c>
      <c r="I1880" s="62" t="s">
        <v>5665</v>
      </c>
      <c r="K1880" s="36" t="s">
        <v>68</v>
      </c>
      <c r="L1880" t="s">
        <v>69</v>
      </c>
      <c r="M1880" s="62" t="s">
        <v>70</v>
      </c>
      <c r="N1880" t="s">
        <v>71</v>
      </c>
      <c r="O1880" t="str">
        <f>IFERROR(IF(Tbla_actores[[#This Row],[codigo_proyecto]]="","",_xlfn.XLOOKUP(Tbla_actores[[#This Row],[codigo_proyecto]],Proyectos!$A:$A,Proyectos!$C:$C)),"")</f>
        <v>NULOS</v>
      </c>
    </row>
    <row r="1881" spans="1:15">
      <c r="A1881" s="10">
        <v>1000794138</v>
      </c>
      <c r="B1881" s="64" t="s">
        <v>61</v>
      </c>
      <c r="C1881" s="62" t="s">
        <v>5575</v>
      </c>
      <c r="D1881" t="s">
        <v>63</v>
      </c>
      <c r="E1881" t="s">
        <v>5666</v>
      </c>
      <c r="F1881" s="61">
        <v>36581</v>
      </c>
      <c r="G1881" s="15" t="s">
        <v>65</v>
      </c>
      <c r="H1881" t="s">
        <v>5667</v>
      </c>
      <c r="I1881" s="62" t="s">
        <v>5668</v>
      </c>
      <c r="K1881" s="36" t="s">
        <v>495</v>
      </c>
      <c r="L1881" t="s">
        <v>69</v>
      </c>
      <c r="M1881" s="62" t="s">
        <v>70</v>
      </c>
      <c r="N1881" t="s">
        <v>71</v>
      </c>
      <c r="O1881" t="str">
        <f>IFERROR(IF(Tbla_actores[[#This Row],[codigo_proyecto]]="","",_xlfn.XLOOKUP(Tbla_actores[[#This Row],[codigo_proyecto]],Proyectos!$A:$A,Proyectos!$C:$C)),"")</f>
        <v>NULOS</v>
      </c>
    </row>
    <row r="1882" spans="1:15">
      <c r="A1882" s="9">
        <v>1032495019</v>
      </c>
      <c r="B1882" s="63" t="s">
        <v>61</v>
      </c>
      <c r="C1882" s="62" t="s">
        <v>5575</v>
      </c>
      <c r="D1882" t="s">
        <v>63</v>
      </c>
      <c r="E1882" t="s">
        <v>5669</v>
      </c>
      <c r="F1882" s="61">
        <v>35767</v>
      </c>
      <c r="G1882" s="15" t="s">
        <v>73</v>
      </c>
      <c r="H1882" t="s">
        <v>5670</v>
      </c>
      <c r="I1882" s="62" t="s">
        <v>5671</v>
      </c>
      <c r="K1882" s="36" t="s">
        <v>495</v>
      </c>
      <c r="L1882" t="s">
        <v>69</v>
      </c>
      <c r="M1882" s="62" t="s">
        <v>70</v>
      </c>
      <c r="N1882" t="s">
        <v>71</v>
      </c>
      <c r="O1882" t="str">
        <f>IFERROR(IF(Tbla_actores[[#This Row],[codigo_proyecto]]="","",_xlfn.XLOOKUP(Tbla_actores[[#This Row],[codigo_proyecto]],Proyectos!$A:$A,Proyectos!$C:$C)),"")</f>
        <v>NULOS</v>
      </c>
    </row>
    <row r="1883" spans="1:15">
      <c r="A1883" s="10">
        <v>1003231260</v>
      </c>
      <c r="B1883" s="64" t="s">
        <v>61</v>
      </c>
      <c r="C1883" s="62" t="s">
        <v>5575</v>
      </c>
      <c r="D1883" t="s">
        <v>63</v>
      </c>
      <c r="E1883" t="s">
        <v>5672</v>
      </c>
      <c r="F1883" s="61">
        <v>37095</v>
      </c>
      <c r="G1883" s="15" t="s">
        <v>73</v>
      </c>
      <c r="H1883" t="s">
        <v>5673</v>
      </c>
      <c r="I1883" s="62" t="s">
        <v>5674</v>
      </c>
      <c r="K1883" s="36" t="s">
        <v>495</v>
      </c>
      <c r="L1883" t="s">
        <v>69</v>
      </c>
      <c r="M1883" s="62" t="s">
        <v>70</v>
      </c>
      <c r="N1883" t="s">
        <v>71</v>
      </c>
      <c r="O1883" t="str">
        <f>IFERROR(IF(Tbla_actores[[#This Row],[codigo_proyecto]]="","",_xlfn.XLOOKUP(Tbla_actores[[#This Row],[codigo_proyecto]],Proyectos!$A:$A,Proyectos!$C:$C)),"")</f>
        <v>NULOS</v>
      </c>
    </row>
    <row r="1884" spans="1:15">
      <c r="A1884" s="9">
        <v>1001975767</v>
      </c>
      <c r="B1884" s="63" t="s">
        <v>61</v>
      </c>
      <c r="C1884" s="62" t="s">
        <v>5575</v>
      </c>
      <c r="D1884" t="s">
        <v>63</v>
      </c>
      <c r="E1884" t="s">
        <v>5675</v>
      </c>
      <c r="F1884" s="61">
        <v>37077</v>
      </c>
      <c r="G1884" s="15" t="s">
        <v>73</v>
      </c>
      <c r="H1884" t="s">
        <v>5676</v>
      </c>
      <c r="I1884" s="62" t="s">
        <v>5677</v>
      </c>
      <c r="K1884" s="36" t="s">
        <v>495</v>
      </c>
      <c r="L1884" t="s">
        <v>69</v>
      </c>
      <c r="M1884" s="62" t="s">
        <v>70</v>
      </c>
      <c r="N1884" t="s">
        <v>71</v>
      </c>
      <c r="O1884" t="str">
        <f>IFERROR(IF(Tbla_actores[[#This Row],[codigo_proyecto]]="","",_xlfn.XLOOKUP(Tbla_actores[[#This Row],[codigo_proyecto]],Proyectos!$A:$A,Proyectos!$C:$C)),"")</f>
        <v>NULOS</v>
      </c>
    </row>
    <row r="1885" spans="1:15">
      <c r="A1885" s="10">
        <v>1000810084</v>
      </c>
      <c r="B1885" s="64" t="s">
        <v>61</v>
      </c>
      <c r="C1885" s="62" t="s">
        <v>5575</v>
      </c>
      <c r="D1885" t="s">
        <v>63</v>
      </c>
      <c r="E1885" t="s">
        <v>5678</v>
      </c>
      <c r="F1885" s="61">
        <v>37242</v>
      </c>
      <c r="G1885" s="15" t="s">
        <v>73</v>
      </c>
      <c r="H1885" t="s">
        <v>5679</v>
      </c>
      <c r="I1885" s="62" t="s">
        <v>5680</v>
      </c>
      <c r="K1885" s="36" t="s">
        <v>495</v>
      </c>
      <c r="L1885" t="s">
        <v>69</v>
      </c>
      <c r="M1885" s="62" t="s">
        <v>70</v>
      </c>
      <c r="N1885" t="s">
        <v>71</v>
      </c>
      <c r="O1885" t="str">
        <f>IFERROR(IF(Tbla_actores[[#This Row],[codigo_proyecto]]="","",_xlfn.XLOOKUP(Tbla_actores[[#This Row],[codigo_proyecto]],Proyectos!$A:$A,Proyectos!$C:$C)),"")</f>
        <v>NULOS</v>
      </c>
    </row>
    <row r="1886" spans="1:15">
      <c r="A1886" s="9">
        <v>1193374788</v>
      </c>
      <c r="B1886" s="63" t="s">
        <v>61</v>
      </c>
      <c r="C1886" s="62" t="s">
        <v>5575</v>
      </c>
      <c r="D1886" t="s">
        <v>63</v>
      </c>
      <c r="E1886" t="s">
        <v>5681</v>
      </c>
      <c r="F1886" s="61">
        <v>36723</v>
      </c>
      <c r="G1886" s="15" t="s">
        <v>73</v>
      </c>
      <c r="H1886" t="s">
        <v>5682</v>
      </c>
      <c r="I1886" s="62" t="s">
        <v>5683</v>
      </c>
      <c r="K1886" s="36" t="s">
        <v>495</v>
      </c>
      <c r="L1886" t="s">
        <v>69</v>
      </c>
      <c r="M1886" s="62" t="s">
        <v>70</v>
      </c>
      <c r="N1886" t="s">
        <v>71</v>
      </c>
      <c r="O1886" t="str">
        <f>IFERROR(IF(Tbla_actores[[#This Row],[codigo_proyecto]]="","",_xlfn.XLOOKUP(Tbla_actores[[#This Row],[codigo_proyecto]],Proyectos!$A:$A,Proyectos!$C:$C)),"")</f>
        <v>NULOS</v>
      </c>
    </row>
    <row r="1887" spans="1:15">
      <c r="A1887" s="10">
        <v>1001191664</v>
      </c>
      <c r="B1887" s="64" t="s">
        <v>61</v>
      </c>
      <c r="C1887" s="62" t="s">
        <v>5575</v>
      </c>
      <c r="D1887" t="s">
        <v>63</v>
      </c>
      <c r="E1887" t="s">
        <v>5684</v>
      </c>
      <c r="F1887" s="61">
        <v>36784</v>
      </c>
      <c r="G1887" s="15" t="s">
        <v>73</v>
      </c>
      <c r="H1887" t="s">
        <v>5685</v>
      </c>
      <c r="I1887" s="62" t="s">
        <v>5686</v>
      </c>
      <c r="K1887" s="36" t="s">
        <v>495</v>
      </c>
      <c r="L1887" t="s">
        <v>69</v>
      </c>
      <c r="M1887" s="62" t="s">
        <v>70</v>
      </c>
      <c r="N1887" t="s">
        <v>71</v>
      </c>
      <c r="O1887" t="str">
        <f>IFERROR(IF(Tbla_actores[[#This Row],[codigo_proyecto]]="","",_xlfn.XLOOKUP(Tbla_actores[[#This Row],[codigo_proyecto]],Proyectos!$A:$A,Proyectos!$C:$C)),"")</f>
        <v>NULOS</v>
      </c>
    </row>
    <row r="1888" spans="1:15">
      <c r="A1888" s="9">
        <v>1003882658</v>
      </c>
      <c r="B1888" s="63" t="s">
        <v>61</v>
      </c>
      <c r="C1888" s="62" t="s">
        <v>5575</v>
      </c>
      <c r="D1888" t="s">
        <v>63</v>
      </c>
      <c r="E1888" t="s">
        <v>5687</v>
      </c>
      <c r="F1888" s="61">
        <v>37071</v>
      </c>
      <c r="G1888" s="15" t="s">
        <v>65</v>
      </c>
      <c r="H1888" t="s">
        <v>5688</v>
      </c>
      <c r="I1888" s="62" t="s">
        <v>5689</v>
      </c>
      <c r="K1888" s="36" t="s">
        <v>495</v>
      </c>
      <c r="L1888" t="s">
        <v>69</v>
      </c>
      <c r="M1888" s="62" t="s">
        <v>70</v>
      </c>
      <c r="N1888" t="s">
        <v>71</v>
      </c>
      <c r="O1888" t="str">
        <f>IFERROR(IF(Tbla_actores[[#This Row],[codigo_proyecto]]="","",_xlfn.XLOOKUP(Tbla_actores[[#This Row],[codigo_proyecto]],Proyectos!$A:$A,Proyectos!$C:$C)),"")</f>
        <v>NULOS</v>
      </c>
    </row>
    <row r="1889" spans="1:15">
      <c r="A1889" s="10">
        <v>1016090928</v>
      </c>
      <c r="B1889" s="64" t="s">
        <v>61</v>
      </c>
      <c r="C1889" s="62" t="s">
        <v>5575</v>
      </c>
      <c r="D1889" t="s">
        <v>63</v>
      </c>
      <c r="E1889" t="s">
        <v>5690</v>
      </c>
      <c r="F1889" s="61">
        <v>35419</v>
      </c>
      <c r="G1889" s="15" t="s">
        <v>73</v>
      </c>
      <c r="H1889" t="s">
        <v>5691</v>
      </c>
      <c r="I1889" s="62" t="s">
        <v>5692</v>
      </c>
      <c r="K1889" s="36" t="s">
        <v>495</v>
      </c>
      <c r="L1889" t="s">
        <v>69</v>
      </c>
      <c r="M1889" s="62" t="s">
        <v>70</v>
      </c>
      <c r="N1889" t="s">
        <v>71</v>
      </c>
      <c r="O1889" t="str">
        <f>IFERROR(IF(Tbla_actores[[#This Row],[codigo_proyecto]]="","",_xlfn.XLOOKUP(Tbla_actores[[#This Row],[codigo_proyecto]],Proyectos!$A:$A,Proyectos!$C:$C)),"")</f>
        <v>NULOS</v>
      </c>
    </row>
    <row r="1890" spans="1:15">
      <c r="A1890" s="9">
        <v>1000076210</v>
      </c>
      <c r="B1890" s="63" t="s">
        <v>61</v>
      </c>
      <c r="C1890" s="62" t="s">
        <v>5575</v>
      </c>
      <c r="D1890" t="s">
        <v>63</v>
      </c>
      <c r="E1890" t="s">
        <v>5693</v>
      </c>
      <c r="F1890" s="61">
        <v>35937</v>
      </c>
      <c r="G1890" s="15" t="s">
        <v>73</v>
      </c>
      <c r="H1890" t="s">
        <v>5694</v>
      </c>
      <c r="I1890" s="62" t="s">
        <v>5695</v>
      </c>
      <c r="K1890" s="36" t="s">
        <v>495</v>
      </c>
      <c r="L1890" t="s">
        <v>69</v>
      </c>
      <c r="M1890" s="62" t="s">
        <v>70</v>
      </c>
      <c r="N1890" t="s">
        <v>71</v>
      </c>
      <c r="O1890" t="str">
        <f>IFERROR(IF(Tbla_actores[[#This Row],[codigo_proyecto]]="","",_xlfn.XLOOKUP(Tbla_actores[[#This Row],[codigo_proyecto]],Proyectos!$A:$A,Proyectos!$C:$C)),"")</f>
        <v>NULOS</v>
      </c>
    </row>
    <row r="1891" spans="1:15">
      <c r="A1891" s="10">
        <v>1005341141</v>
      </c>
      <c r="B1891" s="64" t="s">
        <v>61</v>
      </c>
      <c r="C1891" s="62" t="s">
        <v>5575</v>
      </c>
      <c r="D1891" t="s">
        <v>63</v>
      </c>
      <c r="E1891" t="s">
        <v>5696</v>
      </c>
      <c r="F1891" s="61">
        <v>36773</v>
      </c>
      <c r="G1891" s="15" t="s">
        <v>73</v>
      </c>
      <c r="H1891" t="s">
        <v>5697</v>
      </c>
      <c r="I1891" s="62" t="s">
        <v>5698</v>
      </c>
      <c r="K1891" s="36" t="s">
        <v>495</v>
      </c>
      <c r="L1891" t="s">
        <v>69</v>
      </c>
      <c r="M1891" s="62" t="s">
        <v>70</v>
      </c>
      <c r="N1891" t="s">
        <v>71</v>
      </c>
      <c r="O1891" t="str">
        <f>IFERROR(IF(Tbla_actores[[#This Row],[codigo_proyecto]]="","",_xlfn.XLOOKUP(Tbla_actores[[#This Row],[codigo_proyecto]],Proyectos!$A:$A,Proyectos!$C:$C)),"")</f>
        <v>NULOS</v>
      </c>
    </row>
    <row r="1892" spans="1:15">
      <c r="A1892" s="9">
        <v>1007766988</v>
      </c>
      <c r="B1892" s="63" t="s">
        <v>61</v>
      </c>
      <c r="C1892" s="62" t="s">
        <v>5575</v>
      </c>
      <c r="D1892" t="s">
        <v>63</v>
      </c>
      <c r="E1892" t="s">
        <v>5699</v>
      </c>
      <c r="F1892" s="61" t="s">
        <v>1433</v>
      </c>
      <c r="G1892" s="15" t="s">
        <v>1433</v>
      </c>
      <c r="H1892" t="s">
        <v>1433</v>
      </c>
      <c r="I1892" s="62" t="s">
        <v>1433</v>
      </c>
      <c r="K1892" s="36" t="s">
        <v>495</v>
      </c>
      <c r="L1892" t="s">
        <v>69</v>
      </c>
      <c r="M1892" s="62" t="s">
        <v>2558</v>
      </c>
      <c r="N1892" t="s">
        <v>71</v>
      </c>
      <c r="O1892" t="str">
        <f>IFERROR(IF(Tbla_actores[[#This Row],[codigo_proyecto]]="","",_xlfn.XLOOKUP(Tbla_actores[[#This Row],[codigo_proyecto]],Proyectos!$A:$A,Proyectos!$C:$C)),"")</f>
        <v>NULOS</v>
      </c>
    </row>
    <row r="1893" spans="1:15">
      <c r="A1893" s="10">
        <v>1055651056</v>
      </c>
      <c r="B1893" s="64" t="s">
        <v>61</v>
      </c>
      <c r="C1893" s="62" t="s">
        <v>5575</v>
      </c>
      <c r="D1893" t="s">
        <v>63</v>
      </c>
      <c r="E1893" t="s">
        <v>5700</v>
      </c>
      <c r="F1893" s="61">
        <v>35712</v>
      </c>
      <c r="G1893" s="15" t="s">
        <v>73</v>
      </c>
      <c r="H1893" t="s">
        <v>5701</v>
      </c>
      <c r="I1893" s="62" t="s">
        <v>5702</v>
      </c>
      <c r="K1893" s="36" t="s">
        <v>495</v>
      </c>
      <c r="L1893" t="s">
        <v>69</v>
      </c>
      <c r="M1893" s="62" t="s">
        <v>70</v>
      </c>
      <c r="N1893" t="s">
        <v>71</v>
      </c>
      <c r="O1893" t="str">
        <f>IFERROR(IF(Tbla_actores[[#This Row],[codigo_proyecto]]="","",_xlfn.XLOOKUP(Tbla_actores[[#This Row],[codigo_proyecto]],Proyectos!$A:$A,Proyectos!$C:$C)),"")</f>
        <v>NULOS</v>
      </c>
    </row>
    <row r="1894" spans="1:15">
      <c r="A1894" s="9">
        <v>1000796246</v>
      </c>
      <c r="B1894" s="63" t="s">
        <v>61</v>
      </c>
      <c r="C1894" s="62" t="s">
        <v>5575</v>
      </c>
      <c r="D1894" t="s">
        <v>63</v>
      </c>
      <c r="E1894" t="s">
        <v>5703</v>
      </c>
      <c r="F1894" s="61">
        <v>36962</v>
      </c>
      <c r="G1894" s="15" t="s">
        <v>73</v>
      </c>
      <c r="H1894" t="s">
        <v>5704</v>
      </c>
      <c r="I1894" s="62" t="s">
        <v>5705</v>
      </c>
      <c r="K1894" s="36" t="s">
        <v>495</v>
      </c>
      <c r="L1894" t="s">
        <v>69</v>
      </c>
      <c r="M1894" s="62" t="s">
        <v>70</v>
      </c>
      <c r="N1894" t="s">
        <v>71</v>
      </c>
      <c r="O1894" t="str">
        <f>IFERROR(IF(Tbla_actores[[#This Row],[codigo_proyecto]]="","",_xlfn.XLOOKUP(Tbla_actores[[#This Row],[codigo_proyecto]],Proyectos!$A:$A,Proyectos!$C:$C)),"")</f>
        <v>NULOS</v>
      </c>
    </row>
    <row r="1895" spans="1:15">
      <c r="A1895" s="10">
        <v>1032505514</v>
      </c>
      <c r="B1895" s="64" t="s">
        <v>61</v>
      </c>
      <c r="C1895" s="62" t="s">
        <v>5575</v>
      </c>
      <c r="D1895" t="s">
        <v>63</v>
      </c>
      <c r="E1895" t="s">
        <v>5706</v>
      </c>
      <c r="F1895" s="61">
        <v>36337</v>
      </c>
      <c r="G1895" s="15" t="s">
        <v>73</v>
      </c>
      <c r="H1895" t="s">
        <v>5707</v>
      </c>
      <c r="I1895" s="62" t="s">
        <v>5708</v>
      </c>
      <c r="K1895" s="36" t="s">
        <v>495</v>
      </c>
      <c r="L1895" t="s">
        <v>69</v>
      </c>
      <c r="M1895" s="62" t="s">
        <v>70</v>
      </c>
      <c r="N1895" t="s">
        <v>71</v>
      </c>
      <c r="O1895" t="str">
        <f>IFERROR(IF(Tbla_actores[[#This Row],[codigo_proyecto]]="","",_xlfn.XLOOKUP(Tbla_actores[[#This Row],[codigo_proyecto]],Proyectos!$A:$A,Proyectos!$C:$C)),"")</f>
        <v>NULOS</v>
      </c>
    </row>
    <row r="1896" spans="1:15">
      <c r="A1896" s="9">
        <v>1000366108</v>
      </c>
      <c r="B1896" s="63" t="s">
        <v>61</v>
      </c>
      <c r="C1896" s="62" t="s">
        <v>5575</v>
      </c>
      <c r="D1896" t="s">
        <v>63</v>
      </c>
      <c r="E1896" t="s">
        <v>5709</v>
      </c>
      <c r="F1896" s="61">
        <v>37087</v>
      </c>
      <c r="G1896" s="15" t="s">
        <v>73</v>
      </c>
      <c r="H1896" t="s">
        <v>5710</v>
      </c>
      <c r="I1896" s="62" t="s">
        <v>5711</v>
      </c>
      <c r="K1896" s="36" t="s">
        <v>495</v>
      </c>
      <c r="L1896" t="s">
        <v>69</v>
      </c>
      <c r="M1896" s="62" t="s">
        <v>70</v>
      </c>
      <c r="N1896" t="s">
        <v>71</v>
      </c>
      <c r="O1896" t="str">
        <f>IFERROR(IF(Tbla_actores[[#This Row],[codigo_proyecto]]="","",_xlfn.XLOOKUP(Tbla_actores[[#This Row],[codigo_proyecto]],Proyectos!$A:$A,Proyectos!$C:$C)),"")</f>
        <v>NULOS</v>
      </c>
    </row>
    <row r="1897" spans="1:15">
      <c r="A1897" s="10">
        <v>1010095902</v>
      </c>
      <c r="B1897" s="64" t="s">
        <v>61</v>
      </c>
      <c r="C1897" s="62" t="s">
        <v>5575</v>
      </c>
      <c r="D1897" t="s">
        <v>63</v>
      </c>
      <c r="E1897" t="s">
        <v>5712</v>
      </c>
      <c r="F1897" s="61">
        <v>36723</v>
      </c>
      <c r="G1897" s="15" t="s">
        <v>73</v>
      </c>
      <c r="H1897" t="s">
        <v>5713</v>
      </c>
      <c r="I1897" s="62" t="s">
        <v>5714</v>
      </c>
      <c r="K1897" s="36" t="s">
        <v>495</v>
      </c>
      <c r="L1897" t="s">
        <v>69</v>
      </c>
      <c r="M1897" s="62" t="s">
        <v>70</v>
      </c>
      <c r="N1897" t="s">
        <v>71</v>
      </c>
      <c r="O1897" t="str">
        <f>IFERROR(IF(Tbla_actores[[#This Row],[codigo_proyecto]]="","",_xlfn.XLOOKUP(Tbla_actores[[#This Row],[codigo_proyecto]],Proyectos!$A:$A,Proyectos!$C:$C)),"")</f>
        <v>NULOS</v>
      </c>
    </row>
    <row r="1898" spans="1:15">
      <c r="A1898" s="9">
        <v>1000708909</v>
      </c>
      <c r="B1898" s="63" t="s">
        <v>61</v>
      </c>
      <c r="C1898" s="62" t="s">
        <v>5575</v>
      </c>
      <c r="D1898" t="s">
        <v>63</v>
      </c>
      <c r="E1898" t="s">
        <v>5715</v>
      </c>
      <c r="F1898" s="61">
        <v>37051</v>
      </c>
      <c r="G1898" s="15" t="s">
        <v>73</v>
      </c>
      <c r="H1898" t="s">
        <v>5716</v>
      </c>
      <c r="I1898" s="62" t="s">
        <v>5717</v>
      </c>
      <c r="K1898" s="36" t="s">
        <v>495</v>
      </c>
      <c r="L1898" t="s">
        <v>69</v>
      </c>
      <c r="M1898" s="62" t="s">
        <v>70</v>
      </c>
      <c r="N1898" t="s">
        <v>71</v>
      </c>
      <c r="O1898" t="str">
        <f>IFERROR(IF(Tbla_actores[[#This Row],[codigo_proyecto]]="","",_xlfn.XLOOKUP(Tbla_actores[[#This Row],[codigo_proyecto]],Proyectos!$A:$A,Proyectos!$C:$C)),"")</f>
        <v>NULOS</v>
      </c>
    </row>
    <row r="1899" spans="1:15">
      <c r="A1899" s="10">
        <v>1088342717</v>
      </c>
      <c r="B1899" s="64" t="s">
        <v>61</v>
      </c>
      <c r="C1899" s="62" t="s">
        <v>5575</v>
      </c>
      <c r="D1899" t="s">
        <v>63</v>
      </c>
      <c r="E1899" t="s">
        <v>5718</v>
      </c>
      <c r="F1899" s="61">
        <v>35538</v>
      </c>
      <c r="G1899" s="15" t="s">
        <v>73</v>
      </c>
      <c r="H1899" t="s">
        <v>5719</v>
      </c>
      <c r="I1899" s="62" t="s">
        <v>5720</v>
      </c>
      <c r="K1899" s="36" t="s">
        <v>495</v>
      </c>
      <c r="L1899" t="s">
        <v>69</v>
      </c>
      <c r="M1899" s="62" t="s">
        <v>70</v>
      </c>
      <c r="N1899" t="s">
        <v>71</v>
      </c>
      <c r="O1899" t="str">
        <f>IFERROR(IF(Tbla_actores[[#This Row],[codigo_proyecto]]="","",_xlfn.XLOOKUP(Tbla_actores[[#This Row],[codigo_proyecto]],Proyectos!$A:$A,Proyectos!$C:$C)),"")</f>
        <v>NULOS</v>
      </c>
    </row>
    <row r="1900" spans="1:15">
      <c r="A1900" s="9">
        <v>1193143570</v>
      </c>
      <c r="B1900" s="63" t="s">
        <v>61</v>
      </c>
      <c r="C1900" s="62" t="s">
        <v>5575</v>
      </c>
      <c r="D1900" t="s">
        <v>63</v>
      </c>
      <c r="E1900" t="s">
        <v>5721</v>
      </c>
      <c r="F1900" s="61">
        <v>36589</v>
      </c>
      <c r="G1900" s="15" t="s">
        <v>73</v>
      </c>
      <c r="H1900" t="s">
        <v>5722</v>
      </c>
      <c r="I1900" s="62" t="s">
        <v>5723</v>
      </c>
      <c r="K1900" s="36" t="s">
        <v>495</v>
      </c>
      <c r="L1900" t="s">
        <v>69</v>
      </c>
      <c r="M1900" s="62" t="s">
        <v>70</v>
      </c>
      <c r="N1900" t="s">
        <v>71</v>
      </c>
      <c r="O1900" t="str">
        <f>IFERROR(IF(Tbla_actores[[#This Row],[codigo_proyecto]]="","",_xlfn.XLOOKUP(Tbla_actores[[#This Row],[codigo_proyecto]],Proyectos!$A:$A,Proyectos!$C:$C)),"")</f>
        <v>NULOS</v>
      </c>
    </row>
    <row r="1901" spans="1:15">
      <c r="A1901" s="10">
        <v>1007536527</v>
      </c>
      <c r="B1901" s="64" t="s">
        <v>61</v>
      </c>
      <c r="C1901" s="62" t="s">
        <v>5575</v>
      </c>
      <c r="D1901" t="s">
        <v>63</v>
      </c>
      <c r="E1901" t="s">
        <v>5724</v>
      </c>
      <c r="F1901" s="61">
        <v>36721</v>
      </c>
      <c r="G1901" s="15" t="s">
        <v>73</v>
      </c>
      <c r="H1901" t="s">
        <v>4756</v>
      </c>
      <c r="I1901" s="62" t="s">
        <v>4757</v>
      </c>
      <c r="K1901" s="36" t="s">
        <v>495</v>
      </c>
      <c r="L1901" t="s">
        <v>69</v>
      </c>
      <c r="M1901" s="62" t="s">
        <v>70</v>
      </c>
      <c r="N1901" t="s">
        <v>71</v>
      </c>
      <c r="O1901" t="str">
        <f>IFERROR(IF(Tbla_actores[[#This Row],[codigo_proyecto]]="","",_xlfn.XLOOKUP(Tbla_actores[[#This Row],[codigo_proyecto]],Proyectos!$A:$A,Proyectos!$C:$C)),"")</f>
        <v>NULOS</v>
      </c>
    </row>
    <row r="1902" spans="1:15">
      <c r="A1902" s="9">
        <v>1005186974</v>
      </c>
      <c r="B1902" s="63" t="s">
        <v>61</v>
      </c>
      <c r="C1902" s="62" t="s">
        <v>5575</v>
      </c>
      <c r="D1902" t="s">
        <v>63</v>
      </c>
      <c r="E1902" t="s">
        <v>5725</v>
      </c>
      <c r="F1902" s="61">
        <v>36672</v>
      </c>
      <c r="G1902" s="15" t="s">
        <v>73</v>
      </c>
      <c r="H1902" t="s">
        <v>5726</v>
      </c>
      <c r="I1902" s="62" t="s">
        <v>5727</v>
      </c>
      <c r="K1902" s="36" t="s">
        <v>495</v>
      </c>
      <c r="L1902" t="s">
        <v>69</v>
      </c>
      <c r="M1902" s="62" t="s">
        <v>70</v>
      </c>
      <c r="N1902" t="s">
        <v>71</v>
      </c>
      <c r="O1902" t="str">
        <f>IFERROR(IF(Tbla_actores[[#This Row],[codigo_proyecto]]="","",_xlfn.XLOOKUP(Tbla_actores[[#This Row],[codigo_proyecto]],Proyectos!$A:$A,Proyectos!$C:$C)),"")</f>
        <v>NULOS</v>
      </c>
    </row>
    <row r="1903" spans="1:15">
      <c r="A1903" s="10">
        <v>1020830354</v>
      </c>
      <c r="B1903" s="64" t="s">
        <v>61</v>
      </c>
      <c r="C1903" s="62" t="s">
        <v>5575</v>
      </c>
      <c r="D1903" t="s">
        <v>63</v>
      </c>
      <c r="E1903" t="s">
        <v>5728</v>
      </c>
      <c r="F1903" s="61">
        <v>35781</v>
      </c>
      <c r="G1903" s="15" t="s">
        <v>73</v>
      </c>
      <c r="H1903" t="s">
        <v>5729</v>
      </c>
      <c r="I1903" s="62" t="s">
        <v>5730</v>
      </c>
      <c r="K1903" s="36" t="s">
        <v>495</v>
      </c>
      <c r="L1903" t="s">
        <v>69</v>
      </c>
      <c r="M1903" s="62" t="s">
        <v>70</v>
      </c>
      <c r="N1903" t="s">
        <v>71</v>
      </c>
      <c r="O1903" t="str">
        <f>IFERROR(IF(Tbla_actores[[#This Row],[codigo_proyecto]]="","",_xlfn.XLOOKUP(Tbla_actores[[#This Row],[codigo_proyecto]],Proyectos!$A:$A,Proyectos!$C:$C)),"")</f>
        <v>NULOS</v>
      </c>
    </row>
    <row r="1904" spans="1:15">
      <c r="A1904" s="9">
        <v>1032507836</v>
      </c>
      <c r="B1904" s="63" t="s">
        <v>61</v>
      </c>
      <c r="C1904" s="62" t="s">
        <v>5575</v>
      </c>
      <c r="D1904" t="s">
        <v>63</v>
      </c>
      <c r="E1904" t="s">
        <v>5731</v>
      </c>
      <c r="F1904" s="61">
        <v>36431</v>
      </c>
      <c r="G1904" s="15" t="s">
        <v>73</v>
      </c>
      <c r="H1904" t="s">
        <v>5732</v>
      </c>
      <c r="I1904" s="62" t="s">
        <v>5733</v>
      </c>
      <c r="K1904" s="36" t="s">
        <v>495</v>
      </c>
      <c r="L1904" t="s">
        <v>69</v>
      </c>
      <c r="M1904" s="62" t="s">
        <v>70</v>
      </c>
      <c r="N1904" t="s">
        <v>71</v>
      </c>
      <c r="O1904" t="str">
        <f>IFERROR(IF(Tbla_actores[[#This Row],[codigo_proyecto]]="","",_xlfn.XLOOKUP(Tbla_actores[[#This Row],[codigo_proyecto]],Proyectos!$A:$A,Proyectos!$C:$C)),"")</f>
        <v>NULOS</v>
      </c>
    </row>
    <row r="1905" spans="1:15">
      <c r="A1905" s="10">
        <v>1019135067</v>
      </c>
      <c r="B1905" s="64" t="s">
        <v>61</v>
      </c>
      <c r="C1905" s="62" t="s">
        <v>5575</v>
      </c>
      <c r="D1905" t="s">
        <v>63</v>
      </c>
      <c r="E1905" t="s">
        <v>5734</v>
      </c>
      <c r="F1905" s="61">
        <v>35737</v>
      </c>
      <c r="G1905" s="15" t="s">
        <v>65</v>
      </c>
      <c r="H1905" t="s">
        <v>5735</v>
      </c>
      <c r="I1905" s="62" t="s">
        <v>5736</v>
      </c>
      <c r="K1905" s="36" t="s">
        <v>495</v>
      </c>
      <c r="L1905" t="s">
        <v>69</v>
      </c>
      <c r="M1905" s="62" t="s">
        <v>70</v>
      </c>
      <c r="N1905" t="s">
        <v>71</v>
      </c>
      <c r="O1905" t="str">
        <f>IFERROR(IF(Tbla_actores[[#This Row],[codigo_proyecto]]="","",_xlfn.XLOOKUP(Tbla_actores[[#This Row],[codigo_proyecto]],Proyectos!$A:$A,Proyectos!$C:$C)),"")</f>
        <v>NULOS</v>
      </c>
    </row>
    <row r="1906" spans="1:15">
      <c r="A1906" s="9">
        <v>1000227323</v>
      </c>
      <c r="B1906" s="63" t="s">
        <v>61</v>
      </c>
      <c r="C1906" s="62" t="s">
        <v>5575</v>
      </c>
      <c r="D1906" t="s">
        <v>63</v>
      </c>
      <c r="E1906" t="s">
        <v>5737</v>
      </c>
      <c r="F1906" s="61">
        <v>37008</v>
      </c>
      <c r="G1906" s="15" t="s">
        <v>65</v>
      </c>
      <c r="H1906" t="s">
        <v>5738</v>
      </c>
      <c r="I1906" s="62" t="s">
        <v>5739</v>
      </c>
      <c r="K1906" s="36" t="s">
        <v>495</v>
      </c>
      <c r="L1906" t="s">
        <v>69</v>
      </c>
      <c r="M1906" s="62" t="s">
        <v>70</v>
      </c>
      <c r="N1906" t="s">
        <v>71</v>
      </c>
      <c r="O1906" t="str">
        <f>IFERROR(IF(Tbla_actores[[#This Row],[codigo_proyecto]]="","",_xlfn.XLOOKUP(Tbla_actores[[#This Row],[codigo_proyecto]],Proyectos!$A:$A,Proyectos!$C:$C)),"")</f>
        <v>NULOS</v>
      </c>
    </row>
    <row r="1907" spans="1:15">
      <c r="A1907" s="10">
        <v>1115864908</v>
      </c>
      <c r="B1907" s="64" t="s">
        <v>61</v>
      </c>
      <c r="C1907" s="62" t="s">
        <v>5575</v>
      </c>
      <c r="D1907" t="s">
        <v>63</v>
      </c>
      <c r="E1907" t="s">
        <v>5740</v>
      </c>
      <c r="F1907" s="61">
        <v>35774</v>
      </c>
      <c r="G1907" s="15" t="s">
        <v>73</v>
      </c>
      <c r="H1907" t="s">
        <v>5741</v>
      </c>
      <c r="I1907" s="62" t="s">
        <v>5742</v>
      </c>
      <c r="K1907" s="36" t="s">
        <v>495</v>
      </c>
      <c r="L1907" t="s">
        <v>69</v>
      </c>
      <c r="M1907" s="62" t="s">
        <v>70</v>
      </c>
      <c r="N1907" t="s">
        <v>71</v>
      </c>
      <c r="O1907" t="str">
        <f>IFERROR(IF(Tbla_actores[[#This Row],[codigo_proyecto]]="","",_xlfn.XLOOKUP(Tbla_actores[[#This Row],[codigo_proyecto]],Proyectos!$A:$A,Proyectos!$C:$C)),"")</f>
        <v>NULOS</v>
      </c>
    </row>
    <row r="1908" spans="1:15">
      <c r="A1908" s="9">
        <v>1005154192</v>
      </c>
      <c r="B1908" s="63" t="s">
        <v>61</v>
      </c>
      <c r="C1908" s="62" t="s">
        <v>5575</v>
      </c>
      <c r="D1908" t="s">
        <v>63</v>
      </c>
      <c r="E1908" t="s">
        <v>5743</v>
      </c>
      <c r="F1908" s="61">
        <v>36529</v>
      </c>
      <c r="G1908" s="15" t="s">
        <v>65</v>
      </c>
      <c r="H1908" t="s">
        <v>5744</v>
      </c>
      <c r="I1908" s="62" t="s">
        <v>5745</v>
      </c>
      <c r="K1908" s="36" t="s">
        <v>495</v>
      </c>
      <c r="L1908" t="s">
        <v>69</v>
      </c>
      <c r="M1908" s="62" t="s">
        <v>70</v>
      </c>
      <c r="N1908" t="s">
        <v>71</v>
      </c>
      <c r="O1908" t="str">
        <f>IFERROR(IF(Tbla_actores[[#This Row],[codigo_proyecto]]="","",_xlfn.XLOOKUP(Tbla_actores[[#This Row],[codigo_proyecto]],Proyectos!$A:$A,Proyectos!$C:$C)),"")</f>
        <v>NULOS</v>
      </c>
    </row>
    <row r="1909" spans="1:15">
      <c r="A1909" s="10">
        <v>1019144605</v>
      </c>
      <c r="B1909" s="64" t="s">
        <v>61</v>
      </c>
      <c r="C1909" s="62" t="s">
        <v>5575</v>
      </c>
      <c r="D1909" t="s">
        <v>63</v>
      </c>
      <c r="E1909" t="s">
        <v>5746</v>
      </c>
      <c r="F1909" s="61">
        <v>36123</v>
      </c>
      <c r="G1909" s="15" t="s">
        <v>65</v>
      </c>
      <c r="H1909" t="s">
        <v>5747</v>
      </c>
      <c r="I1909" s="62" t="s">
        <v>5748</v>
      </c>
      <c r="K1909" s="36" t="s">
        <v>495</v>
      </c>
      <c r="L1909" t="s">
        <v>69</v>
      </c>
      <c r="M1909" s="62" t="s">
        <v>70</v>
      </c>
      <c r="N1909" t="s">
        <v>71</v>
      </c>
      <c r="O1909" t="str">
        <f>IFERROR(IF(Tbla_actores[[#This Row],[codigo_proyecto]]="","",_xlfn.XLOOKUP(Tbla_actores[[#This Row],[codigo_proyecto]],Proyectos!$A:$A,Proyectos!$C:$C)),"")</f>
        <v>NULOS</v>
      </c>
    </row>
    <row r="1910" spans="1:15">
      <c r="A1910" s="9">
        <v>1005483314</v>
      </c>
      <c r="B1910" s="63" t="s">
        <v>61</v>
      </c>
      <c r="C1910" s="62" t="s">
        <v>5575</v>
      </c>
      <c r="D1910" t="s">
        <v>63</v>
      </c>
      <c r="E1910" t="s">
        <v>5749</v>
      </c>
      <c r="F1910" s="61">
        <v>37277</v>
      </c>
      <c r="G1910" s="15" t="s">
        <v>65</v>
      </c>
      <c r="H1910" t="s">
        <v>5750</v>
      </c>
      <c r="I1910" s="62" t="s">
        <v>5751</v>
      </c>
      <c r="K1910" s="36" t="s">
        <v>495</v>
      </c>
      <c r="L1910" t="s">
        <v>69</v>
      </c>
      <c r="M1910" s="62" t="s">
        <v>70</v>
      </c>
      <c r="N1910" t="s">
        <v>71</v>
      </c>
      <c r="O1910" t="str">
        <f>IFERROR(IF(Tbla_actores[[#This Row],[codigo_proyecto]]="","",_xlfn.XLOOKUP(Tbla_actores[[#This Row],[codigo_proyecto]],Proyectos!$A:$A,Proyectos!$C:$C)),"")</f>
        <v>NULOS</v>
      </c>
    </row>
    <row r="1911" spans="1:15">
      <c r="A1911" s="10">
        <v>1000065071</v>
      </c>
      <c r="B1911" s="64" t="s">
        <v>61</v>
      </c>
      <c r="C1911" s="62" t="s">
        <v>5575</v>
      </c>
      <c r="D1911" t="s">
        <v>63</v>
      </c>
      <c r="E1911" t="s">
        <v>5752</v>
      </c>
      <c r="F1911" s="61">
        <v>37206</v>
      </c>
      <c r="G1911" s="15" t="s">
        <v>73</v>
      </c>
      <c r="H1911" t="s">
        <v>5753</v>
      </c>
      <c r="I1911" s="62" t="s">
        <v>5754</v>
      </c>
      <c r="K1911" s="36" t="s">
        <v>495</v>
      </c>
      <c r="L1911" t="s">
        <v>69</v>
      </c>
      <c r="M1911" s="62" t="s">
        <v>70</v>
      </c>
      <c r="N1911" t="s">
        <v>71</v>
      </c>
      <c r="O1911" t="str">
        <f>IFERROR(IF(Tbla_actores[[#This Row],[codigo_proyecto]]="","",_xlfn.XLOOKUP(Tbla_actores[[#This Row],[codigo_proyecto]],Proyectos!$A:$A,Proyectos!$C:$C)),"")</f>
        <v>NULOS</v>
      </c>
    </row>
    <row r="1912" spans="1:15">
      <c r="A1912" s="9">
        <v>1010022401</v>
      </c>
      <c r="B1912" s="63" t="s">
        <v>61</v>
      </c>
      <c r="C1912" s="62" t="s">
        <v>5575</v>
      </c>
      <c r="D1912" t="s">
        <v>63</v>
      </c>
      <c r="E1912" t="s">
        <v>5755</v>
      </c>
      <c r="F1912" s="61">
        <v>36880</v>
      </c>
      <c r="G1912" s="15" t="s">
        <v>65</v>
      </c>
      <c r="H1912" t="s">
        <v>5756</v>
      </c>
      <c r="I1912" s="62" t="s">
        <v>5757</v>
      </c>
      <c r="K1912" s="36" t="s">
        <v>495</v>
      </c>
      <c r="L1912" t="s">
        <v>69</v>
      </c>
      <c r="M1912" s="62" t="s">
        <v>70</v>
      </c>
      <c r="N1912" t="s">
        <v>71</v>
      </c>
      <c r="O1912" t="str">
        <f>IFERROR(IF(Tbla_actores[[#This Row],[codigo_proyecto]]="","",_xlfn.XLOOKUP(Tbla_actores[[#This Row],[codigo_proyecto]],Proyectos!$A:$A,Proyectos!$C:$C)),"")</f>
        <v>NULOS</v>
      </c>
    </row>
    <row r="1913" spans="1:15">
      <c r="A1913" s="10">
        <v>1002995431</v>
      </c>
      <c r="B1913" s="64" t="s">
        <v>61</v>
      </c>
      <c r="C1913" s="62" t="s">
        <v>5575</v>
      </c>
      <c r="D1913" t="s">
        <v>63</v>
      </c>
      <c r="E1913" t="s">
        <v>5758</v>
      </c>
      <c r="F1913" s="61">
        <v>37064</v>
      </c>
      <c r="G1913" s="15" t="s">
        <v>73</v>
      </c>
      <c r="H1913" t="s">
        <v>5759</v>
      </c>
      <c r="I1913" s="62" t="s">
        <v>5760</v>
      </c>
      <c r="K1913" s="36" t="s">
        <v>495</v>
      </c>
      <c r="L1913" t="s">
        <v>69</v>
      </c>
      <c r="M1913" s="62" t="s">
        <v>70</v>
      </c>
      <c r="N1913" t="s">
        <v>71</v>
      </c>
      <c r="O1913" t="str">
        <f>IFERROR(IF(Tbla_actores[[#This Row],[codigo_proyecto]]="","",_xlfn.XLOOKUP(Tbla_actores[[#This Row],[codigo_proyecto]],Proyectos!$A:$A,Proyectos!$C:$C)),"")</f>
        <v>NULOS</v>
      </c>
    </row>
    <row r="1914" spans="1:15">
      <c r="A1914" s="9">
        <v>1016114740</v>
      </c>
      <c r="B1914" s="63" t="s">
        <v>61</v>
      </c>
      <c r="C1914" s="62" t="s">
        <v>5575</v>
      </c>
      <c r="D1914" t="s">
        <v>63</v>
      </c>
      <c r="E1914" t="s">
        <v>5761</v>
      </c>
      <c r="F1914" s="61">
        <v>36551</v>
      </c>
      <c r="G1914" s="15" t="s">
        <v>65</v>
      </c>
      <c r="H1914" t="s">
        <v>5762</v>
      </c>
      <c r="I1914" s="62" t="s">
        <v>5763</v>
      </c>
      <c r="K1914" s="36" t="s">
        <v>495</v>
      </c>
      <c r="L1914" t="s">
        <v>69</v>
      </c>
      <c r="M1914" s="62" t="s">
        <v>70</v>
      </c>
      <c r="N1914" t="s">
        <v>71</v>
      </c>
      <c r="O1914" t="str">
        <f>IFERROR(IF(Tbla_actores[[#This Row],[codigo_proyecto]]="","",_xlfn.XLOOKUP(Tbla_actores[[#This Row],[codigo_proyecto]],Proyectos!$A:$A,Proyectos!$C:$C)),"")</f>
        <v>NULOS</v>
      </c>
    </row>
    <row r="1915" spans="1:15">
      <c r="A1915" s="10">
        <v>1005051234</v>
      </c>
      <c r="B1915" s="64" t="s">
        <v>61</v>
      </c>
      <c r="C1915" s="62" t="s">
        <v>5575</v>
      </c>
      <c r="D1915" t="s">
        <v>63</v>
      </c>
      <c r="E1915" t="s">
        <v>5764</v>
      </c>
      <c r="F1915" s="61">
        <v>36524</v>
      </c>
      <c r="G1915" s="15" t="s">
        <v>73</v>
      </c>
      <c r="H1915" t="s">
        <v>5765</v>
      </c>
      <c r="I1915" s="62" t="s">
        <v>5766</v>
      </c>
      <c r="K1915" s="36" t="s">
        <v>495</v>
      </c>
      <c r="L1915" t="s">
        <v>69</v>
      </c>
      <c r="M1915" s="62" t="s">
        <v>70</v>
      </c>
      <c r="N1915" t="s">
        <v>71</v>
      </c>
      <c r="O1915" t="str">
        <f>IFERROR(IF(Tbla_actores[[#This Row],[codigo_proyecto]]="","",_xlfn.XLOOKUP(Tbla_actores[[#This Row],[codigo_proyecto]],Proyectos!$A:$A,Proyectos!$C:$C)),"")</f>
        <v>NULOS</v>
      </c>
    </row>
    <row r="1916" spans="1:15">
      <c r="A1916" s="9">
        <v>1019142354</v>
      </c>
      <c r="B1916" s="63" t="s">
        <v>61</v>
      </c>
      <c r="C1916" s="62" t="s">
        <v>5575</v>
      </c>
      <c r="D1916" t="s">
        <v>63</v>
      </c>
      <c r="E1916" t="s">
        <v>5767</v>
      </c>
      <c r="F1916" s="61">
        <v>36033</v>
      </c>
      <c r="G1916" s="15" t="s">
        <v>65</v>
      </c>
      <c r="H1916" t="s">
        <v>5768</v>
      </c>
      <c r="I1916" s="62" t="s">
        <v>5769</v>
      </c>
      <c r="K1916" s="36" t="s">
        <v>495</v>
      </c>
      <c r="L1916" t="s">
        <v>69</v>
      </c>
      <c r="M1916" s="62" t="s">
        <v>70</v>
      </c>
      <c r="N1916" t="s">
        <v>71</v>
      </c>
      <c r="O1916" t="str">
        <f>IFERROR(IF(Tbla_actores[[#This Row],[codigo_proyecto]]="","",_xlfn.XLOOKUP(Tbla_actores[[#This Row],[codigo_proyecto]],Proyectos!$A:$A,Proyectos!$C:$C)),"")</f>
        <v>NULOS</v>
      </c>
    </row>
    <row r="1917" spans="1:15">
      <c r="A1917" s="10">
        <v>1000220103</v>
      </c>
      <c r="B1917" s="64" t="s">
        <v>61</v>
      </c>
      <c r="C1917" s="62" t="s">
        <v>5575</v>
      </c>
      <c r="D1917" t="s">
        <v>63</v>
      </c>
      <c r="E1917" t="s">
        <v>5770</v>
      </c>
      <c r="F1917" s="61">
        <v>36726</v>
      </c>
      <c r="G1917" s="15" t="s">
        <v>73</v>
      </c>
      <c r="H1917" t="s">
        <v>5771</v>
      </c>
      <c r="I1917" s="62" t="s">
        <v>5772</v>
      </c>
      <c r="K1917" s="36" t="s">
        <v>495</v>
      </c>
      <c r="L1917" t="s">
        <v>69</v>
      </c>
      <c r="M1917" s="62" t="s">
        <v>70</v>
      </c>
      <c r="N1917" t="s">
        <v>71</v>
      </c>
      <c r="O1917" t="str">
        <f>IFERROR(IF(Tbla_actores[[#This Row],[codigo_proyecto]]="","",_xlfn.XLOOKUP(Tbla_actores[[#This Row],[codigo_proyecto]],Proyectos!$A:$A,Proyectos!$C:$C)),"")</f>
        <v>NULOS</v>
      </c>
    </row>
    <row r="1918" spans="1:15">
      <c r="A1918" s="9">
        <v>1193093873</v>
      </c>
      <c r="B1918" s="63" t="s">
        <v>61</v>
      </c>
      <c r="C1918" s="62" t="s">
        <v>5575</v>
      </c>
      <c r="D1918" t="s">
        <v>63</v>
      </c>
      <c r="E1918" t="s">
        <v>5773</v>
      </c>
      <c r="F1918" s="61">
        <v>37240</v>
      </c>
      <c r="G1918" s="15" t="s">
        <v>65</v>
      </c>
      <c r="H1918" t="s">
        <v>5774</v>
      </c>
      <c r="I1918" s="62" t="s">
        <v>5775</v>
      </c>
      <c r="K1918" s="36" t="s">
        <v>68</v>
      </c>
      <c r="L1918" t="s">
        <v>69</v>
      </c>
      <c r="M1918" s="62" t="s">
        <v>70</v>
      </c>
      <c r="N1918" t="s">
        <v>71</v>
      </c>
      <c r="O1918" t="str">
        <f>IFERROR(IF(Tbla_actores[[#This Row],[codigo_proyecto]]="","",_xlfn.XLOOKUP(Tbla_actores[[#This Row],[codigo_proyecto]],Proyectos!$A:$A,Proyectos!$C:$C)),"")</f>
        <v>NULOS</v>
      </c>
    </row>
    <row r="1919" spans="1:15">
      <c r="A1919" s="10">
        <v>1000227637</v>
      </c>
      <c r="B1919" s="64" t="s">
        <v>61</v>
      </c>
      <c r="C1919" s="62" t="s">
        <v>5575</v>
      </c>
      <c r="D1919" t="s">
        <v>63</v>
      </c>
      <c r="E1919" t="s">
        <v>5776</v>
      </c>
      <c r="F1919" s="61">
        <v>37157</v>
      </c>
      <c r="G1919" s="15" t="s">
        <v>73</v>
      </c>
      <c r="H1919" t="s">
        <v>5777</v>
      </c>
      <c r="I1919" s="62" t="s">
        <v>5778</v>
      </c>
      <c r="K1919" s="36" t="s">
        <v>495</v>
      </c>
      <c r="L1919" t="s">
        <v>69</v>
      </c>
      <c r="M1919" s="62" t="s">
        <v>70</v>
      </c>
      <c r="N1919" t="s">
        <v>71</v>
      </c>
      <c r="O1919" t="str">
        <f>IFERROR(IF(Tbla_actores[[#This Row],[codigo_proyecto]]="","",_xlfn.XLOOKUP(Tbla_actores[[#This Row],[codigo_proyecto]],Proyectos!$A:$A,Proyectos!$C:$C)),"")</f>
        <v>NULOS</v>
      </c>
    </row>
    <row r="1920" spans="1:15">
      <c r="A1920" s="9">
        <v>1000284249</v>
      </c>
      <c r="B1920" s="63" t="s">
        <v>61</v>
      </c>
      <c r="C1920" s="62" t="s">
        <v>5575</v>
      </c>
      <c r="D1920" t="s">
        <v>63</v>
      </c>
      <c r="E1920" t="s">
        <v>5779</v>
      </c>
      <c r="F1920" s="61">
        <v>36809</v>
      </c>
      <c r="G1920" s="15" t="s">
        <v>73</v>
      </c>
      <c r="H1920" t="s">
        <v>5780</v>
      </c>
      <c r="I1920" s="62" t="s">
        <v>5781</v>
      </c>
      <c r="K1920" s="36" t="s">
        <v>495</v>
      </c>
      <c r="L1920" t="s">
        <v>69</v>
      </c>
      <c r="M1920" s="62" t="s">
        <v>70</v>
      </c>
      <c r="N1920" t="s">
        <v>71</v>
      </c>
      <c r="O1920" t="str">
        <f>IFERROR(IF(Tbla_actores[[#This Row],[codigo_proyecto]]="","",_xlfn.XLOOKUP(Tbla_actores[[#This Row],[codigo_proyecto]],Proyectos!$A:$A,Proyectos!$C:$C)),"")</f>
        <v>NULOS</v>
      </c>
    </row>
    <row r="1921" spans="1:15">
      <c r="A1921" s="10">
        <v>1010114903</v>
      </c>
      <c r="B1921" s="64" t="s">
        <v>61</v>
      </c>
      <c r="C1921" s="62" t="s">
        <v>5575</v>
      </c>
      <c r="D1921" t="s">
        <v>63</v>
      </c>
      <c r="E1921" t="s">
        <v>5782</v>
      </c>
      <c r="F1921" s="61">
        <v>36710</v>
      </c>
      <c r="G1921" s="15" t="s">
        <v>73</v>
      </c>
      <c r="H1921" t="s">
        <v>5783</v>
      </c>
      <c r="I1921" s="62" t="s">
        <v>5784</v>
      </c>
      <c r="K1921" s="36" t="s">
        <v>495</v>
      </c>
      <c r="L1921" t="s">
        <v>69</v>
      </c>
      <c r="M1921" s="62" t="s">
        <v>70</v>
      </c>
      <c r="N1921" t="s">
        <v>71</v>
      </c>
      <c r="O1921" t="str">
        <f>IFERROR(IF(Tbla_actores[[#This Row],[codigo_proyecto]]="","",_xlfn.XLOOKUP(Tbla_actores[[#This Row],[codigo_proyecto]],Proyectos!$A:$A,Proyectos!$C:$C)),"")</f>
        <v>NULOS</v>
      </c>
    </row>
    <row r="1922" spans="1:15">
      <c r="A1922" s="9">
        <v>1084848232</v>
      </c>
      <c r="B1922" s="63" t="s">
        <v>61</v>
      </c>
      <c r="C1922" s="62" t="s">
        <v>5575</v>
      </c>
      <c r="D1922" t="s">
        <v>63</v>
      </c>
      <c r="E1922" t="s">
        <v>5785</v>
      </c>
      <c r="F1922" s="61">
        <v>36229</v>
      </c>
      <c r="G1922" s="15" t="s">
        <v>73</v>
      </c>
      <c r="H1922" t="s">
        <v>5786</v>
      </c>
      <c r="I1922" s="62" t="s">
        <v>5787</v>
      </c>
      <c r="K1922" s="36" t="s">
        <v>495</v>
      </c>
      <c r="L1922" t="s">
        <v>69</v>
      </c>
      <c r="M1922" s="62" t="s">
        <v>70</v>
      </c>
      <c r="N1922" t="s">
        <v>71</v>
      </c>
      <c r="O1922" t="str">
        <f>IFERROR(IF(Tbla_actores[[#This Row],[codigo_proyecto]]="","",_xlfn.XLOOKUP(Tbla_actores[[#This Row],[codigo_proyecto]],Proyectos!$A:$A,Proyectos!$C:$C)),"")</f>
        <v>NULOS</v>
      </c>
    </row>
    <row r="1923" spans="1:15">
      <c r="A1923" s="10">
        <v>1000593510</v>
      </c>
      <c r="B1923" s="64" t="s">
        <v>61</v>
      </c>
      <c r="C1923" s="62" t="s">
        <v>5575</v>
      </c>
      <c r="D1923" t="s">
        <v>63</v>
      </c>
      <c r="E1923" t="s">
        <v>5788</v>
      </c>
      <c r="F1923" s="61">
        <v>37508</v>
      </c>
      <c r="G1923" s="15" t="s">
        <v>73</v>
      </c>
      <c r="H1923" t="s">
        <v>5789</v>
      </c>
      <c r="I1923" s="62" t="s">
        <v>5790</v>
      </c>
      <c r="K1923" s="36" t="s">
        <v>495</v>
      </c>
      <c r="L1923" t="s">
        <v>69</v>
      </c>
      <c r="M1923" s="62" t="s">
        <v>70</v>
      </c>
      <c r="N1923" t="s">
        <v>71</v>
      </c>
      <c r="O1923" t="str">
        <f>IFERROR(IF(Tbla_actores[[#This Row],[codigo_proyecto]]="","",_xlfn.XLOOKUP(Tbla_actores[[#This Row],[codigo_proyecto]],Proyectos!$A:$A,Proyectos!$C:$C)),"")</f>
        <v>NULOS</v>
      </c>
    </row>
    <row r="1924" spans="1:15">
      <c r="A1924" s="9">
        <v>1136889632</v>
      </c>
      <c r="B1924" s="63" t="s">
        <v>61</v>
      </c>
      <c r="C1924" s="62" t="s">
        <v>5575</v>
      </c>
      <c r="D1924" t="s">
        <v>63</v>
      </c>
      <c r="E1924" t="s">
        <v>5791</v>
      </c>
      <c r="F1924" s="61">
        <v>36279</v>
      </c>
      <c r="G1924" s="15" t="s">
        <v>73</v>
      </c>
      <c r="H1924" t="s">
        <v>5792</v>
      </c>
      <c r="I1924" s="62" t="s">
        <v>5793</v>
      </c>
      <c r="K1924" s="36" t="s">
        <v>495</v>
      </c>
      <c r="L1924" t="s">
        <v>69</v>
      </c>
      <c r="M1924" s="62" t="s">
        <v>70</v>
      </c>
      <c r="N1924" t="s">
        <v>71</v>
      </c>
      <c r="O1924" t="str">
        <f>IFERROR(IF(Tbla_actores[[#This Row],[codigo_proyecto]]="","",_xlfn.XLOOKUP(Tbla_actores[[#This Row],[codigo_proyecto]],Proyectos!$A:$A,Proyectos!$C:$C)),"")</f>
        <v>NULOS</v>
      </c>
    </row>
    <row r="1925" spans="1:15">
      <c r="A1925" s="10">
        <v>1018513936</v>
      </c>
      <c r="B1925" s="64" t="s">
        <v>61</v>
      </c>
      <c r="C1925" s="62" t="s">
        <v>5575</v>
      </c>
      <c r="D1925" t="s">
        <v>63</v>
      </c>
      <c r="E1925" t="s">
        <v>5794</v>
      </c>
      <c r="F1925" s="61">
        <v>36442</v>
      </c>
      <c r="G1925" s="15" t="s">
        <v>73</v>
      </c>
      <c r="H1925" t="s">
        <v>5795</v>
      </c>
      <c r="I1925" s="62" t="s">
        <v>5796</v>
      </c>
      <c r="K1925" s="36" t="s">
        <v>495</v>
      </c>
      <c r="L1925" t="s">
        <v>69</v>
      </c>
      <c r="M1925" s="62" t="s">
        <v>70</v>
      </c>
      <c r="N1925" t="s">
        <v>71</v>
      </c>
      <c r="O1925" t="str">
        <f>IFERROR(IF(Tbla_actores[[#This Row],[codigo_proyecto]]="","",_xlfn.XLOOKUP(Tbla_actores[[#This Row],[codigo_proyecto]],Proyectos!$A:$A,Proyectos!$C:$C)),"")</f>
        <v>NULOS</v>
      </c>
    </row>
    <row r="1926" spans="1:15">
      <c r="A1926" s="9">
        <v>1007348249</v>
      </c>
      <c r="B1926" s="63" t="s">
        <v>61</v>
      </c>
      <c r="C1926" s="62" t="s">
        <v>5575</v>
      </c>
      <c r="D1926" t="s">
        <v>63</v>
      </c>
      <c r="E1926" t="s">
        <v>5797</v>
      </c>
      <c r="F1926" s="61">
        <v>36578</v>
      </c>
      <c r="G1926" s="15" t="s">
        <v>73</v>
      </c>
      <c r="H1926" t="s">
        <v>5798</v>
      </c>
      <c r="I1926" s="62" t="s">
        <v>5799</v>
      </c>
      <c r="K1926" s="36" t="s">
        <v>1489</v>
      </c>
      <c r="L1926" t="s">
        <v>69</v>
      </c>
      <c r="M1926" s="62" t="s">
        <v>70</v>
      </c>
      <c r="N1926" t="s">
        <v>71</v>
      </c>
      <c r="O1926" t="str">
        <f>IFERROR(IF(Tbla_actores[[#This Row],[codigo_proyecto]]="","",_xlfn.XLOOKUP(Tbla_actores[[#This Row],[codigo_proyecto]],Proyectos!$A:$A,Proyectos!$C:$C)),"")</f>
        <v>NULOS</v>
      </c>
    </row>
    <row r="1927" spans="1:15">
      <c r="A1927" s="10">
        <v>1032501177</v>
      </c>
      <c r="B1927" s="64" t="s">
        <v>61</v>
      </c>
      <c r="C1927" s="62" t="s">
        <v>5575</v>
      </c>
      <c r="D1927" t="s">
        <v>63</v>
      </c>
      <c r="E1927" t="s">
        <v>5800</v>
      </c>
      <c r="F1927" s="61">
        <v>36099</v>
      </c>
      <c r="G1927" s="15" t="s">
        <v>73</v>
      </c>
      <c r="H1927" t="s">
        <v>5801</v>
      </c>
      <c r="I1927" s="62" t="s">
        <v>5802</v>
      </c>
      <c r="K1927" s="36" t="s">
        <v>1489</v>
      </c>
      <c r="L1927" t="s">
        <v>69</v>
      </c>
      <c r="M1927" s="62" t="s">
        <v>70</v>
      </c>
      <c r="N1927" t="s">
        <v>71</v>
      </c>
      <c r="O1927" t="str">
        <f>IFERROR(IF(Tbla_actores[[#This Row],[codigo_proyecto]]="","",_xlfn.XLOOKUP(Tbla_actores[[#This Row],[codigo_proyecto]],Proyectos!$A:$A,Proyectos!$C:$C)),"")</f>
        <v>NULOS</v>
      </c>
    </row>
    <row r="1928" spans="1:15">
      <c r="A1928" s="9">
        <v>1007358237</v>
      </c>
      <c r="B1928" s="63" t="s">
        <v>61</v>
      </c>
      <c r="C1928" s="62" t="s">
        <v>5575</v>
      </c>
      <c r="D1928" t="s">
        <v>63</v>
      </c>
      <c r="E1928" t="s">
        <v>5803</v>
      </c>
      <c r="F1928" s="61">
        <v>36638</v>
      </c>
      <c r="G1928" s="15" t="s">
        <v>73</v>
      </c>
      <c r="H1928" t="s">
        <v>5804</v>
      </c>
      <c r="I1928" s="62" t="s">
        <v>5805</v>
      </c>
      <c r="K1928" s="36" t="s">
        <v>1489</v>
      </c>
      <c r="L1928" t="s">
        <v>69</v>
      </c>
      <c r="M1928" s="62" t="s">
        <v>70</v>
      </c>
      <c r="N1928" t="s">
        <v>71</v>
      </c>
      <c r="O1928" t="str">
        <f>IFERROR(IF(Tbla_actores[[#This Row],[codigo_proyecto]]="","",_xlfn.XLOOKUP(Tbla_actores[[#This Row],[codigo_proyecto]],Proyectos!$A:$A,Proyectos!$C:$C)),"")</f>
        <v>NULOS</v>
      </c>
    </row>
    <row r="1929" spans="1:15">
      <c r="A1929" s="10">
        <v>1018513775</v>
      </c>
      <c r="B1929" s="64" t="s">
        <v>61</v>
      </c>
      <c r="C1929" s="62" t="s">
        <v>5575</v>
      </c>
      <c r="D1929" t="s">
        <v>63</v>
      </c>
      <c r="E1929" t="s">
        <v>5806</v>
      </c>
      <c r="F1929" s="61">
        <v>36441</v>
      </c>
      <c r="G1929" s="15" t="s">
        <v>73</v>
      </c>
      <c r="H1929" t="s">
        <v>5807</v>
      </c>
      <c r="I1929" s="62" t="s">
        <v>5808</v>
      </c>
      <c r="K1929" s="36" t="s">
        <v>1489</v>
      </c>
      <c r="L1929" t="s">
        <v>69</v>
      </c>
      <c r="M1929" s="62" t="s">
        <v>70</v>
      </c>
      <c r="N1929" t="s">
        <v>71</v>
      </c>
      <c r="O1929" t="str">
        <f>IFERROR(IF(Tbla_actores[[#This Row],[codigo_proyecto]]="","",_xlfn.XLOOKUP(Tbla_actores[[#This Row],[codigo_proyecto]],Proyectos!$A:$A,Proyectos!$C:$C)),"")</f>
        <v>NULOS</v>
      </c>
    </row>
    <row r="1930" spans="1:15">
      <c r="A1930" s="9">
        <v>1005241525</v>
      </c>
      <c r="B1930" s="63" t="s">
        <v>61</v>
      </c>
      <c r="C1930" s="62" t="s">
        <v>5575</v>
      </c>
      <c r="D1930" t="s">
        <v>63</v>
      </c>
      <c r="E1930" t="s">
        <v>5809</v>
      </c>
      <c r="F1930" s="61">
        <v>37026</v>
      </c>
      <c r="G1930" s="15" t="s">
        <v>65</v>
      </c>
      <c r="H1930" t="s">
        <v>5810</v>
      </c>
      <c r="I1930" s="62" t="s">
        <v>5811</v>
      </c>
      <c r="K1930" s="36" t="s">
        <v>1489</v>
      </c>
      <c r="L1930" t="s">
        <v>69</v>
      </c>
      <c r="M1930" s="62" t="s">
        <v>70</v>
      </c>
      <c r="N1930" t="s">
        <v>71</v>
      </c>
      <c r="O1930" t="str">
        <f>IFERROR(IF(Tbla_actores[[#This Row],[codigo_proyecto]]="","",_xlfn.XLOOKUP(Tbla_actores[[#This Row],[codigo_proyecto]],Proyectos!$A:$A,Proyectos!$C:$C)),"")</f>
        <v>NULOS</v>
      </c>
    </row>
    <row r="1931" spans="1:15">
      <c r="A1931" s="10">
        <v>1007401242</v>
      </c>
      <c r="B1931" s="64" t="s">
        <v>61</v>
      </c>
      <c r="C1931" s="62" t="s">
        <v>5575</v>
      </c>
      <c r="D1931" t="s">
        <v>63</v>
      </c>
      <c r="E1931" t="s">
        <v>5812</v>
      </c>
      <c r="F1931" s="61">
        <v>36615</v>
      </c>
      <c r="G1931" s="15" t="s">
        <v>73</v>
      </c>
      <c r="H1931" t="s">
        <v>5813</v>
      </c>
      <c r="I1931" s="62" t="s">
        <v>5814</v>
      </c>
      <c r="K1931" s="36" t="s">
        <v>68</v>
      </c>
      <c r="L1931" t="s">
        <v>69</v>
      </c>
      <c r="M1931" s="62" t="s">
        <v>70</v>
      </c>
      <c r="N1931" t="s">
        <v>71</v>
      </c>
      <c r="O1931" t="str">
        <f>IFERROR(IF(Tbla_actores[[#This Row],[codigo_proyecto]]="","",_xlfn.XLOOKUP(Tbla_actores[[#This Row],[codigo_proyecto]],Proyectos!$A:$A,Proyectos!$C:$C)),"")</f>
        <v>NULOS</v>
      </c>
    </row>
    <row r="1932" spans="1:15">
      <c r="A1932" s="9">
        <v>1000471976</v>
      </c>
      <c r="B1932" s="63" t="s">
        <v>61</v>
      </c>
      <c r="C1932" s="62" t="s">
        <v>5575</v>
      </c>
      <c r="D1932" t="s">
        <v>63</v>
      </c>
      <c r="E1932" t="s">
        <v>5815</v>
      </c>
      <c r="F1932" s="61">
        <v>37206</v>
      </c>
      <c r="G1932" s="15" t="s">
        <v>73</v>
      </c>
      <c r="H1932" t="s">
        <v>5816</v>
      </c>
      <c r="I1932" s="62" t="s">
        <v>5817</v>
      </c>
      <c r="K1932" s="36" t="s">
        <v>68</v>
      </c>
      <c r="L1932" t="s">
        <v>69</v>
      </c>
      <c r="M1932" s="62" t="s">
        <v>70</v>
      </c>
      <c r="N1932" t="s">
        <v>71</v>
      </c>
      <c r="O1932" t="str">
        <f>IFERROR(IF(Tbla_actores[[#This Row],[codigo_proyecto]]="","",_xlfn.XLOOKUP(Tbla_actores[[#This Row],[codigo_proyecto]],Proyectos!$A:$A,Proyectos!$C:$C)),"")</f>
        <v>NULOS</v>
      </c>
    </row>
    <row r="1933" spans="1:15">
      <c r="A1933" s="10">
        <v>1016114851</v>
      </c>
      <c r="B1933" s="64" t="s">
        <v>61</v>
      </c>
      <c r="C1933" s="62" t="s">
        <v>5575</v>
      </c>
      <c r="D1933" t="s">
        <v>63</v>
      </c>
      <c r="E1933" t="s">
        <v>5818</v>
      </c>
      <c r="F1933" s="61">
        <v>36508</v>
      </c>
      <c r="G1933" s="15" t="s">
        <v>73</v>
      </c>
      <c r="H1933" t="s">
        <v>5819</v>
      </c>
      <c r="I1933" s="62" t="s">
        <v>5820</v>
      </c>
      <c r="K1933" s="36" t="s">
        <v>1489</v>
      </c>
      <c r="L1933" t="s">
        <v>69</v>
      </c>
      <c r="M1933" s="62" t="s">
        <v>70</v>
      </c>
      <c r="N1933" t="s">
        <v>71</v>
      </c>
      <c r="O1933" t="str">
        <f>IFERROR(IF(Tbla_actores[[#This Row],[codigo_proyecto]]="","",_xlfn.XLOOKUP(Tbla_actores[[#This Row],[codigo_proyecto]],Proyectos!$A:$A,Proyectos!$C:$C)),"")</f>
        <v>NULOS</v>
      </c>
    </row>
    <row r="1934" spans="1:15">
      <c r="A1934" s="9">
        <v>1000951145</v>
      </c>
      <c r="B1934" s="63" t="s">
        <v>61</v>
      </c>
      <c r="C1934" s="62" t="s">
        <v>5575</v>
      </c>
      <c r="D1934" t="s">
        <v>63</v>
      </c>
      <c r="E1934" t="s">
        <v>5821</v>
      </c>
      <c r="F1934" s="61">
        <v>36587</v>
      </c>
      <c r="G1934" s="15" t="s">
        <v>65</v>
      </c>
      <c r="H1934" t="s">
        <v>5822</v>
      </c>
      <c r="I1934" s="62" t="s">
        <v>5823</v>
      </c>
      <c r="K1934" s="36" t="s">
        <v>1489</v>
      </c>
      <c r="L1934" t="s">
        <v>69</v>
      </c>
      <c r="M1934" s="62" t="s">
        <v>70</v>
      </c>
      <c r="N1934" t="s">
        <v>71</v>
      </c>
      <c r="O1934" t="str">
        <f>IFERROR(IF(Tbla_actores[[#This Row],[codigo_proyecto]]="","",_xlfn.XLOOKUP(Tbla_actores[[#This Row],[codigo_proyecto]],Proyectos!$A:$A,Proyectos!$C:$C)),"")</f>
        <v>NULOS</v>
      </c>
    </row>
    <row r="1935" spans="1:15">
      <c r="A1935" s="10">
        <v>1007782745</v>
      </c>
      <c r="B1935" s="64" t="s">
        <v>61</v>
      </c>
      <c r="C1935" s="62" t="s">
        <v>5575</v>
      </c>
      <c r="D1935" t="s">
        <v>63</v>
      </c>
      <c r="E1935" t="s">
        <v>5824</v>
      </c>
      <c r="F1935" s="61">
        <v>36886</v>
      </c>
      <c r="G1935" s="15" t="s">
        <v>65</v>
      </c>
      <c r="H1935" t="s">
        <v>5825</v>
      </c>
      <c r="I1935" s="62" t="s">
        <v>5826</v>
      </c>
      <c r="K1935" s="36" t="s">
        <v>495</v>
      </c>
      <c r="L1935" t="s">
        <v>69</v>
      </c>
      <c r="M1935" s="62" t="s">
        <v>70</v>
      </c>
      <c r="N1935" t="s">
        <v>71</v>
      </c>
      <c r="O1935" t="str">
        <f>IFERROR(IF(Tbla_actores[[#This Row],[codigo_proyecto]]="","",_xlfn.XLOOKUP(Tbla_actores[[#This Row],[codigo_proyecto]],Proyectos!$A:$A,Proyectos!$C:$C)),"")</f>
        <v>NULOS</v>
      </c>
    </row>
    <row r="1936" spans="1:15">
      <c r="A1936" s="9">
        <v>1015481446</v>
      </c>
      <c r="B1936" s="63" t="s">
        <v>61</v>
      </c>
      <c r="C1936" s="62" t="s">
        <v>5575</v>
      </c>
      <c r="D1936" t="s">
        <v>63</v>
      </c>
      <c r="E1936" t="s">
        <v>5827</v>
      </c>
      <c r="F1936" s="61">
        <v>36306</v>
      </c>
      <c r="G1936" s="15" t="s">
        <v>65</v>
      </c>
      <c r="H1936" t="s">
        <v>5828</v>
      </c>
      <c r="I1936" s="62" t="s">
        <v>5829</v>
      </c>
      <c r="K1936" s="36" t="s">
        <v>495</v>
      </c>
      <c r="L1936" t="s">
        <v>69</v>
      </c>
      <c r="M1936" s="62" t="s">
        <v>70</v>
      </c>
      <c r="N1936" t="s">
        <v>71</v>
      </c>
      <c r="O1936" t="str">
        <f>IFERROR(IF(Tbla_actores[[#This Row],[codigo_proyecto]]="","",_xlfn.XLOOKUP(Tbla_actores[[#This Row],[codigo_proyecto]],Proyectos!$A:$A,Proyectos!$C:$C)),"")</f>
        <v>NULOS</v>
      </c>
    </row>
    <row r="1937" spans="1:15">
      <c r="A1937" s="10">
        <v>1234092693</v>
      </c>
      <c r="B1937" s="64" t="s">
        <v>61</v>
      </c>
      <c r="C1937" s="62" t="s">
        <v>5575</v>
      </c>
      <c r="D1937" t="s">
        <v>63</v>
      </c>
      <c r="E1937" t="s">
        <v>5830</v>
      </c>
      <c r="F1937" s="61">
        <v>36091</v>
      </c>
      <c r="G1937" s="15" t="s">
        <v>73</v>
      </c>
      <c r="H1937" t="s">
        <v>5831</v>
      </c>
      <c r="I1937" s="62" t="s">
        <v>5832</v>
      </c>
      <c r="K1937" s="36" t="s">
        <v>1489</v>
      </c>
      <c r="L1937" t="s">
        <v>69</v>
      </c>
      <c r="M1937" s="62" t="s">
        <v>70</v>
      </c>
      <c r="N1937" t="s">
        <v>71</v>
      </c>
      <c r="O1937" t="str">
        <f>IFERROR(IF(Tbla_actores[[#This Row],[codigo_proyecto]]="","",_xlfn.XLOOKUP(Tbla_actores[[#This Row],[codigo_proyecto]],Proyectos!$A:$A,Proyectos!$C:$C)),"")</f>
        <v>NULOS</v>
      </c>
    </row>
    <row r="1938" spans="1:15">
      <c r="A1938" s="9">
        <v>1006120740</v>
      </c>
      <c r="B1938" s="63" t="s">
        <v>61</v>
      </c>
      <c r="C1938" s="62" t="s">
        <v>5575</v>
      </c>
      <c r="D1938" t="s">
        <v>63</v>
      </c>
      <c r="E1938" t="s">
        <v>5833</v>
      </c>
      <c r="F1938" s="61">
        <v>37204</v>
      </c>
      <c r="G1938" s="15" t="s">
        <v>73</v>
      </c>
      <c r="H1938" t="s">
        <v>5834</v>
      </c>
      <c r="I1938" s="62" t="s">
        <v>5835</v>
      </c>
      <c r="K1938" s="36" t="s">
        <v>1489</v>
      </c>
      <c r="L1938" t="s">
        <v>69</v>
      </c>
      <c r="M1938" s="62" t="s">
        <v>70</v>
      </c>
      <c r="N1938" t="s">
        <v>71</v>
      </c>
      <c r="O1938" t="str">
        <f>IFERROR(IF(Tbla_actores[[#This Row],[codigo_proyecto]]="","",_xlfn.XLOOKUP(Tbla_actores[[#This Row],[codigo_proyecto]],Proyectos!$A:$A,Proyectos!$C:$C)),"")</f>
        <v>NULOS</v>
      </c>
    </row>
    <row r="1939" spans="1:15">
      <c r="A1939" s="10">
        <v>1002393178</v>
      </c>
      <c r="B1939" s="64" t="s">
        <v>61</v>
      </c>
      <c r="C1939" s="62" t="s">
        <v>5575</v>
      </c>
      <c r="D1939" t="s">
        <v>63</v>
      </c>
      <c r="E1939" t="s">
        <v>5836</v>
      </c>
      <c r="F1939" s="61">
        <v>36452</v>
      </c>
      <c r="G1939" s="15" t="s">
        <v>73</v>
      </c>
      <c r="H1939" t="s">
        <v>5837</v>
      </c>
      <c r="I1939" s="62" t="s">
        <v>5838</v>
      </c>
      <c r="K1939" s="36" t="s">
        <v>1489</v>
      </c>
      <c r="L1939" t="s">
        <v>69</v>
      </c>
      <c r="M1939" s="62" t="s">
        <v>70</v>
      </c>
      <c r="N1939" t="s">
        <v>71</v>
      </c>
      <c r="O1939" t="str">
        <f>IFERROR(IF(Tbla_actores[[#This Row],[codigo_proyecto]]="","",_xlfn.XLOOKUP(Tbla_actores[[#This Row],[codigo_proyecto]],Proyectos!$A:$A,Proyectos!$C:$C)),"")</f>
        <v>NULOS</v>
      </c>
    </row>
    <row r="1940" spans="1:15">
      <c r="A1940" s="9">
        <v>1001191677</v>
      </c>
      <c r="B1940" s="63" t="s">
        <v>61</v>
      </c>
      <c r="C1940" s="62" t="s">
        <v>5575</v>
      </c>
      <c r="D1940" t="s">
        <v>63</v>
      </c>
      <c r="E1940" t="s">
        <v>5839</v>
      </c>
      <c r="F1940" s="61">
        <v>36806</v>
      </c>
      <c r="G1940" s="15" t="s">
        <v>65</v>
      </c>
      <c r="H1940" t="s">
        <v>5840</v>
      </c>
      <c r="I1940" s="62" t="s">
        <v>5841</v>
      </c>
      <c r="K1940" s="36" t="s">
        <v>1489</v>
      </c>
      <c r="L1940" t="s">
        <v>69</v>
      </c>
      <c r="M1940" s="62" t="s">
        <v>70</v>
      </c>
      <c r="N1940" t="s">
        <v>71</v>
      </c>
      <c r="O1940" t="str">
        <f>IFERROR(IF(Tbla_actores[[#This Row],[codigo_proyecto]]="","",_xlfn.XLOOKUP(Tbla_actores[[#This Row],[codigo_proyecto]],Proyectos!$A:$A,Proyectos!$C:$C)),"")</f>
        <v>NULOS</v>
      </c>
    </row>
    <row r="1941" spans="1:15">
      <c r="A1941" s="10">
        <v>1010019282</v>
      </c>
      <c r="B1941" s="64" t="s">
        <v>61</v>
      </c>
      <c r="C1941" s="62" t="s">
        <v>5575</v>
      </c>
      <c r="D1941" t="s">
        <v>63</v>
      </c>
      <c r="E1941" t="s">
        <v>5842</v>
      </c>
      <c r="F1941" s="61">
        <v>36768</v>
      </c>
      <c r="G1941" s="15" t="s">
        <v>73</v>
      </c>
      <c r="H1941" t="s">
        <v>5843</v>
      </c>
      <c r="I1941" s="62" t="s">
        <v>5844</v>
      </c>
      <c r="K1941" s="36" t="s">
        <v>495</v>
      </c>
      <c r="L1941" t="s">
        <v>69</v>
      </c>
      <c r="M1941" s="62" t="s">
        <v>70</v>
      </c>
      <c r="N1941" t="s">
        <v>71</v>
      </c>
      <c r="O1941" t="str">
        <f>IFERROR(IF(Tbla_actores[[#This Row],[codigo_proyecto]]="","",_xlfn.XLOOKUP(Tbla_actores[[#This Row],[codigo_proyecto]],Proyectos!$A:$A,Proyectos!$C:$C)),"")</f>
        <v>NULOS</v>
      </c>
    </row>
    <row r="1942" spans="1:15">
      <c r="A1942" s="9">
        <v>1000285186</v>
      </c>
      <c r="B1942" s="63" t="s">
        <v>61</v>
      </c>
      <c r="C1942" s="62" t="s">
        <v>5575</v>
      </c>
      <c r="D1942" t="s">
        <v>63</v>
      </c>
      <c r="E1942" t="s">
        <v>5845</v>
      </c>
      <c r="F1942" s="61">
        <v>37158</v>
      </c>
      <c r="G1942" s="15" t="s">
        <v>73</v>
      </c>
      <c r="H1942" t="s">
        <v>5846</v>
      </c>
      <c r="I1942" s="62" t="s">
        <v>5847</v>
      </c>
      <c r="K1942" s="36" t="s">
        <v>495</v>
      </c>
      <c r="L1942" t="s">
        <v>69</v>
      </c>
      <c r="M1942" s="62" t="s">
        <v>70</v>
      </c>
      <c r="N1942" t="s">
        <v>71</v>
      </c>
      <c r="O1942" t="str">
        <f>IFERROR(IF(Tbla_actores[[#This Row],[codigo_proyecto]]="","",_xlfn.XLOOKUP(Tbla_actores[[#This Row],[codigo_proyecto]],Proyectos!$A:$A,Proyectos!$C:$C)),"")</f>
        <v>NULOS</v>
      </c>
    </row>
    <row r="1943" spans="1:15">
      <c r="A1943" s="10">
        <v>1022447208</v>
      </c>
      <c r="B1943" s="64" t="s">
        <v>61</v>
      </c>
      <c r="C1943" s="62" t="s">
        <v>5575</v>
      </c>
      <c r="D1943" t="s">
        <v>63</v>
      </c>
      <c r="E1943" t="s">
        <v>5848</v>
      </c>
      <c r="F1943" s="61">
        <v>36511</v>
      </c>
      <c r="G1943" s="15" t="s">
        <v>73</v>
      </c>
      <c r="H1943" t="s">
        <v>5849</v>
      </c>
      <c r="I1943" s="62" t="s">
        <v>5850</v>
      </c>
      <c r="K1943" s="36" t="s">
        <v>169</v>
      </c>
      <c r="L1943" t="s">
        <v>69</v>
      </c>
      <c r="M1943" s="62" t="s">
        <v>170</v>
      </c>
      <c r="N1943" t="s">
        <v>71</v>
      </c>
      <c r="O1943" t="str">
        <f>IFERROR(IF(Tbla_actores[[#This Row],[codigo_proyecto]]="","",_xlfn.XLOOKUP(Tbla_actores[[#This Row],[codigo_proyecto]],Proyectos!$A:$A,Proyectos!$C:$C)),"")</f>
        <v>NULOS</v>
      </c>
    </row>
    <row r="1944" spans="1:15">
      <c r="A1944" s="9">
        <v>1005280700</v>
      </c>
      <c r="B1944" s="63" t="s">
        <v>61</v>
      </c>
      <c r="C1944" s="62" t="s">
        <v>5575</v>
      </c>
      <c r="D1944" t="s">
        <v>63</v>
      </c>
      <c r="E1944" t="s">
        <v>5851</v>
      </c>
      <c r="F1944" s="61">
        <v>37233</v>
      </c>
      <c r="G1944" s="15" t="s">
        <v>73</v>
      </c>
      <c r="H1944" t="s">
        <v>5852</v>
      </c>
      <c r="I1944" s="62" t="s">
        <v>5853</v>
      </c>
      <c r="K1944" s="36" t="s">
        <v>169</v>
      </c>
      <c r="L1944" t="s">
        <v>69</v>
      </c>
      <c r="M1944" s="62" t="s">
        <v>170</v>
      </c>
      <c r="N1944" t="s">
        <v>71</v>
      </c>
      <c r="O1944" t="str">
        <f>IFERROR(IF(Tbla_actores[[#This Row],[codigo_proyecto]]="","",_xlfn.XLOOKUP(Tbla_actores[[#This Row],[codigo_proyecto]],Proyectos!$A:$A,Proyectos!$C:$C)),"")</f>
        <v>NULOS</v>
      </c>
    </row>
    <row r="1945" spans="1:15">
      <c r="A1945" s="10">
        <v>1005190586</v>
      </c>
      <c r="B1945" s="64" t="s">
        <v>61</v>
      </c>
      <c r="C1945" s="62" t="s">
        <v>5575</v>
      </c>
      <c r="D1945" t="s">
        <v>63</v>
      </c>
      <c r="E1945" t="s">
        <v>5854</v>
      </c>
      <c r="F1945" s="61">
        <v>37025</v>
      </c>
      <c r="G1945" s="15" t="s">
        <v>65</v>
      </c>
      <c r="H1945" t="s">
        <v>5855</v>
      </c>
      <c r="I1945" s="62" t="s">
        <v>5856</v>
      </c>
      <c r="K1945" s="36" t="s">
        <v>169</v>
      </c>
      <c r="L1945" t="s">
        <v>69</v>
      </c>
      <c r="M1945" s="62" t="s">
        <v>170</v>
      </c>
      <c r="N1945" t="s">
        <v>71</v>
      </c>
      <c r="O1945" t="str">
        <f>IFERROR(IF(Tbla_actores[[#This Row],[codigo_proyecto]]="","",_xlfn.XLOOKUP(Tbla_actores[[#This Row],[codigo_proyecto]],Proyectos!$A:$A,Proyectos!$C:$C)),"")</f>
        <v>NULOS</v>
      </c>
    </row>
    <row r="1946" spans="1:15">
      <c r="A1946" s="9">
        <v>1000592557</v>
      </c>
      <c r="B1946" s="63" t="s">
        <v>61</v>
      </c>
      <c r="C1946" s="62" t="s">
        <v>4409</v>
      </c>
      <c r="D1946" t="s">
        <v>63</v>
      </c>
      <c r="E1946" t="s">
        <v>5857</v>
      </c>
      <c r="F1946" s="61">
        <v>37279</v>
      </c>
      <c r="G1946" s="15" t="s">
        <v>73</v>
      </c>
      <c r="H1946" t="s">
        <v>5858</v>
      </c>
      <c r="I1946" s="62" t="s">
        <v>5859</v>
      </c>
      <c r="K1946" s="36" t="s">
        <v>169</v>
      </c>
      <c r="L1946" t="s">
        <v>69</v>
      </c>
      <c r="M1946" s="62" t="s">
        <v>170</v>
      </c>
      <c r="N1946" t="s">
        <v>71</v>
      </c>
      <c r="O1946" t="str">
        <f>IFERROR(IF(Tbla_actores[[#This Row],[codigo_proyecto]]="","",_xlfn.XLOOKUP(Tbla_actores[[#This Row],[codigo_proyecto]],Proyectos!$A:$A,Proyectos!$C:$C)),"")</f>
        <v>NULOS</v>
      </c>
    </row>
    <row r="1947" spans="1:15">
      <c r="A1947" s="10">
        <v>1001169269</v>
      </c>
      <c r="B1947" s="64" t="s">
        <v>61</v>
      </c>
      <c r="C1947" s="62" t="s">
        <v>5575</v>
      </c>
      <c r="D1947" t="s">
        <v>63</v>
      </c>
      <c r="E1947" t="s">
        <v>5860</v>
      </c>
      <c r="F1947" s="61">
        <v>36596</v>
      </c>
      <c r="G1947" s="15" t="s">
        <v>65</v>
      </c>
      <c r="H1947" t="s">
        <v>5861</v>
      </c>
      <c r="I1947" s="62" t="s">
        <v>5862</v>
      </c>
      <c r="K1947" s="36" t="s">
        <v>169</v>
      </c>
      <c r="L1947" t="s">
        <v>69</v>
      </c>
      <c r="M1947" s="62" t="s">
        <v>170</v>
      </c>
      <c r="N1947" t="s">
        <v>71</v>
      </c>
      <c r="O1947" t="str">
        <f>IFERROR(IF(Tbla_actores[[#This Row],[codigo_proyecto]]="","",_xlfn.XLOOKUP(Tbla_actores[[#This Row],[codigo_proyecto]],Proyectos!$A:$A,Proyectos!$C:$C)),"")</f>
        <v>NULOS</v>
      </c>
    </row>
    <row r="1948" spans="1:15">
      <c r="A1948" s="9">
        <v>1234097464</v>
      </c>
      <c r="B1948" s="63" t="s">
        <v>61</v>
      </c>
      <c r="C1948" s="62" t="s">
        <v>5575</v>
      </c>
      <c r="D1948" t="s">
        <v>63</v>
      </c>
      <c r="E1948" t="s">
        <v>5863</v>
      </c>
      <c r="F1948" s="61">
        <v>36496</v>
      </c>
      <c r="G1948" s="15" t="s">
        <v>65</v>
      </c>
      <c r="H1948" t="s">
        <v>5864</v>
      </c>
      <c r="I1948" s="62" t="s">
        <v>5865</v>
      </c>
      <c r="K1948" s="36" t="s">
        <v>169</v>
      </c>
      <c r="L1948" t="s">
        <v>69</v>
      </c>
      <c r="M1948" s="62" t="s">
        <v>170</v>
      </c>
      <c r="N1948" t="s">
        <v>71</v>
      </c>
      <c r="O1948" t="str">
        <f>IFERROR(IF(Tbla_actores[[#This Row],[codigo_proyecto]]="","",_xlfn.XLOOKUP(Tbla_actores[[#This Row],[codigo_proyecto]],Proyectos!$A:$A,Proyectos!$C:$C)),"")</f>
        <v>NULOS</v>
      </c>
    </row>
    <row r="1949" spans="1:15">
      <c r="A1949" s="10">
        <v>1010023133</v>
      </c>
      <c r="B1949" s="64" t="s">
        <v>61</v>
      </c>
      <c r="C1949" s="62" t="s">
        <v>5575</v>
      </c>
      <c r="D1949" t="s">
        <v>63</v>
      </c>
      <c r="E1949" t="s">
        <v>5866</v>
      </c>
      <c r="F1949" s="61">
        <v>36636</v>
      </c>
      <c r="G1949" s="15" t="s">
        <v>65</v>
      </c>
      <c r="H1949" t="s">
        <v>5867</v>
      </c>
      <c r="I1949" s="62" t="s">
        <v>5868</v>
      </c>
      <c r="K1949" s="36" t="s">
        <v>169</v>
      </c>
      <c r="L1949" t="s">
        <v>69</v>
      </c>
      <c r="M1949" s="62" t="s">
        <v>170</v>
      </c>
      <c r="N1949" t="s">
        <v>71</v>
      </c>
      <c r="O1949" t="str">
        <f>IFERROR(IF(Tbla_actores[[#This Row],[codigo_proyecto]]="","",_xlfn.XLOOKUP(Tbla_actores[[#This Row],[codigo_proyecto]],Proyectos!$A:$A,Proyectos!$C:$C)),"")</f>
        <v>NULOS</v>
      </c>
    </row>
    <row r="1950" spans="1:15">
      <c r="A1950" s="9">
        <v>1010037953</v>
      </c>
      <c r="B1950" s="63" t="s">
        <v>61</v>
      </c>
      <c r="C1950" s="62" t="s">
        <v>5575</v>
      </c>
      <c r="D1950" t="s">
        <v>63</v>
      </c>
      <c r="E1950" t="s">
        <v>5869</v>
      </c>
      <c r="F1950" s="61">
        <v>36916</v>
      </c>
      <c r="G1950" s="15" t="s">
        <v>65</v>
      </c>
      <c r="H1950" t="s">
        <v>5870</v>
      </c>
      <c r="I1950" s="62" t="s">
        <v>5871</v>
      </c>
      <c r="K1950" s="36" t="s">
        <v>169</v>
      </c>
      <c r="L1950" t="s">
        <v>69</v>
      </c>
      <c r="M1950" s="62" t="s">
        <v>170</v>
      </c>
      <c r="N1950" t="s">
        <v>71</v>
      </c>
      <c r="O1950" t="str">
        <f>IFERROR(IF(Tbla_actores[[#This Row],[codigo_proyecto]]="","",_xlfn.XLOOKUP(Tbla_actores[[#This Row],[codigo_proyecto]],Proyectos!$A:$A,Proyectos!$C:$C)),"")</f>
        <v>NULOS</v>
      </c>
    </row>
    <row r="1951" spans="1:15">
      <c r="A1951" s="10">
        <v>1020844648</v>
      </c>
      <c r="B1951" s="64" t="s">
        <v>61</v>
      </c>
      <c r="C1951" s="62" t="s">
        <v>5575</v>
      </c>
      <c r="D1951" t="s">
        <v>63</v>
      </c>
      <c r="E1951" t="s">
        <v>5872</v>
      </c>
      <c r="F1951" s="61">
        <v>36466</v>
      </c>
      <c r="G1951" s="15" t="s">
        <v>65</v>
      </c>
      <c r="H1951" t="s">
        <v>5873</v>
      </c>
      <c r="I1951" s="62" t="s">
        <v>5874</v>
      </c>
      <c r="K1951" s="36" t="s">
        <v>169</v>
      </c>
      <c r="L1951" t="s">
        <v>69</v>
      </c>
      <c r="M1951" s="62" t="s">
        <v>170</v>
      </c>
      <c r="N1951" t="s">
        <v>71</v>
      </c>
      <c r="O1951" t="str">
        <f>IFERROR(IF(Tbla_actores[[#This Row],[codigo_proyecto]]="","",_xlfn.XLOOKUP(Tbla_actores[[#This Row],[codigo_proyecto]],Proyectos!$A:$A,Proyectos!$C:$C)),"")</f>
        <v>NULOS</v>
      </c>
    </row>
    <row r="1952" spans="1:15">
      <c r="A1952" s="9">
        <v>1001097436</v>
      </c>
      <c r="B1952" s="63" t="s">
        <v>61</v>
      </c>
      <c r="C1952" s="62" t="s">
        <v>5575</v>
      </c>
      <c r="D1952" t="s">
        <v>63</v>
      </c>
      <c r="E1952" t="s">
        <v>5875</v>
      </c>
      <c r="F1952" s="61">
        <v>36978</v>
      </c>
      <c r="G1952" s="15" t="s">
        <v>65</v>
      </c>
      <c r="H1952" t="s">
        <v>5876</v>
      </c>
      <c r="I1952" s="62" t="s">
        <v>5877</v>
      </c>
      <c r="K1952" s="36" t="s">
        <v>169</v>
      </c>
      <c r="L1952" t="s">
        <v>69</v>
      </c>
      <c r="M1952" s="62" t="s">
        <v>170</v>
      </c>
      <c r="N1952" t="s">
        <v>71</v>
      </c>
      <c r="O1952" t="str">
        <f>IFERROR(IF(Tbla_actores[[#This Row],[codigo_proyecto]]="","",_xlfn.XLOOKUP(Tbla_actores[[#This Row],[codigo_proyecto]],Proyectos!$A:$A,Proyectos!$C:$C)),"")</f>
        <v>NULOS</v>
      </c>
    </row>
    <row r="1953" spans="1:15">
      <c r="A1953" s="10">
        <v>1022446817</v>
      </c>
      <c r="B1953" s="64" t="s">
        <v>61</v>
      </c>
      <c r="C1953" s="62" t="s">
        <v>4409</v>
      </c>
      <c r="D1953" t="s">
        <v>63</v>
      </c>
      <c r="E1953" t="s">
        <v>5878</v>
      </c>
      <c r="F1953" s="61">
        <v>36488</v>
      </c>
      <c r="G1953" s="15" t="s">
        <v>73</v>
      </c>
      <c r="H1953" t="s">
        <v>5879</v>
      </c>
      <c r="I1953" s="62" t="s">
        <v>5880</v>
      </c>
      <c r="K1953" s="36" t="s">
        <v>169</v>
      </c>
      <c r="L1953" t="s">
        <v>69</v>
      </c>
      <c r="M1953" s="62" t="s">
        <v>170</v>
      </c>
      <c r="N1953" t="s">
        <v>71</v>
      </c>
      <c r="O1953" t="str">
        <f>IFERROR(IF(Tbla_actores[[#This Row],[codigo_proyecto]]="","",_xlfn.XLOOKUP(Tbla_actores[[#This Row],[codigo_proyecto]],Proyectos!$A:$A,Proyectos!$C:$C)),"")</f>
        <v>NULOS</v>
      </c>
    </row>
    <row r="1954" spans="1:15">
      <c r="A1954" s="9">
        <v>1003824470</v>
      </c>
      <c r="B1954" s="63" t="s">
        <v>61</v>
      </c>
      <c r="C1954" s="62" t="s">
        <v>5575</v>
      </c>
      <c r="D1954" t="s">
        <v>63</v>
      </c>
      <c r="E1954" t="s">
        <v>5881</v>
      </c>
      <c r="F1954" s="61">
        <v>37456</v>
      </c>
      <c r="G1954" s="15" t="s">
        <v>73</v>
      </c>
      <c r="H1954" t="s">
        <v>5882</v>
      </c>
      <c r="I1954" s="62" t="s">
        <v>5883</v>
      </c>
      <c r="K1954" s="36" t="s">
        <v>68</v>
      </c>
      <c r="L1954" t="s">
        <v>69</v>
      </c>
      <c r="M1954" s="62" t="s">
        <v>70</v>
      </c>
      <c r="N1954" t="s">
        <v>71</v>
      </c>
      <c r="O1954" t="str">
        <f>IFERROR(IF(Tbla_actores[[#This Row],[codigo_proyecto]]="","",_xlfn.XLOOKUP(Tbla_actores[[#This Row],[codigo_proyecto]],Proyectos!$A:$A,Proyectos!$C:$C)),"")</f>
        <v>NULOS</v>
      </c>
    </row>
    <row r="1955" spans="1:15">
      <c r="A1955" s="10">
        <v>1072672492</v>
      </c>
      <c r="B1955" s="64" t="s">
        <v>61</v>
      </c>
      <c r="C1955" s="62" t="s">
        <v>5575</v>
      </c>
      <c r="D1955" t="s">
        <v>63</v>
      </c>
      <c r="E1955" t="s">
        <v>5884</v>
      </c>
      <c r="F1955" s="61">
        <v>36248</v>
      </c>
      <c r="G1955" s="15" t="s">
        <v>65</v>
      </c>
      <c r="H1955" t="s">
        <v>5885</v>
      </c>
      <c r="I1955" s="62" t="s">
        <v>5886</v>
      </c>
      <c r="K1955" s="36" t="s">
        <v>169</v>
      </c>
      <c r="L1955" t="s">
        <v>69</v>
      </c>
      <c r="M1955" s="62" t="s">
        <v>170</v>
      </c>
      <c r="N1955" t="s">
        <v>71</v>
      </c>
      <c r="O1955" t="str">
        <f>IFERROR(IF(Tbla_actores[[#This Row],[codigo_proyecto]]="","",_xlfn.XLOOKUP(Tbla_actores[[#This Row],[codigo_proyecto]],Proyectos!$A:$A,Proyectos!$C:$C)),"")</f>
        <v>NULOS</v>
      </c>
    </row>
    <row r="1956" spans="1:15">
      <c r="A1956" s="9">
        <v>1010078557</v>
      </c>
      <c r="B1956" s="63" t="s">
        <v>61</v>
      </c>
      <c r="C1956" s="62" t="s">
        <v>5575</v>
      </c>
      <c r="D1956" t="s">
        <v>63</v>
      </c>
      <c r="E1956" t="s">
        <v>5887</v>
      </c>
      <c r="F1956" s="61">
        <v>36781</v>
      </c>
      <c r="G1956" s="15" t="s">
        <v>73</v>
      </c>
      <c r="H1956" t="s">
        <v>5888</v>
      </c>
      <c r="I1956" s="62" t="s">
        <v>5889</v>
      </c>
      <c r="K1956" s="36" t="s">
        <v>169</v>
      </c>
      <c r="L1956" t="s">
        <v>69</v>
      </c>
      <c r="M1956" s="62" t="s">
        <v>170</v>
      </c>
      <c r="N1956" t="s">
        <v>71</v>
      </c>
      <c r="O1956" t="str">
        <f>IFERROR(IF(Tbla_actores[[#This Row],[codigo_proyecto]]="","",_xlfn.XLOOKUP(Tbla_actores[[#This Row],[codigo_proyecto]],Proyectos!$A:$A,Proyectos!$C:$C)),"")</f>
        <v>NULOS</v>
      </c>
    </row>
    <row r="1957" spans="1:15">
      <c r="A1957" s="10">
        <v>1010116926</v>
      </c>
      <c r="B1957" s="64" t="s">
        <v>61</v>
      </c>
      <c r="C1957" s="62" t="s">
        <v>5575</v>
      </c>
      <c r="D1957" t="s">
        <v>63</v>
      </c>
      <c r="E1957" t="s">
        <v>5890</v>
      </c>
      <c r="F1957" s="61">
        <v>36999</v>
      </c>
      <c r="G1957" s="15" t="s">
        <v>65</v>
      </c>
      <c r="H1957" t="s">
        <v>5891</v>
      </c>
      <c r="I1957" s="62" t="s">
        <v>5892</v>
      </c>
      <c r="K1957" s="36" t="s">
        <v>169</v>
      </c>
      <c r="L1957" t="s">
        <v>69</v>
      </c>
      <c r="M1957" s="62" t="s">
        <v>170</v>
      </c>
      <c r="N1957" t="s">
        <v>71</v>
      </c>
      <c r="O1957" t="str">
        <f>IFERROR(IF(Tbla_actores[[#This Row],[codigo_proyecto]]="","",_xlfn.XLOOKUP(Tbla_actores[[#This Row],[codigo_proyecto]],Proyectos!$A:$A,Proyectos!$C:$C)),"")</f>
        <v>NULOS</v>
      </c>
    </row>
    <row r="1958" spans="1:15">
      <c r="A1958" s="9">
        <v>1016099018</v>
      </c>
      <c r="B1958" s="63" t="s">
        <v>61</v>
      </c>
      <c r="C1958" s="62" t="s">
        <v>5575</v>
      </c>
      <c r="D1958" t="s">
        <v>63</v>
      </c>
      <c r="E1958" t="s">
        <v>5893</v>
      </c>
      <c r="F1958" s="61">
        <v>35789</v>
      </c>
      <c r="G1958" s="15" t="s">
        <v>73</v>
      </c>
      <c r="H1958" t="s">
        <v>5894</v>
      </c>
      <c r="I1958" s="62" t="s">
        <v>5895</v>
      </c>
      <c r="K1958" s="36" t="s">
        <v>68</v>
      </c>
      <c r="L1958" t="s">
        <v>69</v>
      </c>
      <c r="M1958" s="62" t="s">
        <v>70</v>
      </c>
      <c r="N1958" t="s">
        <v>71</v>
      </c>
      <c r="O1958" t="str">
        <f>IFERROR(IF(Tbla_actores[[#This Row],[codigo_proyecto]]="","",_xlfn.XLOOKUP(Tbla_actores[[#This Row],[codigo_proyecto]],Proyectos!$A:$A,Proyectos!$C:$C)),"")</f>
        <v>NULOS</v>
      </c>
    </row>
    <row r="1959" spans="1:15">
      <c r="A1959" s="10">
        <v>1003879129</v>
      </c>
      <c r="B1959" s="64" t="s">
        <v>61</v>
      </c>
      <c r="C1959" s="62" t="s">
        <v>5575</v>
      </c>
      <c r="D1959" t="s">
        <v>63</v>
      </c>
      <c r="E1959" t="s">
        <v>5896</v>
      </c>
      <c r="F1959" s="61">
        <v>37392</v>
      </c>
      <c r="G1959" s="15" t="s">
        <v>73</v>
      </c>
      <c r="H1959" t="s">
        <v>5897</v>
      </c>
      <c r="I1959" s="62" t="s">
        <v>5898</v>
      </c>
      <c r="K1959" s="36" t="s">
        <v>169</v>
      </c>
      <c r="L1959" t="s">
        <v>69</v>
      </c>
      <c r="M1959" s="62" t="s">
        <v>170</v>
      </c>
      <c r="N1959" t="s">
        <v>71</v>
      </c>
      <c r="O1959" t="str">
        <f>IFERROR(IF(Tbla_actores[[#This Row],[codigo_proyecto]]="","",_xlfn.XLOOKUP(Tbla_actores[[#This Row],[codigo_proyecto]],Proyectos!$A:$A,Proyectos!$C:$C)),"")</f>
        <v>NULOS</v>
      </c>
    </row>
    <row r="1960" spans="1:15">
      <c r="A1960" s="9">
        <v>1000950711</v>
      </c>
      <c r="B1960" s="63" t="s">
        <v>61</v>
      </c>
      <c r="C1960" s="62" t="s">
        <v>5575</v>
      </c>
      <c r="D1960" t="s">
        <v>63</v>
      </c>
      <c r="E1960" t="s">
        <v>5899</v>
      </c>
      <c r="F1960" s="61">
        <v>36904</v>
      </c>
      <c r="G1960" s="15" t="s">
        <v>65</v>
      </c>
      <c r="H1960" t="s">
        <v>5900</v>
      </c>
      <c r="I1960" s="62" t="s">
        <v>5901</v>
      </c>
      <c r="K1960" s="36" t="s">
        <v>169</v>
      </c>
      <c r="L1960" t="s">
        <v>69</v>
      </c>
      <c r="M1960" s="62" t="s">
        <v>170</v>
      </c>
      <c r="N1960" t="s">
        <v>71</v>
      </c>
      <c r="O1960" t="str">
        <f>IFERROR(IF(Tbla_actores[[#This Row],[codigo_proyecto]]="","",_xlfn.XLOOKUP(Tbla_actores[[#This Row],[codigo_proyecto]],Proyectos!$A:$A,Proyectos!$C:$C)),"")</f>
        <v>NULOS</v>
      </c>
    </row>
    <row r="1961" spans="1:15">
      <c r="A1961" s="10">
        <v>1022445414</v>
      </c>
      <c r="B1961" s="64" t="s">
        <v>61</v>
      </c>
      <c r="C1961" s="62" t="s">
        <v>5575</v>
      </c>
      <c r="D1961" t="s">
        <v>63</v>
      </c>
      <c r="E1961" t="s">
        <v>5902</v>
      </c>
      <c r="F1961" s="61">
        <v>36405</v>
      </c>
      <c r="G1961" s="15" t="s">
        <v>65</v>
      </c>
      <c r="H1961" t="s">
        <v>5903</v>
      </c>
      <c r="I1961" s="62" t="s">
        <v>5904</v>
      </c>
      <c r="K1961" s="36" t="s">
        <v>169</v>
      </c>
      <c r="L1961" t="s">
        <v>69</v>
      </c>
      <c r="M1961" s="62" t="s">
        <v>170</v>
      </c>
      <c r="N1961" t="s">
        <v>71</v>
      </c>
      <c r="O1961" t="str">
        <f>IFERROR(IF(Tbla_actores[[#This Row],[codigo_proyecto]]="","",_xlfn.XLOOKUP(Tbla_actores[[#This Row],[codigo_proyecto]],Proyectos!$A:$A,Proyectos!$C:$C)),"")</f>
        <v>NULOS</v>
      </c>
    </row>
    <row r="1962" spans="1:15">
      <c r="A1962" s="9">
        <v>1000987242</v>
      </c>
      <c r="B1962" s="63" t="s">
        <v>61</v>
      </c>
      <c r="C1962" s="62" t="s">
        <v>5575</v>
      </c>
      <c r="D1962" t="s">
        <v>63</v>
      </c>
      <c r="E1962" t="s">
        <v>5905</v>
      </c>
      <c r="F1962" s="61">
        <v>36861</v>
      </c>
      <c r="G1962" s="15" t="s">
        <v>65</v>
      </c>
      <c r="H1962" t="s">
        <v>5906</v>
      </c>
      <c r="I1962" s="62" t="s">
        <v>5907</v>
      </c>
      <c r="K1962" s="36" t="s">
        <v>169</v>
      </c>
      <c r="L1962" t="s">
        <v>69</v>
      </c>
      <c r="M1962" s="62" t="s">
        <v>170</v>
      </c>
      <c r="N1962" t="s">
        <v>71</v>
      </c>
      <c r="O1962" t="str">
        <f>IFERROR(IF(Tbla_actores[[#This Row],[codigo_proyecto]]="","",_xlfn.XLOOKUP(Tbla_actores[[#This Row],[codigo_proyecto]],Proyectos!$A:$A,Proyectos!$C:$C)),"")</f>
        <v>NULOS</v>
      </c>
    </row>
    <row r="1963" spans="1:15">
      <c r="A1963" s="10">
        <v>1004843702</v>
      </c>
      <c r="B1963" s="64" t="s">
        <v>61</v>
      </c>
      <c r="C1963" s="62" t="s">
        <v>5575</v>
      </c>
      <c r="D1963" t="s">
        <v>63</v>
      </c>
      <c r="E1963" t="s">
        <v>5908</v>
      </c>
      <c r="F1963" s="61">
        <v>37015</v>
      </c>
      <c r="G1963" s="15" t="s">
        <v>65</v>
      </c>
      <c r="H1963" t="s">
        <v>5909</v>
      </c>
      <c r="I1963" s="62" t="s">
        <v>5910</v>
      </c>
      <c r="K1963" s="36" t="s">
        <v>169</v>
      </c>
      <c r="L1963" t="s">
        <v>69</v>
      </c>
      <c r="M1963" s="62" t="s">
        <v>170</v>
      </c>
      <c r="N1963" t="s">
        <v>71</v>
      </c>
      <c r="O1963" t="str">
        <f>IFERROR(IF(Tbla_actores[[#This Row],[codigo_proyecto]]="","",_xlfn.XLOOKUP(Tbla_actores[[#This Row],[codigo_proyecto]],Proyectos!$A:$A,Proyectos!$C:$C)),"")</f>
        <v>NULOS</v>
      </c>
    </row>
    <row r="1964" spans="1:15">
      <c r="A1964" s="9">
        <v>1020845233</v>
      </c>
      <c r="B1964" s="63" t="s">
        <v>61</v>
      </c>
      <c r="C1964" s="62" t="s">
        <v>5575</v>
      </c>
      <c r="D1964" t="s">
        <v>63</v>
      </c>
      <c r="E1964" t="s">
        <v>5911</v>
      </c>
      <c r="F1964" s="61">
        <v>36284</v>
      </c>
      <c r="G1964" s="15" t="s">
        <v>73</v>
      </c>
      <c r="H1964" t="s">
        <v>5912</v>
      </c>
      <c r="I1964" s="62" t="s">
        <v>5913</v>
      </c>
      <c r="K1964" s="36" t="s">
        <v>495</v>
      </c>
      <c r="L1964" t="s">
        <v>69</v>
      </c>
      <c r="M1964" s="62" t="s">
        <v>70</v>
      </c>
      <c r="N1964" t="s">
        <v>71</v>
      </c>
      <c r="O1964" t="str">
        <f>IFERROR(IF(Tbla_actores[[#This Row],[codigo_proyecto]]="","",_xlfn.XLOOKUP(Tbla_actores[[#This Row],[codigo_proyecto]],Proyectos!$A:$A,Proyectos!$C:$C)),"")</f>
        <v>NULOS</v>
      </c>
    </row>
    <row r="1965" spans="1:15">
      <c r="A1965" s="10">
        <v>1006827524</v>
      </c>
      <c r="B1965" s="64" t="s">
        <v>61</v>
      </c>
      <c r="C1965" s="62" t="s">
        <v>5575</v>
      </c>
      <c r="D1965" t="s">
        <v>63</v>
      </c>
      <c r="E1965" t="s">
        <v>5914</v>
      </c>
      <c r="F1965" s="61">
        <v>37104</v>
      </c>
      <c r="G1965" s="15" t="s">
        <v>65</v>
      </c>
      <c r="H1965" t="s">
        <v>5915</v>
      </c>
      <c r="I1965" s="62" t="s">
        <v>5916</v>
      </c>
      <c r="K1965" s="36" t="s">
        <v>495</v>
      </c>
      <c r="L1965" t="s">
        <v>69</v>
      </c>
      <c r="M1965" s="62" t="s">
        <v>70</v>
      </c>
      <c r="N1965" t="s">
        <v>71</v>
      </c>
      <c r="O1965" t="str">
        <f>IFERROR(IF(Tbla_actores[[#This Row],[codigo_proyecto]]="","",_xlfn.XLOOKUP(Tbla_actores[[#This Row],[codigo_proyecto]],Proyectos!$A:$A,Proyectos!$C:$C)),"")</f>
        <v>NULOS</v>
      </c>
    </row>
    <row r="1966" spans="1:15">
      <c r="A1966" s="9">
        <v>1000971090</v>
      </c>
      <c r="B1966" s="63" t="s">
        <v>61</v>
      </c>
      <c r="C1966" s="62" t="s">
        <v>5575</v>
      </c>
      <c r="D1966" t="s">
        <v>63</v>
      </c>
      <c r="E1966" t="s">
        <v>5917</v>
      </c>
      <c r="F1966" s="61">
        <v>36651</v>
      </c>
      <c r="G1966" s="15" t="s">
        <v>73</v>
      </c>
      <c r="H1966" t="s">
        <v>5918</v>
      </c>
      <c r="I1966" s="62" t="s">
        <v>5919</v>
      </c>
      <c r="K1966" s="36" t="s">
        <v>68</v>
      </c>
      <c r="L1966" t="s">
        <v>69</v>
      </c>
      <c r="M1966" s="62" t="s">
        <v>70</v>
      </c>
      <c r="N1966" t="s">
        <v>71</v>
      </c>
      <c r="O1966" t="str">
        <f>IFERROR(IF(Tbla_actores[[#This Row],[codigo_proyecto]]="","",_xlfn.XLOOKUP(Tbla_actores[[#This Row],[codigo_proyecto]],Proyectos!$A:$A,Proyectos!$C:$C)),"")</f>
        <v>NULOS</v>
      </c>
    </row>
    <row r="1967" spans="1:15">
      <c r="A1967" s="10">
        <v>1020837825</v>
      </c>
      <c r="B1967" s="64" t="s">
        <v>61</v>
      </c>
      <c r="C1967" s="62" t="s">
        <v>5575</v>
      </c>
      <c r="D1967" t="s">
        <v>63</v>
      </c>
      <c r="E1967" t="s">
        <v>5920</v>
      </c>
      <c r="F1967" s="61">
        <v>36148</v>
      </c>
      <c r="G1967" s="15" t="s">
        <v>73</v>
      </c>
      <c r="H1967" t="s">
        <v>5921</v>
      </c>
      <c r="I1967" s="62" t="s">
        <v>5922</v>
      </c>
      <c r="K1967" s="36" t="s">
        <v>68</v>
      </c>
      <c r="L1967" t="s">
        <v>69</v>
      </c>
      <c r="M1967" s="62" t="s">
        <v>70</v>
      </c>
      <c r="N1967" t="s">
        <v>71</v>
      </c>
      <c r="O1967" t="str">
        <f>IFERROR(IF(Tbla_actores[[#This Row],[codigo_proyecto]]="","",_xlfn.XLOOKUP(Tbla_actores[[#This Row],[codigo_proyecto]],Proyectos!$A:$A,Proyectos!$C:$C)),"")</f>
        <v>NULOS</v>
      </c>
    </row>
    <row r="1968" spans="1:15">
      <c r="A1968" s="9">
        <v>1026594503</v>
      </c>
      <c r="B1968" s="63" t="s">
        <v>61</v>
      </c>
      <c r="C1968" s="62" t="s">
        <v>5575</v>
      </c>
      <c r="D1968" t="s">
        <v>63</v>
      </c>
      <c r="E1968" t="s">
        <v>5923</v>
      </c>
      <c r="F1968" s="61">
        <v>35966</v>
      </c>
      <c r="G1968" s="15" t="s">
        <v>73</v>
      </c>
      <c r="H1968" t="s">
        <v>5924</v>
      </c>
      <c r="I1968" s="62" t="s">
        <v>5925</v>
      </c>
      <c r="K1968" s="36" t="s">
        <v>495</v>
      </c>
      <c r="L1968" t="s">
        <v>69</v>
      </c>
      <c r="M1968" s="62" t="s">
        <v>70</v>
      </c>
      <c r="N1968" t="s">
        <v>71</v>
      </c>
      <c r="O1968" t="str">
        <f>IFERROR(IF(Tbla_actores[[#This Row],[codigo_proyecto]]="","",_xlfn.XLOOKUP(Tbla_actores[[#This Row],[codigo_proyecto]],Proyectos!$A:$A,Proyectos!$C:$C)),"")</f>
        <v>NULOS</v>
      </c>
    </row>
    <row r="1969" spans="1:15">
      <c r="A1969" s="10">
        <v>1010112150</v>
      </c>
      <c r="B1969" s="64" t="s">
        <v>61</v>
      </c>
      <c r="C1969" s="62" t="s">
        <v>5575</v>
      </c>
      <c r="D1969" t="s">
        <v>63</v>
      </c>
      <c r="E1969" t="s">
        <v>5926</v>
      </c>
      <c r="F1969" s="61">
        <v>36561</v>
      </c>
      <c r="G1969" s="15" t="s">
        <v>65</v>
      </c>
      <c r="H1969" t="s">
        <v>5927</v>
      </c>
      <c r="I1969" s="62" t="s">
        <v>5928</v>
      </c>
      <c r="K1969" s="36" t="s">
        <v>495</v>
      </c>
      <c r="L1969" t="s">
        <v>69</v>
      </c>
      <c r="M1969" s="62" t="s">
        <v>70</v>
      </c>
      <c r="N1969" t="s">
        <v>71</v>
      </c>
      <c r="O1969" t="str">
        <f>IFERROR(IF(Tbla_actores[[#This Row],[codigo_proyecto]]="","",_xlfn.XLOOKUP(Tbla_actores[[#This Row],[codigo_proyecto]],Proyectos!$A:$A,Proyectos!$C:$C)),"")</f>
        <v>NULOS</v>
      </c>
    </row>
    <row r="1970" spans="1:15">
      <c r="A1970" s="9">
        <v>1098813602</v>
      </c>
      <c r="B1970" s="63" t="s">
        <v>61</v>
      </c>
      <c r="C1970" s="62" t="s">
        <v>5575</v>
      </c>
      <c r="D1970" t="s">
        <v>63</v>
      </c>
      <c r="E1970" t="s">
        <v>5929</v>
      </c>
      <c r="F1970" s="61">
        <v>36125</v>
      </c>
      <c r="G1970" s="15" t="s">
        <v>65</v>
      </c>
      <c r="H1970" t="s">
        <v>5930</v>
      </c>
      <c r="I1970" s="62" t="s">
        <v>5931</v>
      </c>
      <c r="K1970" s="36" t="s">
        <v>169</v>
      </c>
      <c r="L1970" t="s">
        <v>69</v>
      </c>
      <c r="M1970" s="62" t="s">
        <v>170</v>
      </c>
      <c r="N1970" t="s">
        <v>71</v>
      </c>
      <c r="O1970" t="str">
        <f>IFERROR(IF(Tbla_actores[[#This Row],[codigo_proyecto]]="","",_xlfn.XLOOKUP(Tbla_actores[[#This Row],[codigo_proyecto]],Proyectos!$A:$A,Proyectos!$C:$C)),"")</f>
        <v>NULOS</v>
      </c>
    </row>
    <row r="1971" spans="1:15">
      <c r="A1971" s="10">
        <v>1000179848</v>
      </c>
      <c r="B1971" s="64" t="s">
        <v>61</v>
      </c>
      <c r="C1971" s="62" t="s">
        <v>5575</v>
      </c>
      <c r="D1971" t="s">
        <v>63</v>
      </c>
      <c r="E1971" t="s">
        <v>5932</v>
      </c>
      <c r="F1971" s="61">
        <v>36542</v>
      </c>
      <c r="G1971" s="15" t="s">
        <v>73</v>
      </c>
      <c r="H1971" t="s">
        <v>5933</v>
      </c>
      <c r="I1971" s="62" t="s">
        <v>5934</v>
      </c>
      <c r="K1971" s="36" t="s">
        <v>68</v>
      </c>
      <c r="L1971" t="s">
        <v>69</v>
      </c>
      <c r="M1971" s="62" t="s">
        <v>70</v>
      </c>
      <c r="N1971" t="s">
        <v>71</v>
      </c>
      <c r="O1971" t="str">
        <f>IFERROR(IF(Tbla_actores[[#This Row],[codigo_proyecto]]="","",_xlfn.XLOOKUP(Tbla_actores[[#This Row],[codigo_proyecto]],Proyectos!$A:$A,Proyectos!$C:$C)),"")</f>
        <v>NULOS</v>
      </c>
    </row>
    <row r="1972" spans="1:15">
      <c r="A1972" s="9">
        <v>1007476127</v>
      </c>
      <c r="B1972" s="63" t="s">
        <v>61</v>
      </c>
      <c r="C1972" s="62" t="s">
        <v>5575</v>
      </c>
      <c r="D1972" t="s">
        <v>63</v>
      </c>
      <c r="E1972" t="s">
        <v>5935</v>
      </c>
      <c r="F1972" s="61">
        <v>37179</v>
      </c>
      <c r="G1972" s="15" t="s">
        <v>65</v>
      </c>
      <c r="H1972" t="s">
        <v>5936</v>
      </c>
      <c r="I1972" s="62" t="s">
        <v>5937</v>
      </c>
      <c r="K1972" s="36" t="s">
        <v>68</v>
      </c>
      <c r="L1972" t="s">
        <v>69</v>
      </c>
      <c r="M1972" s="62" t="s">
        <v>70</v>
      </c>
      <c r="N1972" t="s">
        <v>71</v>
      </c>
      <c r="O1972" t="str">
        <f>IFERROR(IF(Tbla_actores[[#This Row],[codigo_proyecto]]="","",_xlfn.XLOOKUP(Tbla_actores[[#This Row],[codigo_proyecto]],Proyectos!$A:$A,Proyectos!$C:$C)),"")</f>
        <v>NULOS</v>
      </c>
    </row>
    <row r="1973" spans="1:15">
      <c r="A1973" s="10">
        <v>1001192908</v>
      </c>
      <c r="B1973" s="64" t="s">
        <v>61</v>
      </c>
      <c r="C1973" s="62" t="s">
        <v>5575</v>
      </c>
      <c r="D1973" t="s">
        <v>63</v>
      </c>
      <c r="E1973" t="s">
        <v>5938</v>
      </c>
      <c r="F1973" s="61">
        <v>37595</v>
      </c>
      <c r="G1973" s="15" t="s">
        <v>73</v>
      </c>
      <c r="H1973" t="s">
        <v>5939</v>
      </c>
      <c r="I1973" s="62" t="s">
        <v>5940</v>
      </c>
      <c r="K1973" s="36" t="s">
        <v>169</v>
      </c>
      <c r="L1973" t="s">
        <v>69</v>
      </c>
      <c r="M1973" s="62" t="s">
        <v>170</v>
      </c>
      <c r="N1973" t="s">
        <v>71</v>
      </c>
      <c r="O1973" t="str">
        <f>IFERROR(IF(Tbla_actores[[#This Row],[codigo_proyecto]]="","",_xlfn.XLOOKUP(Tbla_actores[[#This Row],[codigo_proyecto]],Proyectos!$A:$A,Proyectos!$C:$C)),"")</f>
        <v>NULOS</v>
      </c>
    </row>
    <row r="1974" spans="1:15">
      <c r="A1974" s="9">
        <v>1007522081</v>
      </c>
      <c r="B1974" s="63" t="s">
        <v>61</v>
      </c>
      <c r="C1974" s="62" t="s">
        <v>5575</v>
      </c>
      <c r="D1974" t="s">
        <v>63</v>
      </c>
      <c r="E1974" t="s">
        <v>5941</v>
      </c>
      <c r="F1974" s="61">
        <v>37408</v>
      </c>
      <c r="G1974" s="15" t="s">
        <v>65</v>
      </c>
      <c r="H1974" t="s">
        <v>5942</v>
      </c>
      <c r="I1974" s="62" t="s">
        <v>5943</v>
      </c>
      <c r="K1974" s="36" t="s">
        <v>169</v>
      </c>
      <c r="L1974" t="s">
        <v>69</v>
      </c>
      <c r="M1974" s="62" t="s">
        <v>170</v>
      </c>
      <c r="N1974" t="s">
        <v>71</v>
      </c>
      <c r="O1974" t="str">
        <f>IFERROR(IF(Tbla_actores[[#This Row],[codigo_proyecto]]="","",_xlfn.XLOOKUP(Tbla_actores[[#This Row],[codigo_proyecto]],Proyectos!$A:$A,Proyectos!$C:$C)),"")</f>
        <v>NULOS</v>
      </c>
    </row>
    <row r="1975" spans="1:15">
      <c r="A1975" s="10">
        <v>1000795256</v>
      </c>
      <c r="B1975" s="64" t="s">
        <v>61</v>
      </c>
      <c r="C1975" s="62" t="s">
        <v>5575</v>
      </c>
      <c r="D1975" t="s">
        <v>63</v>
      </c>
      <c r="E1975" t="s">
        <v>5944</v>
      </c>
      <c r="F1975" s="61">
        <v>37781</v>
      </c>
      <c r="G1975" s="15" t="s">
        <v>65</v>
      </c>
      <c r="H1975" t="s">
        <v>5945</v>
      </c>
      <c r="I1975" s="62" t="s">
        <v>5946</v>
      </c>
      <c r="K1975" s="36" t="s">
        <v>169</v>
      </c>
      <c r="L1975" t="s">
        <v>69</v>
      </c>
      <c r="M1975" s="62" t="s">
        <v>170</v>
      </c>
      <c r="N1975" t="s">
        <v>71</v>
      </c>
      <c r="O1975" t="str">
        <f>IFERROR(IF(Tbla_actores[[#This Row],[codigo_proyecto]]="","",_xlfn.XLOOKUP(Tbla_actores[[#This Row],[codigo_proyecto]],Proyectos!$A:$A,Proyectos!$C:$C)),"")</f>
        <v>NULOS</v>
      </c>
    </row>
    <row r="1976" spans="1:15">
      <c r="A1976" s="9">
        <v>1000944286</v>
      </c>
      <c r="B1976" s="63" t="s">
        <v>61</v>
      </c>
      <c r="C1976" s="62" t="s">
        <v>5575</v>
      </c>
      <c r="D1976" t="s">
        <v>63</v>
      </c>
      <c r="E1976" t="s">
        <v>5947</v>
      </c>
      <c r="F1976" s="61">
        <v>37331</v>
      </c>
      <c r="G1976" s="15" t="s">
        <v>73</v>
      </c>
      <c r="H1976" t="s">
        <v>5948</v>
      </c>
      <c r="I1976" s="62" t="s">
        <v>5949</v>
      </c>
      <c r="K1976" s="36" t="s">
        <v>169</v>
      </c>
      <c r="L1976" t="s">
        <v>69</v>
      </c>
      <c r="M1976" s="62" t="s">
        <v>170</v>
      </c>
      <c r="N1976" t="s">
        <v>71</v>
      </c>
      <c r="O1976" t="str">
        <f>IFERROR(IF(Tbla_actores[[#This Row],[codigo_proyecto]]="","",_xlfn.XLOOKUP(Tbla_actores[[#This Row],[codigo_proyecto]],Proyectos!$A:$A,Proyectos!$C:$C)),"")</f>
        <v>NULOS</v>
      </c>
    </row>
    <row r="1977" spans="1:15">
      <c r="A1977" s="10">
        <v>1000469815</v>
      </c>
      <c r="B1977" s="64" t="s">
        <v>61</v>
      </c>
      <c r="C1977" s="62" t="s">
        <v>5575</v>
      </c>
      <c r="D1977" t="s">
        <v>63</v>
      </c>
      <c r="E1977" t="s">
        <v>5950</v>
      </c>
      <c r="F1977" s="61">
        <v>37173</v>
      </c>
      <c r="G1977" s="15" t="s">
        <v>73</v>
      </c>
      <c r="H1977" t="s">
        <v>5951</v>
      </c>
      <c r="I1977" s="62" t="s">
        <v>5952</v>
      </c>
      <c r="K1977" s="36" t="s">
        <v>169</v>
      </c>
      <c r="L1977" t="s">
        <v>69</v>
      </c>
      <c r="M1977" s="62" t="s">
        <v>170</v>
      </c>
      <c r="N1977" t="s">
        <v>71</v>
      </c>
      <c r="O1977" t="str">
        <f>IFERROR(IF(Tbla_actores[[#This Row],[codigo_proyecto]]="","",_xlfn.XLOOKUP(Tbla_actores[[#This Row],[codigo_proyecto]],Proyectos!$A:$A,Proyectos!$C:$C)),"")</f>
        <v>NULOS</v>
      </c>
    </row>
    <row r="1978" spans="1:15">
      <c r="A1978" s="9">
        <v>1001346619</v>
      </c>
      <c r="B1978" s="63" t="s">
        <v>61</v>
      </c>
      <c r="C1978" s="62" t="s">
        <v>5575</v>
      </c>
      <c r="D1978" t="s">
        <v>63</v>
      </c>
      <c r="E1978" t="s">
        <v>5953</v>
      </c>
      <c r="F1978" s="61">
        <v>37302</v>
      </c>
      <c r="G1978" s="15" t="s">
        <v>73</v>
      </c>
      <c r="H1978" t="s">
        <v>5954</v>
      </c>
      <c r="I1978" s="62" t="s">
        <v>5955</v>
      </c>
      <c r="K1978" s="36" t="s">
        <v>169</v>
      </c>
      <c r="L1978" t="s">
        <v>69</v>
      </c>
      <c r="M1978" s="62" t="s">
        <v>170</v>
      </c>
      <c r="N1978" t="s">
        <v>71</v>
      </c>
      <c r="O1978" t="str">
        <f>IFERROR(IF(Tbla_actores[[#This Row],[codigo_proyecto]]="","",_xlfn.XLOOKUP(Tbla_actores[[#This Row],[codigo_proyecto]],Proyectos!$A:$A,Proyectos!$C:$C)),"")</f>
        <v>NULOS</v>
      </c>
    </row>
    <row r="1979" spans="1:15">
      <c r="A1979" s="10">
        <v>1014303778</v>
      </c>
      <c r="B1979" s="64" t="s">
        <v>61</v>
      </c>
      <c r="C1979" s="62" t="s">
        <v>5575</v>
      </c>
      <c r="D1979" t="s">
        <v>63</v>
      </c>
      <c r="E1979" t="s">
        <v>5956</v>
      </c>
      <c r="F1979" s="61">
        <v>36207</v>
      </c>
      <c r="G1979" s="15" t="s">
        <v>73</v>
      </c>
      <c r="H1979" t="s">
        <v>5957</v>
      </c>
      <c r="I1979" s="62" t="s">
        <v>5958</v>
      </c>
      <c r="K1979" s="36" t="s">
        <v>68</v>
      </c>
      <c r="L1979" t="s">
        <v>69</v>
      </c>
      <c r="M1979" s="62" t="s">
        <v>70</v>
      </c>
      <c r="N1979" t="s">
        <v>71</v>
      </c>
      <c r="O1979" t="str">
        <f>IFERROR(IF(Tbla_actores[[#This Row],[codigo_proyecto]]="","",_xlfn.XLOOKUP(Tbla_actores[[#This Row],[codigo_proyecto]],Proyectos!$A:$A,Proyectos!$C:$C)),"")</f>
        <v>NULOS</v>
      </c>
    </row>
    <row r="1980" spans="1:15">
      <c r="A1980" s="9">
        <v>1003635498</v>
      </c>
      <c r="B1980" s="63" t="s">
        <v>61</v>
      </c>
      <c r="C1980" s="62" t="s">
        <v>5575</v>
      </c>
      <c r="D1980" t="s">
        <v>63</v>
      </c>
      <c r="E1980" t="s">
        <v>5959</v>
      </c>
      <c r="F1980" s="61">
        <v>37061</v>
      </c>
      <c r="G1980" s="15" t="s">
        <v>65</v>
      </c>
      <c r="H1980" t="s">
        <v>5960</v>
      </c>
      <c r="I1980" s="62" t="s">
        <v>5961</v>
      </c>
      <c r="K1980" s="36" t="s">
        <v>169</v>
      </c>
      <c r="L1980" t="s">
        <v>69</v>
      </c>
      <c r="M1980" s="62" t="s">
        <v>170</v>
      </c>
      <c r="N1980" t="s">
        <v>71</v>
      </c>
      <c r="O1980" t="str">
        <f>IFERROR(IF(Tbla_actores[[#This Row],[codigo_proyecto]]="","",_xlfn.XLOOKUP(Tbla_actores[[#This Row],[codigo_proyecto]],Proyectos!$A:$A,Proyectos!$C:$C)),"")</f>
        <v>NULOS</v>
      </c>
    </row>
    <row r="1981" spans="1:15">
      <c r="A1981" s="10">
        <v>1032505928</v>
      </c>
      <c r="B1981" s="64" t="s">
        <v>61</v>
      </c>
      <c r="C1981" s="62" t="s">
        <v>5575</v>
      </c>
      <c r="D1981" t="s">
        <v>63</v>
      </c>
      <c r="E1981" t="s">
        <v>5962</v>
      </c>
      <c r="F1981" s="61">
        <v>36358</v>
      </c>
      <c r="G1981" s="15" t="s">
        <v>73</v>
      </c>
      <c r="H1981" t="s">
        <v>5963</v>
      </c>
      <c r="I1981" s="62" t="s">
        <v>5964</v>
      </c>
      <c r="K1981" s="36" t="s">
        <v>169</v>
      </c>
      <c r="L1981" t="s">
        <v>69</v>
      </c>
      <c r="M1981" s="62" t="s">
        <v>170</v>
      </c>
      <c r="N1981" t="s">
        <v>71</v>
      </c>
      <c r="O1981" t="str">
        <f>IFERROR(IF(Tbla_actores[[#This Row],[codigo_proyecto]]="","",_xlfn.XLOOKUP(Tbla_actores[[#This Row],[codigo_proyecto]],Proyectos!$A:$A,Proyectos!$C:$C)),"")</f>
        <v>NULOS</v>
      </c>
    </row>
    <row r="1982" spans="1:15">
      <c r="A1982" s="9">
        <v>1010028798</v>
      </c>
      <c r="B1982" s="63" t="s">
        <v>61</v>
      </c>
      <c r="C1982" s="62" t="s">
        <v>4409</v>
      </c>
      <c r="D1982" t="s">
        <v>63</v>
      </c>
      <c r="E1982" t="s">
        <v>5965</v>
      </c>
      <c r="F1982" s="61">
        <v>36599</v>
      </c>
      <c r="G1982" s="15" t="s">
        <v>73</v>
      </c>
      <c r="H1982" t="s">
        <v>5966</v>
      </c>
      <c r="I1982" s="62" t="s">
        <v>5967</v>
      </c>
      <c r="K1982" s="36" t="s">
        <v>169</v>
      </c>
      <c r="L1982" t="s">
        <v>69</v>
      </c>
      <c r="M1982" s="62" t="s">
        <v>170</v>
      </c>
      <c r="N1982" t="s">
        <v>71</v>
      </c>
      <c r="O1982" t="str">
        <f>IFERROR(IF(Tbla_actores[[#This Row],[codigo_proyecto]]="","",_xlfn.XLOOKUP(Tbla_actores[[#This Row],[codigo_proyecto]],Proyectos!$A:$A,Proyectos!$C:$C)),"")</f>
        <v>NULOS</v>
      </c>
    </row>
    <row r="1983" spans="1:15">
      <c r="A1983" s="10">
        <v>1000577960</v>
      </c>
      <c r="B1983" s="64" t="s">
        <v>61</v>
      </c>
      <c r="C1983" s="62" t="s">
        <v>5575</v>
      </c>
      <c r="D1983" t="s">
        <v>63</v>
      </c>
      <c r="E1983" t="s">
        <v>5968</v>
      </c>
      <c r="F1983" s="61">
        <v>36892</v>
      </c>
      <c r="G1983" s="15" t="s">
        <v>65</v>
      </c>
      <c r="H1983" t="s">
        <v>5969</v>
      </c>
      <c r="I1983" s="62" t="s">
        <v>5970</v>
      </c>
      <c r="K1983" s="36" t="s">
        <v>169</v>
      </c>
      <c r="L1983" t="s">
        <v>69</v>
      </c>
      <c r="M1983" s="62" t="s">
        <v>170</v>
      </c>
      <c r="N1983" t="s">
        <v>71</v>
      </c>
      <c r="O1983" t="str">
        <f>IFERROR(IF(Tbla_actores[[#This Row],[codigo_proyecto]]="","",_xlfn.XLOOKUP(Tbla_actores[[#This Row],[codigo_proyecto]],Proyectos!$A:$A,Proyectos!$C:$C)),"")</f>
        <v>NULOS</v>
      </c>
    </row>
    <row r="1984" spans="1:15">
      <c r="A1984" s="9">
        <v>1006206348</v>
      </c>
      <c r="B1984" s="63" t="s">
        <v>61</v>
      </c>
      <c r="C1984" s="62" t="s">
        <v>5575</v>
      </c>
      <c r="D1984" t="s">
        <v>63</v>
      </c>
      <c r="E1984" t="s">
        <v>5971</v>
      </c>
      <c r="F1984" s="61">
        <v>36626</v>
      </c>
      <c r="G1984" s="15" t="s">
        <v>73</v>
      </c>
      <c r="H1984" t="s">
        <v>5972</v>
      </c>
      <c r="I1984" s="62" t="s">
        <v>5973</v>
      </c>
      <c r="K1984" s="36" t="s">
        <v>68</v>
      </c>
      <c r="L1984" t="s">
        <v>69</v>
      </c>
      <c r="M1984" s="62" t="s">
        <v>70</v>
      </c>
      <c r="N1984" t="s">
        <v>71</v>
      </c>
      <c r="O1984" t="str">
        <f>IFERROR(IF(Tbla_actores[[#This Row],[codigo_proyecto]]="","",_xlfn.XLOOKUP(Tbla_actores[[#This Row],[codigo_proyecto]],Proyectos!$A:$A,Proyectos!$C:$C)),"")</f>
        <v>NULOS</v>
      </c>
    </row>
    <row r="1985" spans="1:15">
      <c r="A1985" s="10">
        <v>1193475729</v>
      </c>
      <c r="B1985" s="64" t="s">
        <v>61</v>
      </c>
      <c r="C1985" s="62" t="s">
        <v>5575</v>
      </c>
      <c r="D1985" t="s">
        <v>63</v>
      </c>
      <c r="E1985" t="s">
        <v>5974</v>
      </c>
      <c r="F1985" s="61">
        <v>36848</v>
      </c>
      <c r="G1985" s="15" t="s">
        <v>73</v>
      </c>
      <c r="H1985" t="s">
        <v>5975</v>
      </c>
      <c r="I1985" s="62" t="s">
        <v>5976</v>
      </c>
      <c r="K1985" s="36" t="s">
        <v>68</v>
      </c>
      <c r="L1985" t="s">
        <v>69</v>
      </c>
      <c r="M1985" s="62" t="s">
        <v>70</v>
      </c>
      <c r="N1985" t="s">
        <v>71</v>
      </c>
      <c r="O1985" t="str">
        <f>IFERROR(IF(Tbla_actores[[#This Row],[codigo_proyecto]]="","",_xlfn.XLOOKUP(Tbla_actores[[#This Row],[codigo_proyecto]],Proyectos!$A:$A,Proyectos!$C:$C)),"")</f>
        <v>NULOS</v>
      </c>
    </row>
    <row r="1986" spans="1:15">
      <c r="A1986" s="9">
        <v>1193072143</v>
      </c>
      <c r="B1986" s="63" t="s">
        <v>61</v>
      </c>
      <c r="C1986" s="62" t="s">
        <v>5575</v>
      </c>
      <c r="D1986" t="s">
        <v>63</v>
      </c>
      <c r="E1986" t="s">
        <v>5977</v>
      </c>
      <c r="F1986" s="61">
        <v>37131</v>
      </c>
      <c r="G1986" s="15" t="s">
        <v>65</v>
      </c>
      <c r="H1986" t="s">
        <v>5978</v>
      </c>
      <c r="I1986" s="62" t="s">
        <v>5979</v>
      </c>
      <c r="K1986" s="36" t="s">
        <v>68</v>
      </c>
      <c r="L1986" t="s">
        <v>69</v>
      </c>
      <c r="M1986" s="62" t="s">
        <v>70</v>
      </c>
      <c r="N1986" t="s">
        <v>71</v>
      </c>
      <c r="O1986" t="str">
        <f>IFERROR(IF(Tbla_actores[[#This Row],[codigo_proyecto]]="","",_xlfn.XLOOKUP(Tbla_actores[[#This Row],[codigo_proyecto]],Proyectos!$A:$A,Proyectos!$C:$C)),"")</f>
        <v>NULOS</v>
      </c>
    </row>
    <row r="1987" spans="1:15">
      <c r="A1987" s="10">
        <v>1007521592</v>
      </c>
      <c r="B1987" s="64" t="s">
        <v>61</v>
      </c>
      <c r="C1987" s="62" t="s">
        <v>5575</v>
      </c>
      <c r="D1987" t="s">
        <v>63</v>
      </c>
      <c r="E1987" t="s">
        <v>5980</v>
      </c>
      <c r="F1987" s="61">
        <v>37327</v>
      </c>
      <c r="G1987" s="15" t="s">
        <v>65</v>
      </c>
      <c r="H1987" t="s">
        <v>5981</v>
      </c>
      <c r="I1987" s="62" t="s">
        <v>5982</v>
      </c>
      <c r="K1987" s="36" t="s">
        <v>169</v>
      </c>
      <c r="L1987" t="s">
        <v>69</v>
      </c>
      <c r="M1987" s="62" t="s">
        <v>170</v>
      </c>
      <c r="N1987" t="s">
        <v>71</v>
      </c>
      <c r="O1987" t="str">
        <f>IFERROR(IF(Tbla_actores[[#This Row],[codigo_proyecto]]="","",_xlfn.XLOOKUP(Tbla_actores[[#This Row],[codigo_proyecto]],Proyectos!$A:$A,Proyectos!$C:$C)),"")</f>
        <v>NULOS</v>
      </c>
    </row>
    <row r="1988" spans="1:15">
      <c r="A1988" s="9">
        <v>1000287229</v>
      </c>
      <c r="B1988" s="63" t="s">
        <v>61</v>
      </c>
      <c r="C1988" s="62" t="s">
        <v>5575</v>
      </c>
      <c r="D1988" t="s">
        <v>63</v>
      </c>
      <c r="E1988" t="s">
        <v>5983</v>
      </c>
      <c r="F1988" s="61">
        <v>37573</v>
      </c>
      <c r="G1988" s="15" t="s">
        <v>65</v>
      </c>
      <c r="H1988" t="s">
        <v>5984</v>
      </c>
      <c r="I1988" s="62" t="s">
        <v>5985</v>
      </c>
      <c r="K1988" s="36" t="s">
        <v>169</v>
      </c>
      <c r="L1988" t="s">
        <v>69</v>
      </c>
      <c r="M1988" s="62" t="s">
        <v>170</v>
      </c>
      <c r="N1988" t="s">
        <v>71</v>
      </c>
      <c r="O1988" t="str">
        <f>IFERROR(IF(Tbla_actores[[#This Row],[codigo_proyecto]]="","",_xlfn.XLOOKUP(Tbla_actores[[#This Row],[codigo_proyecto]],Proyectos!$A:$A,Proyectos!$C:$C)),"")</f>
        <v>NULOS</v>
      </c>
    </row>
    <row r="1989" spans="1:15">
      <c r="A1989" s="10">
        <v>1000612364</v>
      </c>
      <c r="B1989" s="64" t="s">
        <v>61</v>
      </c>
      <c r="C1989" s="62" t="s">
        <v>5575</v>
      </c>
      <c r="D1989" t="s">
        <v>63</v>
      </c>
      <c r="E1989" t="s">
        <v>5986</v>
      </c>
      <c r="F1989" s="61">
        <v>37509</v>
      </c>
      <c r="G1989" s="15" t="s">
        <v>65</v>
      </c>
      <c r="H1989" t="s">
        <v>5987</v>
      </c>
      <c r="I1989" s="62" t="s">
        <v>5988</v>
      </c>
      <c r="K1989" s="36" t="s">
        <v>169</v>
      </c>
      <c r="L1989" t="s">
        <v>69</v>
      </c>
      <c r="M1989" s="62" t="s">
        <v>170</v>
      </c>
      <c r="N1989" t="s">
        <v>71</v>
      </c>
      <c r="O1989" t="str">
        <f>IFERROR(IF(Tbla_actores[[#This Row],[codigo_proyecto]]="","",_xlfn.XLOOKUP(Tbla_actores[[#This Row],[codigo_proyecto]],Proyectos!$A:$A,Proyectos!$C:$C)),"")</f>
        <v>NULOS</v>
      </c>
    </row>
    <row r="1990" spans="1:15">
      <c r="A1990" s="9">
        <v>1007557980</v>
      </c>
      <c r="B1990" s="63" t="s">
        <v>61</v>
      </c>
      <c r="C1990" s="62" t="s">
        <v>5575</v>
      </c>
      <c r="D1990" t="s">
        <v>63</v>
      </c>
      <c r="E1990" t="s">
        <v>5989</v>
      </c>
      <c r="F1990" s="61">
        <v>37608</v>
      </c>
      <c r="G1990" s="15" t="s">
        <v>73</v>
      </c>
      <c r="H1990" t="s">
        <v>5990</v>
      </c>
      <c r="I1990" s="62" t="s">
        <v>5991</v>
      </c>
      <c r="K1990" s="36" t="s">
        <v>169</v>
      </c>
      <c r="L1990" t="s">
        <v>69</v>
      </c>
      <c r="M1990" s="62" t="s">
        <v>170</v>
      </c>
      <c r="N1990" t="s">
        <v>71</v>
      </c>
      <c r="O1990" t="str">
        <f>IFERROR(IF(Tbla_actores[[#This Row],[codigo_proyecto]]="","",_xlfn.XLOOKUP(Tbla_actores[[#This Row],[codigo_proyecto]],Proyectos!$A:$A,Proyectos!$C:$C)),"")</f>
        <v>NULOS</v>
      </c>
    </row>
    <row r="1991" spans="1:15">
      <c r="A1991" s="10">
        <v>1000941648</v>
      </c>
      <c r="B1991" s="64" t="s">
        <v>61</v>
      </c>
      <c r="C1991" s="62" t="s">
        <v>5575</v>
      </c>
      <c r="D1991" t="s">
        <v>63</v>
      </c>
      <c r="E1991" t="s">
        <v>5992</v>
      </c>
      <c r="F1991" s="61">
        <v>37464</v>
      </c>
      <c r="G1991" s="15" t="s">
        <v>73</v>
      </c>
      <c r="H1991" t="s">
        <v>5993</v>
      </c>
      <c r="I1991" s="62" t="s">
        <v>5994</v>
      </c>
      <c r="K1991" s="36" t="s">
        <v>169</v>
      </c>
      <c r="L1991" t="s">
        <v>69</v>
      </c>
      <c r="M1991" s="62" t="s">
        <v>170</v>
      </c>
      <c r="N1991" t="s">
        <v>71</v>
      </c>
      <c r="O1991" t="str">
        <f>IFERROR(IF(Tbla_actores[[#This Row],[codigo_proyecto]]="","",_xlfn.XLOOKUP(Tbla_actores[[#This Row],[codigo_proyecto]],Proyectos!$A:$A,Proyectos!$C:$C)),"")</f>
        <v>NULOS</v>
      </c>
    </row>
    <row r="1992" spans="1:15">
      <c r="A1992" s="9">
        <v>1001060546</v>
      </c>
      <c r="B1992" s="63" t="s">
        <v>61</v>
      </c>
      <c r="C1992" s="62" t="s">
        <v>5575</v>
      </c>
      <c r="D1992" t="s">
        <v>63</v>
      </c>
      <c r="E1992" t="s">
        <v>5995</v>
      </c>
      <c r="F1992" s="61">
        <v>37422</v>
      </c>
      <c r="G1992" s="15" t="s">
        <v>65</v>
      </c>
      <c r="H1992" t="s">
        <v>5996</v>
      </c>
      <c r="I1992" s="62" t="s">
        <v>5997</v>
      </c>
      <c r="K1992" s="36" t="s">
        <v>169</v>
      </c>
      <c r="L1992" t="s">
        <v>69</v>
      </c>
      <c r="M1992" s="62" t="s">
        <v>170</v>
      </c>
      <c r="N1992" t="s">
        <v>71</v>
      </c>
      <c r="O1992" t="str">
        <f>IFERROR(IF(Tbla_actores[[#This Row],[codigo_proyecto]]="","",_xlfn.XLOOKUP(Tbla_actores[[#This Row],[codigo_proyecto]],Proyectos!$A:$A,Proyectos!$C:$C)),"")</f>
        <v>NULOS</v>
      </c>
    </row>
    <row r="1993" spans="1:15">
      <c r="A1993" s="10">
        <v>1001834280</v>
      </c>
      <c r="B1993" s="64" t="s">
        <v>61</v>
      </c>
      <c r="C1993" s="62" t="s">
        <v>5575</v>
      </c>
      <c r="D1993" t="s">
        <v>63</v>
      </c>
      <c r="E1993" t="s">
        <v>5998</v>
      </c>
      <c r="F1993" s="61">
        <v>37456</v>
      </c>
      <c r="G1993" s="15" t="s">
        <v>65</v>
      </c>
      <c r="H1993" t="s">
        <v>5999</v>
      </c>
      <c r="I1993" s="62" t="s">
        <v>6000</v>
      </c>
      <c r="K1993" s="36" t="s">
        <v>169</v>
      </c>
      <c r="L1993" t="s">
        <v>69</v>
      </c>
      <c r="M1993" s="62" t="s">
        <v>170</v>
      </c>
      <c r="N1993" t="s">
        <v>71</v>
      </c>
      <c r="O1993" t="str">
        <f>IFERROR(IF(Tbla_actores[[#This Row],[codigo_proyecto]]="","",_xlfn.XLOOKUP(Tbla_actores[[#This Row],[codigo_proyecto]],Proyectos!$A:$A,Proyectos!$C:$C)),"")</f>
        <v>NULOS</v>
      </c>
    </row>
    <row r="1994" spans="1:15">
      <c r="A1994" s="9">
        <v>1000952265</v>
      </c>
      <c r="B1994" s="63" t="s">
        <v>61</v>
      </c>
      <c r="C1994" s="62" t="s">
        <v>5575</v>
      </c>
      <c r="D1994" t="s">
        <v>63</v>
      </c>
      <c r="E1994" t="s">
        <v>6001</v>
      </c>
      <c r="F1994" s="61">
        <v>37296</v>
      </c>
      <c r="G1994" s="15" t="s">
        <v>73</v>
      </c>
      <c r="H1994" t="s">
        <v>6002</v>
      </c>
      <c r="I1994" s="62" t="s">
        <v>6003</v>
      </c>
      <c r="K1994" s="36" t="s">
        <v>169</v>
      </c>
      <c r="L1994" t="s">
        <v>69</v>
      </c>
      <c r="M1994" s="62" t="s">
        <v>170</v>
      </c>
      <c r="N1994" t="s">
        <v>71</v>
      </c>
      <c r="O1994" t="str">
        <f>IFERROR(IF(Tbla_actores[[#This Row],[codigo_proyecto]]="","",_xlfn.XLOOKUP(Tbla_actores[[#This Row],[codigo_proyecto]],Proyectos!$A:$A,Proyectos!$C:$C)),"")</f>
        <v>NULOS</v>
      </c>
    </row>
    <row r="1995" spans="1:15">
      <c r="A1995" s="10">
        <v>1010108436</v>
      </c>
      <c r="B1995" s="64" t="s">
        <v>61</v>
      </c>
      <c r="C1995" s="62" t="s">
        <v>5575</v>
      </c>
      <c r="D1995" t="s">
        <v>63</v>
      </c>
      <c r="E1995" t="s">
        <v>6004</v>
      </c>
      <c r="F1995" s="61">
        <v>37616</v>
      </c>
      <c r="G1995" s="15" t="s">
        <v>65</v>
      </c>
      <c r="H1995" t="s">
        <v>6005</v>
      </c>
      <c r="I1995" s="62" t="s">
        <v>6006</v>
      </c>
      <c r="K1995" s="36" t="s">
        <v>169</v>
      </c>
      <c r="L1995" t="s">
        <v>69</v>
      </c>
      <c r="M1995" s="62" t="s">
        <v>170</v>
      </c>
      <c r="N1995" t="s">
        <v>71</v>
      </c>
      <c r="O1995" t="str">
        <f>IFERROR(IF(Tbla_actores[[#This Row],[codigo_proyecto]]="","",_xlfn.XLOOKUP(Tbla_actores[[#This Row],[codigo_proyecto]],Proyectos!$A:$A,Proyectos!$C:$C)),"")</f>
        <v>NULOS</v>
      </c>
    </row>
    <row r="1996" spans="1:15">
      <c r="A1996" s="9">
        <v>1001192893</v>
      </c>
      <c r="B1996" s="63" t="s">
        <v>61</v>
      </c>
      <c r="C1996" s="62" t="s">
        <v>5575</v>
      </c>
      <c r="D1996" t="s">
        <v>63</v>
      </c>
      <c r="E1996" t="s">
        <v>6007</v>
      </c>
      <c r="F1996" s="61">
        <v>37568</v>
      </c>
      <c r="G1996" s="15" t="s">
        <v>65</v>
      </c>
      <c r="H1996" t="s">
        <v>6008</v>
      </c>
      <c r="I1996" s="62" t="s">
        <v>6009</v>
      </c>
      <c r="K1996" s="36" t="s">
        <v>169</v>
      </c>
      <c r="L1996" t="s">
        <v>69</v>
      </c>
      <c r="M1996" s="62" t="s">
        <v>170</v>
      </c>
      <c r="N1996" t="s">
        <v>71</v>
      </c>
      <c r="O1996" t="str">
        <f>IFERROR(IF(Tbla_actores[[#This Row],[codigo_proyecto]]="","",_xlfn.XLOOKUP(Tbla_actores[[#This Row],[codigo_proyecto]],Proyectos!$A:$A,Proyectos!$C:$C)),"")</f>
        <v>NULOS</v>
      </c>
    </row>
    <row r="1997" spans="1:15">
      <c r="A1997" s="10">
        <v>1074160771</v>
      </c>
      <c r="B1997" s="64" t="s">
        <v>61</v>
      </c>
      <c r="C1997" s="62" t="s">
        <v>5575</v>
      </c>
      <c r="D1997" t="s">
        <v>63</v>
      </c>
      <c r="E1997" t="s">
        <v>6010</v>
      </c>
      <c r="F1997" s="61">
        <v>36323</v>
      </c>
      <c r="G1997" s="15" t="s">
        <v>73</v>
      </c>
      <c r="H1997" t="s">
        <v>6011</v>
      </c>
      <c r="I1997" s="62" t="s">
        <v>6012</v>
      </c>
      <c r="K1997" s="36" t="s">
        <v>1489</v>
      </c>
      <c r="L1997" t="s">
        <v>69</v>
      </c>
      <c r="M1997" s="62" t="s">
        <v>70</v>
      </c>
      <c r="N1997" t="s">
        <v>71</v>
      </c>
      <c r="O1997" t="str">
        <f>IFERROR(IF(Tbla_actores[[#This Row],[codigo_proyecto]]="","",_xlfn.XLOOKUP(Tbla_actores[[#This Row],[codigo_proyecto]],Proyectos!$A:$A,Proyectos!$C:$C)),"")</f>
        <v>NULOS</v>
      </c>
    </row>
    <row r="1998" spans="1:15">
      <c r="A1998" s="9">
        <v>1007605131</v>
      </c>
      <c r="B1998" s="63" t="s">
        <v>61</v>
      </c>
      <c r="C1998" s="62" t="s">
        <v>5575</v>
      </c>
      <c r="D1998" t="s">
        <v>63</v>
      </c>
      <c r="E1998" t="s">
        <v>6013</v>
      </c>
      <c r="F1998" s="61">
        <v>36901</v>
      </c>
      <c r="G1998" s="15" t="s">
        <v>73</v>
      </c>
      <c r="H1998" t="s">
        <v>6014</v>
      </c>
      <c r="I1998" s="62" t="s">
        <v>6015</v>
      </c>
      <c r="K1998" s="36" t="s">
        <v>1489</v>
      </c>
      <c r="L1998" t="s">
        <v>69</v>
      </c>
      <c r="M1998" s="62" t="s">
        <v>70</v>
      </c>
      <c r="N1998" t="s">
        <v>71</v>
      </c>
      <c r="O1998" t="str">
        <f>IFERROR(IF(Tbla_actores[[#This Row],[codigo_proyecto]]="","",_xlfn.XLOOKUP(Tbla_actores[[#This Row],[codigo_proyecto]],Proyectos!$A:$A,Proyectos!$C:$C)),"")</f>
        <v>NULOS</v>
      </c>
    </row>
    <row r="1999" spans="1:15">
      <c r="A1999" s="10">
        <v>1193108483</v>
      </c>
      <c r="B1999" s="64" t="s">
        <v>61</v>
      </c>
      <c r="C1999" s="62" t="s">
        <v>5575</v>
      </c>
      <c r="D1999" t="s">
        <v>63</v>
      </c>
      <c r="E1999" t="s">
        <v>6016</v>
      </c>
      <c r="F1999" s="61">
        <v>37392</v>
      </c>
      <c r="G1999" s="15" t="s">
        <v>73</v>
      </c>
      <c r="H1999" t="s">
        <v>6017</v>
      </c>
      <c r="I1999" s="62" t="s">
        <v>6018</v>
      </c>
      <c r="K1999" s="36" t="s">
        <v>68</v>
      </c>
      <c r="L1999" t="s">
        <v>69</v>
      </c>
      <c r="M1999" s="62" t="s">
        <v>70</v>
      </c>
      <c r="N1999" t="s">
        <v>71</v>
      </c>
      <c r="O1999" t="str">
        <f>IFERROR(IF(Tbla_actores[[#This Row],[codigo_proyecto]]="","",_xlfn.XLOOKUP(Tbla_actores[[#This Row],[codigo_proyecto]],Proyectos!$A:$A,Proyectos!$C:$C)),"")</f>
        <v>NULOS</v>
      </c>
    </row>
    <row r="2000" spans="1:15">
      <c r="A2000" s="9">
        <v>1015484161</v>
      </c>
      <c r="B2000" s="63" t="s">
        <v>61</v>
      </c>
      <c r="C2000" s="62" t="s">
        <v>5575</v>
      </c>
      <c r="D2000" t="s">
        <v>63</v>
      </c>
      <c r="E2000" t="s">
        <v>6019</v>
      </c>
      <c r="F2000" s="61">
        <v>36500</v>
      </c>
      <c r="G2000" s="15" t="s">
        <v>65</v>
      </c>
      <c r="H2000" t="s">
        <v>6020</v>
      </c>
      <c r="I2000" s="62" t="s">
        <v>6021</v>
      </c>
      <c r="K2000" s="36" t="s">
        <v>169</v>
      </c>
      <c r="L2000" t="s">
        <v>69</v>
      </c>
      <c r="M2000" s="62" t="s">
        <v>170</v>
      </c>
      <c r="N2000" t="s">
        <v>71</v>
      </c>
      <c r="O2000" t="str">
        <f>IFERROR(IF(Tbla_actores[[#This Row],[codigo_proyecto]]="","",_xlfn.XLOOKUP(Tbla_actores[[#This Row],[codigo_proyecto]],Proyectos!$A:$A,Proyectos!$C:$C)),"")</f>
        <v>NULOS</v>
      </c>
    </row>
    <row r="2001" spans="1:15">
      <c r="A2001" s="10">
        <v>1000337841</v>
      </c>
      <c r="B2001" s="64" t="s">
        <v>61</v>
      </c>
      <c r="C2001" s="62" t="s">
        <v>5575</v>
      </c>
      <c r="D2001" t="s">
        <v>63</v>
      </c>
      <c r="E2001" t="s">
        <v>6022</v>
      </c>
      <c r="F2001" s="61">
        <v>37359</v>
      </c>
      <c r="G2001" s="15" t="s">
        <v>73</v>
      </c>
      <c r="H2001" t="s">
        <v>6023</v>
      </c>
      <c r="I2001" s="62" t="s">
        <v>6024</v>
      </c>
      <c r="K2001" s="36" t="s">
        <v>169</v>
      </c>
      <c r="L2001" t="s">
        <v>69</v>
      </c>
      <c r="M2001" s="62" t="s">
        <v>170</v>
      </c>
      <c r="N2001" t="s">
        <v>71</v>
      </c>
      <c r="O2001" t="str">
        <f>IFERROR(IF(Tbla_actores[[#This Row],[codigo_proyecto]]="","",_xlfn.XLOOKUP(Tbla_actores[[#This Row],[codigo_proyecto]],Proyectos!$A:$A,Proyectos!$C:$C)),"")</f>
        <v>NULOS</v>
      </c>
    </row>
    <row r="2002" spans="1:15">
      <c r="A2002" s="9">
        <v>1007426852</v>
      </c>
      <c r="B2002" s="63" t="s">
        <v>61</v>
      </c>
      <c r="C2002" s="62" t="s">
        <v>5575</v>
      </c>
      <c r="D2002" t="s">
        <v>63</v>
      </c>
      <c r="E2002" t="s">
        <v>6025</v>
      </c>
      <c r="F2002" s="61">
        <v>36931</v>
      </c>
      <c r="G2002" s="15" t="s">
        <v>65</v>
      </c>
      <c r="H2002" t="s">
        <v>6026</v>
      </c>
      <c r="I2002" s="62" t="s">
        <v>6027</v>
      </c>
      <c r="K2002" s="36" t="s">
        <v>68</v>
      </c>
      <c r="L2002" t="s">
        <v>69</v>
      </c>
      <c r="M2002" s="62" t="s">
        <v>70</v>
      </c>
      <c r="N2002" t="s">
        <v>71</v>
      </c>
      <c r="O2002" t="str">
        <f>IFERROR(IF(Tbla_actores[[#This Row],[codigo_proyecto]]="","",_xlfn.XLOOKUP(Tbla_actores[[#This Row],[codigo_proyecto]],Proyectos!$A:$A,Proyectos!$C:$C)),"")</f>
        <v>NULOS</v>
      </c>
    </row>
    <row r="2003" spans="1:15">
      <c r="A2003" s="10">
        <v>1000272386</v>
      </c>
      <c r="B2003" s="64" t="s">
        <v>61</v>
      </c>
      <c r="C2003" s="62" t="s">
        <v>5575</v>
      </c>
      <c r="D2003" t="s">
        <v>63</v>
      </c>
      <c r="E2003" t="s">
        <v>6028</v>
      </c>
      <c r="F2003" s="61">
        <v>37172</v>
      </c>
      <c r="G2003" s="15" t="s">
        <v>73</v>
      </c>
      <c r="H2003" t="s">
        <v>6029</v>
      </c>
      <c r="I2003" s="62" t="s">
        <v>6030</v>
      </c>
      <c r="K2003" s="36" t="s">
        <v>169</v>
      </c>
      <c r="L2003" t="s">
        <v>69</v>
      </c>
      <c r="M2003" s="62" t="s">
        <v>170</v>
      </c>
      <c r="N2003" t="s">
        <v>71</v>
      </c>
      <c r="O2003" t="str">
        <f>IFERROR(IF(Tbla_actores[[#This Row],[codigo_proyecto]]="","",_xlfn.XLOOKUP(Tbla_actores[[#This Row],[codigo_proyecto]],Proyectos!$A:$A,Proyectos!$C:$C)),"")</f>
        <v>NULOS</v>
      </c>
    </row>
    <row r="2004" spans="1:15">
      <c r="A2004" s="9">
        <v>1000048959</v>
      </c>
      <c r="B2004" s="63" t="s">
        <v>61</v>
      </c>
      <c r="C2004" s="62" t="s">
        <v>5575</v>
      </c>
      <c r="D2004" t="s">
        <v>63</v>
      </c>
      <c r="E2004" t="s">
        <v>6031</v>
      </c>
      <c r="F2004" s="61">
        <v>37264</v>
      </c>
      <c r="G2004" s="15" t="s">
        <v>73</v>
      </c>
      <c r="H2004" t="s">
        <v>6032</v>
      </c>
      <c r="I2004" s="62" t="s">
        <v>6033</v>
      </c>
      <c r="K2004" s="36" t="s">
        <v>68</v>
      </c>
      <c r="L2004" t="s">
        <v>69</v>
      </c>
      <c r="M2004" s="62" t="s">
        <v>70</v>
      </c>
      <c r="N2004" t="s">
        <v>71</v>
      </c>
      <c r="O2004" t="str">
        <f>IFERROR(IF(Tbla_actores[[#This Row],[codigo_proyecto]]="","",_xlfn.XLOOKUP(Tbla_actores[[#This Row],[codigo_proyecto]],Proyectos!$A:$A,Proyectos!$C:$C)),"")</f>
        <v>NULOS</v>
      </c>
    </row>
    <row r="2005" spans="1:15">
      <c r="A2005" s="10">
        <v>1002393450</v>
      </c>
      <c r="B2005" s="64" t="s">
        <v>61</v>
      </c>
      <c r="C2005" s="62" t="s">
        <v>4409</v>
      </c>
      <c r="D2005" t="s">
        <v>63</v>
      </c>
      <c r="E2005" t="s">
        <v>6034</v>
      </c>
      <c r="F2005" s="61">
        <v>36859</v>
      </c>
      <c r="G2005" s="15" t="s">
        <v>73</v>
      </c>
      <c r="H2005" t="s">
        <v>6035</v>
      </c>
      <c r="I2005" s="62" t="s">
        <v>6036</v>
      </c>
      <c r="K2005" s="36" t="s">
        <v>169</v>
      </c>
      <c r="L2005" t="s">
        <v>69</v>
      </c>
      <c r="M2005" s="62" t="s">
        <v>170</v>
      </c>
      <c r="N2005" t="s">
        <v>71</v>
      </c>
      <c r="O2005" t="str">
        <f>IFERROR(IF(Tbla_actores[[#This Row],[codigo_proyecto]]="","",_xlfn.XLOOKUP(Tbla_actores[[#This Row],[codigo_proyecto]],Proyectos!$A:$A,Proyectos!$C:$C)),"")</f>
        <v>NULOS</v>
      </c>
    </row>
    <row r="2006" spans="1:15">
      <c r="A2006" s="9">
        <v>1019149630</v>
      </c>
      <c r="B2006" s="63" t="s">
        <v>61</v>
      </c>
      <c r="C2006" s="62" t="s">
        <v>5575</v>
      </c>
      <c r="D2006" t="s">
        <v>63</v>
      </c>
      <c r="E2006" t="s">
        <v>6037</v>
      </c>
      <c r="F2006" s="61">
        <v>36334</v>
      </c>
      <c r="G2006" s="15" t="s">
        <v>73</v>
      </c>
      <c r="H2006" t="s">
        <v>6038</v>
      </c>
      <c r="I2006" s="62" t="s">
        <v>6039</v>
      </c>
      <c r="K2006" s="36" t="s">
        <v>169</v>
      </c>
      <c r="L2006" t="s">
        <v>69</v>
      </c>
      <c r="M2006" s="62" t="s">
        <v>170</v>
      </c>
      <c r="N2006" t="s">
        <v>71</v>
      </c>
      <c r="O2006" t="str">
        <f>IFERROR(IF(Tbla_actores[[#This Row],[codigo_proyecto]]="","",_xlfn.XLOOKUP(Tbla_actores[[#This Row],[codigo_proyecto]],Proyectos!$A:$A,Proyectos!$C:$C)),"")</f>
        <v>NULOS</v>
      </c>
    </row>
    <row r="2007" spans="1:15">
      <c r="A2007" s="10">
        <v>1003381060</v>
      </c>
      <c r="B2007" s="64" t="s">
        <v>61</v>
      </c>
      <c r="C2007" s="62" t="s">
        <v>5575</v>
      </c>
      <c r="D2007" t="s">
        <v>63</v>
      </c>
      <c r="E2007" t="s">
        <v>6040</v>
      </c>
      <c r="F2007" s="61">
        <v>37678</v>
      </c>
      <c r="G2007" s="15" t="s">
        <v>65</v>
      </c>
      <c r="H2007" t="s">
        <v>6041</v>
      </c>
      <c r="I2007" s="62" t="s">
        <v>6042</v>
      </c>
      <c r="K2007" s="36" t="s">
        <v>169</v>
      </c>
      <c r="L2007" t="s">
        <v>69</v>
      </c>
      <c r="M2007" s="62" t="s">
        <v>170</v>
      </c>
      <c r="N2007" t="s">
        <v>71</v>
      </c>
      <c r="O2007" t="str">
        <f>IFERROR(IF(Tbla_actores[[#This Row],[codigo_proyecto]]="","",_xlfn.XLOOKUP(Tbla_actores[[#This Row],[codigo_proyecto]],Proyectos!$A:$A,Proyectos!$C:$C)),"")</f>
        <v>NULOS</v>
      </c>
    </row>
    <row r="2008" spans="1:15">
      <c r="A2008" s="9">
        <v>1192892640</v>
      </c>
      <c r="B2008" s="63" t="s">
        <v>61</v>
      </c>
      <c r="C2008" s="62" t="s">
        <v>5575</v>
      </c>
      <c r="D2008" t="s">
        <v>63</v>
      </c>
      <c r="E2008" t="s">
        <v>6043</v>
      </c>
      <c r="F2008" s="61">
        <v>37119</v>
      </c>
      <c r="G2008" s="15" t="s">
        <v>65</v>
      </c>
      <c r="H2008" t="s">
        <v>6044</v>
      </c>
      <c r="I2008" s="62" t="s">
        <v>6045</v>
      </c>
      <c r="K2008" s="36" t="s">
        <v>169</v>
      </c>
      <c r="L2008" t="s">
        <v>69</v>
      </c>
      <c r="M2008" s="62" t="s">
        <v>170</v>
      </c>
      <c r="N2008" t="s">
        <v>71</v>
      </c>
      <c r="O2008" t="str">
        <f>IFERROR(IF(Tbla_actores[[#This Row],[codigo_proyecto]]="","",_xlfn.XLOOKUP(Tbla_actores[[#This Row],[codigo_proyecto]],Proyectos!$A:$A,Proyectos!$C:$C)),"")</f>
        <v>NULOS</v>
      </c>
    </row>
    <row r="2009" spans="1:15">
      <c r="A2009" s="10">
        <v>1006552698</v>
      </c>
      <c r="B2009" s="64" t="s">
        <v>61</v>
      </c>
      <c r="C2009" s="62" t="s">
        <v>5575</v>
      </c>
      <c r="D2009" t="s">
        <v>63</v>
      </c>
      <c r="E2009" t="s">
        <v>6046</v>
      </c>
      <c r="F2009" s="61">
        <v>37205</v>
      </c>
      <c r="G2009" s="15" t="s">
        <v>65</v>
      </c>
      <c r="H2009" t="s">
        <v>6047</v>
      </c>
      <c r="I2009" s="62" t="s">
        <v>6048</v>
      </c>
      <c r="K2009" s="36" t="s">
        <v>169</v>
      </c>
      <c r="L2009" t="s">
        <v>69</v>
      </c>
      <c r="M2009" s="62" t="s">
        <v>170</v>
      </c>
      <c r="N2009" t="s">
        <v>71</v>
      </c>
      <c r="O2009" t="str">
        <f>IFERROR(IF(Tbla_actores[[#This Row],[codigo_proyecto]]="","",_xlfn.XLOOKUP(Tbla_actores[[#This Row],[codigo_proyecto]],Proyectos!$A:$A,Proyectos!$C:$C)),"")</f>
        <v>NULOS</v>
      </c>
    </row>
    <row r="2010" spans="1:15">
      <c r="A2010" s="9">
        <v>1006454735</v>
      </c>
      <c r="B2010" s="63" t="s">
        <v>61</v>
      </c>
      <c r="C2010" s="62" t="s">
        <v>5575</v>
      </c>
      <c r="D2010" t="s">
        <v>63</v>
      </c>
      <c r="E2010" t="s">
        <v>6049</v>
      </c>
      <c r="F2010" s="61">
        <v>37309</v>
      </c>
      <c r="G2010" s="15" t="s">
        <v>65</v>
      </c>
      <c r="H2010" t="s">
        <v>6050</v>
      </c>
      <c r="I2010" s="62" t="s">
        <v>6051</v>
      </c>
      <c r="K2010" s="36" t="s">
        <v>169</v>
      </c>
      <c r="L2010" t="s">
        <v>69</v>
      </c>
      <c r="M2010" s="62" t="s">
        <v>170</v>
      </c>
      <c r="N2010" t="s">
        <v>71</v>
      </c>
      <c r="O2010" t="str">
        <f>IFERROR(IF(Tbla_actores[[#This Row],[codigo_proyecto]]="","",_xlfn.XLOOKUP(Tbla_actores[[#This Row],[codigo_proyecto]],Proyectos!$A:$A,Proyectos!$C:$C)),"")</f>
        <v>NULOS</v>
      </c>
    </row>
    <row r="2011" spans="1:15">
      <c r="A2011" s="10">
        <v>1006876576</v>
      </c>
      <c r="B2011" s="64" t="s">
        <v>61</v>
      </c>
      <c r="C2011" s="62" t="s">
        <v>5575</v>
      </c>
      <c r="D2011" t="s">
        <v>63</v>
      </c>
      <c r="E2011" t="s">
        <v>6052</v>
      </c>
      <c r="F2011" s="61">
        <v>37654</v>
      </c>
      <c r="G2011" s="15" t="s">
        <v>65</v>
      </c>
      <c r="H2011" t="s">
        <v>6053</v>
      </c>
      <c r="I2011" s="62" t="s">
        <v>6054</v>
      </c>
      <c r="K2011" s="36" t="s">
        <v>169</v>
      </c>
      <c r="L2011" t="s">
        <v>69</v>
      </c>
      <c r="M2011" s="62" t="s">
        <v>170</v>
      </c>
      <c r="N2011" t="s">
        <v>71</v>
      </c>
      <c r="O2011" t="str">
        <f>IFERROR(IF(Tbla_actores[[#This Row],[codigo_proyecto]]="","",_xlfn.XLOOKUP(Tbla_actores[[#This Row],[codigo_proyecto]],Proyectos!$A:$A,Proyectos!$C:$C)),"")</f>
        <v>NULOS</v>
      </c>
    </row>
    <row r="2012" spans="1:15">
      <c r="A2012" s="9">
        <v>1006873701</v>
      </c>
      <c r="B2012" s="63" t="s">
        <v>61</v>
      </c>
      <c r="C2012" s="62" t="s">
        <v>5575</v>
      </c>
      <c r="D2012" t="s">
        <v>63</v>
      </c>
      <c r="E2012" t="s">
        <v>6055</v>
      </c>
      <c r="F2012" s="61">
        <v>37584</v>
      </c>
      <c r="G2012" s="15" t="s">
        <v>73</v>
      </c>
      <c r="H2012" t="s">
        <v>6056</v>
      </c>
      <c r="I2012" s="62" t="s">
        <v>6057</v>
      </c>
      <c r="K2012" s="36" t="s">
        <v>169</v>
      </c>
      <c r="L2012" t="s">
        <v>69</v>
      </c>
      <c r="M2012" s="62" t="s">
        <v>170</v>
      </c>
      <c r="N2012" t="s">
        <v>71</v>
      </c>
      <c r="O2012" t="str">
        <f>IFERROR(IF(Tbla_actores[[#This Row],[codigo_proyecto]]="","",_xlfn.XLOOKUP(Tbla_actores[[#This Row],[codigo_proyecto]],Proyectos!$A:$A,Proyectos!$C:$C)),"")</f>
        <v>NULOS</v>
      </c>
    </row>
    <row r="2013" spans="1:15">
      <c r="A2013" s="10">
        <v>1007476237</v>
      </c>
      <c r="B2013" s="64" t="s">
        <v>61</v>
      </c>
      <c r="C2013" s="62" t="s">
        <v>5575</v>
      </c>
      <c r="D2013" t="s">
        <v>63</v>
      </c>
      <c r="E2013" t="s">
        <v>6058</v>
      </c>
      <c r="F2013" s="61">
        <v>37171</v>
      </c>
      <c r="G2013" s="15" t="s">
        <v>65</v>
      </c>
      <c r="H2013" t="s">
        <v>6059</v>
      </c>
      <c r="I2013" s="62" t="s">
        <v>6060</v>
      </c>
      <c r="K2013" s="36" t="s">
        <v>169</v>
      </c>
      <c r="L2013" t="s">
        <v>69</v>
      </c>
      <c r="M2013" s="62" t="s">
        <v>170</v>
      </c>
      <c r="N2013" t="s">
        <v>71</v>
      </c>
      <c r="O2013" t="str">
        <f>IFERROR(IF(Tbla_actores[[#This Row],[codigo_proyecto]]="","",_xlfn.XLOOKUP(Tbla_actores[[#This Row],[codigo_proyecto]],Proyectos!$A:$A,Proyectos!$C:$C)),"")</f>
        <v>NULOS</v>
      </c>
    </row>
    <row r="2014" spans="1:15">
      <c r="A2014" s="9">
        <v>1018509443</v>
      </c>
      <c r="B2014" s="63" t="s">
        <v>61</v>
      </c>
      <c r="C2014" s="62" t="s">
        <v>5575</v>
      </c>
      <c r="D2014" t="s">
        <v>63</v>
      </c>
      <c r="E2014" t="s">
        <v>6061</v>
      </c>
      <c r="F2014" s="61">
        <v>36217</v>
      </c>
      <c r="G2014" s="15" t="s">
        <v>73</v>
      </c>
      <c r="H2014" t="s">
        <v>6062</v>
      </c>
      <c r="I2014" s="62" t="s">
        <v>6063</v>
      </c>
      <c r="K2014" s="36" t="s">
        <v>68</v>
      </c>
      <c r="L2014" t="s">
        <v>69</v>
      </c>
      <c r="M2014" s="62" t="s">
        <v>70</v>
      </c>
      <c r="N2014" t="s">
        <v>71</v>
      </c>
      <c r="O2014" t="str">
        <f>IFERROR(IF(Tbla_actores[[#This Row],[codigo_proyecto]]="","",_xlfn.XLOOKUP(Tbla_actores[[#This Row],[codigo_proyecto]],Proyectos!$A:$A,Proyectos!$C:$C)),"")</f>
        <v>NULOS</v>
      </c>
    </row>
    <row r="2015" spans="1:15">
      <c r="A2015" s="10">
        <v>1007688069</v>
      </c>
      <c r="B2015" s="64" t="s">
        <v>61</v>
      </c>
      <c r="C2015" s="62" t="s">
        <v>5575</v>
      </c>
      <c r="D2015" t="s">
        <v>63</v>
      </c>
      <c r="E2015" t="s">
        <v>6064</v>
      </c>
      <c r="F2015" s="61">
        <v>36785</v>
      </c>
      <c r="G2015" s="15" t="s">
        <v>73</v>
      </c>
      <c r="H2015" t="s">
        <v>6065</v>
      </c>
      <c r="I2015" s="62" t="s">
        <v>6066</v>
      </c>
      <c r="K2015" s="36" t="s">
        <v>68</v>
      </c>
      <c r="L2015" t="s">
        <v>69</v>
      </c>
      <c r="M2015" s="62" t="s">
        <v>70</v>
      </c>
      <c r="N2015" t="s">
        <v>71</v>
      </c>
      <c r="O2015" t="str">
        <f>IFERROR(IF(Tbla_actores[[#This Row],[codigo_proyecto]]="","",_xlfn.XLOOKUP(Tbla_actores[[#This Row],[codigo_proyecto]],Proyectos!$A:$A,Proyectos!$C:$C)),"")</f>
        <v>NULOS</v>
      </c>
    </row>
    <row r="2016" spans="1:15">
      <c r="A2016" s="9">
        <v>1000142897</v>
      </c>
      <c r="B2016" s="63" t="s">
        <v>61</v>
      </c>
      <c r="C2016" s="62" t="s">
        <v>5575</v>
      </c>
      <c r="D2016" t="s">
        <v>63</v>
      </c>
      <c r="E2016" t="s">
        <v>6067</v>
      </c>
      <c r="F2016" s="61">
        <v>37492</v>
      </c>
      <c r="G2016" s="15" t="s">
        <v>73</v>
      </c>
      <c r="H2016" t="s">
        <v>6068</v>
      </c>
      <c r="I2016" s="62" t="s">
        <v>6069</v>
      </c>
      <c r="K2016" s="36" t="s">
        <v>495</v>
      </c>
      <c r="L2016" t="s">
        <v>69</v>
      </c>
      <c r="M2016" s="62" t="s">
        <v>70</v>
      </c>
      <c r="N2016" t="s">
        <v>71</v>
      </c>
      <c r="O2016" t="str">
        <f>IFERROR(IF(Tbla_actores[[#This Row],[codigo_proyecto]]="","",_xlfn.XLOOKUP(Tbla_actores[[#This Row],[codigo_proyecto]],Proyectos!$A:$A,Proyectos!$C:$C)),"")</f>
        <v>NULOS</v>
      </c>
    </row>
    <row r="2017" spans="1:15">
      <c r="A2017" s="10">
        <v>1001329239</v>
      </c>
      <c r="B2017" s="64" t="s">
        <v>61</v>
      </c>
      <c r="C2017" s="62" t="s">
        <v>5575</v>
      </c>
      <c r="D2017" t="s">
        <v>63</v>
      </c>
      <c r="E2017" t="s">
        <v>6070</v>
      </c>
      <c r="F2017" s="61">
        <v>37355</v>
      </c>
      <c r="G2017" s="15" t="s">
        <v>65</v>
      </c>
      <c r="H2017" t="s">
        <v>6071</v>
      </c>
      <c r="I2017" s="62" t="s">
        <v>6072</v>
      </c>
      <c r="K2017" s="36" t="s">
        <v>495</v>
      </c>
      <c r="L2017" t="s">
        <v>69</v>
      </c>
      <c r="M2017" s="62" t="s">
        <v>70</v>
      </c>
      <c r="N2017" t="s">
        <v>71</v>
      </c>
      <c r="O2017" t="str">
        <f>IFERROR(IF(Tbla_actores[[#This Row],[codigo_proyecto]]="","",_xlfn.XLOOKUP(Tbla_actores[[#This Row],[codigo_proyecto]],Proyectos!$A:$A,Proyectos!$C:$C)),"")</f>
        <v>NULOS</v>
      </c>
    </row>
    <row r="2018" spans="1:15">
      <c r="A2018" s="9">
        <v>1071172281</v>
      </c>
      <c r="B2018" s="63" t="s">
        <v>61</v>
      </c>
      <c r="C2018" s="62" t="s">
        <v>5575</v>
      </c>
      <c r="D2018" t="s">
        <v>63</v>
      </c>
      <c r="E2018" t="s">
        <v>6073</v>
      </c>
      <c r="F2018" s="61">
        <v>36452</v>
      </c>
      <c r="G2018" s="15" t="s">
        <v>73</v>
      </c>
      <c r="H2018" t="s">
        <v>6074</v>
      </c>
      <c r="I2018" s="62" t="s">
        <v>6075</v>
      </c>
      <c r="K2018" s="36" t="s">
        <v>169</v>
      </c>
      <c r="L2018" t="s">
        <v>69</v>
      </c>
      <c r="M2018" s="62" t="s">
        <v>170</v>
      </c>
      <c r="N2018" t="s">
        <v>71</v>
      </c>
      <c r="O2018" t="str">
        <f>IFERROR(IF(Tbla_actores[[#This Row],[codigo_proyecto]]="","",_xlfn.XLOOKUP(Tbla_actores[[#This Row],[codigo_proyecto]],Proyectos!$A:$A,Proyectos!$C:$C)),"")</f>
        <v>NULOS</v>
      </c>
    </row>
    <row r="2019" spans="1:15">
      <c r="A2019" s="10">
        <v>1007664592</v>
      </c>
      <c r="B2019" s="64" t="s">
        <v>61</v>
      </c>
      <c r="C2019" s="62" t="s">
        <v>5575</v>
      </c>
      <c r="D2019" t="s">
        <v>63</v>
      </c>
      <c r="E2019" t="s">
        <v>6076</v>
      </c>
      <c r="F2019" s="61">
        <v>37019</v>
      </c>
      <c r="G2019" s="15" t="s">
        <v>73</v>
      </c>
      <c r="H2019" t="s">
        <v>6077</v>
      </c>
      <c r="I2019" s="62" t="s">
        <v>6078</v>
      </c>
      <c r="K2019" s="36" t="s">
        <v>169</v>
      </c>
      <c r="L2019" t="s">
        <v>69</v>
      </c>
      <c r="M2019" s="62" t="s">
        <v>170</v>
      </c>
      <c r="N2019" t="s">
        <v>71</v>
      </c>
      <c r="O2019" t="str">
        <f>IFERROR(IF(Tbla_actores[[#This Row],[codigo_proyecto]]="","",_xlfn.XLOOKUP(Tbla_actores[[#This Row],[codigo_proyecto]],Proyectos!$A:$A,Proyectos!$C:$C)),"")</f>
        <v>NULOS</v>
      </c>
    </row>
    <row r="2020" spans="1:15">
      <c r="A2020" s="9">
        <v>1000689383</v>
      </c>
      <c r="B2020" s="63" t="s">
        <v>61</v>
      </c>
      <c r="C2020" s="62" t="s">
        <v>5575</v>
      </c>
      <c r="D2020" t="s">
        <v>63</v>
      </c>
      <c r="E2020" t="s">
        <v>6079</v>
      </c>
      <c r="F2020" s="61">
        <v>36804</v>
      </c>
      <c r="G2020" s="15" t="s">
        <v>73</v>
      </c>
      <c r="H2020" t="s">
        <v>6080</v>
      </c>
      <c r="I2020" s="62" t="s">
        <v>6081</v>
      </c>
      <c r="K2020" s="36" t="s">
        <v>169</v>
      </c>
      <c r="L2020" t="s">
        <v>69</v>
      </c>
      <c r="M2020" s="62" t="s">
        <v>170</v>
      </c>
      <c r="N2020" t="s">
        <v>71</v>
      </c>
      <c r="O2020" t="str">
        <f>IFERROR(IF(Tbla_actores[[#This Row],[codigo_proyecto]]="","",_xlfn.XLOOKUP(Tbla_actores[[#This Row],[codigo_proyecto]],Proyectos!$A:$A,Proyectos!$C:$C)),"")</f>
        <v>NULOS</v>
      </c>
    </row>
    <row r="2021" spans="1:15">
      <c r="A2021" s="10">
        <v>1083024764</v>
      </c>
      <c r="B2021" s="64" t="s">
        <v>61</v>
      </c>
      <c r="C2021" s="62" t="s">
        <v>5575</v>
      </c>
      <c r="D2021" t="s">
        <v>63</v>
      </c>
      <c r="E2021" t="s">
        <v>6082</v>
      </c>
      <c r="F2021" s="61">
        <v>35567</v>
      </c>
      <c r="G2021" s="15" t="s">
        <v>73</v>
      </c>
      <c r="H2021" t="s">
        <v>6083</v>
      </c>
      <c r="I2021" s="62" t="s">
        <v>6084</v>
      </c>
      <c r="K2021" s="36" t="s">
        <v>169</v>
      </c>
      <c r="L2021" t="s">
        <v>69</v>
      </c>
      <c r="M2021" s="62" t="s">
        <v>170</v>
      </c>
      <c r="N2021" t="s">
        <v>71</v>
      </c>
      <c r="O2021" t="str">
        <f>IFERROR(IF(Tbla_actores[[#This Row],[codigo_proyecto]]="","",_xlfn.XLOOKUP(Tbla_actores[[#This Row],[codigo_proyecto]],Proyectos!$A:$A,Proyectos!$C:$C)),"")</f>
        <v>NULOS</v>
      </c>
    </row>
    <row r="2022" spans="1:15">
      <c r="A2022" s="9">
        <v>1235045790</v>
      </c>
      <c r="B2022" s="63" t="s">
        <v>61</v>
      </c>
      <c r="C2022" s="62" t="s">
        <v>5575</v>
      </c>
      <c r="D2022" t="s">
        <v>63</v>
      </c>
      <c r="E2022" t="s">
        <v>6085</v>
      </c>
      <c r="F2022" s="61">
        <v>36435</v>
      </c>
      <c r="G2022" s="15" t="s">
        <v>65</v>
      </c>
      <c r="H2022" t="s">
        <v>6086</v>
      </c>
      <c r="I2022" s="62" t="s">
        <v>6087</v>
      </c>
      <c r="K2022" s="36" t="s">
        <v>169</v>
      </c>
      <c r="L2022" t="s">
        <v>69</v>
      </c>
      <c r="M2022" s="62" t="s">
        <v>170</v>
      </c>
      <c r="N2022" t="s">
        <v>71</v>
      </c>
      <c r="O2022" t="str">
        <f>IFERROR(IF(Tbla_actores[[#This Row],[codigo_proyecto]]="","",_xlfn.XLOOKUP(Tbla_actores[[#This Row],[codigo_proyecto]],Proyectos!$A:$A,Proyectos!$C:$C)),"")</f>
        <v>NULOS</v>
      </c>
    </row>
    <row r="2023" spans="1:15">
      <c r="A2023" s="10">
        <v>1032499475</v>
      </c>
      <c r="B2023" s="64" t="s">
        <v>61</v>
      </c>
      <c r="C2023" s="62" t="s">
        <v>5575</v>
      </c>
      <c r="D2023" t="s">
        <v>63</v>
      </c>
      <c r="E2023" t="s">
        <v>6088</v>
      </c>
      <c r="F2023" s="61">
        <v>36014</v>
      </c>
      <c r="G2023" s="15" t="s">
        <v>73</v>
      </c>
      <c r="H2023" t="s">
        <v>6089</v>
      </c>
      <c r="I2023" s="62" t="s">
        <v>6090</v>
      </c>
      <c r="K2023" s="36" t="s">
        <v>169</v>
      </c>
      <c r="L2023" t="s">
        <v>69</v>
      </c>
      <c r="M2023" s="62" t="s">
        <v>170</v>
      </c>
      <c r="N2023" t="s">
        <v>71</v>
      </c>
      <c r="O2023" t="str">
        <f>IFERROR(IF(Tbla_actores[[#This Row],[codigo_proyecto]]="","",_xlfn.XLOOKUP(Tbla_actores[[#This Row],[codigo_proyecto]],Proyectos!$A:$A,Proyectos!$C:$C)),"")</f>
        <v>NULOS</v>
      </c>
    </row>
    <row r="2024" spans="1:15">
      <c r="A2024" s="9">
        <v>1000273413</v>
      </c>
      <c r="B2024" s="63" t="s">
        <v>61</v>
      </c>
      <c r="C2024" s="62" t="s">
        <v>5575</v>
      </c>
      <c r="D2024" t="s">
        <v>63</v>
      </c>
      <c r="E2024" t="s">
        <v>6091</v>
      </c>
      <c r="F2024" s="61">
        <v>37617</v>
      </c>
      <c r="G2024" s="15" t="s">
        <v>65</v>
      </c>
      <c r="H2024" t="s">
        <v>6092</v>
      </c>
      <c r="I2024" s="62" t="s">
        <v>6093</v>
      </c>
      <c r="K2024" s="36" t="s">
        <v>169</v>
      </c>
      <c r="L2024" t="s">
        <v>69</v>
      </c>
      <c r="M2024" s="62" t="s">
        <v>170</v>
      </c>
      <c r="N2024" t="s">
        <v>71</v>
      </c>
      <c r="O2024" t="str">
        <f>IFERROR(IF(Tbla_actores[[#This Row],[codigo_proyecto]]="","",_xlfn.XLOOKUP(Tbla_actores[[#This Row],[codigo_proyecto]],Proyectos!$A:$A,Proyectos!$C:$C)),"")</f>
        <v>NULOS</v>
      </c>
    </row>
    <row r="2025" spans="1:15">
      <c r="A2025" s="10">
        <v>1000319860</v>
      </c>
      <c r="B2025" s="64" t="s">
        <v>61</v>
      </c>
      <c r="C2025" s="62" t="s">
        <v>5575</v>
      </c>
      <c r="D2025" t="s">
        <v>63</v>
      </c>
      <c r="E2025" t="s">
        <v>6094</v>
      </c>
      <c r="F2025" s="61">
        <v>37203</v>
      </c>
      <c r="G2025" s="15" t="s">
        <v>65</v>
      </c>
      <c r="H2025" t="s">
        <v>6095</v>
      </c>
      <c r="I2025" s="62" t="s">
        <v>6096</v>
      </c>
      <c r="K2025" s="36" t="s">
        <v>169</v>
      </c>
      <c r="L2025" t="s">
        <v>69</v>
      </c>
      <c r="M2025" s="62" t="s">
        <v>170</v>
      </c>
      <c r="N2025" t="s">
        <v>71</v>
      </c>
      <c r="O2025" t="str">
        <f>IFERROR(IF(Tbla_actores[[#This Row],[codigo_proyecto]]="","",_xlfn.XLOOKUP(Tbla_actores[[#This Row],[codigo_proyecto]],Proyectos!$A:$A,Proyectos!$C:$C)),"")</f>
        <v>NULOS</v>
      </c>
    </row>
    <row r="2026" spans="1:15">
      <c r="A2026" s="9">
        <v>1018512492</v>
      </c>
      <c r="B2026" s="63" t="s">
        <v>61</v>
      </c>
      <c r="C2026" s="62" t="s">
        <v>5575</v>
      </c>
      <c r="D2026" t="s">
        <v>63</v>
      </c>
      <c r="E2026" t="s">
        <v>6097</v>
      </c>
      <c r="F2026" s="61">
        <v>36369</v>
      </c>
      <c r="G2026" s="15" t="s">
        <v>73</v>
      </c>
      <c r="H2026" t="s">
        <v>6098</v>
      </c>
      <c r="I2026" s="62" t="s">
        <v>6099</v>
      </c>
      <c r="K2026" s="36" t="s">
        <v>1489</v>
      </c>
      <c r="L2026" t="s">
        <v>69</v>
      </c>
      <c r="M2026" s="62" t="s">
        <v>70</v>
      </c>
      <c r="N2026" t="s">
        <v>71</v>
      </c>
      <c r="O2026" t="str">
        <f>IFERROR(IF(Tbla_actores[[#This Row],[codigo_proyecto]]="","",_xlfn.XLOOKUP(Tbla_actores[[#This Row],[codigo_proyecto]],Proyectos!$A:$A,Proyectos!$C:$C)),"")</f>
        <v>NULOS</v>
      </c>
    </row>
    <row r="2027" spans="1:15">
      <c r="A2027" s="10">
        <v>1007476014</v>
      </c>
      <c r="B2027" s="64" t="s">
        <v>61</v>
      </c>
      <c r="C2027" s="62" t="s">
        <v>5575</v>
      </c>
      <c r="D2027" t="s">
        <v>63</v>
      </c>
      <c r="E2027" t="s">
        <v>6100</v>
      </c>
      <c r="F2027" s="61">
        <v>37325</v>
      </c>
      <c r="G2027" s="15" t="s">
        <v>65</v>
      </c>
      <c r="H2027" t="s">
        <v>6101</v>
      </c>
      <c r="I2027" s="62" t="s">
        <v>6102</v>
      </c>
      <c r="K2027" s="36" t="s">
        <v>68</v>
      </c>
      <c r="L2027" t="s">
        <v>69</v>
      </c>
      <c r="M2027" s="62" t="s">
        <v>70</v>
      </c>
      <c r="N2027" t="s">
        <v>71</v>
      </c>
      <c r="O2027" t="str">
        <f>IFERROR(IF(Tbla_actores[[#This Row],[codigo_proyecto]]="","",_xlfn.XLOOKUP(Tbla_actores[[#This Row],[codigo_proyecto]],Proyectos!$A:$A,Proyectos!$C:$C)),"")</f>
        <v>NULOS</v>
      </c>
    </row>
    <row r="2028" spans="1:15">
      <c r="A2028" s="9">
        <v>1005105226</v>
      </c>
      <c r="B2028" s="63" t="s">
        <v>61</v>
      </c>
      <c r="C2028" s="62" t="s">
        <v>5575</v>
      </c>
      <c r="D2028" t="s">
        <v>63</v>
      </c>
      <c r="E2028" t="s">
        <v>6103</v>
      </c>
      <c r="F2028" s="61">
        <v>37385</v>
      </c>
      <c r="G2028" s="15" t="s">
        <v>65</v>
      </c>
      <c r="H2028" t="s">
        <v>6104</v>
      </c>
      <c r="I2028" s="62" t="s">
        <v>6105</v>
      </c>
      <c r="K2028" s="36" t="s">
        <v>68</v>
      </c>
      <c r="L2028" t="s">
        <v>69</v>
      </c>
      <c r="M2028" s="62" t="s">
        <v>70</v>
      </c>
      <c r="N2028" t="s">
        <v>71</v>
      </c>
      <c r="O2028" t="str">
        <f>IFERROR(IF(Tbla_actores[[#This Row],[codigo_proyecto]]="","",_xlfn.XLOOKUP(Tbla_actores[[#This Row],[codigo_proyecto]],Proyectos!$A:$A,Proyectos!$C:$C)),"")</f>
        <v>NULOS</v>
      </c>
    </row>
    <row r="2029" spans="1:15">
      <c r="A2029" s="10">
        <v>1007423833</v>
      </c>
      <c r="B2029" s="64" t="s">
        <v>61</v>
      </c>
      <c r="C2029" s="62" t="s">
        <v>5575</v>
      </c>
      <c r="D2029" t="s">
        <v>63</v>
      </c>
      <c r="E2029" t="s">
        <v>6106</v>
      </c>
      <c r="F2029" s="61">
        <v>36964</v>
      </c>
      <c r="G2029" s="15" t="s">
        <v>65</v>
      </c>
      <c r="H2029" t="s">
        <v>6107</v>
      </c>
      <c r="I2029" s="62" t="s">
        <v>6108</v>
      </c>
      <c r="K2029" s="36" t="s">
        <v>1489</v>
      </c>
      <c r="L2029" t="s">
        <v>69</v>
      </c>
      <c r="M2029" s="62" t="s">
        <v>70</v>
      </c>
      <c r="N2029" t="s">
        <v>71</v>
      </c>
      <c r="O2029" t="str">
        <f>IFERROR(IF(Tbla_actores[[#This Row],[codigo_proyecto]]="","",_xlfn.XLOOKUP(Tbla_actores[[#This Row],[codigo_proyecto]],Proyectos!$A:$A,Proyectos!$C:$C)),"")</f>
        <v>NULOS</v>
      </c>
    </row>
    <row r="2030" spans="1:15">
      <c r="A2030" s="9">
        <v>1006129965</v>
      </c>
      <c r="B2030" s="63" t="s">
        <v>61</v>
      </c>
      <c r="C2030" s="62" t="s">
        <v>5575</v>
      </c>
      <c r="D2030" t="s">
        <v>63</v>
      </c>
      <c r="E2030" t="s">
        <v>6109</v>
      </c>
      <c r="F2030" s="61">
        <v>36784</v>
      </c>
      <c r="G2030" s="15" t="s">
        <v>65</v>
      </c>
      <c r="H2030" t="s">
        <v>6110</v>
      </c>
      <c r="I2030" s="62" t="s">
        <v>6111</v>
      </c>
      <c r="K2030" s="36" t="s">
        <v>169</v>
      </c>
      <c r="L2030" t="s">
        <v>69</v>
      </c>
      <c r="M2030" s="62" t="s">
        <v>170</v>
      </c>
      <c r="N2030" t="s">
        <v>71</v>
      </c>
      <c r="O2030" t="str">
        <f>IFERROR(IF(Tbla_actores[[#This Row],[codigo_proyecto]]="","",_xlfn.XLOOKUP(Tbla_actores[[#This Row],[codigo_proyecto]],Proyectos!$A:$A,Proyectos!$C:$C)),"")</f>
        <v>NULOS</v>
      </c>
    </row>
    <row r="2031" spans="1:15">
      <c r="A2031" s="10">
        <v>1022441102</v>
      </c>
      <c r="B2031" s="64" t="s">
        <v>61</v>
      </c>
      <c r="C2031" s="62" t="s">
        <v>5575</v>
      </c>
      <c r="D2031" t="s">
        <v>63</v>
      </c>
      <c r="E2031" t="s">
        <v>6112</v>
      </c>
      <c r="F2031" s="61">
        <v>36191</v>
      </c>
      <c r="G2031" s="15" t="s">
        <v>73</v>
      </c>
      <c r="H2031" t="s">
        <v>6113</v>
      </c>
      <c r="I2031" s="62" t="s">
        <v>6114</v>
      </c>
      <c r="K2031" s="36" t="s">
        <v>1489</v>
      </c>
      <c r="L2031" t="s">
        <v>69</v>
      </c>
      <c r="M2031" s="62" t="s">
        <v>70</v>
      </c>
      <c r="N2031" t="s">
        <v>71</v>
      </c>
      <c r="O2031" t="str">
        <f>IFERROR(IF(Tbla_actores[[#This Row],[codigo_proyecto]]="","",_xlfn.XLOOKUP(Tbla_actores[[#This Row],[codigo_proyecto]],Proyectos!$A:$A,Proyectos!$C:$C)),"")</f>
        <v>NULOS</v>
      </c>
    </row>
    <row r="2032" spans="1:15">
      <c r="A2032" s="9">
        <v>1015478676</v>
      </c>
      <c r="B2032" s="63" t="s">
        <v>61</v>
      </c>
      <c r="C2032" s="62" t="s">
        <v>5575</v>
      </c>
      <c r="D2032" t="s">
        <v>63</v>
      </c>
      <c r="E2032" t="s">
        <v>6115</v>
      </c>
      <c r="F2032" s="61">
        <v>36157</v>
      </c>
      <c r="G2032" s="15" t="s">
        <v>65</v>
      </c>
      <c r="H2032" t="s">
        <v>6116</v>
      </c>
      <c r="I2032" s="62" t="s">
        <v>6117</v>
      </c>
      <c r="K2032" s="36" t="s">
        <v>169</v>
      </c>
      <c r="L2032" t="s">
        <v>69</v>
      </c>
      <c r="M2032" s="62" t="s">
        <v>170</v>
      </c>
      <c r="N2032" t="s">
        <v>71</v>
      </c>
      <c r="O2032" t="str">
        <f>IFERROR(IF(Tbla_actores[[#This Row],[codigo_proyecto]]="","",_xlfn.XLOOKUP(Tbla_actores[[#This Row],[codigo_proyecto]],Proyectos!$A:$A,Proyectos!$C:$C)),"")</f>
        <v>NULOS</v>
      </c>
    </row>
    <row r="2033" spans="1:15">
      <c r="A2033" s="10">
        <v>1010104508</v>
      </c>
      <c r="B2033" s="64" t="s">
        <v>61</v>
      </c>
      <c r="C2033" s="62" t="s">
        <v>5575</v>
      </c>
      <c r="D2033" t="s">
        <v>63</v>
      </c>
      <c r="E2033" t="s">
        <v>6118</v>
      </c>
      <c r="F2033" s="61">
        <v>36886</v>
      </c>
      <c r="G2033" s="15" t="s">
        <v>73</v>
      </c>
      <c r="H2033" t="s">
        <v>6119</v>
      </c>
      <c r="I2033" s="62" t="s">
        <v>6120</v>
      </c>
      <c r="K2033" s="36" t="s">
        <v>169</v>
      </c>
      <c r="L2033" t="s">
        <v>69</v>
      </c>
      <c r="M2033" s="62" t="s">
        <v>170</v>
      </c>
      <c r="N2033" t="s">
        <v>71</v>
      </c>
      <c r="O2033" t="str">
        <f>IFERROR(IF(Tbla_actores[[#This Row],[codigo_proyecto]]="","",_xlfn.XLOOKUP(Tbla_actores[[#This Row],[codigo_proyecto]],Proyectos!$A:$A,Proyectos!$C:$C)),"")</f>
        <v>NULOS</v>
      </c>
    </row>
    <row r="2034" spans="1:15">
      <c r="A2034" s="9">
        <v>949163</v>
      </c>
      <c r="B2034" s="63" t="s">
        <v>61</v>
      </c>
      <c r="C2034" s="62" t="s">
        <v>5575</v>
      </c>
      <c r="D2034" t="s">
        <v>63</v>
      </c>
      <c r="E2034" t="s">
        <v>6121</v>
      </c>
      <c r="F2034" s="61">
        <v>36148</v>
      </c>
      <c r="G2034" s="15" t="s">
        <v>73</v>
      </c>
      <c r="H2034" t="s">
        <v>6122</v>
      </c>
      <c r="I2034" s="62" t="s">
        <v>6123</v>
      </c>
      <c r="K2034" s="36" t="s">
        <v>68</v>
      </c>
      <c r="L2034" t="s">
        <v>69</v>
      </c>
      <c r="M2034" s="62" t="s">
        <v>70</v>
      </c>
      <c r="N2034" t="s">
        <v>71</v>
      </c>
      <c r="O2034" t="str">
        <f>IFERROR(IF(Tbla_actores[[#This Row],[codigo_proyecto]]="","",_xlfn.XLOOKUP(Tbla_actores[[#This Row],[codigo_proyecto]],Proyectos!$A:$A,Proyectos!$C:$C)),"")</f>
        <v>NULOS</v>
      </c>
    </row>
    <row r="2035" spans="1:15">
      <c r="A2035" s="10">
        <v>1000833167</v>
      </c>
      <c r="B2035" s="64" t="s">
        <v>61</v>
      </c>
      <c r="C2035" s="62" t="s">
        <v>5575</v>
      </c>
      <c r="D2035" t="s">
        <v>63</v>
      </c>
      <c r="E2035" t="s">
        <v>6124</v>
      </c>
      <c r="F2035" s="61">
        <v>37258</v>
      </c>
      <c r="G2035" s="15" t="s">
        <v>73</v>
      </c>
      <c r="H2035" t="s">
        <v>6125</v>
      </c>
      <c r="I2035" s="62" t="s">
        <v>6126</v>
      </c>
      <c r="K2035" s="36" t="s">
        <v>68</v>
      </c>
      <c r="L2035" t="s">
        <v>69</v>
      </c>
      <c r="M2035" s="62" t="s">
        <v>70</v>
      </c>
      <c r="N2035" t="s">
        <v>71</v>
      </c>
      <c r="O2035" t="str">
        <f>IFERROR(IF(Tbla_actores[[#This Row],[codigo_proyecto]]="","",_xlfn.XLOOKUP(Tbla_actores[[#This Row],[codigo_proyecto]],Proyectos!$A:$A,Proyectos!$C:$C)),"")</f>
        <v>NULOS</v>
      </c>
    </row>
    <row r="2036" spans="1:15">
      <c r="A2036" s="9">
        <v>1005934741</v>
      </c>
      <c r="B2036" s="63" t="s">
        <v>61</v>
      </c>
      <c r="C2036" s="62" t="s">
        <v>5575</v>
      </c>
      <c r="D2036" t="s">
        <v>63</v>
      </c>
      <c r="E2036" t="s">
        <v>6127</v>
      </c>
      <c r="F2036" s="61">
        <v>37282</v>
      </c>
      <c r="G2036" s="15" t="s">
        <v>65</v>
      </c>
      <c r="H2036" t="s">
        <v>6128</v>
      </c>
      <c r="I2036" s="62" t="s">
        <v>6129</v>
      </c>
      <c r="K2036" s="36" t="s">
        <v>169</v>
      </c>
      <c r="L2036" t="s">
        <v>69</v>
      </c>
      <c r="M2036" s="62" t="s">
        <v>170</v>
      </c>
      <c r="N2036" t="s">
        <v>71</v>
      </c>
      <c r="O2036" t="str">
        <f>IFERROR(IF(Tbla_actores[[#This Row],[codigo_proyecto]]="","",_xlfn.XLOOKUP(Tbla_actores[[#This Row],[codigo_proyecto]],Proyectos!$A:$A,Proyectos!$C:$C)),"")</f>
        <v>NULOS</v>
      </c>
    </row>
    <row r="2037" spans="1:15">
      <c r="A2037" s="10">
        <v>1193132739</v>
      </c>
      <c r="B2037" s="64" t="s">
        <v>61</v>
      </c>
      <c r="C2037" s="62" t="s">
        <v>5575</v>
      </c>
      <c r="D2037" t="s">
        <v>63</v>
      </c>
      <c r="E2037" t="s">
        <v>6130</v>
      </c>
      <c r="F2037" s="61">
        <v>37480</v>
      </c>
      <c r="G2037" s="15" t="s">
        <v>65</v>
      </c>
      <c r="H2037" t="s">
        <v>6131</v>
      </c>
      <c r="I2037" s="62" t="s">
        <v>6132</v>
      </c>
      <c r="K2037" s="36" t="s">
        <v>169</v>
      </c>
      <c r="L2037" t="s">
        <v>69</v>
      </c>
      <c r="M2037" s="62" t="s">
        <v>170</v>
      </c>
      <c r="N2037" t="s">
        <v>71</v>
      </c>
      <c r="O2037" t="str">
        <f>IFERROR(IF(Tbla_actores[[#This Row],[codigo_proyecto]]="","",_xlfn.XLOOKUP(Tbla_actores[[#This Row],[codigo_proyecto]],Proyectos!$A:$A,Proyectos!$C:$C)),"")</f>
        <v>NULOS</v>
      </c>
    </row>
    <row r="2038" spans="1:15">
      <c r="A2038" s="9">
        <v>1020829669</v>
      </c>
      <c r="B2038" s="63" t="s">
        <v>61</v>
      </c>
      <c r="C2038" s="62" t="s">
        <v>5575</v>
      </c>
      <c r="D2038" t="s">
        <v>63</v>
      </c>
      <c r="E2038" t="s">
        <v>6133</v>
      </c>
      <c r="F2038" s="61">
        <v>35805</v>
      </c>
      <c r="G2038" s="15" t="s">
        <v>73</v>
      </c>
      <c r="H2038" t="s">
        <v>6134</v>
      </c>
      <c r="I2038" s="62" t="s">
        <v>6135</v>
      </c>
      <c r="K2038" s="36" t="s">
        <v>169</v>
      </c>
      <c r="L2038" t="s">
        <v>69</v>
      </c>
      <c r="M2038" s="62" t="s">
        <v>170</v>
      </c>
      <c r="N2038" t="s">
        <v>71</v>
      </c>
      <c r="O2038" t="str">
        <f>IFERROR(IF(Tbla_actores[[#This Row],[codigo_proyecto]]="","",_xlfn.XLOOKUP(Tbla_actores[[#This Row],[codigo_proyecto]],Proyectos!$A:$A,Proyectos!$C:$C)),"")</f>
        <v>NULOS</v>
      </c>
    </row>
    <row r="2039" spans="1:15">
      <c r="A2039" s="10">
        <v>1002778055</v>
      </c>
      <c r="B2039" s="64" t="s">
        <v>61</v>
      </c>
      <c r="C2039" s="62" t="s">
        <v>5575</v>
      </c>
      <c r="D2039" t="s">
        <v>63</v>
      </c>
      <c r="E2039" t="s">
        <v>6136</v>
      </c>
      <c r="F2039" s="61">
        <v>37728</v>
      </c>
      <c r="G2039" s="15" t="s">
        <v>65</v>
      </c>
      <c r="H2039" t="s">
        <v>6137</v>
      </c>
      <c r="I2039" s="62" t="s">
        <v>6138</v>
      </c>
      <c r="K2039" s="36" t="s">
        <v>169</v>
      </c>
      <c r="L2039" t="s">
        <v>69</v>
      </c>
      <c r="M2039" s="62" t="s">
        <v>170</v>
      </c>
      <c r="N2039" t="s">
        <v>71</v>
      </c>
      <c r="O2039" t="str">
        <f>IFERROR(IF(Tbla_actores[[#This Row],[codigo_proyecto]]="","",_xlfn.XLOOKUP(Tbla_actores[[#This Row],[codigo_proyecto]],Proyectos!$A:$A,Proyectos!$C:$C)),"")</f>
        <v>NULOS</v>
      </c>
    </row>
    <row r="2040" spans="1:15">
      <c r="A2040" s="9">
        <v>1000943892</v>
      </c>
      <c r="B2040" s="63" t="s">
        <v>61</v>
      </c>
      <c r="C2040" s="62" t="s">
        <v>5575</v>
      </c>
      <c r="D2040" t="s">
        <v>63</v>
      </c>
      <c r="E2040" t="s">
        <v>6139</v>
      </c>
      <c r="F2040" s="61">
        <v>37522</v>
      </c>
      <c r="G2040" s="15" t="s">
        <v>73</v>
      </c>
      <c r="H2040" t="s">
        <v>6140</v>
      </c>
      <c r="I2040" s="62" t="s">
        <v>6141</v>
      </c>
      <c r="K2040" s="36" t="s">
        <v>169</v>
      </c>
      <c r="L2040" t="s">
        <v>69</v>
      </c>
      <c r="M2040" s="62" t="s">
        <v>170</v>
      </c>
      <c r="N2040" t="s">
        <v>71</v>
      </c>
      <c r="O2040" t="str">
        <f>IFERROR(IF(Tbla_actores[[#This Row],[codigo_proyecto]]="","",_xlfn.XLOOKUP(Tbla_actores[[#This Row],[codigo_proyecto]],Proyectos!$A:$A,Proyectos!$C:$C)),"")</f>
        <v>NULOS</v>
      </c>
    </row>
    <row r="2041" spans="1:15">
      <c r="A2041" s="10">
        <v>1000285809</v>
      </c>
      <c r="B2041" s="64" t="s">
        <v>61</v>
      </c>
      <c r="C2041" s="62" t="s">
        <v>5575</v>
      </c>
      <c r="D2041" t="s">
        <v>63</v>
      </c>
      <c r="E2041" t="s">
        <v>6142</v>
      </c>
      <c r="F2041" s="61">
        <v>36925</v>
      </c>
      <c r="G2041" s="15" t="s">
        <v>73</v>
      </c>
      <c r="H2041" t="s">
        <v>6143</v>
      </c>
      <c r="I2041" s="62" t="s">
        <v>6144</v>
      </c>
      <c r="K2041" s="36" t="s">
        <v>68</v>
      </c>
      <c r="L2041" t="s">
        <v>69</v>
      </c>
      <c r="M2041" s="62" t="s">
        <v>70</v>
      </c>
      <c r="N2041" t="s">
        <v>71</v>
      </c>
      <c r="O2041" t="str">
        <f>IFERROR(IF(Tbla_actores[[#This Row],[codigo_proyecto]]="","",_xlfn.XLOOKUP(Tbla_actores[[#This Row],[codigo_proyecto]],Proyectos!$A:$A,Proyectos!$C:$C)),"")</f>
        <v>NULOS</v>
      </c>
    </row>
    <row r="2042" spans="1:15">
      <c r="A2042" s="9">
        <v>1054096265</v>
      </c>
      <c r="B2042" s="63" t="s">
        <v>61</v>
      </c>
      <c r="C2042" s="62" t="s">
        <v>5575</v>
      </c>
      <c r="D2042" t="s">
        <v>63</v>
      </c>
      <c r="E2042" t="s">
        <v>6145</v>
      </c>
      <c r="F2042" s="61">
        <v>36493</v>
      </c>
      <c r="G2042" s="15" t="s">
        <v>65</v>
      </c>
      <c r="H2042" t="s">
        <v>6146</v>
      </c>
      <c r="I2042" s="62" t="s">
        <v>6147</v>
      </c>
      <c r="K2042" s="36" t="s">
        <v>169</v>
      </c>
      <c r="L2042" t="s">
        <v>69</v>
      </c>
      <c r="M2042" s="62" t="s">
        <v>170</v>
      </c>
      <c r="N2042" t="s">
        <v>71</v>
      </c>
      <c r="O2042" t="str">
        <f>IFERROR(IF(Tbla_actores[[#This Row],[codigo_proyecto]]="","",_xlfn.XLOOKUP(Tbla_actores[[#This Row],[codigo_proyecto]],Proyectos!$A:$A,Proyectos!$C:$C)),"")</f>
        <v>NULOS</v>
      </c>
    </row>
    <row r="2043" spans="1:15">
      <c r="A2043" s="10">
        <v>1010002383</v>
      </c>
      <c r="B2043" s="64" t="s">
        <v>61</v>
      </c>
      <c r="C2043" s="62" t="s">
        <v>5575</v>
      </c>
      <c r="D2043" t="s">
        <v>63</v>
      </c>
      <c r="E2043" t="s">
        <v>6148</v>
      </c>
      <c r="F2043" s="61">
        <v>36735</v>
      </c>
      <c r="G2043" s="15" t="s">
        <v>73</v>
      </c>
      <c r="H2043" t="s">
        <v>6149</v>
      </c>
      <c r="I2043" s="62" t="s">
        <v>6150</v>
      </c>
      <c r="K2043" s="36" t="s">
        <v>169</v>
      </c>
      <c r="L2043" t="s">
        <v>69</v>
      </c>
      <c r="M2043" s="62" t="s">
        <v>170</v>
      </c>
      <c r="N2043" t="s">
        <v>71</v>
      </c>
      <c r="O2043" t="str">
        <f>IFERROR(IF(Tbla_actores[[#This Row],[codigo_proyecto]]="","",_xlfn.XLOOKUP(Tbla_actores[[#This Row],[codigo_proyecto]],Proyectos!$A:$A,Proyectos!$C:$C)),"")</f>
        <v>NULOS</v>
      </c>
    </row>
    <row r="2044" spans="1:15">
      <c r="A2044" s="9">
        <v>1006552475</v>
      </c>
      <c r="B2044" s="63" t="s">
        <v>61</v>
      </c>
      <c r="C2044" s="62" t="s">
        <v>4409</v>
      </c>
      <c r="D2044" t="s">
        <v>63</v>
      </c>
      <c r="E2044" t="s">
        <v>6151</v>
      </c>
      <c r="F2044" s="61">
        <v>37165</v>
      </c>
      <c r="G2044" s="15" t="s">
        <v>65</v>
      </c>
      <c r="H2044" t="s">
        <v>6152</v>
      </c>
      <c r="I2044" s="62" t="s">
        <v>6153</v>
      </c>
      <c r="K2044" s="36" t="s">
        <v>169</v>
      </c>
      <c r="L2044" t="s">
        <v>69</v>
      </c>
      <c r="M2044" s="62" t="s">
        <v>170</v>
      </c>
      <c r="N2044" t="s">
        <v>71</v>
      </c>
      <c r="O2044" t="str">
        <f>IFERROR(IF(Tbla_actores[[#This Row],[codigo_proyecto]]="","",_xlfn.XLOOKUP(Tbla_actores[[#This Row],[codigo_proyecto]],Proyectos!$A:$A,Proyectos!$C:$C)),"")</f>
        <v>NULOS</v>
      </c>
    </row>
    <row r="2045" spans="1:15">
      <c r="A2045" s="10">
        <v>1000941763</v>
      </c>
      <c r="B2045" s="64" t="s">
        <v>61</v>
      </c>
      <c r="C2045" s="62" t="s">
        <v>5575</v>
      </c>
      <c r="D2045" t="s">
        <v>63</v>
      </c>
      <c r="E2045" t="s">
        <v>6154</v>
      </c>
      <c r="F2045" s="61">
        <v>37613</v>
      </c>
      <c r="G2045" s="15" t="s">
        <v>73</v>
      </c>
      <c r="H2045" t="s">
        <v>6155</v>
      </c>
      <c r="I2045" s="62" t="s">
        <v>6156</v>
      </c>
      <c r="K2045" s="36" t="s">
        <v>169</v>
      </c>
      <c r="L2045" t="s">
        <v>69</v>
      </c>
      <c r="M2045" s="62" t="s">
        <v>170</v>
      </c>
      <c r="N2045" t="s">
        <v>71</v>
      </c>
      <c r="O2045" t="str">
        <f>IFERROR(IF(Tbla_actores[[#This Row],[codigo_proyecto]]="","",_xlfn.XLOOKUP(Tbla_actores[[#This Row],[codigo_proyecto]],Proyectos!$A:$A,Proyectos!$C:$C)),"")</f>
        <v>NULOS</v>
      </c>
    </row>
    <row r="2046" spans="1:15">
      <c r="A2046" s="9">
        <v>1032509486</v>
      </c>
      <c r="B2046" s="63" t="s">
        <v>61</v>
      </c>
      <c r="C2046" s="62" t="s">
        <v>5575</v>
      </c>
      <c r="D2046" t="s">
        <v>63</v>
      </c>
      <c r="E2046" t="s">
        <v>6157</v>
      </c>
      <c r="F2046" s="61">
        <v>36529</v>
      </c>
      <c r="G2046" s="15" t="s">
        <v>73</v>
      </c>
      <c r="H2046" t="s">
        <v>6158</v>
      </c>
      <c r="I2046" s="62" t="s">
        <v>6159</v>
      </c>
      <c r="K2046" s="36" t="s">
        <v>169</v>
      </c>
      <c r="L2046" t="s">
        <v>69</v>
      </c>
      <c r="M2046" s="62" t="s">
        <v>170</v>
      </c>
      <c r="N2046" t="s">
        <v>71</v>
      </c>
      <c r="O2046" t="str">
        <f>IFERROR(IF(Tbla_actores[[#This Row],[codigo_proyecto]]="","",_xlfn.XLOOKUP(Tbla_actores[[#This Row],[codigo_proyecto]],Proyectos!$A:$A,Proyectos!$C:$C)),"")</f>
        <v>NULOS</v>
      </c>
    </row>
    <row r="2047" spans="1:15">
      <c r="A2047" s="10">
        <v>1001330783</v>
      </c>
      <c r="B2047" s="64" t="s">
        <v>61</v>
      </c>
      <c r="C2047" s="62" t="s">
        <v>5575</v>
      </c>
      <c r="D2047" t="s">
        <v>63</v>
      </c>
      <c r="E2047" t="s">
        <v>6160</v>
      </c>
      <c r="F2047" s="61">
        <v>37641</v>
      </c>
      <c r="G2047" s="15" t="s">
        <v>73</v>
      </c>
      <c r="H2047" t="s">
        <v>6161</v>
      </c>
      <c r="I2047" s="62" t="s">
        <v>6162</v>
      </c>
      <c r="K2047" s="36" t="s">
        <v>169</v>
      </c>
      <c r="L2047" t="s">
        <v>69</v>
      </c>
      <c r="M2047" s="62" t="s">
        <v>170</v>
      </c>
      <c r="N2047" t="s">
        <v>71</v>
      </c>
      <c r="O2047" t="str">
        <f>IFERROR(IF(Tbla_actores[[#This Row],[codigo_proyecto]]="","",_xlfn.XLOOKUP(Tbla_actores[[#This Row],[codigo_proyecto]],Proyectos!$A:$A,Proyectos!$C:$C)),"")</f>
        <v>NULOS</v>
      </c>
    </row>
    <row r="2048" spans="1:15">
      <c r="A2048" s="9">
        <v>1136889294</v>
      </c>
      <c r="B2048" s="63" t="s">
        <v>61</v>
      </c>
      <c r="C2048" s="62" t="s">
        <v>5575</v>
      </c>
      <c r="D2048" t="s">
        <v>63</v>
      </c>
      <c r="E2048" t="s">
        <v>6163</v>
      </c>
      <c r="F2048" s="61">
        <v>36053</v>
      </c>
      <c r="G2048" s="15" t="s">
        <v>73</v>
      </c>
      <c r="H2048" t="s">
        <v>6164</v>
      </c>
      <c r="I2048" s="62" t="s">
        <v>6165</v>
      </c>
      <c r="K2048" s="36" t="s">
        <v>68</v>
      </c>
      <c r="L2048" t="s">
        <v>69</v>
      </c>
      <c r="M2048" s="62" t="s">
        <v>70</v>
      </c>
      <c r="N2048" t="s">
        <v>71</v>
      </c>
      <c r="O2048" t="str">
        <f>IFERROR(IF(Tbla_actores[[#This Row],[codigo_proyecto]]="","",_xlfn.XLOOKUP(Tbla_actores[[#This Row],[codigo_proyecto]],Proyectos!$A:$A,Proyectos!$C:$C)),"")</f>
        <v>NULOS</v>
      </c>
    </row>
    <row r="2049" spans="1:15">
      <c r="A2049" s="10">
        <v>1020839205</v>
      </c>
      <c r="B2049" s="64" t="s">
        <v>61</v>
      </c>
      <c r="C2049" s="62" t="s">
        <v>5575</v>
      </c>
      <c r="D2049" t="s">
        <v>63</v>
      </c>
      <c r="E2049" t="s">
        <v>6166</v>
      </c>
      <c r="F2049" s="61">
        <v>36211</v>
      </c>
      <c r="G2049" s="15" t="s">
        <v>65</v>
      </c>
      <c r="H2049" t="s">
        <v>6167</v>
      </c>
      <c r="I2049" s="62" t="s">
        <v>6168</v>
      </c>
      <c r="K2049" s="36" t="s">
        <v>169</v>
      </c>
      <c r="L2049" t="s">
        <v>69</v>
      </c>
      <c r="M2049" s="62" t="s">
        <v>170</v>
      </c>
      <c r="N2049" t="s">
        <v>71</v>
      </c>
      <c r="O2049" t="str">
        <f>IFERROR(IF(Tbla_actores[[#This Row],[codigo_proyecto]]="","",_xlfn.XLOOKUP(Tbla_actores[[#This Row],[codigo_proyecto]],Proyectos!$A:$A,Proyectos!$C:$C)),"")</f>
        <v>NULOS</v>
      </c>
    </row>
    <row r="2050" spans="1:15">
      <c r="A2050" s="9">
        <v>1096960055</v>
      </c>
      <c r="B2050" s="63" t="s">
        <v>61</v>
      </c>
      <c r="C2050" s="62" t="s">
        <v>5575</v>
      </c>
      <c r="D2050" t="s">
        <v>63</v>
      </c>
      <c r="E2050" t="s">
        <v>6169</v>
      </c>
      <c r="F2050" s="61">
        <v>36429</v>
      </c>
      <c r="G2050" s="15" t="s">
        <v>73</v>
      </c>
      <c r="H2050" t="s">
        <v>6170</v>
      </c>
      <c r="I2050" s="62" t="s">
        <v>6171</v>
      </c>
      <c r="K2050" s="36" t="s">
        <v>169</v>
      </c>
      <c r="L2050" t="s">
        <v>69</v>
      </c>
      <c r="M2050" s="62" t="s">
        <v>170</v>
      </c>
      <c r="N2050" t="s">
        <v>71</v>
      </c>
      <c r="O2050" t="str">
        <f>IFERROR(IF(Tbla_actores[[#This Row],[codigo_proyecto]]="","",_xlfn.XLOOKUP(Tbla_actores[[#This Row],[codigo_proyecto]],Proyectos!$A:$A,Proyectos!$C:$C)),"")</f>
        <v>NULOS</v>
      </c>
    </row>
    <row r="2051" spans="1:15">
      <c r="A2051" s="10">
        <v>1001097411</v>
      </c>
      <c r="B2051" s="64" t="s">
        <v>61</v>
      </c>
      <c r="C2051" s="62" t="s">
        <v>5575</v>
      </c>
      <c r="D2051" t="s">
        <v>63</v>
      </c>
      <c r="E2051" t="s">
        <v>6172</v>
      </c>
      <c r="F2051" s="61">
        <v>36971</v>
      </c>
      <c r="G2051" s="15" t="s">
        <v>65</v>
      </c>
      <c r="H2051" t="s">
        <v>6173</v>
      </c>
      <c r="I2051" s="62" t="s">
        <v>6174</v>
      </c>
      <c r="K2051" s="36" t="s">
        <v>169</v>
      </c>
      <c r="L2051" t="s">
        <v>69</v>
      </c>
      <c r="M2051" s="62" t="s">
        <v>170</v>
      </c>
      <c r="N2051" t="s">
        <v>71</v>
      </c>
      <c r="O2051" t="str">
        <f>IFERROR(IF(Tbla_actores[[#This Row],[codigo_proyecto]]="","",_xlfn.XLOOKUP(Tbla_actores[[#This Row],[codigo_proyecto]],Proyectos!$A:$A,Proyectos!$C:$C)),"")</f>
        <v>NULOS</v>
      </c>
    </row>
    <row r="2052" spans="1:15">
      <c r="A2052" s="9">
        <v>1000183194</v>
      </c>
      <c r="B2052" s="63" t="s">
        <v>61</v>
      </c>
      <c r="C2052" s="62" t="s">
        <v>5575</v>
      </c>
      <c r="D2052" t="s">
        <v>63</v>
      </c>
      <c r="E2052" t="s">
        <v>6175</v>
      </c>
      <c r="F2052" s="61">
        <v>37489</v>
      </c>
      <c r="G2052" s="15" t="s">
        <v>65</v>
      </c>
      <c r="H2052" t="s">
        <v>6176</v>
      </c>
      <c r="I2052" s="62" t="s">
        <v>6177</v>
      </c>
      <c r="K2052" s="36" t="s">
        <v>68</v>
      </c>
      <c r="L2052" t="s">
        <v>69</v>
      </c>
      <c r="M2052" s="62" t="s">
        <v>70</v>
      </c>
      <c r="N2052" t="s">
        <v>71</v>
      </c>
      <c r="O2052" t="str">
        <f>IFERROR(IF(Tbla_actores[[#This Row],[codigo_proyecto]]="","",_xlfn.XLOOKUP(Tbla_actores[[#This Row],[codigo_proyecto]],Proyectos!$A:$A,Proyectos!$C:$C)),"")</f>
        <v>NULOS</v>
      </c>
    </row>
    <row r="2053" spans="1:15">
      <c r="A2053" s="10">
        <v>1020837974</v>
      </c>
      <c r="B2053" s="64" t="s">
        <v>61</v>
      </c>
      <c r="C2053" s="62" t="s">
        <v>5575</v>
      </c>
      <c r="D2053" t="s">
        <v>63</v>
      </c>
      <c r="E2053" t="s">
        <v>6178</v>
      </c>
      <c r="F2053" s="61">
        <v>36134</v>
      </c>
      <c r="G2053" s="15" t="s">
        <v>73</v>
      </c>
      <c r="H2053" t="s">
        <v>6179</v>
      </c>
      <c r="I2053" s="62" t="s">
        <v>6180</v>
      </c>
      <c r="K2053" s="36" t="s">
        <v>495</v>
      </c>
      <c r="L2053" t="s">
        <v>69</v>
      </c>
      <c r="M2053" s="62" t="s">
        <v>70</v>
      </c>
      <c r="N2053" t="s">
        <v>71</v>
      </c>
      <c r="O2053" t="str">
        <f>IFERROR(IF(Tbla_actores[[#This Row],[codigo_proyecto]]="","",_xlfn.XLOOKUP(Tbla_actores[[#This Row],[codigo_proyecto]],Proyectos!$A:$A,Proyectos!$C:$C)),"")</f>
        <v>NULOS</v>
      </c>
    </row>
    <row r="2054" spans="1:15">
      <c r="A2054" s="9">
        <v>1019152465</v>
      </c>
      <c r="B2054" s="63" t="s">
        <v>61</v>
      </c>
      <c r="C2054" s="62" t="s">
        <v>5575</v>
      </c>
      <c r="D2054" t="s">
        <v>63</v>
      </c>
      <c r="E2054" t="s">
        <v>6181</v>
      </c>
      <c r="F2054" s="61">
        <v>36462</v>
      </c>
      <c r="G2054" s="15" t="s">
        <v>65</v>
      </c>
      <c r="H2054" t="s">
        <v>6182</v>
      </c>
      <c r="I2054" s="62" t="s">
        <v>6183</v>
      </c>
      <c r="K2054" s="36" t="s">
        <v>169</v>
      </c>
      <c r="L2054" t="s">
        <v>69</v>
      </c>
      <c r="M2054" s="62" t="s">
        <v>170</v>
      </c>
      <c r="N2054" t="s">
        <v>71</v>
      </c>
      <c r="O2054" t="str">
        <f>IFERROR(IF(Tbla_actores[[#This Row],[codigo_proyecto]]="","",_xlfn.XLOOKUP(Tbla_actores[[#This Row],[codigo_proyecto]],Proyectos!$A:$A,Proyectos!$C:$C)),"")</f>
        <v>NULOS</v>
      </c>
    </row>
    <row r="2055" spans="1:15">
      <c r="A2055" s="10">
        <v>1004924040</v>
      </c>
      <c r="B2055" s="64" t="s">
        <v>61</v>
      </c>
      <c r="C2055" s="62" t="s">
        <v>5575</v>
      </c>
      <c r="D2055" t="s">
        <v>63</v>
      </c>
      <c r="E2055" t="s">
        <v>6184</v>
      </c>
      <c r="F2055" s="61">
        <v>37326</v>
      </c>
      <c r="G2055" s="15" t="s">
        <v>65</v>
      </c>
      <c r="H2055" t="s">
        <v>6185</v>
      </c>
      <c r="I2055" s="62" t="s">
        <v>6186</v>
      </c>
      <c r="K2055" s="36" t="s">
        <v>495</v>
      </c>
      <c r="L2055" t="s">
        <v>69</v>
      </c>
      <c r="M2055" s="62" t="s">
        <v>70</v>
      </c>
      <c r="N2055" t="s">
        <v>71</v>
      </c>
      <c r="O2055" t="str">
        <f>IFERROR(IF(Tbla_actores[[#This Row],[codigo_proyecto]]="","",_xlfn.XLOOKUP(Tbla_actores[[#This Row],[codigo_proyecto]],Proyectos!$A:$A,Proyectos!$C:$C)),"")</f>
        <v>NULOS</v>
      </c>
    </row>
    <row r="2056" spans="1:15">
      <c r="A2056" s="9">
        <v>1020832118</v>
      </c>
      <c r="B2056" s="63" t="s">
        <v>61</v>
      </c>
      <c r="C2056" s="62" t="s">
        <v>5575</v>
      </c>
      <c r="D2056" t="s">
        <v>63</v>
      </c>
      <c r="E2056" t="s">
        <v>6187</v>
      </c>
      <c r="F2056" s="61">
        <v>35908</v>
      </c>
      <c r="G2056" s="15" t="s">
        <v>73</v>
      </c>
      <c r="H2056" t="s">
        <v>6188</v>
      </c>
      <c r="I2056" s="62" t="s">
        <v>6189</v>
      </c>
      <c r="K2056" s="36" t="s">
        <v>169</v>
      </c>
      <c r="L2056" t="s">
        <v>69</v>
      </c>
      <c r="M2056" s="62" t="s">
        <v>170</v>
      </c>
      <c r="N2056" t="s">
        <v>71</v>
      </c>
      <c r="O2056" t="str">
        <f>IFERROR(IF(Tbla_actores[[#This Row],[codigo_proyecto]]="","",_xlfn.XLOOKUP(Tbla_actores[[#This Row],[codigo_proyecto]],Proyectos!$A:$A,Proyectos!$C:$C)),"")</f>
        <v>NULOS</v>
      </c>
    </row>
    <row r="2057" spans="1:15">
      <c r="A2057" s="10">
        <v>1001329518</v>
      </c>
      <c r="B2057" s="64" t="s">
        <v>61</v>
      </c>
      <c r="C2057" s="62" t="s">
        <v>5575</v>
      </c>
      <c r="D2057" t="s">
        <v>63</v>
      </c>
      <c r="E2057" t="s">
        <v>6190</v>
      </c>
      <c r="F2057" s="61">
        <v>37274</v>
      </c>
      <c r="G2057" s="15" t="s">
        <v>65</v>
      </c>
      <c r="H2057" t="s">
        <v>6191</v>
      </c>
      <c r="I2057" s="62" t="s">
        <v>6192</v>
      </c>
      <c r="K2057" s="36" t="s">
        <v>169</v>
      </c>
      <c r="L2057" t="s">
        <v>69</v>
      </c>
      <c r="M2057" s="62" t="s">
        <v>170</v>
      </c>
      <c r="N2057" t="s">
        <v>71</v>
      </c>
      <c r="O2057" t="str">
        <f>IFERROR(IF(Tbla_actores[[#This Row],[codigo_proyecto]]="","",_xlfn.XLOOKUP(Tbla_actores[[#This Row],[codigo_proyecto]],Proyectos!$A:$A,Proyectos!$C:$C)),"")</f>
        <v>NULOS</v>
      </c>
    </row>
    <row r="2058" spans="1:15">
      <c r="A2058" s="9">
        <v>1000707734</v>
      </c>
      <c r="B2058" s="63" t="s">
        <v>61</v>
      </c>
      <c r="C2058" s="62" t="s">
        <v>5575</v>
      </c>
      <c r="D2058" t="s">
        <v>63</v>
      </c>
      <c r="E2058" t="s">
        <v>6193</v>
      </c>
      <c r="F2058" s="61">
        <v>37390</v>
      </c>
      <c r="G2058" s="15" t="s">
        <v>65</v>
      </c>
      <c r="H2058" t="s">
        <v>6194</v>
      </c>
      <c r="I2058" s="62" t="s">
        <v>6195</v>
      </c>
      <c r="K2058" s="36" t="s">
        <v>169</v>
      </c>
      <c r="L2058" t="s">
        <v>69</v>
      </c>
      <c r="M2058" s="62" t="s">
        <v>170</v>
      </c>
      <c r="N2058" t="s">
        <v>71</v>
      </c>
      <c r="O2058" t="str">
        <f>IFERROR(IF(Tbla_actores[[#This Row],[codigo_proyecto]]="","",_xlfn.XLOOKUP(Tbla_actores[[#This Row],[codigo_proyecto]],Proyectos!$A:$A,Proyectos!$C:$C)),"")</f>
        <v>NULOS</v>
      </c>
    </row>
    <row r="2059" spans="1:15">
      <c r="A2059" s="10">
        <v>1192792929</v>
      </c>
      <c r="B2059" s="64" t="s">
        <v>61</v>
      </c>
      <c r="C2059" s="62" t="s">
        <v>5575</v>
      </c>
      <c r="D2059" t="s">
        <v>63</v>
      </c>
      <c r="E2059" t="s">
        <v>6196</v>
      </c>
      <c r="F2059" s="61">
        <v>36679</v>
      </c>
      <c r="G2059" s="15" t="s">
        <v>65</v>
      </c>
      <c r="H2059" t="s">
        <v>6197</v>
      </c>
      <c r="I2059" s="62" t="s">
        <v>6198</v>
      </c>
      <c r="K2059" s="36" t="s">
        <v>169</v>
      </c>
      <c r="L2059" t="s">
        <v>69</v>
      </c>
      <c r="M2059" s="62" t="s">
        <v>170</v>
      </c>
      <c r="N2059" t="s">
        <v>71</v>
      </c>
      <c r="O2059" t="str">
        <f>IFERROR(IF(Tbla_actores[[#This Row],[codigo_proyecto]]="","",_xlfn.XLOOKUP(Tbla_actores[[#This Row],[codigo_proyecto]],Proyectos!$A:$A,Proyectos!$C:$C)),"")</f>
        <v>NULOS</v>
      </c>
    </row>
    <row r="2060" spans="1:15">
      <c r="A2060" s="9">
        <v>1018506474</v>
      </c>
      <c r="B2060" s="63" t="s">
        <v>61</v>
      </c>
      <c r="C2060" s="62" t="s">
        <v>5575</v>
      </c>
      <c r="D2060" t="s">
        <v>63</v>
      </c>
      <c r="E2060" t="s">
        <v>6199</v>
      </c>
      <c r="F2060" s="61">
        <v>36090</v>
      </c>
      <c r="G2060" s="15" t="s">
        <v>73</v>
      </c>
      <c r="H2060" t="s">
        <v>6200</v>
      </c>
      <c r="I2060" s="62" t="s">
        <v>6201</v>
      </c>
      <c r="K2060" s="36" t="s">
        <v>68</v>
      </c>
      <c r="L2060" t="s">
        <v>69</v>
      </c>
      <c r="M2060" s="62" t="s">
        <v>70</v>
      </c>
      <c r="N2060" t="s">
        <v>71</v>
      </c>
      <c r="O2060" t="str">
        <f>IFERROR(IF(Tbla_actores[[#This Row],[codigo_proyecto]]="","",_xlfn.XLOOKUP(Tbla_actores[[#This Row],[codigo_proyecto]],Proyectos!$A:$A,Proyectos!$C:$C)),"")</f>
        <v>NULOS</v>
      </c>
    </row>
    <row r="2061" spans="1:15">
      <c r="A2061" s="10">
        <v>1000588833</v>
      </c>
      <c r="B2061" s="64" t="s">
        <v>61</v>
      </c>
      <c r="C2061" s="62" t="s">
        <v>5575</v>
      </c>
      <c r="D2061" t="s">
        <v>63</v>
      </c>
      <c r="E2061" t="s">
        <v>6202</v>
      </c>
      <c r="F2061" s="61">
        <v>36712</v>
      </c>
      <c r="G2061" s="15" t="s">
        <v>73</v>
      </c>
      <c r="H2061" t="s">
        <v>6203</v>
      </c>
      <c r="I2061" s="62" t="s">
        <v>6204</v>
      </c>
      <c r="K2061" s="36" t="s">
        <v>169</v>
      </c>
      <c r="L2061" t="s">
        <v>69</v>
      </c>
      <c r="M2061" s="62" t="s">
        <v>170</v>
      </c>
      <c r="N2061" t="s">
        <v>71</v>
      </c>
      <c r="O2061" t="str">
        <f>IFERROR(IF(Tbla_actores[[#This Row],[codigo_proyecto]]="","",_xlfn.XLOOKUP(Tbla_actores[[#This Row],[codigo_proyecto]],Proyectos!$A:$A,Proyectos!$C:$C)),"")</f>
        <v>NULOS</v>
      </c>
    </row>
    <row r="2062" spans="1:15">
      <c r="A2062" s="9">
        <v>1000699016</v>
      </c>
      <c r="B2062" s="63" t="s">
        <v>61</v>
      </c>
      <c r="C2062" s="62" t="s">
        <v>5575</v>
      </c>
      <c r="D2062" t="s">
        <v>63</v>
      </c>
      <c r="E2062" t="s">
        <v>6205</v>
      </c>
      <c r="F2062" s="61">
        <v>37618</v>
      </c>
      <c r="G2062" s="15" t="s">
        <v>73</v>
      </c>
      <c r="H2062" t="s">
        <v>6206</v>
      </c>
      <c r="I2062" s="62" t="s">
        <v>6207</v>
      </c>
      <c r="K2062" s="36" t="s">
        <v>169</v>
      </c>
      <c r="L2062" t="s">
        <v>69</v>
      </c>
      <c r="M2062" s="62" t="s">
        <v>170</v>
      </c>
      <c r="N2062" t="s">
        <v>71</v>
      </c>
      <c r="O2062" t="str">
        <f>IFERROR(IF(Tbla_actores[[#This Row],[codigo_proyecto]]="","",_xlfn.XLOOKUP(Tbla_actores[[#This Row],[codigo_proyecto]],Proyectos!$A:$A,Proyectos!$C:$C)),"")</f>
        <v>NULOS</v>
      </c>
    </row>
    <row r="2063" spans="1:15">
      <c r="A2063" s="10">
        <v>1023981419</v>
      </c>
      <c r="B2063" s="64" t="s">
        <v>61</v>
      </c>
      <c r="C2063" s="62" t="s">
        <v>5575</v>
      </c>
      <c r="D2063" t="s">
        <v>63</v>
      </c>
      <c r="E2063" t="s">
        <v>6208</v>
      </c>
      <c r="F2063" s="61">
        <v>36501</v>
      </c>
      <c r="G2063" s="15" t="s">
        <v>65</v>
      </c>
      <c r="H2063" t="s">
        <v>6209</v>
      </c>
      <c r="I2063" s="62" t="s">
        <v>6210</v>
      </c>
      <c r="K2063" s="36" t="s">
        <v>169</v>
      </c>
      <c r="L2063" t="s">
        <v>69</v>
      </c>
      <c r="M2063" s="62" t="s">
        <v>170</v>
      </c>
      <c r="N2063" t="s">
        <v>71</v>
      </c>
      <c r="O2063" t="str">
        <f>IFERROR(IF(Tbla_actores[[#This Row],[codigo_proyecto]]="","",_xlfn.XLOOKUP(Tbla_actores[[#This Row],[codigo_proyecto]],Proyectos!$A:$A,Proyectos!$C:$C)),"")</f>
        <v>NULOS</v>
      </c>
    </row>
    <row r="2064" spans="1:15">
      <c r="A2064" s="9">
        <v>1000706285</v>
      </c>
      <c r="B2064" s="63" t="s">
        <v>61</v>
      </c>
      <c r="C2064" s="62" t="s">
        <v>5575</v>
      </c>
      <c r="D2064" t="s">
        <v>63</v>
      </c>
      <c r="E2064" t="s">
        <v>6211</v>
      </c>
      <c r="F2064" s="61">
        <v>36615</v>
      </c>
      <c r="G2064" s="15" t="s">
        <v>73</v>
      </c>
      <c r="H2064" t="s">
        <v>6212</v>
      </c>
      <c r="I2064" s="62" t="s">
        <v>6213</v>
      </c>
      <c r="K2064" s="36" t="s">
        <v>169</v>
      </c>
      <c r="L2064" t="s">
        <v>69</v>
      </c>
      <c r="M2064" s="62" t="s">
        <v>170</v>
      </c>
      <c r="N2064" t="s">
        <v>71</v>
      </c>
      <c r="O2064" t="str">
        <f>IFERROR(IF(Tbla_actores[[#This Row],[codigo_proyecto]]="","",_xlfn.XLOOKUP(Tbla_actores[[#This Row],[codigo_proyecto]],Proyectos!$A:$A,Proyectos!$C:$C)),"")</f>
        <v>NULOS</v>
      </c>
    </row>
    <row r="2065" spans="1:15">
      <c r="A2065" s="10">
        <v>368353</v>
      </c>
      <c r="B2065" s="64" t="s">
        <v>61</v>
      </c>
      <c r="C2065" s="62" t="s">
        <v>5575</v>
      </c>
      <c r="D2065" t="s">
        <v>63</v>
      </c>
      <c r="E2065" t="s">
        <v>6214</v>
      </c>
      <c r="F2065" s="61" t="s">
        <v>1433</v>
      </c>
      <c r="G2065" s="15" t="s">
        <v>1433</v>
      </c>
      <c r="H2065" t="s">
        <v>1433</v>
      </c>
      <c r="I2065" s="62" t="s">
        <v>1433</v>
      </c>
      <c r="K2065" s="36" t="s">
        <v>68</v>
      </c>
      <c r="L2065" t="s">
        <v>69</v>
      </c>
      <c r="M2065" s="62" t="s">
        <v>2558</v>
      </c>
      <c r="N2065" t="s">
        <v>71</v>
      </c>
      <c r="O2065" t="str">
        <f>IFERROR(IF(Tbla_actores[[#This Row],[codigo_proyecto]]="","",_xlfn.XLOOKUP(Tbla_actores[[#This Row],[codigo_proyecto]],Proyectos!$A:$A,Proyectos!$C:$C)),"")</f>
        <v>NULOS</v>
      </c>
    </row>
    <row r="2066" spans="1:15">
      <c r="A2066" s="9">
        <v>1018514875</v>
      </c>
      <c r="B2066" s="63" t="s">
        <v>61</v>
      </c>
      <c r="C2066" s="62" t="s">
        <v>5575</v>
      </c>
      <c r="D2066" t="s">
        <v>63</v>
      </c>
      <c r="E2066" t="s">
        <v>6215</v>
      </c>
      <c r="F2066" s="61">
        <v>36512</v>
      </c>
      <c r="G2066" s="15" t="s">
        <v>65</v>
      </c>
      <c r="H2066" t="s">
        <v>6216</v>
      </c>
      <c r="I2066" s="62" t="s">
        <v>6217</v>
      </c>
      <c r="K2066" s="36" t="s">
        <v>1489</v>
      </c>
      <c r="L2066" t="s">
        <v>69</v>
      </c>
      <c r="M2066" s="62" t="s">
        <v>70</v>
      </c>
      <c r="N2066" t="s">
        <v>71</v>
      </c>
      <c r="O2066" t="str">
        <f>IFERROR(IF(Tbla_actores[[#This Row],[codigo_proyecto]]="","",_xlfn.XLOOKUP(Tbla_actores[[#This Row],[codigo_proyecto]],Proyectos!$A:$A,Proyectos!$C:$C)),"")</f>
        <v>NULOS</v>
      </c>
    </row>
    <row r="2067" spans="1:15">
      <c r="A2067" s="10">
        <v>1007227858</v>
      </c>
      <c r="B2067" s="64" t="s">
        <v>61</v>
      </c>
      <c r="C2067" s="62" t="s">
        <v>5575</v>
      </c>
      <c r="D2067" t="s">
        <v>63</v>
      </c>
      <c r="E2067" t="s">
        <v>6218</v>
      </c>
      <c r="F2067" s="61">
        <v>36875</v>
      </c>
      <c r="G2067" s="15" t="s">
        <v>65</v>
      </c>
      <c r="H2067" t="s">
        <v>6219</v>
      </c>
      <c r="I2067" s="62" t="s">
        <v>6220</v>
      </c>
      <c r="K2067" s="36" t="s">
        <v>1489</v>
      </c>
      <c r="L2067" t="s">
        <v>69</v>
      </c>
      <c r="M2067" s="62" t="s">
        <v>70</v>
      </c>
      <c r="N2067" t="s">
        <v>71</v>
      </c>
      <c r="O2067" t="str">
        <f>IFERROR(IF(Tbla_actores[[#This Row],[codigo_proyecto]]="","",_xlfn.XLOOKUP(Tbla_actores[[#This Row],[codigo_proyecto]],Proyectos!$A:$A,Proyectos!$C:$C)),"")</f>
        <v>NULOS</v>
      </c>
    </row>
    <row r="2068" spans="1:15">
      <c r="A2068" s="9">
        <v>1020825894</v>
      </c>
      <c r="B2068" s="63" t="s">
        <v>61</v>
      </c>
      <c r="C2068" s="62" t="s">
        <v>5575</v>
      </c>
      <c r="D2068" t="s">
        <v>63</v>
      </c>
      <c r="E2068" t="s">
        <v>6221</v>
      </c>
      <c r="F2068" s="61">
        <v>35578</v>
      </c>
      <c r="G2068" s="15" t="s">
        <v>73</v>
      </c>
      <c r="H2068" t="s">
        <v>6222</v>
      </c>
      <c r="I2068" s="62" t="s">
        <v>6223</v>
      </c>
      <c r="K2068" s="36" t="s">
        <v>169</v>
      </c>
      <c r="L2068" t="s">
        <v>69</v>
      </c>
      <c r="M2068" s="62" t="s">
        <v>170</v>
      </c>
      <c r="N2068" t="s">
        <v>71</v>
      </c>
      <c r="O2068" t="str">
        <f>IFERROR(IF(Tbla_actores[[#This Row],[codigo_proyecto]]="","",_xlfn.XLOOKUP(Tbla_actores[[#This Row],[codigo_proyecto]],Proyectos!$A:$A,Proyectos!$C:$C)),"")</f>
        <v>NULOS</v>
      </c>
    </row>
    <row r="2069" spans="1:15">
      <c r="A2069" s="10">
        <v>1072674276</v>
      </c>
      <c r="B2069" s="64" t="s">
        <v>61</v>
      </c>
      <c r="C2069" s="62" t="s">
        <v>5575</v>
      </c>
      <c r="D2069" t="s">
        <v>63</v>
      </c>
      <c r="E2069" t="s">
        <v>6224</v>
      </c>
      <c r="F2069" s="61">
        <v>36432</v>
      </c>
      <c r="G2069" s="15" t="s">
        <v>73</v>
      </c>
      <c r="H2069" t="s">
        <v>6225</v>
      </c>
      <c r="I2069" s="62" t="s">
        <v>6226</v>
      </c>
      <c r="K2069" s="36" t="s">
        <v>1489</v>
      </c>
      <c r="L2069" t="s">
        <v>69</v>
      </c>
      <c r="M2069" s="62" t="s">
        <v>70</v>
      </c>
      <c r="N2069" t="s">
        <v>71</v>
      </c>
      <c r="O2069" t="str">
        <f>IFERROR(IF(Tbla_actores[[#This Row],[codigo_proyecto]]="","",_xlfn.XLOOKUP(Tbla_actores[[#This Row],[codigo_proyecto]],Proyectos!$A:$A,Proyectos!$C:$C)),"")</f>
        <v>NULOS</v>
      </c>
    </row>
    <row r="2070" spans="1:15">
      <c r="A2070" s="9">
        <v>1136889376</v>
      </c>
      <c r="B2070" s="63" t="s">
        <v>61</v>
      </c>
      <c r="C2070" s="62" t="s">
        <v>5575</v>
      </c>
      <c r="D2070" t="s">
        <v>63</v>
      </c>
      <c r="E2070" t="s">
        <v>6227</v>
      </c>
      <c r="F2070" s="61">
        <v>36134</v>
      </c>
      <c r="G2070" s="15" t="s">
        <v>73</v>
      </c>
      <c r="H2070" t="s">
        <v>6228</v>
      </c>
      <c r="I2070" s="62" t="s">
        <v>6229</v>
      </c>
      <c r="K2070" s="36" t="s">
        <v>169</v>
      </c>
      <c r="L2070" t="s">
        <v>69</v>
      </c>
      <c r="M2070" s="62" t="s">
        <v>170</v>
      </c>
      <c r="N2070" t="s">
        <v>71</v>
      </c>
      <c r="O2070" t="str">
        <f>IFERROR(IF(Tbla_actores[[#This Row],[codigo_proyecto]]="","",_xlfn.XLOOKUP(Tbla_actores[[#This Row],[codigo_proyecto]],Proyectos!$A:$A,Proyectos!$C:$C)),"")</f>
        <v>NULOS</v>
      </c>
    </row>
    <row r="2071" spans="1:15">
      <c r="A2071" s="10">
        <v>1010058363</v>
      </c>
      <c r="B2071" s="64" t="s">
        <v>61</v>
      </c>
      <c r="C2071" s="62" t="s">
        <v>5575</v>
      </c>
      <c r="D2071" t="s">
        <v>63</v>
      </c>
      <c r="E2071" t="s">
        <v>6230</v>
      </c>
      <c r="F2071" s="61">
        <v>36561</v>
      </c>
      <c r="G2071" s="15" t="s">
        <v>65</v>
      </c>
      <c r="H2071" t="s">
        <v>6231</v>
      </c>
      <c r="I2071" s="62" t="s">
        <v>6232</v>
      </c>
      <c r="K2071" s="36" t="s">
        <v>169</v>
      </c>
      <c r="L2071" t="s">
        <v>69</v>
      </c>
      <c r="M2071" s="62" t="s">
        <v>170</v>
      </c>
      <c r="N2071" t="s">
        <v>71</v>
      </c>
      <c r="O2071" t="str">
        <f>IFERROR(IF(Tbla_actores[[#This Row],[codigo_proyecto]]="","",_xlfn.XLOOKUP(Tbla_actores[[#This Row],[codigo_proyecto]],Proyectos!$A:$A,Proyectos!$C:$C)),"")</f>
        <v>NULOS</v>
      </c>
    </row>
    <row r="2072" spans="1:15">
      <c r="A2072" s="9">
        <v>1003882303</v>
      </c>
      <c r="B2072" s="63" t="s">
        <v>61</v>
      </c>
      <c r="C2072" s="62" t="s">
        <v>5575</v>
      </c>
      <c r="D2072" t="s">
        <v>63</v>
      </c>
      <c r="E2072" t="s">
        <v>6233</v>
      </c>
      <c r="F2072" s="61">
        <v>37643</v>
      </c>
      <c r="G2072" s="15" t="s">
        <v>65</v>
      </c>
      <c r="H2072" t="s">
        <v>6234</v>
      </c>
      <c r="I2072" s="62" t="s">
        <v>6235</v>
      </c>
      <c r="K2072" s="36" t="s">
        <v>169</v>
      </c>
      <c r="L2072" t="s">
        <v>69</v>
      </c>
      <c r="M2072" s="62" t="s">
        <v>170</v>
      </c>
      <c r="N2072" t="s">
        <v>71</v>
      </c>
      <c r="O2072" t="str">
        <f>IFERROR(IF(Tbla_actores[[#This Row],[codigo_proyecto]]="","",_xlfn.XLOOKUP(Tbla_actores[[#This Row],[codigo_proyecto]],Proyectos!$A:$A,Proyectos!$C:$C)),"")</f>
        <v>NULOS</v>
      </c>
    </row>
    <row r="2073" spans="1:15">
      <c r="A2073" s="10">
        <v>1022447524</v>
      </c>
      <c r="B2073" s="64" t="s">
        <v>61</v>
      </c>
      <c r="C2073" s="62" t="s">
        <v>5575</v>
      </c>
      <c r="D2073" t="s">
        <v>63</v>
      </c>
      <c r="E2073" t="s">
        <v>6236</v>
      </c>
      <c r="F2073" s="61">
        <v>36539</v>
      </c>
      <c r="G2073" s="15" t="s">
        <v>73</v>
      </c>
      <c r="H2073" t="s">
        <v>6237</v>
      </c>
      <c r="I2073" s="62" t="s">
        <v>6238</v>
      </c>
      <c r="K2073" s="36" t="s">
        <v>169</v>
      </c>
      <c r="L2073" t="s">
        <v>69</v>
      </c>
      <c r="M2073" s="62" t="s">
        <v>170</v>
      </c>
      <c r="N2073" t="s">
        <v>71</v>
      </c>
      <c r="O2073" t="str">
        <f>IFERROR(IF(Tbla_actores[[#This Row],[codigo_proyecto]]="","",_xlfn.XLOOKUP(Tbla_actores[[#This Row],[codigo_proyecto]],Proyectos!$A:$A,Proyectos!$C:$C)),"")</f>
        <v>NULOS</v>
      </c>
    </row>
    <row r="2074" spans="1:15">
      <c r="A2074" s="9">
        <v>1018508190</v>
      </c>
      <c r="B2074" s="63" t="s">
        <v>61</v>
      </c>
      <c r="C2074" s="62" t="s">
        <v>5575</v>
      </c>
      <c r="D2074" t="s">
        <v>63</v>
      </c>
      <c r="E2074" t="s">
        <v>6239</v>
      </c>
      <c r="F2074" s="61">
        <v>36156</v>
      </c>
      <c r="G2074" s="15" t="s">
        <v>65</v>
      </c>
      <c r="H2074" t="s">
        <v>6240</v>
      </c>
      <c r="I2074" s="62" t="s">
        <v>6241</v>
      </c>
      <c r="K2074" s="36" t="s">
        <v>169</v>
      </c>
      <c r="L2074" t="s">
        <v>69</v>
      </c>
      <c r="M2074" s="62" t="s">
        <v>170</v>
      </c>
      <c r="N2074" t="s">
        <v>71</v>
      </c>
      <c r="O2074" t="str">
        <f>IFERROR(IF(Tbla_actores[[#This Row],[codigo_proyecto]]="","",_xlfn.XLOOKUP(Tbla_actores[[#This Row],[codigo_proyecto]],Proyectos!$A:$A,Proyectos!$C:$C)),"")</f>
        <v>NULOS</v>
      </c>
    </row>
    <row r="2075" spans="1:15">
      <c r="A2075" s="10">
        <v>1000991514</v>
      </c>
      <c r="B2075" s="64" t="s">
        <v>61</v>
      </c>
      <c r="C2075" s="62" t="s">
        <v>5575</v>
      </c>
      <c r="D2075" t="s">
        <v>63</v>
      </c>
      <c r="E2075" t="s">
        <v>6242</v>
      </c>
      <c r="F2075" s="61">
        <v>37308</v>
      </c>
      <c r="G2075" s="15" t="s">
        <v>73</v>
      </c>
      <c r="H2075" t="s">
        <v>6243</v>
      </c>
      <c r="I2075" s="62" t="s">
        <v>6244</v>
      </c>
      <c r="K2075" s="36" t="s">
        <v>68</v>
      </c>
      <c r="L2075" t="s">
        <v>69</v>
      </c>
      <c r="M2075" s="62" t="s">
        <v>70</v>
      </c>
      <c r="N2075" t="s">
        <v>71</v>
      </c>
      <c r="O2075" t="str">
        <f>IFERROR(IF(Tbla_actores[[#This Row],[codigo_proyecto]]="","",_xlfn.XLOOKUP(Tbla_actores[[#This Row],[codigo_proyecto]],Proyectos!$A:$A,Proyectos!$C:$C)),"")</f>
        <v>NULOS</v>
      </c>
    </row>
    <row r="2076" spans="1:15">
      <c r="A2076" s="9">
        <v>1004134975</v>
      </c>
      <c r="B2076" s="63" t="s">
        <v>61</v>
      </c>
      <c r="C2076" s="62" t="s">
        <v>5575</v>
      </c>
      <c r="D2076" t="s">
        <v>63</v>
      </c>
      <c r="E2076" t="s">
        <v>6245</v>
      </c>
      <c r="F2076" s="61">
        <v>37474</v>
      </c>
      <c r="G2076" s="15" t="s">
        <v>73</v>
      </c>
      <c r="H2076" t="s">
        <v>6246</v>
      </c>
      <c r="I2076" s="62" t="s">
        <v>6247</v>
      </c>
      <c r="K2076" s="36" t="s">
        <v>169</v>
      </c>
      <c r="L2076" t="s">
        <v>69</v>
      </c>
      <c r="M2076" s="62" t="s">
        <v>170</v>
      </c>
      <c r="N2076" t="s">
        <v>71</v>
      </c>
      <c r="O2076" t="str">
        <f>IFERROR(IF(Tbla_actores[[#This Row],[codigo_proyecto]]="","",_xlfn.XLOOKUP(Tbla_actores[[#This Row],[codigo_proyecto]],Proyectos!$A:$A,Proyectos!$C:$C)),"")</f>
        <v>NULOS</v>
      </c>
    </row>
    <row r="2077" spans="1:15">
      <c r="A2077" s="10">
        <v>1000794974</v>
      </c>
      <c r="B2077" s="64" t="s">
        <v>61</v>
      </c>
      <c r="C2077" s="62" t="s">
        <v>5575</v>
      </c>
      <c r="D2077" t="s">
        <v>63</v>
      </c>
      <c r="E2077" t="s">
        <v>6248</v>
      </c>
      <c r="F2077" s="61">
        <v>37631</v>
      </c>
      <c r="G2077" s="15" t="s">
        <v>65</v>
      </c>
      <c r="H2077" t="s">
        <v>6249</v>
      </c>
      <c r="I2077" s="62" t="s">
        <v>6250</v>
      </c>
      <c r="K2077" s="36" t="s">
        <v>169</v>
      </c>
      <c r="L2077" t="s">
        <v>69</v>
      </c>
      <c r="M2077" s="62" t="s">
        <v>170</v>
      </c>
      <c r="N2077" t="s">
        <v>71</v>
      </c>
      <c r="O2077" t="str">
        <f>IFERROR(IF(Tbla_actores[[#This Row],[codigo_proyecto]]="","",_xlfn.XLOOKUP(Tbla_actores[[#This Row],[codigo_proyecto]],Proyectos!$A:$A,Proyectos!$C:$C)),"")</f>
        <v>NULOS</v>
      </c>
    </row>
    <row r="2078" spans="1:15">
      <c r="A2078" s="9">
        <v>1000183319</v>
      </c>
      <c r="B2078" s="63" t="s">
        <v>61</v>
      </c>
      <c r="C2078" s="62" t="s">
        <v>5575</v>
      </c>
      <c r="D2078" t="s">
        <v>63</v>
      </c>
      <c r="E2078" t="s">
        <v>6251</v>
      </c>
      <c r="F2078" s="61">
        <v>37480</v>
      </c>
      <c r="G2078" s="15" t="s">
        <v>73</v>
      </c>
      <c r="H2078" t="s">
        <v>6252</v>
      </c>
      <c r="I2078" s="62" t="s">
        <v>6253</v>
      </c>
      <c r="K2078" s="36" t="s">
        <v>169</v>
      </c>
      <c r="L2078" t="s">
        <v>69</v>
      </c>
      <c r="M2078" s="62" t="s">
        <v>170</v>
      </c>
      <c r="N2078" t="s">
        <v>71</v>
      </c>
      <c r="O2078" t="str">
        <f>IFERROR(IF(Tbla_actores[[#This Row],[codigo_proyecto]]="","",_xlfn.XLOOKUP(Tbla_actores[[#This Row],[codigo_proyecto]],Proyectos!$A:$A,Proyectos!$C:$C)),"")</f>
        <v>NULOS</v>
      </c>
    </row>
    <row r="2079" spans="1:15">
      <c r="A2079" s="10">
        <v>1002479840</v>
      </c>
      <c r="B2079" s="64" t="s">
        <v>61</v>
      </c>
      <c r="C2079" s="62" t="s">
        <v>5575</v>
      </c>
      <c r="D2079" t="s">
        <v>63</v>
      </c>
      <c r="E2079" t="s">
        <v>6254</v>
      </c>
      <c r="F2079" s="61">
        <v>37335</v>
      </c>
      <c r="G2079" s="15" t="s">
        <v>73</v>
      </c>
      <c r="H2079" t="s">
        <v>6255</v>
      </c>
      <c r="I2079" s="62" t="s">
        <v>6256</v>
      </c>
      <c r="K2079" s="36" t="s">
        <v>495</v>
      </c>
      <c r="L2079" t="s">
        <v>69</v>
      </c>
      <c r="M2079" s="62" t="s">
        <v>70</v>
      </c>
      <c r="N2079" t="s">
        <v>71</v>
      </c>
      <c r="O2079" t="str">
        <f>IFERROR(IF(Tbla_actores[[#This Row],[codigo_proyecto]]="","",_xlfn.XLOOKUP(Tbla_actores[[#This Row],[codigo_proyecto]],Proyectos!$A:$A,Proyectos!$C:$C)),"")</f>
        <v>NULOS</v>
      </c>
    </row>
    <row r="2080" spans="1:15">
      <c r="A2080" s="9">
        <v>1010030806</v>
      </c>
      <c r="B2080" s="63" t="s">
        <v>61</v>
      </c>
      <c r="C2080" s="62" t="s">
        <v>5575</v>
      </c>
      <c r="D2080" t="s">
        <v>63</v>
      </c>
      <c r="E2080" t="s">
        <v>6257</v>
      </c>
      <c r="F2080" s="61">
        <v>36827</v>
      </c>
      <c r="G2080" s="15" t="s">
        <v>65</v>
      </c>
      <c r="H2080" t="s">
        <v>6258</v>
      </c>
      <c r="I2080" s="62" t="s">
        <v>6259</v>
      </c>
      <c r="K2080" s="36" t="s">
        <v>495</v>
      </c>
      <c r="L2080" t="s">
        <v>69</v>
      </c>
      <c r="M2080" s="62" t="s">
        <v>70</v>
      </c>
      <c r="N2080" t="s">
        <v>71</v>
      </c>
      <c r="O2080" t="str">
        <f>IFERROR(IF(Tbla_actores[[#This Row],[codigo_proyecto]]="","",_xlfn.XLOOKUP(Tbla_actores[[#This Row],[codigo_proyecto]],Proyectos!$A:$A,Proyectos!$C:$C)),"")</f>
        <v>NULOS</v>
      </c>
    </row>
    <row r="2081" spans="1:15">
      <c r="A2081" s="10">
        <v>1001327088</v>
      </c>
      <c r="B2081" s="64" t="s">
        <v>61</v>
      </c>
      <c r="C2081" s="62" t="s">
        <v>5575</v>
      </c>
      <c r="D2081" t="s">
        <v>63</v>
      </c>
      <c r="E2081" t="s">
        <v>6260</v>
      </c>
      <c r="F2081" s="61">
        <v>37691</v>
      </c>
      <c r="G2081" s="15" t="s">
        <v>65</v>
      </c>
      <c r="H2081" t="s">
        <v>6261</v>
      </c>
      <c r="I2081" s="62" t="s">
        <v>6262</v>
      </c>
      <c r="K2081" s="36" t="s">
        <v>495</v>
      </c>
      <c r="L2081" t="s">
        <v>69</v>
      </c>
      <c r="M2081" s="62" t="s">
        <v>70</v>
      </c>
      <c r="N2081" t="s">
        <v>71</v>
      </c>
      <c r="O2081" t="str">
        <f>IFERROR(IF(Tbla_actores[[#This Row],[codigo_proyecto]]="","",_xlfn.XLOOKUP(Tbla_actores[[#This Row],[codigo_proyecto]],Proyectos!$A:$A,Proyectos!$C:$C)),"")</f>
        <v>NULOS</v>
      </c>
    </row>
    <row r="2082" spans="1:15">
      <c r="A2082" s="9">
        <v>1006119179</v>
      </c>
      <c r="B2082" s="63" t="s">
        <v>61</v>
      </c>
      <c r="C2082" s="62" t="s">
        <v>5575</v>
      </c>
      <c r="D2082" t="s">
        <v>63</v>
      </c>
      <c r="E2082" t="s">
        <v>6263</v>
      </c>
      <c r="F2082" s="61">
        <v>37095</v>
      </c>
      <c r="G2082" s="15" t="s">
        <v>73</v>
      </c>
      <c r="H2082" t="s">
        <v>6264</v>
      </c>
      <c r="I2082" s="62" t="s">
        <v>6265</v>
      </c>
      <c r="K2082" s="36" t="s">
        <v>495</v>
      </c>
      <c r="L2082" t="s">
        <v>69</v>
      </c>
      <c r="M2082" s="62" t="s">
        <v>70</v>
      </c>
      <c r="N2082" t="s">
        <v>71</v>
      </c>
      <c r="O2082" t="str">
        <f>IFERROR(IF(Tbla_actores[[#This Row],[codigo_proyecto]]="","",_xlfn.XLOOKUP(Tbla_actores[[#This Row],[codigo_proyecto]],Proyectos!$A:$A,Proyectos!$C:$C)),"")</f>
        <v>NULOS</v>
      </c>
    </row>
    <row r="2083" spans="1:15">
      <c r="A2083" s="10">
        <v>1007786918</v>
      </c>
      <c r="B2083" s="64" t="s">
        <v>61</v>
      </c>
      <c r="C2083" s="62" t="s">
        <v>5575</v>
      </c>
      <c r="D2083" t="s">
        <v>63</v>
      </c>
      <c r="E2083" t="s">
        <v>6266</v>
      </c>
      <c r="F2083" s="61">
        <v>36550</v>
      </c>
      <c r="G2083" s="15" t="s">
        <v>65</v>
      </c>
      <c r="H2083" t="s">
        <v>6267</v>
      </c>
      <c r="I2083" s="62" t="s">
        <v>6268</v>
      </c>
      <c r="K2083" s="36" t="s">
        <v>169</v>
      </c>
      <c r="L2083" t="s">
        <v>69</v>
      </c>
      <c r="M2083" s="62" t="s">
        <v>170</v>
      </c>
      <c r="N2083" t="s">
        <v>71</v>
      </c>
      <c r="O2083" t="str">
        <f>IFERROR(IF(Tbla_actores[[#This Row],[codigo_proyecto]]="","",_xlfn.XLOOKUP(Tbla_actores[[#This Row],[codigo_proyecto]],Proyectos!$A:$A,Proyectos!$C:$C)),"")</f>
        <v>NULOS</v>
      </c>
    </row>
    <row r="2084" spans="1:15">
      <c r="A2084" s="9">
        <v>1001297230</v>
      </c>
      <c r="B2084" s="63" t="s">
        <v>61</v>
      </c>
      <c r="C2084" s="62" t="s">
        <v>5575</v>
      </c>
      <c r="D2084" t="s">
        <v>63</v>
      </c>
      <c r="E2084" t="s">
        <v>6269</v>
      </c>
      <c r="F2084" s="61">
        <v>37291</v>
      </c>
      <c r="G2084" s="15" t="s">
        <v>73</v>
      </c>
      <c r="H2084" t="s">
        <v>6270</v>
      </c>
      <c r="I2084" s="62" t="s">
        <v>6271</v>
      </c>
      <c r="K2084" s="36" t="s">
        <v>68</v>
      </c>
      <c r="L2084" t="s">
        <v>69</v>
      </c>
      <c r="M2084" s="62" t="s">
        <v>70</v>
      </c>
      <c r="N2084" t="s">
        <v>71</v>
      </c>
      <c r="O2084" t="str">
        <f>IFERROR(IF(Tbla_actores[[#This Row],[codigo_proyecto]]="","",_xlfn.XLOOKUP(Tbla_actores[[#This Row],[codigo_proyecto]],Proyectos!$A:$A,Proyectos!$C:$C)),"")</f>
        <v>NULOS</v>
      </c>
    </row>
    <row r="2085" spans="1:15">
      <c r="A2085" s="10">
        <v>1010070869</v>
      </c>
      <c r="B2085" s="64" t="s">
        <v>61</v>
      </c>
      <c r="C2085" s="62" t="s">
        <v>5575</v>
      </c>
      <c r="D2085" t="s">
        <v>63</v>
      </c>
      <c r="E2085" t="s">
        <v>6272</v>
      </c>
      <c r="F2085" s="61">
        <v>36784</v>
      </c>
      <c r="G2085" s="15" t="s">
        <v>73</v>
      </c>
      <c r="H2085" t="s">
        <v>6273</v>
      </c>
      <c r="I2085" s="62" t="s">
        <v>6274</v>
      </c>
      <c r="K2085" s="36" t="s">
        <v>68</v>
      </c>
      <c r="L2085" t="s">
        <v>69</v>
      </c>
      <c r="M2085" s="62" t="s">
        <v>70</v>
      </c>
      <c r="N2085" t="s">
        <v>71</v>
      </c>
      <c r="O2085" t="str">
        <f>IFERROR(IF(Tbla_actores[[#This Row],[codigo_proyecto]]="","",_xlfn.XLOOKUP(Tbla_actores[[#This Row],[codigo_proyecto]],Proyectos!$A:$A,Proyectos!$C:$C)),"")</f>
        <v>NULOS</v>
      </c>
    </row>
    <row r="2086" spans="1:15">
      <c r="A2086" s="9">
        <v>1026301683</v>
      </c>
      <c r="B2086" s="63" t="s">
        <v>61</v>
      </c>
      <c r="C2086" s="62" t="s">
        <v>5575</v>
      </c>
      <c r="D2086" t="s">
        <v>63</v>
      </c>
      <c r="E2086" t="s">
        <v>6275</v>
      </c>
      <c r="F2086" s="61">
        <v>35800</v>
      </c>
      <c r="G2086" s="15" t="s">
        <v>73</v>
      </c>
      <c r="H2086" t="s">
        <v>6276</v>
      </c>
      <c r="I2086" s="62" t="s">
        <v>6277</v>
      </c>
      <c r="K2086" s="36" t="s">
        <v>68</v>
      </c>
      <c r="L2086" t="s">
        <v>69</v>
      </c>
      <c r="M2086" s="62" t="s">
        <v>70</v>
      </c>
      <c r="N2086" t="s">
        <v>71</v>
      </c>
      <c r="O2086" t="str">
        <f>IFERROR(IF(Tbla_actores[[#This Row],[codigo_proyecto]]="","",_xlfn.XLOOKUP(Tbla_actores[[#This Row],[codigo_proyecto]],Proyectos!$A:$A,Proyectos!$C:$C)),"")</f>
        <v>NULOS</v>
      </c>
    </row>
    <row r="2087" spans="1:15">
      <c r="A2087" s="10">
        <v>1032936517</v>
      </c>
      <c r="B2087" s="64" t="s">
        <v>61</v>
      </c>
      <c r="C2087" s="62" t="s">
        <v>5575</v>
      </c>
      <c r="D2087" t="s">
        <v>63</v>
      </c>
      <c r="E2087" t="s">
        <v>6278</v>
      </c>
      <c r="F2087" s="61">
        <v>38054</v>
      </c>
      <c r="G2087" s="15" t="s">
        <v>65</v>
      </c>
      <c r="H2087" t="s">
        <v>6279</v>
      </c>
      <c r="I2087" s="62" t="s">
        <v>6280</v>
      </c>
      <c r="K2087" s="36" t="s">
        <v>169</v>
      </c>
      <c r="L2087" t="s">
        <v>69</v>
      </c>
      <c r="M2087" s="62" t="s">
        <v>170</v>
      </c>
      <c r="N2087" t="s">
        <v>71</v>
      </c>
      <c r="O2087" t="str">
        <f>IFERROR(IF(Tbla_actores[[#This Row],[codigo_proyecto]]="","",_xlfn.XLOOKUP(Tbla_actores[[#This Row],[codigo_proyecto]],Proyectos!$A:$A,Proyectos!$C:$C)),"")</f>
        <v>NULOS</v>
      </c>
    </row>
    <row r="2088" spans="1:15">
      <c r="A2088" s="9">
        <v>1007530060</v>
      </c>
      <c r="B2088" s="63" t="s">
        <v>61</v>
      </c>
      <c r="C2088" s="62" t="s">
        <v>5575</v>
      </c>
      <c r="D2088" t="s">
        <v>63</v>
      </c>
      <c r="E2088" t="s">
        <v>6281</v>
      </c>
      <c r="F2088" s="61">
        <v>37397</v>
      </c>
      <c r="G2088" s="15" t="s">
        <v>65</v>
      </c>
      <c r="H2088" t="s">
        <v>6282</v>
      </c>
      <c r="I2088" s="62" t="s">
        <v>6283</v>
      </c>
      <c r="K2088" s="36" t="s">
        <v>169</v>
      </c>
      <c r="L2088" t="s">
        <v>69</v>
      </c>
      <c r="M2088" s="62" t="s">
        <v>170</v>
      </c>
      <c r="N2088" t="s">
        <v>71</v>
      </c>
      <c r="O2088" t="str">
        <f>IFERROR(IF(Tbla_actores[[#This Row],[codigo_proyecto]]="","",_xlfn.XLOOKUP(Tbla_actores[[#This Row],[codigo_proyecto]],Proyectos!$A:$A,Proyectos!$C:$C)),"")</f>
        <v>NULOS</v>
      </c>
    </row>
    <row r="2089" spans="1:15">
      <c r="A2089" s="10">
        <v>1000183192</v>
      </c>
      <c r="B2089" s="64" t="s">
        <v>61</v>
      </c>
      <c r="C2089" s="62" t="s">
        <v>5575</v>
      </c>
      <c r="D2089" t="s">
        <v>63</v>
      </c>
      <c r="E2089" t="s">
        <v>6284</v>
      </c>
      <c r="F2089" s="61">
        <v>37475</v>
      </c>
      <c r="G2089" s="15" t="s">
        <v>73</v>
      </c>
      <c r="H2089" t="s">
        <v>6285</v>
      </c>
      <c r="I2089" s="62" t="s">
        <v>6286</v>
      </c>
      <c r="K2089" s="36" t="s">
        <v>169</v>
      </c>
      <c r="L2089" t="s">
        <v>69</v>
      </c>
      <c r="M2089" s="62" t="s">
        <v>170</v>
      </c>
      <c r="N2089" t="s">
        <v>71</v>
      </c>
      <c r="O2089" t="str">
        <f>IFERROR(IF(Tbla_actores[[#This Row],[codigo_proyecto]]="","",_xlfn.XLOOKUP(Tbla_actores[[#This Row],[codigo_proyecto]],Proyectos!$A:$A,Proyectos!$C:$C)),"")</f>
        <v>NULOS</v>
      </c>
    </row>
    <row r="2090" spans="1:15">
      <c r="A2090" s="9">
        <v>1003864193</v>
      </c>
      <c r="B2090" s="63" t="s">
        <v>61</v>
      </c>
      <c r="C2090" s="62" t="s">
        <v>5575</v>
      </c>
      <c r="D2090" t="s">
        <v>63</v>
      </c>
      <c r="E2090" t="s">
        <v>6287</v>
      </c>
      <c r="F2090" s="61">
        <v>37294</v>
      </c>
      <c r="G2090" s="15" t="s">
        <v>65</v>
      </c>
      <c r="H2090" t="s">
        <v>6288</v>
      </c>
      <c r="I2090" s="62" t="s">
        <v>6289</v>
      </c>
      <c r="K2090" s="36" t="s">
        <v>495</v>
      </c>
      <c r="L2090" t="s">
        <v>69</v>
      </c>
      <c r="M2090" s="62" t="s">
        <v>70</v>
      </c>
      <c r="N2090" t="s">
        <v>71</v>
      </c>
      <c r="O2090" t="str">
        <f>IFERROR(IF(Tbla_actores[[#This Row],[codigo_proyecto]]="","",_xlfn.XLOOKUP(Tbla_actores[[#This Row],[codigo_proyecto]],Proyectos!$A:$A,Proyectos!$C:$C)),"")</f>
        <v>NULOS</v>
      </c>
    </row>
    <row r="2091" spans="1:15">
      <c r="A2091" s="10">
        <v>1004810803</v>
      </c>
      <c r="B2091" s="64" t="s">
        <v>61</v>
      </c>
      <c r="C2091" s="62" t="s">
        <v>5575</v>
      </c>
      <c r="D2091" t="s">
        <v>63</v>
      </c>
      <c r="E2091" t="s">
        <v>6290</v>
      </c>
      <c r="F2091" s="61">
        <v>37801</v>
      </c>
      <c r="G2091" s="15" t="s">
        <v>65</v>
      </c>
      <c r="H2091" t="s">
        <v>6291</v>
      </c>
      <c r="I2091" s="62" t="s">
        <v>6292</v>
      </c>
      <c r="K2091" s="36" t="s">
        <v>169</v>
      </c>
      <c r="L2091" t="s">
        <v>69</v>
      </c>
      <c r="M2091" s="62" t="s">
        <v>170</v>
      </c>
      <c r="N2091" t="s">
        <v>71</v>
      </c>
      <c r="O2091" t="str">
        <f>IFERROR(IF(Tbla_actores[[#This Row],[codigo_proyecto]]="","",_xlfn.XLOOKUP(Tbla_actores[[#This Row],[codigo_proyecto]],Proyectos!$A:$A,Proyectos!$C:$C)),"")</f>
        <v>NULOS</v>
      </c>
    </row>
    <row r="2092" spans="1:15">
      <c r="A2092" s="9">
        <v>1001192100</v>
      </c>
      <c r="B2092" s="63" t="s">
        <v>61</v>
      </c>
      <c r="C2092" s="62" t="s">
        <v>5575</v>
      </c>
      <c r="D2092" t="s">
        <v>63</v>
      </c>
      <c r="E2092" t="s">
        <v>6293</v>
      </c>
      <c r="F2092" s="61">
        <v>37226</v>
      </c>
      <c r="G2092" s="15" t="s">
        <v>65</v>
      </c>
      <c r="H2092" t="s">
        <v>6294</v>
      </c>
      <c r="I2092" s="62" t="s">
        <v>6295</v>
      </c>
      <c r="K2092" s="36" t="s">
        <v>169</v>
      </c>
      <c r="L2092" t="s">
        <v>69</v>
      </c>
      <c r="M2092" s="62" t="s">
        <v>170</v>
      </c>
      <c r="N2092" t="s">
        <v>71</v>
      </c>
      <c r="O2092" t="str">
        <f>IFERROR(IF(Tbla_actores[[#This Row],[codigo_proyecto]]="","",_xlfn.XLOOKUP(Tbla_actores[[#This Row],[codigo_proyecto]],Proyectos!$A:$A,Proyectos!$C:$C)),"")</f>
        <v>NULOS</v>
      </c>
    </row>
    <row r="2093" spans="1:15">
      <c r="A2093" s="10">
        <v>1007681662</v>
      </c>
      <c r="B2093" s="64" t="s">
        <v>61</v>
      </c>
      <c r="C2093" s="62" t="s">
        <v>5575</v>
      </c>
      <c r="D2093" t="s">
        <v>63</v>
      </c>
      <c r="E2093" t="s">
        <v>6296</v>
      </c>
      <c r="F2093" s="61">
        <v>36506</v>
      </c>
      <c r="G2093" s="15" t="s">
        <v>73</v>
      </c>
      <c r="H2093" t="s">
        <v>6297</v>
      </c>
      <c r="I2093" s="62" t="s">
        <v>6298</v>
      </c>
      <c r="K2093" s="36" t="s">
        <v>68</v>
      </c>
      <c r="L2093" t="s">
        <v>69</v>
      </c>
      <c r="M2093" s="62" t="s">
        <v>70</v>
      </c>
      <c r="N2093" t="s">
        <v>71</v>
      </c>
      <c r="O2093" t="str">
        <f>IFERROR(IF(Tbla_actores[[#This Row],[codigo_proyecto]]="","",_xlfn.XLOOKUP(Tbla_actores[[#This Row],[codigo_proyecto]],Proyectos!$A:$A,Proyectos!$C:$C)),"")</f>
        <v>NULOS</v>
      </c>
    </row>
    <row r="2094" spans="1:15">
      <c r="A2094" s="9">
        <v>1000285046</v>
      </c>
      <c r="B2094" s="63" t="s">
        <v>61</v>
      </c>
      <c r="C2094" s="62" t="s">
        <v>5575</v>
      </c>
      <c r="D2094" t="s">
        <v>63</v>
      </c>
      <c r="E2094" t="s">
        <v>6299</v>
      </c>
      <c r="F2094" s="61">
        <v>37345</v>
      </c>
      <c r="G2094" s="15" t="s">
        <v>73</v>
      </c>
      <c r="H2094" t="s">
        <v>6300</v>
      </c>
      <c r="I2094" s="62" t="s">
        <v>6301</v>
      </c>
      <c r="K2094" s="36" t="s">
        <v>169</v>
      </c>
      <c r="L2094" t="s">
        <v>69</v>
      </c>
      <c r="M2094" s="62" t="s">
        <v>170</v>
      </c>
      <c r="N2094" t="s">
        <v>71</v>
      </c>
      <c r="O2094" t="str">
        <f>IFERROR(IF(Tbla_actores[[#This Row],[codigo_proyecto]]="","",_xlfn.XLOOKUP(Tbla_actores[[#This Row],[codigo_proyecto]],Proyectos!$A:$A,Proyectos!$C:$C)),"")</f>
        <v>NULOS</v>
      </c>
    </row>
    <row r="2095" spans="1:15">
      <c r="A2095" s="10">
        <v>1020842253</v>
      </c>
      <c r="B2095" s="64" t="s">
        <v>61</v>
      </c>
      <c r="C2095" s="62" t="s">
        <v>5575</v>
      </c>
      <c r="D2095" t="s">
        <v>63</v>
      </c>
      <c r="E2095" t="s">
        <v>6302</v>
      </c>
      <c r="F2095" s="61">
        <v>36349</v>
      </c>
      <c r="G2095" s="15" t="s">
        <v>73</v>
      </c>
      <c r="H2095" t="s">
        <v>6303</v>
      </c>
      <c r="I2095" s="62" t="s">
        <v>6304</v>
      </c>
      <c r="K2095" s="36" t="s">
        <v>68</v>
      </c>
      <c r="L2095" t="s">
        <v>69</v>
      </c>
      <c r="M2095" s="62" t="s">
        <v>70</v>
      </c>
      <c r="N2095" t="s">
        <v>71</v>
      </c>
      <c r="O2095" t="str">
        <f>IFERROR(IF(Tbla_actores[[#This Row],[codigo_proyecto]]="","",_xlfn.XLOOKUP(Tbla_actores[[#This Row],[codigo_proyecto]],Proyectos!$A:$A,Proyectos!$C:$C)),"")</f>
        <v>NULOS</v>
      </c>
    </row>
    <row r="2096" spans="1:15">
      <c r="A2096" s="9">
        <v>1032487315</v>
      </c>
      <c r="B2096" s="63" t="s">
        <v>61</v>
      </c>
      <c r="C2096" s="62" t="s">
        <v>5575</v>
      </c>
      <c r="D2096" t="s">
        <v>63</v>
      </c>
      <c r="E2096" t="s">
        <v>6305</v>
      </c>
      <c r="F2096" s="61">
        <v>35104</v>
      </c>
      <c r="G2096" s="15" t="s">
        <v>65</v>
      </c>
      <c r="H2096" t="s">
        <v>6306</v>
      </c>
      <c r="I2096" s="62" t="s">
        <v>6307</v>
      </c>
      <c r="K2096" s="36" t="s">
        <v>169</v>
      </c>
      <c r="L2096" t="s">
        <v>69</v>
      </c>
      <c r="M2096" s="62" t="s">
        <v>170</v>
      </c>
      <c r="N2096" t="s">
        <v>71</v>
      </c>
      <c r="O2096" t="str">
        <f>IFERROR(IF(Tbla_actores[[#This Row],[codigo_proyecto]]="","",_xlfn.XLOOKUP(Tbla_actores[[#This Row],[codigo_proyecto]],Proyectos!$A:$A,Proyectos!$C:$C)),"")</f>
        <v>NULOS</v>
      </c>
    </row>
    <row r="2097" spans="1:15">
      <c r="A2097" s="10">
        <v>1193491672</v>
      </c>
      <c r="B2097" s="64" t="s">
        <v>61</v>
      </c>
      <c r="C2097" s="62" t="s">
        <v>5575</v>
      </c>
      <c r="D2097" t="s">
        <v>63</v>
      </c>
      <c r="E2097" t="s">
        <v>6308</v>
      </c>
      <c r="F2097" s="61">
        <v>36396</v>
      </c>
      <c r="G2097" s="15" t="s">
        <v>65</v>
      </c>
      <c r="H2097" t="s">
        <v>6309</v>
      </c>
      <c r="I2097" s="62" t="s">
        <v>6310</v>
      </c>
      <c r="K2097" s="36" t="s">
        <v>169</v>
      </c>
      <c r="L2097" t="s">
        <v>69</v>
      </c>
      <c r="M2097" s="62" t="s">
        <v>170</v>
      </c>
      <c r="N2097" t="s">
        <v>71</v>
      </c>
      <c r="O2097" t="str">
        <f>IFERROR(IF(Tbla_actores[[#This Row],[codigo_proyecto]]="","",_xlfn.XLOOKUP(Tbla_actores[[#This Row],[codigo_proyecto]],Proyectos!$A:$A,Proyectos!$C:$C)),"")</f>
        <v>NULOS</v>
      </c>
    </row>
    <row r="2098" spans="1:15">
      <c r="A2098" s="9">
        <v>1122655606</v>
      </c>
      <c r="B2098" s="63" t="s">
        <v>61</v>
      </c>
      <c r="C2098" s="62" t="s">
        <v>5575</v>
      </c>
      <c r="D2098" t="s">
        <v>63</v>
      </c>
      <c r="E2098" t="s">
        <v>6311</v>
      </c>
      <c r="F2098" s="61">
        <v>36455</v>
      </c>
      <c r="G2098" s="15" t="s">
        <v>73</v>
      </c>
      <c r="H2098" t="s">
        <v>6312</v>
      </c>
      <c r="I2098" s="62" t="s">
        <v>6313</v>
      </c>
      <c r="K2098" s="36" t="s">
        <v>495</v>
      </c>
      <c r="L2098" t="s">
        <v>69</v>
      </c>
      <c r="M2098" s="62" t="s">
        <v>70</v>
      </c>
      <c r="N2098" t="s">
        <v>71</v>
      </c>
      <c r="O2098" t="str">
        <f>IFERROR(IF(Tbla_actores[[#This Row],[codigo_proyecto]]="","",_xlfn.XLOOKUP(Tbla_actores[[#This Row],[codigo_proyecto]],Proyectos!$A:$A,Proyectos!$C:$C)),"")</f>
        <v>NULOS</v>
      </c>
    </row>
    <row r="2099" spans="1:15">
      <c r="A2099" s="10">
        <v>1193108698</v>
      </c>
      <c r="B2099" s="64" t="s">
        <v>61</v>
      </c>
      <c r="C2099" s="62" t="s">
        <v>5575</v>
      </c>
      <c r="D2099" t="s">
        <v>63</v>
      </c>
      <c r="E2099" t="s">
        <v>6314</v>
      </c>
      <c r="F2099" s="61">
        <v>36586</v>
      </c>
      <c r="G2099" s="15" t="s">
        <v>73</v>
      </c>
      <c r="H2099" t="s">
        <v>6315</v>
      </c>
      <c r="I2099" s="62" t="s">
        <v>6316</v>
      </c>
      <c r="K2099" s="36" t="s">
        <v>169</v>
      </c>
      <c r="L2099" t="s">
        <v>69</v>
      </c>
      <c r="M2099" s="62" t="s">
        <v>170</v>
      </c>
      <c r="N2099" t="s">
        <v>71</v>
      </c>
      <c r="O2099" t="str">
        <f>IFERROR(IF(Tbla_actores[[#This Row],[codigo_proyecto]]="","",_xlfn.XLOOKUP(Tbla_actores[[#This Row],[codigo_proyecto]],Proyectos!$A:$A,Proyectos!$C:$C)),"")</f>
        <v>NULOS</v>
      </c>
    </row>
    <row r="2100" spans="1:15">
      <c r="A2100" s="9">
        <v>1001344128</v>
      </c>
      <c r="B2100" s="63" t="s">
        <v>61</v>
      </c>
      <c r="C2100" s="62" t="s">
        <v>5575</v>
      </c>
      <c r="D2100" t="s">
        <v>63</v>
      </c>
      <c r="E2100" t="s">
        <v>6317</v>
      </c>
      <c r="F2100" s="61">
        <v>37413</v>
      </c>
      <c r="G2100" s="15" t="s">
        <v>65</v>
      </c>
      <c r="H2100" t="s">
        <v>6318</v>
      </c>
      <c r="I2100" s="62" t="s">
        <v>6319</v>
      </c>
      <c r="K2100" s="36" t="s">
        <v>169</v>
      </c>
      <c r="L2100" t="s">
        <v>69</v>
      </c>
      <c r="M2100" s="62" t="s">
        <v>170</v>
      </c>
      <c r="N2100" t="s">
        <v>71</v>
      </c>
      <c r="O2100" t="str">
        <f>IFERROR(IF(Tbla_actores[[#This Row],[codigo_proyecto]]="","",_xlfn.XLOOKUP(Tbla_actores[[#This Row],[codigo_proyecto]],Proyectos!$A:$A,Proyectos!$C:$C)),"")</f>
        <v>NULOS</v>
      </c>
    </row>
    <row r="2101" spans="1:15">
      <c r="A2101" s="10">
        <v>1000224833</v>
      </c>
      <c r="B2101" s="64" t="s">
        <v>61</v>
      </c>
      <c r="C2101" s="62" t="s">
        <v>5575</v>
      </c>
      <c r="D2101" t="s">
        <v>63</v>
      </c>
      <c r="E2101" t="s">
        <v>6320</v>
      </c>
      <c r="F2101" s="61">
        <v>37272</v>
      </c>
      <c r="G2101" s="15" t="s">
        <v>73</v>
      </c>
      <c r="H2101" t="s">
        <v>6321</v>
      </c>
      <c r="I2101" s="62" t="s">
        <v>6322</v>
      </c>
      <c r="K2101" s="36" t="s">
        <v>495</v>
      </c>
      <c r="L2101" t="s">
        <v>69</v>
      </c>
      <c r="M2101" s="62" t="s">
        <v>70</v>
      </c>
      <c r="N2101" t="s">
        <v>71</v>
      </c>
      <c r="O2101" t="str">
        <f>IFERROR(IF(Tbla_actores[[#This Row],[codigo_proyecto]]="","",_xlfn.XLOOKUP(Tbla_actores[[#This Row],[codigo_proyecto]],Proyectos!$A:$A,Proyectos!$C:$C)),"")</f>
        <v>NULOS</v>
      </c>
    </row>
    <row r="2102" spans="1:15">
      <c r="A2102" s="9">
        <v>1193465432</v>
      </c>
      <c r="B2102" s="63" t="s">
        <v>61</v>
      </c>
      <c r="C2102" s="62" t="s">
        <v>5575</v>
      </c>
      <c r="D2102" t="s">
        <v>63</v>
      </c>
      <c r="E2102" t="s">
        <v>6323</v>
      </c>
      <c r="F2102" s="61">
        <v>36759</v>
      </c>
      <c r="G2102" s="15" t="s">
        <v>73</v>
      </c>
      <c r="H2102" t="s">
        <v>6324</v>
      </c>
      <c r="I2102" s="62" t="s">
        <v>6325</v>
      </c>
      <c r="K2102" s="36" t="s">
        <v>495</v>
      </c>
      <c r="L2102" t="s">
        <v>69</v>
      </c>
      <c r="M2102" s="62" t="s">
        <v>70</v>
      </c>
      <c r="N2102" t="s">
        <v>71</v>
      </c>
      <c r="O2102" t="str">
        <f>IFERROR(IF(Tbla_actores[[#This Row],[codigo_proyecto]]="","",_xlfn.XLOOKUP(Tbla_actores[[#This Row],[codigo_proyecto]],Proyectos!$A:$A,Proyectos!$C:$C)),"")</f>
        <v>NULOS</v>
      </c>
    </row>
    <row r="2103" spans="1:15">
      <c r="A2103" s="10">
        <v>1032508926</v>
      </c>
      <c r="B2103" s="64" t="s">
        <v>61</v>
      </c>
      <c r="C2103" s="62" t="s">
        <v>5575</v>
      </c>
      <c r="D2103" t="s">
        <v>63</v>
      </c>
      <c r="E2103" t="s">
        <v>6326</v>
      </c>
      <c r="F2103" s="61">
        <v>36533</v>
      </c>
      <c r="G2103" s="15" t="s">
        <v>73</v>
      </c>
      <c r="H2103" t="s">
        <v>6327</v>
      </c>
      <c r="I2103" s="62" t="s">
        <v>6328</v>
      </c>
      <c r="K2103" s="36" t="s">
        <v>495</v>
      </c>
      <c r="L2103" t="s">
        <v>69</v>
      </c>
      <c r="M2103" s="62" t="s">
        <v>70</v>
      </c>
      <c r="N2103" t="s">
        <v>71</v>
      </c>
      <c r="O2103" t="str">
        <f>IFERROR(IF(Tbla_actores[[#This Row],[codigo_proyecto]]="","",_xlfn.XLOOKUP(Tbla_actores[[#This Row],[codigo_proyecto]],Proyectos!$A:$A,Proyectos!$C:$C)),"")</f>
        <v>NULOS</v>
      </c>
    </row>
    <row r="2104" spans="1:15">
      <c r="A2104" s="9">
        <v>1000974121</v>
      </c>
      <c r="B2104" s="63" t="s">
        <v>61</v>
      </c>
      <c r="C2104" s="62" t="s">
        <v>5575</v>
      </c>
      <c r="D2104" t="s">
        <v>63</v>
      </c>
      <c r="E2104" t="s">
        <v>6329</v>
      </c>
      <c r="F2104" s="61">
        <v>37174</v>
      </c>
      <c r="G2104" s="15" t="s">
        <v>73</v>
      </c>
      <c r="H2104" t="s">
        <v>6330</v>
      </c>
      <c r="I2104" s="62" t="s">
        <v>6331</v>
      </c>
      <c r="K2104" s="36" t="s">
        <v>1489</v>
      </c>
      <c r="L2104" t="s">
        <v>69</v>
      </c>
      <c r="M2104" s="62" t="s">
        <v>70</v>
      </c>
      <c r="N2104" t="s">
        <v>71</v>
      </c>
      <c r="O2104" t="str">
        <f>IFERROR(IF(Tbla_actores[[#This Row],[codigo_proyecto]]="","",_xlfn.XLOOKUP(Tbla_actores[[#This Row],[codigo_proyecto]],Proyectos!$A:$A,Proyectos!$C:$C)),"")</f>
        <v>NULOS</v>
      </c>
    </row>
    <row r="2105" spans="1:15">
      <c r="A2105" s="10">
        <v>1001869538</v>
      </c>
      <c r="B2105" s="64" t="s">
        <v>61</v>
      </c>
      <c r="C2105" s="62" t="s">
        <v>5575</v>
      </c>
      <c r="D2105" t="s">
        <v>63</v>
      </c>
      <c r="E2105" t="s">
        <v>6332</v>
      </c>
      <c r="F2105" s="61">
        <v>37148</v>
      </c>
      <c r="G2105" s="15" t="s">
        <v>65</v>
      </c>
      <c r="H2105" t="s">
        <v>6333</v>
      </c>
      <c r="I2105" s="62" t="s">
        <v>6334</v>
      </c>
      <c r="K2105" s="36" t="s">
        <v>495</v>
      </c>
      <c r="L2105" t="s">
        <v>69</v>
      </c>
      <c r="M2105" s="62" t="s">
        <v>70</v>
      </c>
      <c r="N2105" t="s">
        <v>71</v>
      </c>
      <c r="O2105" t="str">
        <f>IFERROR(IF(Tbla_actores[[#This Row],[codigo_proyecto]]="","",_xlfn.XLOOKUP(Tbla_actores[[#This Row],[codigo_proyecto]],Proyectos!$A:$A,Proyectos!$C:$C)),"")</f>
        <v>NULOS</v>
      </c>
    </row>
    <row r="2106" spans="1:15">
      <c r="A2106" s="9">
        <v>1024590936</v>
      </c>
      <c r="B2106" s="63" t="s">
        <v>61</v>
      </c>
      <c r="C2106" s="62" t="s">
        <v>5575</v>
      </c>
      <c r="D2106" t="s">
        <v>63</v>
      </c>
      <c r="E2106" t="s">
        <v>6335</v>
      </c>
      <c r="F2106" s="61">
        <v>35963</v>
      </c>
      <c r="G2106" s="15" t="s">
        <v>73</v>
      </c>
      <c r="H2106" t="s">
        <v>6336</v>
      </c>
      <c r="I2106" s="62" t="s">
        <v>6337</v>
      </c>
      <c r="K2106" s="36" t="s">
        <v>495</v>
      </c>
      <c r="L2106" t="s">
        <v>69</v>
      </c>
      <c r="M2106" s="62" t="s">
        <v>70</v>
      </c>
      <c r="N2106" t="s">
        <v>71</v>
      </c>
      <c r="O2106" t="str">
        <f>IFERROR(IF(Tbla_actores[[#This Row],[codigo_proyecto]]="","",_xlfn.XLOOKUP(Tbla_actores[[#This Row],[codigo_proyecto]],Proyectos!$A:$A,Proyectos!$C:$C)),"")</f>
        <v>NULOS</v>
      </c>
    </row>
    <row r="2107" spans="1:15">
      <c r="A2107" s="10">
        <v>1000601712</v>
      </c>
      <c r="B2107" s="64" t="s">
        <v>61</v>
      </c>
      <c r="C2107" s="62" t="s">
        <v>5575</v>
      </c>
      <c r="D2107" t="s">
        <v>63</v>
      </c>
      <c r="E2107" t="s">
        <v>6338</v>
      </c>
      <c r="F2107" s="61">
        <v>36623</v>
      </c>
      <c r="G2107" s="15" t="s">
        <v>73</v>
      </c>
      <c r="H2107" t="s">
        <v>6339</v>
      </c>
      <c r="I2107" s="62" t="s">
        <v>6340</v>
      </c>
      <c r="K2107" s="36" t="s">
        <v>495</v>
      </c>
      <c r="L2107" t="s">
        <v>69</v>
      </c>
      <c r="M2107" s="62" t="s">
        <v>70</v>
      </c>
      <c r="N2107" t="s">
        <v>71</v>
      </c>
      <c r="O2107" t="str">
        <f>IFERROR(IF(Tbla_actores[[#This Row],[codigo_proyecto]]="","",_xlfn.XLOOKUP(Tbla_actores[[#This Row],[codigo_proyecto]],Proyectos!$A:$A,Proyectos!$C:$C)),"")</f>
        <v>NULOS</v>
      </c>
    </row>
    <row r="2108" spans="1:15">
      <c r="A2108" s="9">
        <v>1007327778</v>
      </c>
      <c r="B2108" s="63" t="s">
        <v>61</v>
      </c>
      <c r="C2108" s="62" t="s">
        <v>5575</v>
      </c>
      <c r="D2108" t="s">
        <v>63</v>
      </c>
      <c r="E2108" t="s">
        <v>6341</v>
      </c>
      <c r="F2108" s="61">
        <v>35402</v>
      </c>
      <c r="G2108" s="15" t="s">
        <v>73</v>
      </c>
      <c r="H2108" t="s">
        <v>6342</v>
      </c>
      <c r="I2108" s="62" t="s">
        <v>6343</v>
      </c>
      <c r="K2108" s="36" t="s">
        <v>495</v>
      </c>
      <c r="L2108" t="s">
        <v>69</v>
      </c>
      <c r="M2108" s="62" t="s">
        <v>70</v>
      </c>
      <c r="N2108" t="s">
        <v>71</v>
      </c>
      <c r="O2108" t="str">
        <f>IFERROR(IF(Tbla_actores[[#This Row],[codigo_proyecto]]="","",_xlfn.XLOOKUP(Tbla_actores[[#This Row],[codigo_proyecto]],Proyectos!$A:$A,Proyectos!$C:$C)),"")</f>
        <v>NULOS</v>
      </c>
    </row>
    <row r="2109" spans="1:15">
      <c r="A2109" s="10">
        <v>1000150042</v>
      </c>
      <c r="B2109" s="64" t="s">
        <v>61</v>
      </c>
      <c r="C2109" s="62" t="s">
        <v>5575</v>
      </c>
      <c r="D2109" t="s">
        <v>63</v>
      </c>
      <c r="E2109" t="s">
        <v>6344</v>
      </c>
      <c r="F2109" s="61">
        <v>37316</v>
      </c>
      <c r="G2109" s="15" t="s">
        <v>73</v>
      </c>
      <c r="H2109" t="s">
        <v>6345</v>
      </c>
      <c r="I2109" s="62" t="s">
        <v>6346</v>
      </c>
      <c r="K2109" s="36" t="s">
        <v>495</v>
      </c>
      <c r="L2109" t="s">
        <v>69</v>
      </c>
      <c r="M2109" s="62" t="s">
        <v>70</v>
      </c>
      <c r="N2109" t="s">
        <v>71</v>
      </c>
      <c r="O2109" t="str">
        <f>IFERROR(IF(Tbla_actores[[#This Row],[codigo_proyecto]]="","",_xlfn.XLOOKUP(Tbla_actores[[#This Row],[codigo_proyecto]],Proyectos!$A:$A,Proyectos!$C:$C)),"")</f>
        <v>NULOS</v>
      </c>
    </row>
    <row r="2110" spans="1:15">
      <c r="A2110" s="9">
        <v>1003239931</v>
      </c>
      <c r="B2110" s="63" t="s">
        <v>61</v>
      </c>
      <c r="C2110" s="62" t="s">
        <v>5575</v>
      </c>
      <c r="D2110" t="s">
        <v>63</v>
      </c>
      <c r="E2110" t="s">
        <v>6347</v>
      </c>
      <c r="F2110" s="61">
        <v>37829</v>
      </c>
      <c r="G2110" s="15" t="s">
        <v>65</v>
      </c>
      <c r="H2110" t="s">
        <v>6348</v>
      </c>
      <c r="I2110" s="62" t="s">
        <v>6349</v>
      </c>
      <c r="K2110" s="36" t="s">
        <v>495</v>
      </c>
      <c r="L2110" t="s">
        <v>69</v>
      </c>
      <c r="M2110" s="62" t="s">
        <v>70</v>
      </c>
      <c r="N2110" t="s">
        <v>71</v>
      </c>
      <c r="O2110" t="str">
        <f>IFERROR(IF(Tbla_actores[[#This Row],[codigo_proyecto]]="","",_xlfn.XLOOKUP(Tbla_actores[[#This Row],[codigo_proyecto]],Proyectos!$A:$A,Proyectos!$C:$C)),"")</f>
        <v>NULOS</v>
      </c>
    </row>
    <row r="2111" spans="1:15">
      <c r="A2111" s="10">
        <v>1193467554</v>
      </c>
      <c r="B2111" s="64" t="s">
        <v>61</v>
      </c>
      <c r="C2111" s="62" t="s">
        <v>5575</v>
      </c>
      <c r="D2111" t="s">
        <v>63</v>
      </c>
      <c r="E2111" t="s">
        <v>6350</v>
      </c>
      <c r="F2111" s="61">
        <v>36873</v>
      </c>
      <c r="G2111" s="15" t="s">
        <v>73</v>
      </c>
      <c r="H2111" t="s">
        <v>6351</v>
      </c>
      <c r="I2111" s="62" t="s">
        <v>6352</v>
      </c>
      <c r="K2111" s="36" t="s">
        <v>495</v>
      </c>
      <c r="L2111" t="s">
        <v>69</v>
      </c>
      <c r="M2111" s="62" t="s">
        <v>70</v>
      </c>
      <c r="N2111" t="s">
        <v>71</v>
      </c>
      <c r="O2111" t="str">
        <f>IFERROR(IF(Tbla_actores[[#This Row],[codigo_proyecto]]="","",_xlfn.XLOOKUP(Tbla_actores[[#This Row],[codigo_proyecto]],Proyectos!$A:$A,Proyectos!$C:$C)),"")</f>
        <v>NULOS</v>
      </c>
    </row>
    <row r="2112" spans="1:15">
      <c r="A2112" s="9">
        <v>1018508076</v>
      </c>
      <c r="B2112" s="63" t="s">
        <v>61</v>
      </c>
      <c r="C2112" s="62" t="s">
        <v>5575</v>
      </c>
      <c r="D2112" t="s">
        <v>63</v>
      </c>
      <c r="E2112" t="s">
        <v>6353</v>
      </c>
      <c r="F2112" s="61">
        <v>36169</v>
      </c>
      <c r="G2112" s="15" t="s">
        <v>73</v>
      </c>
      <c r="H2112" t="s">
        <v>6354</v>
      </c>
      <c r="I2112" s="62" t="s">
        <v>6355</v>
      </c>
      <c r="K2112" s="36" t="s">
        <v>495</v>
      </c>
      <c r="L2112" t="s">
        <v>69</v>
      </c>
      <c r="M2112" s="62" t="s">
        <v>70</v>
      </c>
      <c r="N2112" t="s">
        <v>71</v>
      </c>
      <c r="O2112" t="str">
        <f>IFERROR(IF(Tbla_actores[[#This Row],[codigo_proyecto]]="","",_xlfn.XLOOKUP(Tbla_actores[[#This Row],[codigo_proyecto]],Proyectos!$A:$A,Proyectos!$C:$C)),"")</f>
        <v>NULOS</v>
      </c>
    </row>
    <row r="2113" spans="1:15">
      <c r="A2113" s="10">
        <v>1090527926</v>
      </c>
      <c r="B2113" s="64" t="s">
        <v>61</v>
      </c>
      <c r="C2113" s="62" t="s">
        <v>5575</v>
      </c>
      <c r="D2113" t="s">
        <v>63</v>
      </c>
      <c r="E2113" t="s">
        <v>6356</v>
      </c>
      <c r="F2113" s="61">
        <v>36258</v>
      </c>
      <c r="G2113" s="15" t="s">
        <v>65</v>
      </c>
      <c r="H2113" t="s">
        <v>6357</v>
      </c>
      <c r="I2113" s="62" t="s">
        <v>6358</v>
      </c>
      <c r="K2113" s="36" t="s">
        <v>495</v>
      </c>
      <c r="L2113" t="s">
        <v>69</v>
      </c>
      <c r="M2113" s="62" t="s">
        <v>70</v>
      </c>
      <c r="N2113" t="s">
        <v>71</v>
      </c>
      <c r="O2113" t="str">
        <f>IFERROR(IF(Tbla_actores[[#This Row],[codigo_proyecto]]="","",_xlfn.XLOOKUP(Tbla_actores[[#This Row],[codigo_proyecto]],Proyectos!$A:$A,Proyectos!$C:$C)),"")</f>
        <v>NULOS</v>
      </c>
    </row>
    <row r="2114" spans="1:15">
      <c r="A2114" s="9">
        <v>1032509000</v>
      </c>
      <c r="B2114" s="63" t="s">
        <v>61</v>
      </c>
      <c r="C2114" s="62" t="s">
        <v>5575</v>
      </c>
      <c r="D2114" t="s">
        <v>63</v>
      </c>
      <c r="E2114" t="s">
        <v>6359</v>
      </c>
      <c r="F2114" s="61">
        <v>36520</v>
      </c>
      <c r="G2114" s="15" t="s">
        <v>65</v>
      </c>
      <c r="H2114" t="s">
        <v>6360</v>
      </c>
      <c r="I2114" s="62" t="s">
        <v>6361</v>
      </c>
      <c r="K2114" s="36" t="s">
        <v>169</v>
      </c>
      <c r="L2114" t="s">
        <v>69</v>
      </c>
      <c r="M2114" s="62" t="s">
        <v>170</v>
      </c>
      <c r="N2114" t="s">
        <v>71</v>
      </c>
      <c r="O2114" t="str">
        <f>IFERROR(IF(Tbla_actores[[#This Row],[codigo_proyecto]]="","",_xlfn.XLOOKUP(Tbla_actores[[#This Row],[codigo_proyecto]],Proyectos!$A:$A,Proyectos!$C:$C)),"")</f>
        <v>NULOS</v>
      </c>
    </row>
    <row r="2115" spans="1:15">
      <c r="A2115" s="10">
        <v>1032494713</v>
      </c>
      <c r="B2115" s="64" t="s">
        <v>61</v>
      </c>
      <c r="C2115" s="62" t="s">
        <v>3329</v>
      </c>
      <c r="D2115" t="s">
        <v>63</v>
      </c>
      <c r="E2115" t="s">
        <v>6362</v>
      </c>
      <c r="F2115" s="61">
        <v>35756</v>
      </c>
      <c r="G2115" s="15" t="s">
        <v>65</v>
      </c>
      <c r="H2115" t="s">
        <v>6363</v>
      </c>
      <c r="I2115" s="62" t="s">
        <v>6364</v>
      </c>
      <c r="K2115" s="36" t="s">
        <v>169</v>
      </c>
      <c r="L2115" t="s">
        <v>69</v>
      </c>
      <c r="M2115" s="62" t="s">
        <v>170</v>
      </c>
      <c r="N2115" t="s">
        <v>71</v>
      </c>
      <c r="O2115" t="str">
        <f>IFERROR(IF(Tbla_actores[[#This Row],[codigo_proyecto]]="","",_xlfn.XLOOKUP(Tbla_actores[[#This Row],[codigo_proyecto]],Proyectos!$A:$A,Proyectos!$C:$C)),"")</f>
        <v>NULOS</v>
      </c>
    </row>
    <row r="2116" spans="1:15">
      <c r="A2116" s="9">
        <v>1001065977</v>
      </c>
      <c r="B2116" s="63" t="s">
        <v>61</v>
      </c>
      <c r="C2116" s="62" t="s">
        <v>5575</v>
      </c>
      <c r="D2116" t="s">
        <v>63</v>
      </c>
      <c r="E2116" t="s">
        <v>6365</v>
      </c>
      <c r="F2116" s="61">
        <v>36973</v>
      </c>
      <c r="G2116" s="15" t="s">
        <v>73</v>
      </c>
      <c r="H2116" t="s">
        <v>6366</v>
      </c>
      <c r="I2116" s="62" t="s">
        <v>6367</v>
      </c>
      <c r="K2116" s="36" t="s">
        <v>169</v>
      </c>
      <c r="L2116" t="s">
        <v>69</v>
      </c>
      <c r="M2116" s="62" t="s">
        <v>170</v>
      </c>
      <c r="N2116" t="s">
        <v>71</v>
      </c>
      <c r="O2116" t="str">
        <f>IFERROR(IF(Tbla_actores[[#This Row],[codigo_proyecto]]="","",_xlfn.XLOOKUP(Tbla_actores[[#This Row],[codigo_proyecto]],Proyectos!$A:$A,Proyectos!$C:$C)),"")</f>
        <v>NULOS</v>
      </c>
    </row>
    <row r="2117" spans="1:15">
      <c r="A2117" s="10">
        <v>1018508315</v>
      </c>
      <c r="B2117" s="64" t="s">
        <v>61</v>
      </c>
      <c r="C2117" s="62" t="s">
        <v>5575</v>
      </c>
      <c r="D2117" t="s">
        <v>63</v>
      </c>
      <c r="E2117" t="s">
        <v>6368</v>
      </c>
      <c r="F2117" s="61">
        <v>36164</v>
      </c>
      <c r="G2117" s="15" t="s">
        <v>65</v>
      </c>
      <c r="H2117" t="s">
        <v>6369</v>
      </c>
      <c r="I2117" s="62" t="s">
        <v>6370</v>
      </c>
      <c r="K2117" s="36" t="s">
        <v>169</v>
      </c>
      <c r="L2117" t="s">
        <v>69</v>
      </c>
      <c r="M2117" s="62" t="s">
        <v>170</v>
      </c>
      <c r="N2117" t="s">
        <v>71</v>
      </c>
      <c r="O2117" t="str">
        <f>IFERROR(IF(Tbla_actores[[#This Row],[codigo_proyecto]]="","",_xlfn.XLOOKUP(Tbla_actores[[#This Row],[codigo_proyecto]],Proyectos!$A:$A,Proyectos!$C:$C)),"")</f>
        <v>NULOS</v>
      </c>
    </row>
    <row r="2118" spans="1:15">
      <c r="A2118" s="9">
        <v>1078372459</v>
      </c>
      <c r="B2118" s="63" t="s">
        <v>61</v>
      </c>
      <c r="C2118" s="62" t="s">
        <v>5575</v>
      </c>
      <c r="D2118" t="s">
        <v>63</v>
      </c>
      <c r="E2118" t="s">
        <v>6371</v>
      </c>
      <c r="F2118" s="61">
        <v>36124</v>
      </c>
      <c r="G2118" s="15" t="s">
        <v>73</v>
      </c>
      <c r="H2118" t="s">
        <v>6372</v>
      </c>
      <c r="I2118" s="62" t="s">
        <v>6373</v>
      </c>
      <c r="K2118" s="36" t="s">
        <v>169</v>
      </c>
      <c r="L2118" t="s">
        <v>69</v>
      </c>
      <c r="M2118" s="62" t="s">
        <v>170</v>
      </c>
      <c r="N2118" t="s">
        <v>71</v>
      </c>
      <c r="O2118" t="str">
        <f>IFERROR(IF(Tbla_actores[[#This Row],[codigo_proyecto]]="","",_xlfn.XLOOKUP(Tbla_actores[[#This Row],[codigo_proyecto]],Proyectos!$A:$A,Proyectos!$C:$C)),"")</f>
        <v>NULOS</v>
      </c>
    </row>
    <row r="2119" spans="1:15">
      <c r="A2119" s="10">
        <v>1001089533</v>
      </c>
      <c r="B2119" s="64" t="s">
        <v>61</v>
      </c>
      <c r="C2119" s="62" t="s">
        <v>5575</v>
      </c>
      <c r="D2119" t="s">
        <v>63</v>
      </c>
      <c r="E2119" t="s">
        <v>6374</v>
      </c>
      <c r="F2119" s="61">
        <v>36848</v>
      </c>
      <c r="G2119" s="15" t="s">
        <v>73</v>
      </c>
      <c r="H2119" t="s">
        <v>6375</v>
      </c>
      <c r="I2119" s="62" t="s">
        <v>6376</v>
      </c>
      <c r="K2119" s="36" t="s">
        <v>68</v>
      </c>
      <c r="L2119" t="s">
        <v>69</v>
      </c>
      <c r="M2119" s="62" t="s">
        <v>70</v>
      </c>
      <c r="N2119" t="s">
        <v>71</v>
      </c>
      <c r="O2119" t="str">
        <f>IFERROR(IF(Tbla_actores[[#This Row],[codigo_proyecto]]="","",_xlfn.XLOOKUP(Tbla_actores[[#This Row],[codigo_proyecto]],Proyectos!$A:$A,Proyectos!$C:$C)),"")</f>
        <v>NULOS</v>
      </c>
    </row>
    <row r="2120" spans="1:15">
      <c r="A2120" s="9">
        <v>1026307044</v>
      </c>
      <c r="B2120" s="63" t="s">
        <v>61</v>
      </c>
      <c r="C2120" s="62" t="s">
        <v>5575</v>
      </c>
      <c r="D2120" t="s">
        <v>63</v>
      </c>
      <c r="E2120" t="s">
        <v>6377</v>
      </c>
      <c r="F2120" s="61">
        <v>36458</v>
      </c>
      <c r="G2120" s="15" t="s">
        <v>65</v>
      </c>
      <c r="H2120" t="s">
        <v>6378</v>
      </c>
      <c r="I2120" s="62" t="s">
        <v>6379</v>
      </c>
      <c r="K2120" s="36" t="s">
        <v>495</v>
      </c>
      <c r="L2120" t="s">
        <v>69</v>
      </c>
      <c r="M2120" s="62" t="s">
        <v>70</v>
      </c>
      <c r="N2120" t="s">
        <v>71</v>
      </c>
      <c r="O2120" t="str">
        <f>IFERROR(IF(Tbla_actores[[#This Row],[codigo_proyecto]]="","",_xlfn.XLOOKUP(Tbla_actores[[#This Row],[codigo_proyecto]],Proyectos!$A:$A,Proyectos!$C:$C)),"")</f>
        <v>NULOS</v>
      </c>
    </row>
    <row r="2121" spans="1:15">
      <c r="A2121" s="10">
        <v>1001316938</v>
      </c>
      <c r="B2121" s="64" t="s">
        <v>61</v>
      </c>
      <c r="C2121" s="62" t="s">
        <v>5575</v>
      </c>
      <c r="D2121" t="s">
        <v>63</v>
      </c>
      <c r="E2121" t="s">
        <v>6380</v>
      </c>
      <c r="F2121" s="61">
        <v>37347</v>
      </c>
      <c r="G2121" s="15" t="s">
        <v>73</v>
      </c>
      <c r="H2121" t="s">
        <v>6381</v>
      </c>
      <c r="I2121" s="62" t="s">
        <v>6382</v>
      </c>
      <c r="K2121" s="36" t="s">
        <v>1489</v>
      </c>
      <c r="L2121" t="s">
        <v>69</v>
      </c>
      <c r="M2121" s="62" t="s">
        <v>70</v>
      </c>
      <c r="N2121" t="s">
        <v>71</v>
      </c>
      <c r="O2121" t="str">
        <f>IFERROR(IF(Tbla_actores[[#This Row],[codigo_proyecto]]="","",_xlfn.XLOOKUP(Tbla_actores[[#This Row],[codigo_proyecto]],Proyectos!$A:$A,Proyectos!$C:$C)),"")</f>
        <v>NULOS</v>
      </c>
    </row>
    <row r="2122" spans="1:15">
      <c r="A2122" s="9">
        <v>1000146032</v>
      </c>
      <c r="B2122" s="63" t="s">
        <v>61</v>
      </c>
      <c r="C2122" s="62" t="s">
        <v>5575</v>
      </c>
      <c r="D2122" t="s">
        <v>63</v>
      </c>
      <c r="E2122" t="s">
        <v>6383</v>
      </c>
      <c r="F2122" s="61">
        <v>37201</v>
      </c>
      <c r="G2122" s="15" t="s">
        <v>73</v>
      </c>
      <c r="H2122" t="s">
        <v>6384</v>
      </c>
      <c r="I2122" s="62" t="s">
        <v>6385</v>
      </c>
      <c r="K2122" s="36" t="s">
        <v>68</v>
      </c>
      <c r="L2122" t="s">
        <v>69</v>
      </c>
      <c r="M2122" s="62" t="s">
        <v>70</v>
      </c>
      <c r="N2122" t="s">
        <v>71</v>
      </c>
      <c r="O2122" t="str">
        <f>IFERROR(IF(Tbla_actores[[#This Row],[codigo_proyecto]]="","",_xlfn.XLOOKUP(Tbla_actores[[#This Row],[codigo_proyecto]],Proyectos!$A:$A,Proyectos!$C:$C)),"")</f>
        <v>NULOS</v>
      </c>
    </row>
    <row r="2123" spans="1:15">
      <c r="A2123" s="10">
        <v>1000364154</v>
      </c>
      <c r="B2123" s="64" t="s">
        <v>61</v>
      </c>
      <c r="C2123" s="62" t="s">
        <v>5575</v>
      </c>
      <c r="D2123" t="s">
        <v>63</v>
      </c>
      <c r="E2123" t="s">
        <v>6386</v>
      </c>
      <c r="F2123" s="61">
        <v>36920</v>
      </c>
      <c r="G2123" s="15" t="s">
        <v>65</v>
      </c>
      <c r="H2123" t="s">
        <v>6387</v>
      </c>
      <c r="I2123" s="62" t="s">
        <v>6388</v>
      </c>
      <c r="K2123" s="36" t="s">
        <v>495</v>
      </c>
      <c r="L2123" t="s">
        <v>69</v>
      </c>
      <c r="M2123" s="62" t="s">
        <v>70</v>
      </c>
      <c r="N2123" t="s">
        <v>71</v>
      </c>
      <c r="O2123" t="str">
        <f>IFERROR(IF(Tbla_actores[[#This Row],[codigo_proyecto]]="","",_xlfn.XLOOKUP(Tbla_actores[[#This Row],[codigo_proyecto]],Proyectos!$A:$A,Proyectos!$C:$C)),"")</f>
        <v>NULOS</v>
      </c>
    </row>
    <row r="2124" spans="1:15">
      <c r="A2124" s="9">
        <v>1003808492</v>
      </c>
      <c r="B2124" s="63" t="s">
        <v>61</v>
      </c>
      <c r="C2124" s="62" t="s">
        <v>5575</v>
      </c>
      <c r="D2124" t="s">
        <v>63</v>
      </c>
      <c r="E2124" t="s">
        <v>6389</v>
      </c>
      <c r="F2124" s="61">
        <v>37499</v>
      </c>
      <c r="G2124" s="15" t="s">
        <v>73</v>
      </c>
      <c r="H2124" t="s">
        <v>6390</v>
      </c>
      <c r="I2124" s="62" t="s">
        <v>6391</v>
      </c>
      <c r="K2124" s="36" t="s">
        <v>495</v>
      </c>
      <c r="L2124" t="s">
        <v>69</v>
      </c>
      <c r="M2124" s="62" t="s">
        <v>70</v>
      </c>
      <c r="N2124" t="s">
        <v>71</v>
      </c>
      <c r="O2124" t="str">
        <f>IFERROR(IF(Tbla_actores[[#This Row],[codigo_proyecto]]="","",_xlfn.XLOOKUP(Tbla_actores[[#This Row],[codigo_proyecto]],Proyectos!$A:$A,Proyectos!$C:$C)),"")</f>
        <v>NULOS</v>
      </c>
    </row>
    <row r="2125" spans="1:15">
      <c r="A2125" s="10">
        <v>1007766998</v>
      </c>
      <c r="B2125" s="64" t="s">
        <v>61</v>
      </c>
      <c r="C2125" s="62" t="s">
        <v>5575</v>
      </c>
      <c r="D2125" t="s">
        <v>63</v>
      </c>
      <c r="E2125" t="s">
        <v>6392</v>
      </c>
      <c r="F2125" s="61">
        <v>36843</v>
      </c>
      <c r="G2125" s="15" t="s">
        <v>65</v>
      </c>
      <c r="H2125" t="s">
        <v>6393</v>
      </c>
      <c r="I2125" s="62" t="s">
        <v>6394</v>
      </c>
      <c r="K2125" s="36" t="s">
        <v>495</v>
      </c>
      <c r="L2125" t="s">
        <v>69</v>
      </c>
      <c r="M2125" s="62" t="s">
        <v>70</v>
      </c>
      <c r="N2125" t="s">
        <v>71</v>
      </c>
      <c r="O2125" t="str">
        <f>IFERROR(IF(Tbla_actores[[#This Row],[codigo_proyecto]]="","",_xlfn.XLOOKUP(Tbla_actores[[#This Row],[codigo_proyecto]],Proyectos!$A:$A,Proyectos!$C:$C)),"")</f>
        <v>NULOS</v>
      </c>
    </row>
    <row r="2126" spans="1:15">
      <c r="A2126" s="9">
        <v>1020851238</v>
      </c>
      <c r="B2126" s="63" t="s">
        <v>61</v>
      </c>
      <c r="C2126" s="62" t="s">
        <v>5575</v>
      </c>
      <c r="D2126" t="s">
        <v>63</v>
      </c>
      <c r="E2126" t="s">
        <v>6395</v>
      </c>
      <c r="F2126" s="61">
        <v>36181</v>
      </c>
      <c r="G2126" s="15" t="s">
        <v>73</v>
      </c>
      <c r="H2126" t="s">
        <v>6396</v>
      </c>
      <c r="I2126" s="62" t="s">
        <v>6397</v>
      </c>
      <c r="K2126" s="36" t="s">
        <v>68</v>
      </c>
      <c r="L2126" t="s">
        <v>69</v>
      </c>
      <c r="M2126" s="62" t="s">
        <v>70</v>
      </c>
      <c r="N2126" t="s">
        <v>71</v>
      </c>
      <c r="O2126" t="str">
        <f>IFERROR(IF(Tbla_actores[[#This Row],[codigo_proyecto]]="","",_xlfn.XLOOKUP(Tbla_actores[[#This Row],[codigo_proyecto]],Proyectos!$A:$A,Proyectos!$C:$C)),"")</f>
        <v>NULOS</v>
      </c>
    </row>
    <row r="2127" spans="1:15">
      <c r="A2127" s="10">
        <v>1001346534</v>
      </c>
      <c r="B2127" s="64" t="s">
        <v>61</v>
      </c>
      <c r="C2127" s="62" t="s">
        <v>5575</v>
      </c>
      <c r="D2127" t="s">
        <v>63</v>
      </c>
      <c r="E2127" t="s">
        <v>6398</v>
      </c>
      <c r="F2127" s="61">
        <v>37258</v>
      </c>
      <c r="G2127" s="15" t="s">
        <v>65</v>
      </c>
      <c r="H2127" t="s">
        <v>6399</v>
      </c>
      <c r="I2127" s="62" t="s">
        <v>6400</v>
      </c>
      <c r="K2127" s="36" t="s">
        <v>68</v>
      </c>
      <c r="L2127" t="s">
        <v>69</v>
      </c>
      <c r="M2127" s="62" t="s">
        <v>70</v>
      </c>
      <c r="N2127" t="s">
        <v>71</v>
      </c>
      <c r="O2127" t="str">
        <f>IFERROR(IF(Tbla_actores[[#This Row],[codigo_proyecto]]="","",_xlfn.XLOOKUP(Tbla_actores[[#This Row],[codigo_proyecto]],Proyectos!$A:$A,Proyectos!$C:$C)),"")</f>
        <v>NULOS</v>
      </c>
    </row>
    <row r="2128" spans="1:15">
      <c r="A2128" s="9">
        <v>1004360751</v>
      </c>
      <c r="B2128" s="63" t="s">
        <v>61</v>
      </c>
      <c r="C2128" s="62" t="s">
        <v>5575</v>
      </c>
      <c r="D2128" t="s">
        <v>63</v>
      </c>
      <c r="E2128" t="s">
        <v>6401</v>
      </c>
      <c r="F2128" s="61">
        <v>37549</v>
      </c>
      <c r="G2128" s="15" t="s">
        <v>73</v>
      </c>
      <c r="H2128" t="s">
        <v>6402</v>
      </c>
      <c r="I2128" s="62" t="s">
        <v>6403</v>
      </c>
      <c r="K2128" s="36" t="s">
        <v>495</v>
      </c>
      <c r="L2128" t="s">
        <v>69</v>
      </c>
      <c r="M2128" s="62" t="s">
        <v>70</v>
      </c>
      <c r="N2128" t="s">
        <v>71</v>
      </c>
      <c r="O2128" t="str">
        <f>IFERROR(IF(Tbla_actores[[#This Row],[codigo_proyecto]]="","",_xlfn.XLOOKUP(Tbla_actores[[#This Row],[codigo_proyecto]],Proyectos!$A:$A,Proyectos!$C:$C)),"")</f>
        <v>NULOS</v>
      </c>
    </row>
    <row r="2129" spans="1:15">
      <c r="A2129" s="10">
        <v>368354</v>
      </c>
      <c r="B2129" s="64" t="s">
        <v>61</v>
      </c>
      <c r="C2129" s="62" t="s">
        <v>5575</v>
      </c>
      <c r="D2129" t="s">
        <v>63</v>
      </c>
      <c r="E2129" t="s">
        <v>6404</v>
      </c>
      <c r="F2129" s="61">
        <v>35325</v>
      </c>
      <c r="G2129" s="15" t="s">
        <v>73</v>
      </c>
      <c r="H2129" t="s">
        <v>6405</v>
      </c>
      <c r="I2129" s="62" t="s">
        <v>6406</v>
      </c>
      <c r="K2129" s="36" t="s">
        <v>68</v>
      </c>
      <c r="L2129" t="s">
        <v>69</v>
      </c>
      <c r="M2129" s="62" t="s">
        <v>70</v>
      </c>
      <c r="N2129" t="s">
        <v>71</v>
      </c>
      <c r="O2129" t="str">
        <f>IFERROR(IF(Tbla_actores[[#This Row],[codigo_proyecto]]="","",_xlfn.XLOOKUP(Tbla_actores[[#This Row],[codigo_proyecto]],Proyectos!$A:$A,Proyectos!$C:$C)),"")</f>
        <v>NULOS</v>
      </c>
    </row>
    <row r="2130" spans="1:15">
      <c r="A2130" s="9">
        <v>1002194939</v>
      </c>
      <c r="B2130" s="63" t="s">
        <v>61</v>
      </c>
      <c r="C2130" s="62" t="s">
        <v>5575</v>
      </c>
      <c r="D2130" t="s">
        <v>63</v>
      </c>
      <c r="E2130" t="s">
        <v>6407</v>
      </c>
      <c r="F2130" s="61">
        <v>37215</v>
      </c>
      <c r="G2130" s="15" t="s">
        <v>73</v>
      </c>
      <c r="H2130" t="s">
        <v>6408</v>
      </c>
      <c r="I2130" s="62" t="s">
        <v>6409</v>
      </c>
      <c r="K2130" s="36" t="s">
        <v>495</v>
      </c>
      <c r="L2130" t="s">
        <v>69</v>
      </c>
      <c r="M2130" s="62" t="s">
        <v>70</v>
      </c>
      <c r="N2130" t="s">
        <v>71</v>
      </c>
      <c r="O2130" t="str">
        <f>IFERROR(IF(Tbla_actores[[#This Row],[codigo_proyecto]]="","",_xlfn.XLOOKUP(Tbla_actores[[#This Row],[codigo_proyecto]],Proyectos!$A:$A,Proyectos!$C:$C)),"")</f>
        <v>NULOS</v>
      </c>
    </row>
    <row r="2131" spans="1:15">
      <c r="A2131" s="10">
        <v>1010052765</v>
      </c>
      <c r="B2131" s="64" t="s">
        <v>61</v>
      </c>
      <c r="C2131" s="62" t="s">
        <v>5575</v>
      </c>
      <c r="D2131" t="s">
        <v>63</v>
      </c>
      <c r="E2131" t="s">
        <v>6410</v>
      </c>
      <c r="F2131" s="61">
        <v>36608</v>
      </c>
      <c r="G2131" s="15" t="s">
        <v>73</v>
      </c>
      <c r="H2131" t="s">
        <v>6411</v>
      </c>
      <c r="I2131" s="62" t="s">
        <v>6412</v>
      </c>
      <c r="K2131" s="36" t="s">
        <v>169</v>
      </c>
      <c r="L2131" t="s">
        <v>69</v>
      </c>
      <c r="M2131" s="62" t="s">
        <v>170</v>
      </c>
      <c r="N2131" t="s">
        <v>71</v>
      </c>
      <c r="O2131" t="str">
        <f>IFERROR(IF(Tbla_actores[[#This Row],[codigo_proyecto]]="","",_xlfn.XLOOKUP(Tbla_actores[[#This Row],[codigo_proyecto]],Proyectos!$A:$A,Proyectos!$C:$C)),"")</f>
        <v>NULOS</v>
      </c>
    </row>
    <row r="2132" spans="1:15">
      <c r="A2132" s="9">
        <v>1018510621</v>
      </c>
      <c r="B2132" s="63" t="s">
        <v>61</v>
      </c>
      <c r="C2132" s="62" t="s">
        <v>4409</v>
      </c>
      <c r="D2132" t="s">
        <v>63</v>
      </c>
      <c r="E2132" t="s">
        <v>6413</v>
      </c>
      <c r="F2132" s="61">
        <v>36274</v>
      </c>
      <c r="G2132" s="15" t="s">
        <v>73</v>
      </c>
      <c r="H2132" t="s">
        <v>6414</v>
      </c>
      <c r="I2132" s="62" t="s">
        <v>6415</v>
      </c>
      <c r="K2132" s="36" t="s">
        <v>169</v>
      </c>
      <c r="L2132" t="s">
        <v>69</v>
      </c>
      <c r="M2132" s="62" t="s">
        <v>170</v>
      </c>
      <c r="N2132" t="s">
        <v>71</v>
      </c>
      <c r="O2132" t="str">
        <f>IFERROR(IF(Tbla_actores[[#This Row],[codigo_proyecto]]="","",_xlfn.XLOOKUP(Tbla_actores[[#This Row],[codigo_proyecto]],Proyectos!$A:$A,Proyectos!$C:$C)),"")</f>
        <v>NULOS</v>
      </c>
    </row>
    <row r="2133" spans="1:15">
      <c r="A2133" s="10">
        <v>1020838528</v>
      </c>
      <c r="B2133" s="64" t="s">
        <v>61</v>
      </c>
      <c r="C2133" s="62" t="s">
        <v>5575</v>
      </c>
      <c r="D2133" t="s">
        <v>63</v>
      </c>
      <c r="E2133" t="s">
        <v>6416</v>
      </c>
      <c r="F2133" s="61">
        <v>36164</v>
      </c>
      <c r="G2133" s="15" t="s">
        <v>65</v>
      </c>
      <c r="H2133" t="s">
        <v>6417</v>
      </c>
      <c r="I2133" s="62" t="s">
        <v>6418</v>
      </c>
      <c r="K2133" s="36" t="s">
        <v>169</v>
      </c>
      <c r="L2133" t="s">
        <v>69</v>
      </c>
      <c r="M2133" s="62" t="s">
        <v>170</v>
      </c>
      <c r="N2133" t="s">
        <v>71</v>
      </c>
      <c r="O2133" t="str">
        <f>IFERROR(IF(Tbla_actores[[#This Row],[codigo_proyecto]]="","",_xlfn.XLOOKUP(Tbla_actores[[#This Row],[codigo_proyecto]],Proyectos!$A:$A,Proyectos!$C:$C)),"")</f>
        <v>NULOS</v>
      </c>
    </row>
    <row r="2134" spans="1:15">
      <c r="A2134" s="9">
        <v>1000794911</v>
      </c>
      <c r="B2134" s="63" t="s">
        <v>61</v>
      </c>
      <c r="C2134" s="62" t="s">
        <v>5575</v>
      </c>
      <c r="D2134" t="s">
        <v>63</v>
      </c>
      <c r="E2134" t="s">
        <v>6419</v>
      </c>
      <c r="F2134" s="61">
        <v>36918</v>
      </c>
      <c r="G2134" s="15" t="s">
        <v>65</v>
      </c>
      <c r="H2134" t="s">
        <v>6420</v>
      </c>
      <c r="I2134" s="62" t="s">
        <v>6421</v>
      </c>
      <c r="K2134" s="36" t="s">
        <v>169</v>
      </c>
      <c r="L2134" t="s">
        <v>69</v>
      </c>
      <c r="M2134" s="62" t="s">
        <v>170</v>
      </c>
      <c r="N2134" t="s">
        <v>71</v>
      </c>
      <c r="O2134" t="str">
        <f>IFERROR(IF(Tbla_actores[[#This Row],[codigo_proyecto]]="","",_xlfn.XLOOKUP(Tbla_actores[[#This Row],[codigo_proyecto]],Proyectos!$A:$A,Proyectos!$C:$C)),"")</f>
        <v>NULOS</v>
      </c>
    </row>
    <row r="2135" spans="1:15">
      <c r="A2135" s="10">
        <v>1118865016</v>
      </c>
      <c r="B2135" s="64" t="s">
        <v>61</v>
      </c>
      <c r="C2135" s="62" t="s">
        <v>3329</v>
      </c>
      <c r="D2135" t="s">
        <v>63</v>
      </c>
      <c r="E2135" t="s">
        <v>6422</v>
      </c>
      <c r="F2135" s="61">
        <v>35619</v>
      </c>
      <c r="G2135" s="15" t="s">
        <v>73</v>
      </c>
      <c r="H2135" t="s">
        <v>6423</v>
      </c>
      <c r="I2135" s="62" t="s">
        <v>6424</v>
      </c>
      <c r="K2135" s="36" t="s">
        <v>495</v>
      </c>
      <c r="L2135" t="s">
        <v>69</v>
      </c>
      <c r="M2135" s="62" t="s">
        <v>70</v>
      </c>
      <c r="N2135" t="s">
        <v>71</v>
      </c>
      <c r="O2135" t="str">
        <f>IFERROR(IF(Tbla_actores[[#This Row],[codigo_proyecto]]="","",_xlfn.XLOOKUP(Tbla_actores[[#This Row],[codigo_proyecto]],Proyectos!$A:$A,Proyectos!$C:$C)),"")</f>
        <v>NULOS</v>
      </c>
    </row>
    <row r="2136" spans="1:15">
      <c r="A2136" s="9">
        <v>737141</v>
      </c>
      <c r="B2136" s="63" t="s">
        <v>61</v>
      </c>
      <c r="C2136" s="62" t="s">
        <v>6425</v>
      </c>
      <c r="D2136" t="s">
        <v>63</v>
      </c>
      <c r="E2136" t="s">
        <v>6426</v>
      </c>
      <c r="F2136" s="61" t="s">
        <v>1433</v>
      </c>
      <c r="G2136" s="15" t="s">
        <v>1433</v>
      </c>
      <c r="H2136" t="s">
        <v>1433</v>
      </c>
      <c r="I2136" s="62" t="s">
        <v>1433</v>
      </c>
      <c r="K2136" s="36" t="s">
        <v>6427</v>
      </c>
      <c r="L2136" t="s">
        <v>69</v>
      </c>
      <c r="M2136" s="62" t="s">
        <v>2558</v>
      </c>
      <c r="N2136" t="s">
        <v>71</v>
      </c>
      <c r="O2136" t="str">
        <f>IFERROR(IF(Tbla_actores[[#This Row],[codigo_proyecto]]="","",_xlfn.XLOOKUP(Tbla_actores[[#This Row],[codigo_proyecto]],Proyectos!$A:$A,Proyectos!$C:$C)),"")</f>
        <v>NULOS</v>
      </c>
    </row>
    <row r="2137" spans="1:15">
      <c r="A2137" s="10">
        <v>1193095432</v>
      </c>
      <c r="B2137" s="64" t="s">
        <v>61</v>
      </c>
      <c r="C2137" s="62" t="s">
        <v>6425</v>
      </c>
      <c r="D2137" t="s">
        <v>63</v>
      </c>
      <c r="E2137" t="s">
        <v>6428</v>
      </c>
      <c r="F2137" s="61">
        <v>37091</v>
      </c>
      <c r="G2137" s="15" t="s">
        <v>73</v>
      </c>
      <c r="H2137" t="s">
        <v>6429</v>
      </c>
      <c r="I2137" s="62" t="s">
        <v>6430</v>
      </c>
      <c r="K2137" s="36" t="s">
        <v>495</v>
      </c>
      <c r="L2137" t="s">
        <v>69</v>
      </c>
      <c r="M2137" s="62" t="s">
        <v>70</v>
      </c>
      <c r="N2137" t="s">
        <v>71</v>
      </c>
      <c r="O2137" t="str">
        <f>IFERROR(IF(Tbla_actores[[#This Row],[codigo_proyecto]]="","",_xlfn.XLOOKUP(Tbla_actores[[#This Row],[codigo_proyecto]],Proyectos!$A:$A,Proyectos!$C:$C)),"")</f>
        <v>NULOS</v>
      </c>
    </row>
    <row r="2138" spans="1:15">
      <c r="A2138" s="9">
        <v>1007917837</v>
      </c>
      <c r="B2138" s="63" t="s">
        <v>61</v>
      </c>
      <c r="C2138" s="62" t="s">
        <v>6425</v>
      </c>
      <c r="D2138" t="s">
        <v>63</v>
      </c>
      <c r="E2138" t="s">
        <v>6431</v>
      </c>
      <c r="F2138" s="61">
        <v>36618</v>
      </c>
      <c r="G2138" s="15" t="s">
        <v>73</v>
      </c>
      <c r="H2138" t="s">
        <v>6432</v>
      </c>
      <c r="I2138" s="62" t="s">
        <v>6433</v>
      </c>
      <c r="K2138" s="36" t="s">
        <v>495</v>
      </c>
      <c r="L2138" t="s">
        <v>69</v>
      </c>
      <c r="M2138" s="62" t="s">
        <v>70</v>
      </c>
      <c r="N2138" t="s">
        <v>71</v>
      </c>
      <c r="O2138" t="str">
        <f>IFERROR(IF(Tbla_actores[[#This Row],[codigo_proyecto]]="","",_xlfn.XLOOKUP(Tbla_actores[[#This Row],[codigo_proyecto]],Proyectos!$A:$A,Proyectos!$C:$C)),"")</f>
        <v>NULOS</v>
      </c>
    </row>
    <row r="2139" spans="1:15">
      <c r="A2139" s="10">
        <v>1007975944</v>
      </c>
      <c r="B2139" s="64" t="s">
        <v>61</v>
      </c>
      <c r="C2139" s="62" t="s">
        <v>6425</v>
      </c>
      <c r="D2139" t="s">
        <v>63</v>
      </c>
      <c r="E2139" t="s">
        <v>6434</v>
      </c>
      <c r="F2139" s="61">
        <v>37585</v>
      </c>
      <c r="G2139" s="15" t="s">
        <v>73</v>
      </c>
      <c r="H2139" t="s">
        <v>6435</v>
      </c>
      <c r="I2139" s="62" t="s">
        <v>6436</v>
      </c>
      <c r="K2139" s="36" t="s">
        <v>495</v>
      </c>
      <c r="L2139" t="s">
        <v>69</v>
      </c>
      <c r="M2139" s="62" t="s">
        <v>70</v>
      </c>
      <c r="N2139" t="s">
        <v>71</v>
      </c>
      <c r="O2139" t="str">
        <f>IFERROR(IF(Tbla_actores[[#This Row],[codigo_proyecto]]="","",_xlfn.XLOOKUP(Tbla_actores[[#This Row],[codigo_proyecto]],Proyectos!$A:$A,Proyectos!$C:$C)),"")</f>
        <v>NULOS</v>
      </c>
    </row>
    <row r="2140" spans="1:15">
      <c r="A2140" s="9">
        <v>1193106167</v>
      </c>
      <c r="B2140" s="63" t="s">
        <v>61</v>
      </c>
      <c r="C2140" s="62" t="s">
        <v>6425</v>
      </c>
      <c r="D2140" t="s">
        <v>63</v>
      </c>
      <c r="E2140" t="s">
        <v>6437</v>
      </c>
      <c r="F2140" s="61">
        <v>37637</v>
      </c>
      <c r="G2140" s="15" t="s">
        <v>73</v>
      </c>
      <c r="H2140" t="s">
        <v>6438</v>
      </c>
      <c r="I2140" s="62" t="s">
        <v>6439</v>
      </c>
      <c r="K2140" s="36" t="s">
        <v>495</v>
      </c>
      <c r="L2140" t="s">
        <v>69</v>
      </c>
      <c r="M2140" s="62" t="s">
        <v>70</v>
      </c>
      <c r="N2140" t="s">
        <v>71</v>
      </c>
      <c r="O2140" t="str">
        <f>IFERROR(IF(Tbla_actores[[#This Row],[codigo_proyecto]]="","",_xlfn.XLOOKUP(Tbla_actores[[#This Row],[codigo_proyecto]],Proyectos!$A:$A,Proyectos!$C:$C)),"")</f>
        <v>NULOS</v>
      </c>
    </row>
    <row r="2141" spans="1:15">
      <c r="A2141" s="10">
        <v>1001186456</v>
      </c>
      <c r="B2141" s="64" t="s">
        <v>61</v>
      </c>
      <c r="C2141" s="62" t="s">
        <v>6425</v>
      </c>
      <c r="D2141" t="s">
        <v>63</v>
      </c>
      <c r="E2141" t="s">
        <v>6440</v>
      </c>
      <c r="F2141" s="61">
        <v>37402</v>
      </c>
      <c r="G2141" s="15" t="s">
        <v>73</v>
      </c>
      <c r="H2141" t="s">
        <v>6441</v>
      </c>
      <c r="I2141" s="62" t="s">
        <v>6442</v>
      </c>
      <c r="K2141" s="36" t="s">
        <v>495</v>
      </c>
      <c r="L2141" t="s">
        <v>69</v>
      </c>
      <c r="M2141" s="62" t="s">
        <v>70</v>
      </c>
      <c r="N2141" t="s">
        <v>71</v>
      </c>
      <c r="O2141" t="str">
        <f>IFERROR(IF(Tbla_actores[[#This Row],[codigo_proyecto]]="","",_xlfn.XLOOKUP(Tbla_actores[[#This Row],[codigo_proyecto]],Proyectos!$A:$A,Proyectos!$C:$C)),"")</f>
        <v>NULOS</v>
      </c>
    </row>
    <row r="2142" spans="1:15">
      <c r="A2142" s="9">
        <v>1094975601</v>
      </c>
      <c r="B2142" s="63" t="s">
        <v>61</v>
      </c>
      <c r="C2142" s="62" t="s">
        <v>6425</v>
      </c>
      <c r="D2142" t="s">
        <v>63</v>
      </c>
      <c r="E2142" t="s">
        <v>6443</v>
      </c>
      <c r="F2142" s="61">
        <v>36353</v>
      </c>
      <c r="G2142" s="15" t="s">
        <v>73</v>
      </c>
      <c r="H2142" t="s">
        <v>6444</v>
      </c>
      <c r="I2142" s="62" t="s">
        <v>6445</v>
      </c>
      <c r="K2142" s="36" t="s">
        <v>495</v>
      </c>
      <c r="L2142" t="s">
        <v>69</v>
      </c>
      <c r="M2142" s="62" t="s">
        <v>70</v>
      </c>
      <c r="N2142" t="s">
        <v>71</v>
      </c>
      <c r="O2142" t="str">
        <f>IFERROR(IF(Tbla_actores[[#This Row],[codigo_proyecto]]="","",_xlfn.XLOOKUP(Tbla_actores[[#This Row],[codigo_proyecto]],Proyectos!$A:$A,Proyectos!$C:$C)),"")</f>
        <v>NULOS</v>
      </c>
    </row>
    <row r="2143" spans="1:15">
      <c r="A2143" s="10">
        <v>1003951060</v>
      </c>
      <c r="B2143" s="64" t="s">
        <v>61</v>
      </c>
      <c r="C2143" s="62" t="s">
        <v>6425</v>
      </c>
      <c r="D2143" t="s">
        <v>63</v>
      </c>
      <c r="E2143" t="s">
        <v>6446</v>
      </c>
      <c r="F2143" s="61">
        <v>37399</v>
      </c>
      <c r="G2143" s="15" t="s">
        <v>65</v>
      </c>
      <c r="H2143" t="s">
        <v>6447</v>
      </c>
      <c r="I2143" s="62" t="s">
        <v>6448</v>
      </c>
      <c r="K2143" s="36" t="s">
        <v>495</v>
      </c>
      <c r="L2143" t="s">
        <v>69</v>
      </c>
      <c r="M2143" s="62" t="s">
        <v>70</v>
      </c>
      <c r="N2143" t="s">
        <v>71</v>
      </c>
      <c r="O2143" t="str">
        <f>IFERROR(IF(Tbla_actores[[#This Row],[codigo_proyecto]]="","",_xlfn.XLOOKUP(Tbla_actores[[#This Row],[codigo_proyecto]],Proyectos!$A:$A,Proyectos!$C:$C)),"")</f>
        <v>NULOS</v>
      </c>
    </row>
    <row r="2144" spans="1:15">
      <c r="A2144" s="9">
        <v>1007101244</v>
      </c>
      <c r="B2144" s="63" t="s">
        <v>61</v>
      </c>
      <c r="C2144" s="62" t="s">
        <v>6425</v>
      </c>
      <c r="D2144" t="s">
        <v>63</v>
      </c>
      <c r="E2144" t="s">
        <v>6449</v>
      </c>
      <c r="F2144" s="61">
        <v>36661</v>
      </c>
      <c r="G2144" s="15" t="s">
        <v>73</v>
      </c>
      <c r="H2144" t="s">
        <v>6450</v>
      </c>
      <c r="I2144" s="62" t="s">
        <v>6451</v>
      </c>
      <c r="K2144" s="36" t="s">
        <v>495</v>
      </c>
      <c r="L2144" t="s">
        <v>69</v>
      </c>
      <c r="M2144" s="62" t="s">
        <v>70</v>
      </c>
      <c r="N2144" t="s">
        <v>71</v>
      </c>
      <c r="O2144" t="str">
        <f>IFERROR(IF(Tbla_actores[[#This Row],[codigo_proyecto]]="","",_xlfn.XLOOKUP(Tbla_actores[[#This Row],[codigo_proyecto]],Proyectos!$A:$A,Proyectos!$C:$C)),"")</f>
        <v>NULOS</v>
      </c>
    </row>
    <row r="2145" spans="1:15">
      <c r="A2145" s="10">
        <v>1233508530</v>
      </c>
      <c r="B2145" s="64" t="s">
        <v>61</v>
      </c>
      <c r="C2145" s="62" t="s">
        <v>6425</v>
      </c>
      <c r="D2145" t="s">
        <v>63</v>
      </c>
      <c r="E2145" t="s">
        <v>6452</v>
      </c>
      <c r="F2145" s="61">
        <v>36367</v>
      </c>
      <c r="G2145" s="15" t="s">
        <v>73</v>
      </c>
      <c r="H2145" t="s">
        <v>6453</v>
      </c>
      <c r="I2145" s="62" t="s">
        <v>6454</v>
      </c>
      <c r="K2145" s="36" t="s">
        <v>495</v>
      </c>
      <c r="L2145" t="s">
        <v>69</v>
      </c>
      <c r="M2145" s="62" t="s">
        <v>70</v>
      </c>
      <c r="N2145" t="s">
        <v>71</v>
      </c>
      <c r="O2145" t="str">
        <f>IFERROR(IF(Tbla_actores[[#This Row],[codigo_proyecto]]="","",_xlfn.XLOOKUP(Tbla_actores[[#This Row],[codigo_proyecto]],Proyectos!$A:$A,Proyectos!$C:$C)),"")</f>
        <v>NULOS</v>
      </c>
    </row>
    <row r="2146" spans="1:15">
      <c r="A2146" s="9">
        <v>1000271797</v>
      </c>
      <c r="B2146" s="63" t="s">
        <v>61</v>
      </c>
      <c r="C2146" s="62" t="s">
        <v>6425</v>
      </c>
      <c r="D2146" t="s">
        <v>63</v>
      </c>
      <c r="E2146" t="s">
        <v>6455</v>
      </c>
      <c r="F2146" s="61">
        <v>37088</v>
      </c>
      <c r="G2146" s="15" t="s">
        <v>65</v>
      </c>
      <c r="H2146" t="s">
        <v>6456</v>
      </c>
      <c r="I2146" s="62" t="s">
        <v>6457</v>
      </c>
      <c r="K2146" s="36" t="s">
        <v>495</v>
      </c>
      <c r="L2146" t="s">
        <v>69</v>
      </c>
      <c r="M2146" s="62" t="s">
        <v>70</v>
      </c>
      <c r="N2146" t="s">
        <v>71</v>
      </c>
      <c r="O2146" t="str">
        <f>IFERROR(IF(Tbla_actores[[#This Row],[codigo_proyecto]]="","",_xlfn.XLOOKUP(Tbla_actores[[#This Row],[codigo_proyecto]],Proyectos!$A:$A,Proyectos!$C:$C)),"")</f>
        <v>NULOS</v>
      </c>
    </row>
    <row r="2147" spans="1:15">
      <c r="A2147" s="10">
        <v>1001331578</v>
      </c>
      <c r="B2147" s="64" t="s">
        <v>61</v>
      </c>
      <c r="C2147" s="62" t="s">
        <v>6425</v>
      </c>
      <c r="D2147" t="s">
        <v>63</v>
      </c>
      <c r="E2147" t="s">
        <v>6458</v>
      </c>
      <c r="F2147" s="61">
        <v>37109</v>
      </c>
      <c r="G2147" s="15" t="s">
        <v>73</v>
      </c>
      <c r="H2147" t="s">
        <v>6459</v>
      </c>
      <c r="I2147" s="62" t="s">
        <v>6460</v>
      </c>
      <c r="K2147" s="36" t="s">
        <v>495</v>
      </c>
      <c r="L2147" t="s">
        <v>69</v>
      </c>
      <c r="M2147" s="62" t="s">
        <v>70</v>
      </c>
      <c r="N2147" t="s">
        <v>71</v>
      </c>
      <c r="O2147" t="str">
        <f>IFERROR(IF(Tbla_actores[[#This Row],[codigo_proyecto]]="","",_xlfn.XLOOKUP(Tbla_actores[[#This Row],[codigo_proyecto]],Proyectos!$A:$A,Proyectos!$C:$C)),"")</f>
        <v>NULOS</v>
      </c>
    </row>
    <row r="2148" spans="1:15">
      <c r="A2148" s="9">
        <v>1000719086</v>
      </c>
      <c r="B2148" s="63" t="s">
        <v>61</v>
      </c>
      <c r="C2148" s="62" t="s">
        <v>6425</v>
      </c>
      <c r="D2148" t="s">
        <v>63</v>
      </c>
      <c r="E2148" t="s">
        <v>6461</v>
      </c>
      <c r="F2148" s="61">
        <v>37520</v>
      </c>
      <c r="G2148" s="15" t="s">
        <v>73</v>
      </c>
      <c r="H2148" t="s">
        <v>6462</v>
      </c>
      <c r="I2148" s="62" t="s">
        <v>6463</v>
      </c>
      <c r="K2148" s="36" t="s">
        <v>495</v>
      </c>
      <c r="L2148" t="s">
        <v>69</v>
      </c>
      <c r="M2148" s="62" t="s">
        <v>70</v>
      </c>
      <c r="N2148" t="s">
        <v>71</v>
      </c>
      <c r="O2148" t="str">
        <f>IFERROR(IF(Tbla_actores[[#This Row],[codigo_proyecto]]="","",_xlfn.XLOOKUP(Tbla_actores[[#This Row],[codigo_proyecto]],Proyectos!$A:$A,Proyectos!$C:$C)),"")</f>
        <v>NULOS</v>
      </c>
    </row>
    <row r="2149" spans="1:15">
      <c r="A2149" s="10">
        <v>1000939492</v>
      </c>
      <c r="B2149" s="64" t="s">
        <v>61</v>
      </c>
      <c r="C2149" s="62" t="s">
        <v>6425</v>
      </c>
      <c r="D2149" t="s">
        <v>63</v>
      </c>
      <c r="E2149" t="s">
        <v>6464</v>
      </c>
      <c r="F2149" s="61">
        <v>36550</v>
      </c>
      <c r="G2149" s="15" t="s">
        <v>65</v>
      </c>
      <c r="H2149" t="s">
        <v>6465</v>
      </c>
      <c r="I2149" s="62" t="s">
        <v>6466</v>
      </c>
      <c r="K2149" s="36" t="s">
        <v>495</v>
      </c>
      <c r="L2149" t="s">
        <v>69</v>
      </c>
      <c r="M2149" s="62" t="s">
        <v>70</v>
      </c>
      <c r="N2149" t="s">
        <v>71</v>
      </c>
      <c r="O2149" t="str">
        <f>IFERROR(IF(Tbla_actores[[#This Row],[codigo_proyecto]]="","",_xlfn.XLOOKUP(Tbla_actores[[#This Row],[codigo_proyecto]],Proyectos!$A:$A,Proyectos!$C:$C)),"")</f>
        <v>NULOS</v>
      </c>
    </row>
    <row r="2150" spans="1:15">
      <c r="A2150" s="9">
        <v>1000005626</v>
      </c>
      <c r="B2150" s="63" t="s">
        <v>61</v>
      </c>
      <c r="C2150" s="62" t="s">
        <v>6425</v>
      </c>
      <c r="D2150" t="s">
        <v>63</v>
      </c>
      <c r="E2150" t="s">
        <v>6467</v>
      </c>
      <c r="F2150" s="61">
        <v>36007</v>
      </c>
      <c r="G2150" s="15" t="s">
        <v>65</v>
      </c>
      <c r="H2150" t="s">
        <v>6468</v>
      </c>
      <c r="I2150" s="62" t="s">
        <v>6469</v>
      </c>
      <c r="K2150" s="36" t="s">
        <v>495</v>
      </c>
      <c r="L2150" t="s">
        <v>69</v>
      </c>
      <c r="M2150" s="62" t="s">
        <v>70</v>
      </c>
      <c r="N2150" t="s">
        <v>71</v>
      </c>
      <c r="O2150" t="str">
        <f>IFERROR(IF(Tbla_actores[[#This Row],[codigo_proyecto]]="","",_xlfn.XLOOKUP(Tbla_actores[[#This Row],[codigo_proyecto]],Proyectos!$A:$A,Proyectos!$C:$C)),"")</f>
        <v>NULOS</v>
      </c>
    </row>
    <row r="2151" spans="1:15">
      <c r="A2151" s="10">
        <v>1000016593</v>
      </c>
      <c r="B2151" s="64" t="s">
        <v>61</v>
      </c>
      <c r="C2151" s="62" t="s">
        <v>6425</v>
      </c>
      <c r="D2151" t="s">
        <v>63</v>
      </c>
      <c r="E2151" t="s">
        <v>6470</v>
      </c>
      <c r="F2151" s="61">
        <v>36808</v>
      </c>
      <c r="G2151" s="15" t="s">
        <v>73</v>
      </c>
      <c r="H2151" t="s">
        <v>6471</v>
      </c>
      <c r="I2151" s="62" t="s">
        <v>6472</v>
      </c>
      <c r="K2151" s="36" t="s">
        <v>495</v>
      </c>
      <c r="L2151" t="s">
        <v>69</v>
      </c>
      <c r="M2151" s="62" t="s">
        <v>70</v>
      </c>
      <c r="N2151" t="s">
        <v>71</v>
      </c>
      <c r="O2151" t="str">
        <f>IFERROR(IF(Tbla_actores[[#This Row],[codigo_proyecto]]="","",_xlfn.XLOOKUP(Tbla_actores[[#This Row],[codigo_proyecto]],Proyectos!$A:$A,Proyectos!$C:$C)),"")</f>
        <v>NULOS</v>
      </c>
    </row>
    <row r="2152" spans="1:15">
      <c r="A2152" s="9">
        <v>1006946370</v>
      </c>
      <c r="B2152" s="63" t="s">
        <v>61</v>
      </c>
      <c r="C2152" s="62" t="s">
        <v>6425</v>
      </c>
      <c r="D2152" t="s">
        <v>63</v>
      </c>
      <c r="E2152" t="s">
        <v>6473</v>
      </c>
      <c r="F2152" s="61">
        <v>36867</v>
      </c>
      <c r="G2152" s="15" t="s">
        <v>73</v>
      </c>
      <c r="H2152" t="s">
        <v>6474</v>
      </c>
      <c r="I2152" s="62" t="s">
        <v>6475</v>
      </c>
      <c r="K2152" s="36" t="s">
        <v>495</v>
      </c>
      <c r="L2152" t="s">
        <v>69</v>
      </c>
      <c r="M2152" s="62" t="s">
        <v>70</v>
      </c>
      <c r="N2152" t="s">
        <v>71</v>
      </c>
      <c r="O2152" t="str">
        <f>IFERROR(IF(Tbla_actores[[#This Row],[codigo_proyecto]]="","",_xlfn.XLOOKUP(Tbla_actores[[#This Row],[codigo_proyecto]],Proyectos!$A:$A,Proyectos!$C:$C)),"")</f>
        <v>NULOS</v>
      </c>
    </row>
    <row r="2153" spans="1:15">
      <c r="A2153" s="10">
        <v>1000521260</v>
      </c>
      <c r="B2153" s="64" t="s">
        <v>61</v>
      </c>
      <c r="C2153" s="62" t="s">
        <v>6425</v>
      </c>
      <c r="D2153" t="s">
        <v>63</v>
      </c>
      <c r="E2153" t="s">
        <v>6476</v>
      </c>
      <c r="F2153" s="61">
        <v>36922</v>
      </c>
      <c r="G2153" s="15" t="s">
        <v>65</v>
      </c>
      <c r="H2153" t="s">
        <v>6477</v>
      </c>
      <c r="I2153" s="62" t="s">
        <v>6478</v>
      </c>
      <c r="K2153" s="36" t="s">
        <v>495</v>
      </c>
      <c r="L2153" t="s">
        <v>69</v>
      </c>
      <c r="M2153" s="62" t="s">
        <v>70</v>
      </c>
      <c r="N2153" t="s">
        <v>71</v>
      </c>
      <c r="O2153" t="str">
        <f>IFERROR(IF(Tbla_actores[[#This Row],[codigo_proyecto]]="","",_xlfn.XLOOKUP(Tbla_actores[[#This Row],[codigo_proyecto]],Proyectos!$A:$A,Proyectos!$C:$C)),"")</f>
        <v>NULOS</v>
      </c>
    </row>
    <row r="2154" spans="1:15">
      <c r="A2154" s="9">
        <v>1000156413</v>
      </c>
      <c r="B2154" s="63" t="s">
        <v>61</v>
      </c>
      <c r="C2154" s="62" t="s">
        <v>6425</v>
      </c>
      <c r="D2154" t="s">
        <v>63</v>
      </c>
      <c r="E2154" t="s">
        <v>6479</v>
      </c>
      <c r="F2154" s="61">
        <v>36735</v>
      </c>
      <c r="G2154" s="15" t="s">
        <v>65</v>
      </c>
      <c r="H2154" t="s">
        <v>6480</v>
      </c>
      <c r="I2154" s="62" t="s">
        <v>6481</v>
      </c>
      <c r="K2154" s="36" t="s">
        <v>495</v>
      </c>
      <c r="L2154" t="s">
        <v>69</v>
      </c>
      <c r="M2154" s="62" t="s">
        <v>70</v>
      </c>
      <c r="N2154" t="s">
        <v>71</v>
      </c>
      <c r="O2154" t="str">
        <f>IFERROR(IF(Tbla_actores[[#This Row],[codigo_proyecto]]="","",_xlfn.XLOOKUP(Tbla_actores[[#This Row],[codigo_proyecto]],Proyectos!$A:$A,Proyectos!$C:$C)),"")</f>
        <v>NULOS</v>
      </c>
    </row>
    <row r="2155" spans="1:15">
      <c r="A2155" s="10">
        <v>1193592970</v>
      </c>
      <c r="B2155" s="64" t="s">
        <v>61</v>
      </c>
      <c r="C2155" s="62" t="s">
        <v>6425</v>
      </c>
      <c r="D2155" t="s">
        <v>63</v>
      </c>
      <c r="E2155" t="s">
        <v>6482</v>
      </c>
      <c r="F2155" s="61">
        <v>37093</v>
      </c>
      <c r="G2155" s="15" t="s">
        <v>65</v>
      </c>
      <c r="H2155" t="s">
        <v>6483</v>
      </c>
      <c r="I2155" s="62" t="s">
        <v>6484</v>
      </c>
      <c r="K2155" s="36" t="s">
        <v>495</v>
      </c>
      <c r="L2155" t="s">
        <v>69</v>
      </c>
      <c r="M2155" s="62" t="s">
        <v>70</v>
      </c>
      <c r="N2155" t="s">
        <v>71</v>
      </c>
      <c r="O2155" t="str">
        <f>IFERROR(IF(Tbla_actores[[#This Row],[codigo_proyecto]]="","",_xlfn.XLOOKUP(Tbla_actores[[#This Row],[codigo_proyecto]],Proyectos!$A:$A,Proyectos!$C:$C)),"")</f>
        <v>NULOS</v>
      </c>
    </row>
    <row r="2156" spans="1:15">
      <c r="A2156" s="9">
        <v>1071144146</v>
      </c>
      <c r="B2156" s="63" t="s">
        <v>61</v>
      </c>
      <c r="C2156" s="62" t="s">
        <v>6425</v>
      </c>
      <c r="D2156" t="s">
        <v>63</v>
      </c>
      <c r="E2156" t="s">
        <v>6485</v>
      </c>
      <c r="F2156" s="61">
        <v>35512</v>
      </c>
      <c r="G2156" s="15" t="s">
        <v>73</v>
      </c>
      <c r="H2156" t="s">
        <v>6486</v>
      </c>
      <c r="I2156" s="62" t="s">
        <v>6487</v>
      </c>
      <c r="K2156" s="36" t="s">
        <v>495</v>
      </c>
      <c r="L2156" t="s">
        <v>69</v>
      </c>
      <c r="M2156" s="62" t="s">
        <v>70</v>
      </c>
      <c r="N2156" t="s">
        <v>71</v>
      </c>
      <c r="O2156" t="str">
        <f>IFERROR(IF(Tbla_actores[[#This Row],[codigo_proyecto]]="","",_xlfn.XLOOKUP(Tbla_actores[[#This Row],[codigo_proyecto]],Proyectos!$A:$A,Proyectos!$C:$C)),"")</f>
        <v>NULOS</v>
      </c>
    </row>
    <row r="2157" spans="1:15">
      <c r="A2157" s="10">
        <v>1003399425</v>
      </c>
      <c r="B2157" s="64" t="s">
        <v>61</v>
      </c>
      <c r="C2157" s="62" t="s">
        <v>6425</v>
      </c>
      <c r="D2157" t="s">
        <v>63</v>
      </c>
      <c r="E2157" t="s">
        <v>6488</v>
      </c>
      <c r="F2157" s="61">
        <v>37670</v>
      </c>
      <c r="G2157" s="15" t="s">
        <v>65</v>
      </c>
      <c r="H2157" t="s">
        <v>6489</v>
      </c>
      <c r="I2157" s="62" t="s">
        <v>6490</v>
      </c>
      <c r="K2157" s="36" t="s">
        <v>495</v>
      </c>
      <c r="L2157" t="s">
        <v>69</v>
      </c>
      <c r="M2157" s="62" t="s">
        <v>70</v>
      </c>
      <c r="N2157" t="s">
        <v>71</v>
      </c>
      <c r="O2157" t="str">
        <f>IFERROR(IF(Tbla_actores[[#This Row],[codigo_proyecto]]="","",_xlfn.XLOOKUP(Tbla_actores[[#This Row],[codigo_proyecto]],Proyectos!$A:$A,Proyectos!$C:$C)),"")</f>
        <v>NULOS</v>
      </c>
    </row>
    <row r="2158" spans="1:15">
      <c r="A2158" s="9">
        <v>1001169326</v>
      </c>
      <c r="B2158" s="63" t="s">
        <v>61</v>
      </c>
      <c r="C2158" s="62" t="s">
        <v>6425</v>
      </c>
      <c r="D2158" t="s">
        <v>63</v>
      </c>
      <c r="E2158" t="s">
        <v>6491</v>
      </c>
      <c r="F2158" s="61">
        <v>36529</v>
      </c>
      <c r="G2158" s="15" t="s">
        <v>73</v>
      </c>
      <c r="H2158" t="s">
        <v>6492</v>
      </c>
      <c r="I2158" s="62" t="s">
        <v>6493</v>
      </c>
      <c r="K2158" s="36" t="s">
        <v>495</v>
      </c>
      <c r="L2158" t="s">
        <v>69</v>
      </c>
      <c r="M2158" s="62" t="s">
        <v>70</v>
      </c>
      <c r="N2158" t="s">
        <v>71</v>
      </c>
      <c r="O2158" t="str">
        <f>IFERROR(IF(Tbla_actores[[#This Row],[codigo_proyecto]]="","",_xlfn.XLOOKUP(Tbla_actores[[#This Row],[codigo_proyecto]],Proyectos!$A:$A,Proyectos!$C:$C)),"")</f>
        <v>NULOS</v>
      </c>
    </row>
    <row r="2159" spans="1:15">
      <c r="A2159" s="10">
        <v>1000852232</v>
      </c>
      <c r="B2159" s="64" t="s">
        <v>61</v>
      </c>
      <c r="C2159" s="62" t="s">
        <v>6425</v>
      </c>
      <c r="D2159" t="s">
        <v>63</v>
      </c>
      <c r="E2159" t="s">
        <v>6494</v>
      </c>
      <c r="F2159" s="61">
        <v>37027</v>
      </c>
      <c r="G2159" s="15" t="s">
        <v>65</v>
      </c>
      <c r="H2159" t="s">
        <v>6495</v>
      </c>
      <c r="I2159" s="62" t="s">
        <v>6496</v>
      </c>
      <c r="K2159" s="36" t="s">
        <v>495</v>
      </c>
      <c r="L2159" t="s">
        <v>69</v>
      </c>
      <c r="M2159" s="62" t="s">
        <v>70</v>
      </c>
      <c r="N2159" t="s">
        <v>71</v>
      </c>
      <c r="O2159" t="str">
        <f>IFERROR(IF(Tbla_actores[[#This Row],[codigo_proyecto]]="","",_xlfn.XLOOKUP(Tbla_actores[[#This Row],[codigo_proyecto]],Proyectos!$A:$A,Proyectos!$C:$C)),"")</f>
        <v>NULOS</v>
      </c>
    </row>
    <row r="2160" spans="1:15">
      <c r="A2160" s="9">
        <v>1000288554</v>
      </c>
      <c r="B2160" s="63" t="s">
        <v>61</v>
      </c>
      <c r="C2160" s="62" t="s">
        <v>6425</v>
      </c>
      <c r="D2160" t="s">
        <v>63</v>
      </c>
      <c r="E2160" t="s">
        <v>6497</v>
      </c>
      <c r="F2160" s="61">
        <v>36962</v>
      </c>
      <c r="G2160" s="15" t="s">
        <v>73</v>
      </c>
      <c r="H2160" t="s">
        <v>6498</v>
      </c>
      <c r="I2160" s="62" t="s">
        <v>6499</v>
      </c>
      <c r="K2160" s="36" t="s">
        <v>495</v>
      </c>
      <c r="L2160" t="s">
        <v>69</v>
      </c>
      <c r="M2160" s="62" t="s">
        <v>70</v>
      </c>
      <c r="N2160" t="s">
        <v>71</v>
      </c>
      <c r="O2160" t="str">
        <f>IFERROR(IF(Tbla_actores[[#This Row],[codigo_proyecto]]="","",_xlfn.XLOOKUP(Tbla_actores[[#This Row],[codigo_proyecto]],Proyectos!$A:$A,Proyectos!$C:$C)),"")</f>
        <v>NULOS</v>
      </c>
    </row>
    <row r="2161" spans="1:15">
      <c r="A2161" s="10">
        <v>1193090073</v>
      </c>
      <c r="B2161" s="64" t="s">
        <v>61</v>
      </c>
      <c r="C2161" s="62" t="s">
        <v>6425</v>
      </c>
      <c r="D2161" t="s">
        <v>63</v>
      </c>
      <c r="E2161" t="s">
        <v>6500</v>
      </c>
      <c r="F2161" s="61">
        <v>37162</v>
      </c>
      <c r="G2161" s="15" t="s">
        <v>73</v>
      </c>
      <c r="H2161" t="s">
        <v>6501</v>
      </c>
      <c r="I2161" s="62" t="s">
        <v>6502</v>
      </c>
      <c r="K2161" s="36" t="s">
        <v>495</v>
      </c>
      <c r="L2161" t="s">
        <v>69</v>
      </c>
      <c r="M2161" s="62" t="s">
        <v>70</v>
      </c>
      <c r="N2161" t="s">
        <v>71</v>
      </c>
      <c r="O2161" t="str">
        <f>IFERROR(IF(Tbla_actores[[#This Row],[codigo_proyecto]]="","",_xlfn.XLOOKUP(Tbla_actores[[#This Row],[codigo_proyecto]],Proyectos!$A:$A,Proyectos!$C:$C)),"")</f>
        <v>NULOS</v>
      </c>
    </row>
    <row r="2162" spans="1:15">
      <c r="A2162" s="9">
        <v>1010146113</v>
      </c>
      <c r="B2162" s="63" t="s">
        <v>61</v>
      </c>
      <c r="C2162" s="62" t="s">
        <v>6425</v>
      </c>
      <c r="D2162" t="s">
        <v>63</v>
      </c>
      <c r="E2162" t="s">
        <v>6503</v>
      </c>
      <c r="F2162" s="61">
        <v>37281</v>
      </c>
      <c r="G2162" s="15" t="s">
        <v>73</v>
      </c>
      <c r="H2162" t="s">
        <v>6504</v>
      </c>
      <c r="I2162" s="62" t="s">
        <v>6505</v>
      </c>
      <c r="K2162" s="36" t="s">
        <v>495</v>
      </c>
      <c r="L2162" t="s">
        <v>69</v>
      </c>
      <c r="M2162" s="62" t="s">
        <v>70</v>
      </c>
      <c r="N2162" t="s">
        <v>71</v>
      </c>
      <c r="O2162" t="str">
        <f>IFERROR(IF(Tbla_actores[[#This Row],[codigo_proyecto]]="","",_xlfn.XLOOKUP(Tbla_actores[[#This Row],[codigo_proyecto]],Proyectos!$A:$A,Proyectos!$C:$C)),"")</f>
        <v>NULOS</v>
      </c>
    </row>
    <row r="2163" spans="1:15">
      <c r="A2163" s="10">
        <v>1019068953</v>
      </c>
      <c r="B2163" s="64" t="s">
        <v>61</v>
      </c>
      <c r="C2163" s="62" t="s">
        <v>6425</v>
      </c>
      <c r="D2163" t="s">
        <v>63</v>
      </c>
      <c r="E2163" t="s">
        <v>6506</v>
      </c>
      <c r="F2163" s="61">
        <v>33554</v>
      </c>
      <c r="G2163" s="15" t="s">
        <v>65</v>
      </c>
      <c r="H2163" t="s">
        <v>6507</v>
      </c>
      <c r="I2163" s="62" t="s">
        <v>6508</v>
      </c>
      <c r="K2163" s="36" t="s">
        <v>495</v>
      </c>
      <c r="L2163" t="s">
        <v>69</v>
      </c>
      <c r="M2163" s="62" t="s">
        <v>70</v>
      </c>
      <c r="N2163" t="s">
        <v>71</v>
      </c>
      <c r="O2163" t="str">
        <f>IFERROR(IF(Tbla_actores[[#This Row],[codigo_proyecto]]="","",_xlfn.XLOOKUP(Tbla_actores[[#This Row],[codigo_proyecto]],Proyectos!$A:$A,Proyectos!$C:$C)),"")</f>
        <v>NULOS</v>
      </c>
    </row>
    <row r="2164" spans="1:15">
      <c r="A2164" s="9">
        <v>1193596252</v>
      </c>
      <c r="B2164" s="63" t="s">
        <v>61</v>
      </c>
      <c r="C2164" s="62" t="s">
        <v>6425</v>
      </c>
      <c r="D2164" t="s">
        <v>63</v>
      </c>
      <c r="E2164" t="s">
        <v>6509</v>
      </c>
      <c r="F2164" s="61">
        <v>36887</v>
      </c>
      <c r="G2164" s="15" t="s">
        <v>73</v>
      </c>
      <c r="H2164" t="s">
        <v>6510</v>
      </c>
      <c r="I2164" s="62" t="s">
        <v>6511</v>
      </c>
      <c r="K2164" s="36" t="s">
        <v>495</v>
      </c>
      <c r="L2164" t="s">
        <v>69</v>
      </c>
      <c r="M2164" s="62" t="s">
        <v>70</v>
      </c>
      <c r="N2164" t="s">
        <v>71</v>
      </c>
      <c r="O2164" t="str">
        <f>IFERROR(IF(Tbla_actores[[#This Row],[codigo_proyecto]]="","",_xlfn.XLOOKUP(Tbla_actores[[#This Row],[codigo_proyecto]],Proyectos!$A:$A,Proyectos!$C:$C)),"")</f>
        <v>NULOS</v>
      </c>
    </row>
    <row r="2165" spans="1:15">
      <c r="A2165" s="10">
        <v>1049658800</v>
      </c>
      <c r="B2165" s="64" t="s">
        <v>61</v>
      </c>
      <c r="C2165" s="62" t="s">
        <v>6425</v>
      </c>
      <c r="D2165" t="s">
        <v>63</v>
      </c>
      <c r="E2165" t="s">
        <v>6512</v>
      </c>
      <c r="F2165" s="61">
        <v>36432</v>
      </c>
      <c r="G2165" s="15" t="s">
        <v>73</v>
      </c>
      <c r="H2165" t="s">
        <v>6513</v>
      </c>
      <c r="I2165" s="62" t="s">
        <v>6514</v>
      </c>
      <c r="K2165" s="36" t="s">
        <v>495</v>
      </c>
      <c r="L2165" t="s">
        <v>69</v>
      </c>
      <c r="M2165" s="62" t="s">
        <v>70</v>
      </c>
      <c r="N2165" t="s">
        <v>71</v>
      </c>
      <c r="O2165" t="str">
        <f>IFERROR(IF(Tbla_actores[[#This Row],[codigo_proyecto]]="","",_xlfn.XLOOKUP(Tbla_actores[[#This Row],[codigo_proyecto]],Proyectos!$A:$A,Proyectos!$C:$C)),"")</f>
        <v>NULOS</v>
      </c>
    </row>
    <row r="2166" spans="1:15">
      <c r="A2166" s="9">
        <v>985893</v>
      </c>
      <c r="B2166" s="63" t="s">
        <v>61</v>
      </c>
      <c r="C2166" s="62" t="s">
        <v>6425</v>
      </c>
      <c r="D2166" t="s">
        <v>63</v>
      </c>
      <c r="E2166" t="s">
        <v>6515</v>
      </c>
      <c r="F2166" s="61">
        <v>35023</v>
      </c>
      <c r="G2166" s="15" t="s">
        <v>73</v>
      </c>
      <c r="H2166" t="s">
        <v>6516</v>
      </c>
      <c r="I2166" s="62" t="s">
        <v>6517</v>
      </c>
      <c r="K2166" s="36" t="s">
        <v>495</v>
      </c>
      <c r="L2166" t="s">
        <v>69</v>
      </c>
      <c r="M2166" s="62" t="s">
        <v>70</v>
      </c>
      <c r="N2166" t="s">
        <v>71</v>
      </c>
      <c r="O2166" t="str">
        <f>IFERROR(IF(Tbla_actores[[#This Row],[codigo_proyecto]]="","",_xlfn.XLOOKUP(Tbla_actores[[#This Row],[codigo_proyecto]],Proyectos!$A:$A,Proyectos!$C:$C)),"")</f>
        <v>NULOS</v>
      </c>
    </row>
    <row r="2167" spans="1:15">
      <c r="A2167" s="10">
        <v>1003812218</v>
      </c>
      <c r="B2167" s="64" t="s">
        <v>61</v>
      </c>
      <c r="C2167" s="62" t="s">
        <v>6425</v>
      </c>
      <c r="D2167" t="s">
        <v>63</v>
      </c>
      <c r="E2167" t="s">
        <v>6518</v>
      </c>
      <c r="F2167" s="61">
        <v>36635</v>
      </c>
      <c r="G2167" s="15" t="s">
        <v>65</v>
      </c>
      <c r="H2167" t="s">
        <v>6519</v>
      </c>
      <c r="I2167" s="62" t="s">
        <v>6520</v>
      </c>
      <c r="K2167" s="36" t="s">
        <v>495</v>
      </c>
      <c r="L2167" t="s">
        <v>69</v>
      </c>
      <c r="M2167" s="62" t="s">
        <v>70</v>
      </c>
      <c r="N2167" t="s">
        <v>71</v>
      </c>
      <c r="O2167" t="str">
        <f>IFERROR(IF(Tbla_actores[[#This Row],[codigo_proyecto]]="","",_xlfn.XLOOKUP(Tbla_actores[[#This Row],[codigo_proyecto]],Proyectos!$A:$A,Proyectos!$C:$C)),"")</f>
        <v>NULOS</v>
      </c>
    </row>
    <row r="2168" spans="1:15">
      <c r="A2168" s="9">
        <v>1010120048</v>
      </c>
      <c r="B2168" s="63" t="s">
        <v>61</v>
      </c>
      <c r="C2168" s="62" t="s">
        <v>6425</v>
      </c>
      <c r="D2168" t="s">
        <v>63</v>
      </c>
      <c r="E2168" t="s">
        <v>6521</v>
      </c>
      <c r="F2168" s="61">
        <v>36823</v>
      </c>
      <c r="G2168" s="15" t="s">
        <v>73</v>
      </c>
      <c r="H2168" t="s">
        <v>6522</v>
      </c>
      <c r="I2168" s="62" t="s">
        <v>6523</v>
      </c>
      <c r="K2168" s="36" t="s">
        <v>495</v>
      </c>
      <c r="L2168" t="s">
        <v>69</v>
      </c>
      <c r="M2168" s="62" t="s">
        <v>70</v>
      </c>
      <c r="N2168" t="s">
        <v>71</v>
      </c>
      <c r="O2168" t="str">
        <f>IFERROR(IF(Tbla_actores[[#This Row],[codigo_proyecto]]="","",_xlfn.XLOOKUP(Tbla_actores[[#This Row],[codigo_proyecto]],Proyectos!$A:$A,Proyectos!$C:$C)),"")</f>
        <v>NULOS</v>
      </c>
    </row>
    <row r="2169" spans="1:15">
      <c r="A2169" s="10">
        <v>1068416424</v>
      </c>
      <c r="B2169" s="64" t="s">
        <v>61</v>
      </c>
      <c r="C2169" s="62" t="s">
        <v>6425</v>
      </c>
      <c r="D2169" t="s">
        <v>63</v>
      </c>
      <c r="E2169" t="s">
        <v>6524</v>
      </c>
      <c r="F2169" s="61">
        <v>36634</v>
      </c>
      <c r="G2169" s="15" t="s">
        <v>65</v>
      </c>
      <c r="H2169" t="s">
        <v>6525</v>
      </c>
      <c r="I2169" s="62" t="s">
        <v>6526</v>
      </c>
      <c r="K2169" s="36" t="s">
        <v>495</v>
      </c>
      <c r="L2169" t="s">
        <v>69</v>
      </c>
      <c r="M2169" s="62" t="s">
        <v>70</v>
      </c>
      <c r="N2169" t="s">
        <v>71</v>
      </c>
      <c r="O2169" t="str">
        <f>IFERROR(IF(Tbla_actores[[#This Row],[codigo_proyecto]]="","",_xlfn.XLOOKUP(Tbla_actores[[#This Row],[codigo_proyecto]],Proyectos!$A:$A,Proyectos!$C:$C)),"")</f>
        <v>NULOS</v>
      </c>
    </row>
    <row r="2170" spans="1:15">
      <c r="A2170" s="9">
        <v>1007627593</v>
      </c>
      <c r="B2170" s="63" t="s">
        <v>61</v>
      </c>
      <c r="C2170" s="62" t="s">
        <v>6425</v>
      </c>
      <c r="D2170" t="s">
        <v>63</v>
      </c>
      <c r="E2170" t="s">
        <v>6527</v>
      </c>
      <c r="F2170" s="61">
        <v>37198</v>
      </c>
      <c r="G2170" s="15" t="s">
        <v>73</v>
      </c>
      <c r="H2170" t="s">
        <v>6528</v>
      </c>
      <c r="I2170" s="62" t="s">
        <v>6529</v>
      </c>
      <c r="K2170" s="36" t="s">
        <v>495</v>
      </c>
      <c r="L2170" t="s">
        <v>69</v>
      </c>
      <c r="M2170" s="62" t="s">
        <v>70</v>
      </c>
      <c r="N2170" t="s">
        <v>71</v>
      </c>
      <c r="O2170" t="str">
        <f>IFERROR(IF(Tbla_actores[[#This Row],[codigo_proyecto]]="","",_xlfn.XLOOKUP(Tbla_actores[[#This Row],[codigo_proyecto]],Proyectos!$A:$A,Proyectos!$C:$C)),"")</f>
        <v>NULOS</v>
      </c>
    </row>
    <row r="2171" spans="1:15">
      <c r="A2171" s="10">
        <v>1003752623</v>
      </c>
      <c r="B2171" s="64" t="s">
        <v>61</v>
      </c>
      <c r="C2171" s="62" t="s">
        <v>6425</v>
      </c>
      <c r="D2171" t="s">
        <v>63</v>
      </c>
      <c r="E2171" t="s">
        <v>6530</v>
      </c>
      <c r="F2171" s="61">
        <v>36949</v>
      </c>
      <c r="G2171" s="15" t="s">
        <v>73</v>
      </c>
      <c r="H2171" t="s">
        <v>6531</v>
      </c>
      <c r="I2171" s="62" t="s">
        <v>6532</v>
      </c>
      <c r="K2171" s="36" t="s">
        <v>495</v>
      </c>
      <c r="L2171" t="s">
        <v>69</v>
      </c>
      <c r="M2171" s="62" t="s">
        <v>70</v>
      </c>
      <c r="N2171" t="s">
        <v>71</v>
      </c>
      <c r="O2171" t="str">
        <f>IFERROR(IF(Tbla_actores[[#This Row],[codigo_proyecto]]="","",_xlfn.XLOOKUP(Tbla_actores[[#This Row],[codigo_proyecto]],Proyectos!$A:$A,Proyectos!$C:$C)),"")</f>
        <v>NULOS</v>
      </c>
    </row>
    <row r="2172" spans="1:15">
      <c r="A2172" s="9">
        <v>1010114669</v>
      </c>
      <c r="B2172" s="63" t="s">
        <v>61</v>
      </c>
      <c r="C2172" s="62" t="s">
        <v>6425</v>
      </c>
      <c r="D2172" t="s">
        <v>63</v>
      </c>
      <c r="E2172" t="s">
        <v>6533</v>
      </c>
      <c r="F2172" s="61">
        <v>36786</v>
      </c>
      <c r="G2172" s="15" t="s">
        <v>73</v>
      </c>
      <c r="H2172" t="s">
        <v>6534</v>
      </c>
      <c r="I2172" s="62" t="s">
        <v>6535</v>
      </c>
      <c r="K2172" s="36" t="s">
        <v>495</v>
      </c>
      <c r="L2172" t="s">
        <v>69</v>
      </c>
      <c r="M2172" s="62" t="s">
        <v>70</v>
      </c>
      <c r="N2172" t="s">
        <v>71</v>
      </c>
      <c r="O2172" t="str">
        <f>IFERROR(IF(Tbla_actores[[#This Row],[codigo_proyecto]]="","",_xlfn.XLOOKUP(Tbla_actores[[#This Row],[codigo_proyecto]],Proyectos!$A:$A,Proyectos!$C:$C)),"")</f>
        <v>NULOS</v>
      </c>
    </row>
    <row r="2173" spans="1:15">
      <c r="A2173" s="10">
        <v>1003510190</v>
      </c>
      <c r="B2173" s="64" t="s">
        <v>61</v>
      </c>
      <c r="C2173" s="62" t="s">
        <v>6425</v>
      </c>
      <c r="D2173" t="s">
        <v>63</v>
      </c>
      <c r="E2173" t="s">
        <v>6536</v>
      </c>
      <c r="F2173" s="61">
        <v>37241</v>
      </c>
      <c r="G2173" s="15" t="s">
        <v>65</v>
      </c>
      <c r="H2173" t="s">
        <v>6537</v>
      </c>
      <c r="I2173" s="62" t="s">
        <v>6538</v>
      </c>
      <c r="K2173" s="36" t="s">
        <v>495</v>
      </c>
      <c r="L2173" t="s">
        <v>69</v>
      </c>
      <c r="M2173" s="62" t="s">
        <v>70</v>
      </c>
      <c r="N2173" t="s">
        <v>71</v>
      </c>
      <c r="O2173" t="str">
        <f>IFERROR(IF(Tbla_actores[[#This Row],[codigo_proyecto]]="","",_xlfn.XLOOKUP(Tbla_actores[[#This Row],[codigo_proyecto]],Proyectos!$A:$A,Proyectos!$C:$C)),"")</f>
        <v>NULOS</v>
      </c>
    </row>
    <row r="2174" spans="1:15">
      <c r="A2174" s="9">
        <v>1000593184</v>
      </c>
      <c r="B2174" s="63" t="s">
        <v>61</v>
      </c>
      <c r="C2174" s="62" t="s">
        <v>6425</v>
      </c>
      <c r="D2174" t="s">
        <v>63</v>
      </c>
      <c r="E2174" t="s">
        <v>6539</v>
      </c>
      <c r="F2174" s="61">
        <v>37464</v>
      </c>
      <c r="G2174" s="15" t="s">
        <v>73</v>
      </c>
      <c r="H2174" t="s">
        <v>6540</v>
      </c>
      <c r="I2174" s="62" t="s">
        <v>6541</v>
      </c>
      <c r="K2174" s="36" t="s">
        <v>495</v>
      </c>
      <c r="L2174" t="s">
        <v>69</v>
      </c>
      <c r="M2174" s="62" t="s">
        <v>70</v>
      </c>
      <c r="N2174" t="s">
        <v>71</v>
      </c>
      <c r="O2174" t="str">
        <f>IFERROR(IF(Tbla_actores[[#This Row],[codigo_proyecto]]="","",_xlfn.XLOOKUP(Tbla_actores[[#This Row],[codigo_proyecto]],Proyectos!$A:$A,Proyectos!$C:$C)),"")</f>
        <v>NULOS</v>
      </c>
    </row>
    <row r="2175" spans="1:15">
      <c r="A2175" s="10">
        <v>1000502604</v>
      </c>
      <c r="B2175" s="64" t="s">
        <v>61</v>
      </c>
      <c r="C2175" s="62" t="s">
        <v>6425</v>
      </c>
      <c r="D2175" t="s">
        <v>63</v>
      </c>
      <c r="E2175" t="s">
        <v>6542</v>
      </c>
      <c r="F2175" s="61">
        <v>37495</v>
      </c>
      <c r="G2175" s="15" t="s">
        <v>65</v>
      </c>
      <c r="H2175" t="s">
        <v>6543</v>
      </c>
      <c r="I2175" s="62" t="s">
        <v>6544</v>
      </c>
      <c r="K2175" s="36" t="s">
        <v>495</v>
      </c>
      <c r="L2175" t="s">
        <v>69</v>
      </c>
      <c r="M2175" s="62" t="s">
        <v>70</v>
      </c>
      <c r="N2175" t="s">
        <v>71</v>
      </c>
      <c r="O2175" t="str">
        <f>IFERROR(IF(Tbla_actores[[#This Row],[codigo_proyecto]]="","",_xlfn.XLOOKUP(Tbla_actores[[#This Row],[codigo_proyecto]],Proyectos!$A:$A,Proyectos!$C:$C)),"")</f>
        <v>NULOS</v>
      </c>
    </row>
    <row r="2176" spans="1:15">
      <c r="A2176" s="9">
        <v>1003865490</v>
      </c>
      <c r="B2176" s="63" t="s">
        <v>61</v>
      </c>
      <c r="C2176" s="62" t="s">
        <v>6425</v>
      </c>
      <c r="D2176" t="s">
        <v>63</v>
      </c>
      <c r="E2176" t="s">
        <v>6545</v>
      </c>
      <c r="F2176" s="61">
        <v>37761</v>
      </c>
      <c r="G2176" s="15" t="s">
        <v>73</v>
      </c>
      <c r="H2176" t="s">
        <v>6546</v>
      </c>
      <c r="I2176" s="62" t="s">
        <v>6547</v>
      </c>
      <c r="K2176" s="36" t="s">
        <v>495</v>
      </c>
      <c r="L2176" t="s">
        <v>69</v>
      </c>
      <c r="M2176" s="62" t="s">
        <v>70</v>
      </c>
      <c r="N2176" t="s">
        <v>71</v>
      </c>
      <c r="O2176" t="str">
        <f>IFERROR(IF(Tbla_actores[[#This Row],[codigo_proyecto]]="","",_xlfn.XLOOKUP(Tbla_actores[[#This Row],[codigo_proyecto]],Proyectos!$A:$A,Proyectos!$C:$C)),"")</f>
        <v>NULOS</v>
      </c>
    </row>
    <row r="2177" spans="1:15">
      <c r="A2177" s="10">
        <v>1000807701</v>
      </c>
      <c r="B2177" s="64" t="s">
        <v>61</v>
      </c>
      <c r="C2177" s="62" t="s">
        <v>6425</v>
      </c>
      <c r="D2177" t="s">
        <v>63</v>
      </c>
      <c r="E2177" t="s">
        <v>6548</v>
      </c>
      <c r="F2177" s="61">
        <v>36982</v>
      </c>
      <c r="G2177" s="15" t="s">
        <v>73</v>
      </c>
      <c r="H2177" t="s">
        <v>6549</v>
      </c>
      <c r="I2177" s="62" t="s">
        <v>6550</v>
      </c>
      <c r="K2177" s="36" t="s">
        <v>495</v>
      </c>
      <c r="L2177" t="s">
        <v>69</v>
      </c>
      <c r="M2177" s="62" t="s">
        <v>70</v>
      </c>
      <c r="N2177" t="s">
        <v>71</v>
      </c>
      <c r="O2177" t="str">
        <f>IFERROR(IF(Tbla_actores[[#This Row],[codigo_proyecto]]="","",_xlfn.XLOOKUP(Tbla_actores[[#This Row],[codigo_proyecto]],Proyectos!$A:$A,Proyectos!$C:$C)),"")</f>
        <v>NULOS</v>
      </c>
    </row>
    <row r="2178" spans="1:15">
      <c r="A2178" s="9">
        <v>1002607090</v>
      </c>
      <c r="B2178" s="63" t="s">
        <v>61</v>
      </c>
      <c r="C2178" s="62" t="s">
        <v>6425</v>
      </c>
      <c r="D2178" t="s">
        <v>63</v>
      </c>
      <c r="E2178" t="s">
        <v>6551</v>
      </c>
      <c r="F2178" s="61">
        <v>37380</v>
      </c>
      <c r="G2178" s="15" t="s">
        <v>73</v>
      </c>
      <c r="H2178" t="s">
        <v>6552</v>
      </c>
      <c r="I2178" s="62" t="s">
        <v>6553</v>
      </c>
      <c r="K2178" s="36" t="s">
        <v>495</v>
      </c>
      <c r="L2178" t="s">
        <v>69</v>
      </c>
      <c r="M2178" s="62" t="s">
        <v>70</v>
      </c>
      <c r="N2178" t="s">
        <v>71</v>
      </c>
      <c r="O2178" t="str">
        <f>IFERROR(IF(Tbla_actores[[#This Row],[codigo_proyecto]]="","",_xlfn.XLOOKUP(Tbla_actores[[#This Row],[codigo_proyecto]],Proyectos!$A:$A,Proyectos!$C:$C)),"")</f>
        <v>NULOS</v>
      </c>
    </row>
    <row r="2179" spans="1:15">
      <c r="A2179" s="10">
        <v>1000185537</v>
      </c>
      <c r="B2179" s="64" t="s">
        <v>61</v>
      </c>
      <c r="C2179" s="62" t="s">
        <v>6425</v>
      </c>
      <c r="D2179" t="s">
        <v>63</v>
      </c>
      <c r="E2179" t="s">
        <v>6554</v>
      </c>
      <c r="F2179" s="61">
        <v>37012</v>
      </c>
      <c r="G2179" s="15" t="s">
        <v>65</v>
      </c>
      <c r="H2179" t="s">
        <v>6555</v>
      </c>
      <c r="I2179" s="62" t="s">
        <v>6556</v>
      </c>
      <c r="K2179" s="36" t="s">
        <v>495</v>
      </c>
      <c r="L2179" t="s">
        <v>69</v>
      </c>
      <c r="M2179" s="62" t="s">
        <v>70</v>
      </c>
      <c r="N2179" t="s">
        <v>71</v>
      </c>
      <c r="O2179" t="str">
        <f>IFERROR(IF(Tbla_actores[[#This Row],[codigo_proyecto]]="","",_xlfn.XLOOKUP(Tbla_actores[[#This Row],[codigo_proyecto]],Proyectos!$A:$A,Proyectos!$C:$C)),"")</f>
        <v>NULOS</v>
      </c>
    </row>
    <row r="2180" spans="1:15">
      <c r="A2180" s="9">
        <v>1018512961</v>
      </c>
      <c r="B2180" s="63" t="s">
        <v>61</v>
      </c>
      <c r="C2180" s="62" t="s">
        <v>6425</v>
      </c>
      <c r="D2180" t="s">
        <v>63</v>
      </c>
      <c r="E2180" t="s">
        <v>6557</v>
      </c>
      <c r="F2180" s="61">
        <v>36392</v>
      </c>
      <c r="G2180" s="15" t="s">
        <v>73</v>
      </c>
      <c r="H2180" t="s">
        <v>6558</v>
      </c>
      <c r="I2180" s="62" t="s">
        <v>6559</v>
      </c>
      <c r="K2180" s="36" t="s">
        <v>495</v>
      </c>
      <c r="L2180" t="s">
        <v>69</v>
      </c>
      <c r="M2180" s="62" t="s">
        <v>70</v>
      </c>
      <c r="N2180" t="s">
        <v>71</v>
      </c>
      <c r="O2180" t="str">
        <f>IFERROR(IF(Tbla_actores[[#This Row],[codigo_proyecto]]="","",_xlfn.XLOOKUP(Tbla_actores[[#This Row],[codigo_proyecto]],Proyectos!$A:$A,Proyectos!$C:$C)),"")</f>
        <v>NULOS</v>
      </c>
    </row>
    <row r="2181" spans="1:15">
      <c r="A2181" s="10">
        <v>1005650705</v>
      </c>
      <c r="B2181" s="64" t="s">
        <v>61</v>
      </c>
      <c r="C2181" s="62" t="s">
        <v>6425</v>
      </c>
      <c r="D2181" t="s">
        <v>63</v>
      </c>
      <c r="E2181" t="s">
        <v>6560</v>
      </c>
      <c r="F2181" s="61">
        <v>36947</v>
      </c>
      <c r="G2181" s="15" t="s">
        <v>73</v>
      </c>
      <c r="H2181" t="s">
        <v>6561</v>
      </c>
      <c r="I2181" s="62" t="s">
        <v>6562</v>
      </c>
      <c r="K2181" s="36" t="s">
        <v>495</v>
      </c>
      <c r="L2181" t="s">
        <v>69</v>
      </c>
      <c r="M2181" s="62" t="s">
        <v>70</v>
      </c>
      <c r="N2181" t="s">
        <v>71</v>
      </c>
      <c r="O2181" t="str">
        <f>IFERROR(IF(Tbla_actores[[#This Row],[codigo_proyecto]]="","",_xlfn.XLOOKUP(Tbla_actores[[#This Row],[codigo_proyecto]],Proyectos!$A:$A,Proyectos!$C:$C)),"")</f>
        <v>NULOS</v>
      </c>
    </row>
    <row r="2182" spans="1:15">
      <c r="A2182" s="9">
        <v>1005752302</v>
      </c>
      <c r="B2182" s="63" t="s">
        <v>61</v>
      </c>
      <c r="C2182" s="62" t="s">
        <v>6425</v>
      </c>
      <c r="D2182" t="s">
        <v>63</v>
      </c>
      <c r="E2182" t="s">
        <v>6563</v>
      </c>
      <c r="F2182" s="61">
        <v>37345</v>
      </c>
      <c r="G2182" s="15" t="s">
        <v>65</v>
      </c>
      <c r="H2182" t="s">
        <v>6564</v>
      </c>
      <c r="I2182" s="62" t="s">
        <v>6565</v>
      </c>
      <c r="K2182" s="36" t="s">
        <v>495</v>
      </c>
      <c r="L2182" t="s">
        <v>69</v>
      </c>
      <c r="M2182" s="62" t="s">
        <v>70</v>
      </c>
      <c r="N2182" t="s">
        <v>71</v>
      </c>
      <c r="O2182" t="str">
        <f>IFERROR(IF(Tbla_actores[[#This Row],[codigo_proyecto]]="","",_xlfn.XLOOKUP(Tbla_actores[[#This Row],[codigo_proyecto]],Proyectos!$A:$A,Proyectos!$C:$C)),"")</f>
        <v>NULOS</v>
      </c>
    </row>
    <row r="2183" spans="1:15">
      <c r="A2183" s="10">
        <v>1000064842</v>
      </c>
      <c r="B2183" s="64" t="s">
        <v>61</v>
      </c>
      <c r="C2183" s="62" t="s">
        <v>6425</v>
      </c>
      <c r="D2183" t="s">
        <v>63</v>
      </c>
      <c r="E2183" t="s">
        <v>6566</v>
      </c>
      <c r="F2183" s="61">
        <v>37277</v>
      </c>
      <c r="G2183" s="15" t="s">
        <v>65</v>
      </c>
      <c r="H2183" t="s">
        <v>6567</v>
      </c>
      <c r="I2183" s="62" t="s">
        <v>6568</v>
      </c>
      <c r="K2183" s="36" t="s">
        <v>495</v>
      </c>
      <c r="L2183" t="s">
        <v>69</v>
      </c>
      <c r="M2183" s="62" t="s">
        <v>70</v>
      </c>
      <c r="N2183" t="s">
        <v>71</v>
      </c>
      <c r="O2183" t="str">
        <f>IFERROR(IF(Tbla_actores[[#This Row],[codigo_proyecto]]="","",_xlfn.XLOOKUP(Tbla_actores[[#This Row],[codigo_proyecto]],Proyectos!$A:$A,Proyectos!$C:$C)),"")</f>
        <v>NULOS</v>
      </c>
    </row>
    <row r="2184" spans="1:15">
      <c r="A2184" s="9">
        <v>1002162424</v>
      </c>
      <c r="B2184" s="63" t="s">
        <v>61</v>
      </c>
      <c r="C2184" s="62" t="s">
        <v>6425</v>
      </c>
      <c r="D2184" t="s">
        <v>63</v>
      </c>
      <c r="E2184" t="s">
        <v>6569</v>
      </c>
      <c r="F2184" s="61">
        <v>36931</v>
      </c>
      <c r="G2184" s="15" t="s">
        <v>73</v>
      </c>
      <c r="H2184" t="s">
        <v>6570</v>
      </c>
      <c r="I2184" s="62" t="s">
        <v>6571</v>
      </c>
      <c r="K2184" s="36" t="s">
        <v>495</v>
      </c>
      <c r="L2184" t="s">
        <v>69</v>
      </c>
      <c r="M2184" s="62" t="s">
        <v>70</v>
      </c>
      <c r="N2184" t="s">
        <v>71</v>
      </c>
      <c r="O2184" t="str">
        <f>IFERROR(IF(Tbla_actores[[#This Row],[codigo_proyecto]]="","",_xlfn.XLOOKUP(Tbla_actores[[#This Row],[codigo_proyecto]],Proyectos!$A:$A,Proyectos!$C:$C)),"")</f>
        <v>NULOS</v>
      </c>
    </row>
    <row r="2185" spans="1:15">
      <c r="A2185" s="10">
        <v>1000076696</v>
      </c>
      <c r="B2185" s="64" t="s">
        <v>61</v>
      </c>
      <c r="C2185" s="62" t="s">
        <v>6425</v>
      </c>
      <c r="D2185" t="s">
        <v>63</v>
      </c>
      <c r="E2185" t="s">
        <v>6572</v>
      </c>
      <c r="F2185" s="61">
        <v>36600</v>
      </c>
      <c r="G2185" s="15" t="s">
        <v>73</v>
      </c>
      <c r="H2185" t="s">
        <v>6573</v>
      </c>
      <c r="I2185" s="62" t="s">
        <v>6574</v>
      </c>
      <c r="K2185" s="36" t="s">
        <v>495</v>
      </c>
      <c r="L2185" t="s">
        <v>69</v>
      </c>
      <c r="M2185" s="62" t="s">
        <v>70</v>
      </c>
      <c r="N2185" t="s">
        <v>71</v>
      </c>
      <c r="O2185" t="str">
        <f>IFERROR(IF(Tbla_actores[[#This Row],[codigo_proyecto]]="","",_xlfn.XLOOKUP(Tbla_actores[[#This Row],[codigo_proyecto]],Proyectos!$A:$A,Proyectos!$C:$C)),"")</f>
        <v>NULOS</v>
      </c>
    </row>
    <row r="2186" spans="1:15">
      <c r="A2186" s="9">
        <v>1193068195</v>
      </c>
      <c r="B2186" s="63" t="s">
        <v>61</v>
      </c>
      <c r="C2186" s="62" t="s">
        <v>6425</v>
      </c>
      <c r="D2186" t="s">
        <v>63</v>
      </c>
      <c r="E2186" t="s">
        <v>6575</v>
      </c>
      <c r="F2186" s="61">
        <v>37273</v>
      </c>
      <c r="G2186" s="15" t="s">
        <v>73</v>
      </c>
      <c r="H2186" t="s">
        <v>6576</v>
      </c>
      <c r="I2186" s="62" t="s">
        <v>6577</v>
      </c>
      <c r="K2186" s="36" t="s">
        <v>495</v>
      </c>
      <c r="L2186" t="s">
        <v>69</v>
      </c>
      <c r="M2186" s="62" t="s">
        <v>70</v>
      </c>
      <c r="N2186" t="s">
        <v>71</v>
      </c>
      <c r="O2186" t="str">
        <f>IFERROR(IF(Tbla_actores[[#This Row],[codigo_proyecto]]="","",_xlfn.XLOOKUP(Tbla_actores[[#This Row],[codigo_proyecto]],Proyectos!$A:$A,Proyectos!$C:$C)),"")</f>
        <v>NULOS</v>
      </c>
    </row>
    <row r="2187" spans="1:15">
      <c r="A2187" s="10">
        <v>1000256872</v>
      </c>
      <c r="B2187" s="64" t="s">
        <v>61</v>
      </c>
      <c r="C2187" s="62" t="s">
        <v>6425</v>
      </c>
      <c r="D2187" t="s">
        <v>63</v>
      </c>
      <c r="E2187" t="s">
        <v>6578</v>
      </c>
      <c r="F2187" s="61">
        <v>37166</v>
      </c>
      <c r="G2187" s="15" t="s">
        <v>65</v>
      </c>
      <c r="H2187" t="s">
        <v>6579</v>
      </c>
      <c r="I2187" s="62" t="s">
        <v>6580</v>
      </c>
      <c r="K2187" s="36" t="s">
        <v>495</v>
      </c>
      <c r="L2187" t="s">
        <v>69</v>
      </c>
      <c r="M2187" s="62" t="s">
        <v>70</v>
      </c>
      <c r="N2187" t="s">
        <v>71</v>
      </c>
      <c r="O2187" t="str">
        <f>IFERROR(IF(Tbla_actores[[#This Row],[codigo_proyecto]]="","",_xlfn.XLOOKUP(Tbla_actores[[#This Row],[codigo_proyecto]],Proyectos!$A:$A,Proyectos!$C:$C)),"")</f>
        <v>NULOS</v>
      </c>
    </row>
    <row r="2188" spans="1:15">
      <c r="A2188" s="9">
        <v>1000932367</v>
      </c>
      <c r="B2188" s="63" t="s">
        <v>61</v>
      </c>
      <c r="C2188" s="62" t="s">
        <v>6425</v>
      </c>
      <c r="D2188" t="s">
        <v>63</v>
      </c>
      <c r="E2188" t="s">
        <v>6581</v>
      </c>
      <c r="F2188" s="61">
        <v>37544</v>
      </c>
      <c r="G2188" s="15" t="s">
        <v>73</v>
      </c>
      <c r="H2188" t="s">
        <v>6582</v>
      </c>
      <c r="I2188" s="62" t="s">
        <v>6583</v>
      </c>
      <c r="K2188" s="36" t="s">
        <v>495</v>
      </c>
      <c r="L2188" t="s">
        <v>69</v>
      </c>
      <c r="M2188" s="62" t="s">
        <v>70</v>
      </c>
      <c r="N2188" t="s">
        <v>71</v>
      </c>
      <c r="O2188" t="str">
        <f>IFERROR(IF(Tbla_actores[[#This Row],[codigo_proyecto]]="","",_xlfn.XLOOKUP(Tbla_actores[[#This Row],[codigo_proyecto]],Proyectos!$A:$A,Proyectos!$C:$C)),"")</f>
        <v>NULOS</v>
      </c>
    </row>
    <row r="2189" spans="1:15">
      <c r="A2189" s="10">
        <v>1013651747</v>
      </c>
      <c r="B2189" s="64" t="s">
        <v>61</v>
      </c>
      <c r="C2189" s="62" t="s">
        <v>6425</v>
      </c>
      <c r="D2189" t="s">
        <v>63</v>
      </c>
      <c r="E2189" t="s">
        <v>6584</v>
      </c>
      <c r="F2189" s="61">
        <v>34562</v>
      </c>
      <c r="G2189" s="15" t="s">
        <v>73</v>
      </c>
      <c r="H2189" t="s">
        <v>6585</v>
      </c>
      <c r="I2189" s="62" t="s">
        <v>6586</v>
      </c>
      <c r="K2189" s="36" t="s">
        <v>495</v>
      </c>
      <c r="L2189" t="s">
        <v>69</v>
      </c>
      <c r="M2189" s="62" t="s">
        <v>70</v>
      </c>
      <c r="N2189" t="s">
        <v>71</v>
      </c>
      <c r="O2189" t="str">
        <f>IFERROR(IF(Tbla_actores[[#This Row],[codigo_proyecto]]="","",_xlfn.XLOOKUP(Tbla_actores[[#This Row],[codigo_proyecto]],Proyectos!$A:$A,Proyectos!$C:$C)),"")</f>
        <v>NULOS</v>
      </c>
    </row>
    <row r="2190" spans="1:15">
      <c r="A2190" s="9">
        <v>1118865016</v>
      </c>
      <c r="B2190" s="63" t="s">
        <v>61</v>
      </c>
      <c r="C2190" s="62" t="s">
        <v>6425</v>
      </c>
      <c r="D2190" t="s">
        <v>63</v>
      </c>
      <c r="E2190" t="s">
        <v>6587</v>
      </c>
      <c r="F2190" s="61">
        <v>35619</v>
      </c>
      <c r="G2190" s="15" t="s">
        <v>73</v>
      </c>
      <c r="H2190" t="s">
        <v>6423</v>
      </c>
      <c r="I2190" s="62" t="s">
        <v>6424</v>
      </c>
      <c r="K2190" s="36" t="s">
        <v>495</v>
      </c>
      <c r="L2190" t="s">
        <v>69</v>
      </c>
      <c r="M2190" s="62" t="s">
        <v>70</v>
      </c>
      <c r="N2190" t="s">
        <v>71</v>
      </c>
      <c r="O2190" t="str">
        <f>IFERROR(IF(Tbla_actores[[#This Row],[codigo_proyecto]]="","",_xlfn.XLOOKUP(Tbla_actores[[#This Row],[codigo_proyecto]],Proyectos!$A:$A,Proyectos!$C:$C)),"")</f>
        <v>NULOS</v>
      </c>
    </row>
    <row r="2191" spans="1:15">
      <c r="A2191" s="10">
        <v>1005182248</v>
      </c>
      <c r="B2191" s="64" t="s">
        <v>61</v>
      </c>
      <c r="C2191" s="62" t="s">
        <v>6425</v>
      </c>
      <c r="D2191" t="s">
        <v>63</v>
      </c>
      <c r="E2191" t="s">
        <v>6588</v>
      </c>
      <c r="F2191" s="61">
        <v>37142</v>
      </c>
      <c r="G2191" s="15" t="s">
        <v>73</v>
      </c>
      <c r="H2191" t="s">
        <v>6589</v>
      </c>
      <c r="I2191" s="62" t="s">
        <v>6590</v>
      </c>
      <c r="K2191" s="36" t="s">
        <v>495</v>
      </c>
      <c r="L2191" t="s">
        <v>69</v>
      </c>
      <c r="M2191" s="62" t="s">
        <v>70</v>
      </c>
      <c r="N2191" t="s">
        <v>71</v>
      </c>
      <c r="O2191" t="str">
        <f>IFERROR(IF(Tbla_actores[[#This Row],[codigo_proyecto]]="","",_xlfn.XLOOKUP(Tbla_actores[[#This Row],[codigo_proyecto]],Proyectos!$A:$A,Proyectos!$C:$C)),"")</f>
        <v>NULOS</v>
      </c>
    </row>
    <row r="2192" spans="1:15">
      <c r="A2192" s="9">
        <v>1032489345</v>
      </c>
      <c r="B2192" s="63" t="s">
        <v>61</v>
      </c>
      <c r="C2192" s="62" t="s">
        <v>6425</v>
      </c>
      <c r="D2192" t="s">
        <v>63</v>
      </c>
      <c r="E2192" t="s">
        <v>6591</v>
      </c>
      <c r="F2192" s="61">
        <v>35489</v>
      </c>
      <c r="G2192" s="15" t="s">
        <v>73</v>
      </c>
      <c r="H2192" t="s">
        <v>6592</v>
      </c>
      <c r="I2192" s="62" t="s">
        <v>6593</v>
      </c>
      <c r="K2192" s="36" t="s">
        <v>495</v>
      </c>
      <c r="L2192" t="s">
        <v>69</v>
      </c>
      <c r="M2192" s="62" t="s">
        <v>70</v>
      </c>
      <c r="N2192" t="s">
        <v>71</v>
      </c>
      <c r="O2192" t="str">
        <f>IFERROR(IF(Tbla_actores[[#This Row],[codigo_proyecto]]="","",_xlfn.XLOOKUP(Tbla_actores[[#This Row],[codigo_proyecto]],Proyectos!$A:$A,Proyectos!$C:$C)),"")</f>
        <v>NULOS</v>
      </c>
    </row>
    <row r="2193" spans="1:15">
      <c r="A2193" s="10">
        <v>1007659482</v>
      </c>
      <c r="B2193" s="64" t="s">
        <v>61</v>
      </c>
      <c r="C2193" s="62" t="s">
        <v>6425</v>
      </c>
      <c r="D2193" t="s">
        <v>63</v>
      </c>
      <c r="E2193" t="s">
        <v>6594</v>
      </c>
      <c r="F2193" s="61">
        <v>37089</v>
      </c>
      <c r="G2193" s="15" t="s">
        <v>73</v>
      </c>
      <c r="H2193" t="s">
        <v>6595</v>
      </c>
      <c r="I2193" s="62" t="s">
        <v>6596</v>
      </c>
      <c r="K2193" s="36" t="s">
        <v>495</v>
      </c>
      <c r="L2193" t="s">
        <v>69</v>
      </c>
      <c r="M2193" s="62" t="s">
        <v>70</v>
      </c>
      <c r="N2193" t="s">
        <v>71</v>
      </c>
      <c r="O2193" t="str">
        <f>IFERROR(IF(Tbla_actores[[#This Row],[codigo_proyecto]]="","",_xlfn.XLOOKUP(Tbla_actores[[#This Row],[codigo_proyecto]],Proyectos!$A:$A,Proyectos!$C:$C)),"")</f>
        <v>NULOS</v>
      </c>
    </row>
    <row r="2194" spans="1:15">
      <c r="A2194" s="9">
        <v>1020827777</v>
      </c>
      <c r="B2194" s="63" t="s">
        <v>61</v>
      </c>
      <c r="C2194" s="62" t="s">
        <v>6425</v>
      </c>
      <c r="D2194" t="s">
        <v>63</v>
      </c>
      <c r="E2194" t="s">
        <v>6597</v>
      </c>
      <c r="F2194" s="61">
        <v>35675</v>
      </c>
      <c r="G2194" s="15" t="s">
        <v>73</v>
      </c>
      <c r="H2194" t="s">
        <v>6598</v>
      </c>
      <c r="I2194" s="62" t="s">
        <v>6599</v>
      </c>
      <c r="K2194" s="36" t="s">
        <v>495</v>
      </c>
      <c r="L2194" t="s">
        <v>69</v>
      </c>
      <c r="M2194" s="62" t="s">
        <v>70</v>
      </c>
      <c r="N2194" t="s">
        <v>71</v>
      </c>
      <c r="O2194" t="str">
        <f>IFERROR(IF(Tbla_actores[[#This Row],[codigo_proyecto]]="","",_xlfn.XLOOKUP(Tbla_actores[[#This Row],[codigo_proyecto]],Proyectos!$A:$A,Proyectos!$C:$C)),"")</f>
        <v>NULOS</v>
      </c>
    </row>
    <row r="2195" spans="1:15">
      <c r="A2195" s="10">
        <v>1002328979</v>
      </c>
      <c r="B2195" s="64" t="s">
        <v>61</v>
      </c>
      <c r="C2195" s="62" t="s">
        <v>6425</v>
      </c>
      <c r="D2195" t="s">
        <v>63</v>
      </c>
      <c r="E2195" t="s">
        <v>6600</v>
      </c>
      <c r="F2195" s="61">
        <v>37290</v>
      </c>
      <c r="G2195" s="15" t="s">
        <v>65</v>
      </c>
      <c r="H2195" t="s">
        <v>6601</v>
      </c>
      <c r="I2195" s="62" t="s">
        <v>6602</v>
      </c>
      <c r="K2195" s="36" t="s">
        <v>495</v>
      </c>
      <c r="L2195" t="s">
        <v>69</v>
      </c>
      <c r="M2195" s="62" t="s">
        <v>70</v>
      </c>
      <c r="N2195" t="s">
        <v>71</v>
      </c>
      <c r="O2195" t="str">
        <f>IFERROR(IF(Tbla_actores[[#This Row],[codigo_proyecto]]="","",_xlfn.XLOOKUP(Tbla_actores[[#This Row],[codigo_proyecto]],Proyectos!$A:$A,Proyectos!$C:$C)),"")</f>
        <v>NULOS</v>
      </c>
    </row>
    <row r="2196" spans="1:15">
      <c r="A2196" s="9">
        <v>1000591856</v>
      </c>
      <c r="B2196" s="63" t="s">
        <v>61</v>
      </c>
      <c r="C2196" s="62" t="s">
        <v>6425</v>
      </c>
      <c r="D2196" t="s">
        <v>63</v>
      </c>
      <c r="E2196" t="s">
        <v>6603</v>
      </c>
      <c r="F2196" s="61">
        <v>37301</v>
      </c>
      <c r="G2196" s="15" t="s">
        <v>73</v>
      </c>
      <c r="H2196" t="s">
        <v>6604</v>
      </c>
      <c r="I2196" s="62" t="s">
        <v>6605</v>
      </c>
      <c r="K2196" s="36" t="s">
        <v>495</v>
      </c>
      <c r="L2196" t="s">
        <v>69</v>
      </c>
      <c r="M2196" s="62" t="s">
        <v>70</v>
      </c>
      <c r="N2196" t="s">
        <v>71</v>
      </c>
      <c r="O2196" t="str">
        <f>IFERROR(IF(Tbla_actores[[#This Row],[codigo_proyecto]]="","",_xlfn.XLOOKUP(Tbla_actores[[#This Row],[codigo_proyecto]],Proyectos!$A:$A,Proyectos!$C:$C)),"")</f>
        <v>NULOS</v>
      </c>
    </row>
    <row r="2197" spans="1:15">
      <c r="A2197" s="10">
        <v>1000284430</v>
      </c>
      <c r="B2197" s="64" t="s">
        <v>61</v>
      </c>
      <c r="C2197" s="62" t="s">
        <v>6425</v>
      </c>
      <c r="D2197" t="s">
        <v>63</v>
      </c>
      <c r="E2197" t="s">
        <v>6606</v>
      </c>
      <c r="F2197" s="61">
        <v>36810</v>
      </c>
      <c r="G2197" s="15" t="s">
        <v>73</v>
      </c>
      <c r="H2197" t="s">
        <v>6607</v>
      </c>
      <c r="I2197" s="62" t="s">
        <v>6608</v>
      </c>
      <c r="K2197" s="36" t="s">
        <v>495</v>
      </c>
      <c r="L2197" t="s">
        <v>69</v>
      </c>
      <c r="M2197" s="62" t="s">
        <v>70</v>
      </c>
      <c r="N2197" t="s">
        <v>71</v>
      </c>
      <c r="O2197" t="str">
        <f>IFERROR(IF(Tbla_actores[[#This Row],[codigo_proyecto]]="","",_xlfn.XLOOKUP(Tbla_actores[[#This Row],[codigo_proyecto]],Proyectos!$A:$A,Proyectos!$C:$C)),"")</f>
        <v>NULOS</v>
      </c>
    </row>
    <row r="2198" spans="1:15">
      <c r="A2198" s="9">
        <v>1005336827</v>
      </c>
      <c r="B2198" s="63" t="s">
        <v>61</v>
      </c>
      <c r="C2198" s="62" t="s">
        <v>6425</v>
      </c>
      <c r="D2198" t="s">
        <v>63</v>
      </c>
      <c r="E2198" t="s">
        <v>6609</v>
      </c>
      <c r="F2198" s="61">
        <v>36814</v>
      </c>
      <c r="G2198" s="15" t="s">
        <v>65</v>
      </c>
      <c r="H2198" t="s">
        <v>6610</v>
      </c>
      <c r="I2198" s="62" t="s">
        <v>6611</v>
      </c>
      <c r="K2198" s="36" t="s">
        <v>68</v>
      </c>
      <c r="L2198" t="s">
        <v>69</v>
      </c>
      <c r="M2198" s="62" t="s">
        <v>70</v>
      </c>
      <c r="N2198" t="s">
        <v>71</v>
      </c>
      <c r="O2198" t="str">
        <f>IFERROR(IF(Tbla_actores[[#This Row],[codigo_proyecto]]="","",_xlfn.XLOOKUP(Tbla_actores[[#This Row],[codigo_proyecto]],Proyectos!$A:$A,Proyectos!$C:$C)),"")</f>
        <v>NULOS</v>
      </c>
    </row>
    <row r="2199" spans="1:15">
      <c r="A2199" s="10">
        <v>1000225502</v>
      </c>
      <c r="B2199" s="64" t="s">
        <v>61</v>
      </c>
      <c r="C2199" s="62" t="s">
        <v>6425</v>
      </c>
      <c r="D2199" t="s">
        <v>63</v>
      </c>
      <c r="E2199" t="s">
        <v>6612</v>
      </c>
      <c r="F2199" s="61">
        <v>37416</v>
      </c>
      <c r="G2199" s="15" t="s">
        <v>73</v>
      </c>
      <c r="H2199" t="s">
        <v>6613</v>
      </c>
      <c r="I2199" s="62" t="s">
        <v>6614</v>
      </c>
      <c r="K2199" s="36" t="s">
        <v>68</v>
      </c>
      <c r="L2199" t="s">
        <v>69</v>
      </c>
      <c r="M2199" s="62" t="s">
        <v>70</v>
      </c>
      <c r="N2199" t="s">
        <v>71</v>
      </c>
      <c r="O2199" t="str">
        <f>IFERROR(IF(Tbla_actores[[#This Row],[codigo_proyecto]]="","",_xlfn.XLOOKUP(Tbla_actores[[#This Row],[codigo_proyecto]],Proyectos!$A:$A,Proyectos!$C:$C)),"")</f>
        <v>NULOS</v>
      </c>
    </row>
    <row r="2200" spans="1:15">
      <c r="A2200" s="9">
        <v>1193526607</v>
      </c>
      <c r="B2200" s="63" t="s">
        <v>61</v>
      </c>
      <c r="C2200" s="62" t="s">
        <v>6425</v>
      </c>
      <c r="D2200" t="s">
        <v>63</v>
      </c>
      <c r="E2200" t="s">
        <v>6615</v>
      </c>
      <c r="F2200" s="61">
        <v>37103</v>
      </c>
      <c r="G2200" s="15" t="s">
        <v>73</v>
      </c>
      <c r="H2200" t="s">
        <v>6616</v>
      </c>
      <c r="I2200" s="62" t="s">
        <v>6617</v>
      </c>
      <c r="K2200" s="36" t="s">
        <v>68</v>
      </c>
      <c r="L2200" t="s">
        <v>69</v>
      </c>
      <c r="M2200" s="62" t="s">
        <v>70</v>
      </c>
      <c r="N2200" t="s">
        <v>71</v>
      </c>
      <c r="O2200" t="str">
        <f>IFERROR(IF(Tbla_actores[[#This Row],[codigo_proyecto]]="","",_xlfn.XLOOKUP(Tbla_actores[[#This Row],[codigo_proyecto]],Proyectos!$A:$A,Proyectos!$C:$C)),"")</f>
        <v>NULOS</v>
      </c>
    </row>
    <row r="2201" spans="1:15">
      <c r="A2201" s="10">
        <v>1001217696</v>
      </c>
      <c r="B2201" s="64" t="s">
        <v>61</v>
      </c>
      <c r="C2201" s="62" t="s">
        <v>6425</v>
      </c>
      <c r="D2201" t="s">
        <v>63</v>
      </c>
      <c r="E2201" t="s">
        <v>6618</v>
      </c>
      <c r="F2201" s="61">
        <v>37907</v>
      </c>
      <c r="G2201" s="15" t="s">
        <v>73</v>
      </c>
      <c r="H2201" t="s">
        <v>6619</v>
      </c>
      <c r="I2201" s="62" t="s">
        <v>6620</v>
      </c>
      <c r="K2201" s="36" t="s">
        <v>68</v>
      </c>
      <c r="L2201" t="s">
        <v>69</v>
      </c>
      <c r="M2201" s="62" t="s">
        <v>70</v>
      </c>
      <c r="N2201" t="s">
        <v>71</v>
      </c>
      <c r="O2201" t="str">
        <f>IFERROR(IF(Tbla_actores[[#This Row],[codigo_proyecto]]="","",_xlfn.XLOOKUP(Tbla_actores[[#This Row],[codigo_proyecto]],Proyectos!$A:$A,Proyectos!$C:$C)),"")</f>
        <v>NULOS</v>
      </c>
    </row>
    <row r="2202" spans="1:15">
      <c r="A2202" s="9">
        <v>1000286640</v>
      </c>
      <c r="B2202" s="63" t="s">
        <v>61</v>
      </c>
      <c r="C2202" s="62" t="s">
        <v>6425</v>
      </c>
      <c r="D2202" t="s">
        <v>63</v>
      </c>
      <c r="E2202" t="s">
        <v>6621</v>
      </c>
      <c r="F2202" s="61">
        <v>37633</v>
      </c>
      <c r="G2202" s="15" t="s">
        <v>73</v>
      </c>
      <c r="H2202" t="s">
        <v>6622</v>
      </c>
      <c r="I2202" s="62" t="s">
        <v>6623</v>
      </c>
      <c r="K2202" s="36" t="s">
        <v>68</v>
      </c>
      <c r="L2202" t="s">
        <v>69</v>
      </c>
      <c r="M2202" s="62" t="s">
        <v>70</v>
      </c>
      <c r="N2202" t="s">
        <v>71</v>
      </c>
      <c r="O2202" t="str">
        <f>IFERROR(IF(Tbla_actores[[#This Row],[codigo_proyecto]]="","",_xlfn.XLOOKUP(Tbla_actores[[#This Row],[codigo_proyecto]],Proyectos!$A:$A,Proyectos!$C:$C)),"")</f>
        <v>NULOS</v>
      </c>
    </row>
    <row r="2203" spans="1:15">
      <c r="A2203" s="10">
        <v>1000339131</v>
      </c>
      <c r="B2203" s="64" t="s">
        <v>61</v>
      </c>
      <c r="C2203" s="62" t="s">
        <v>6425</v>
      </c>
      <c r="D2203" t="s">
        <v>63</v>
      </c>
      <c r="E2203" t="s">
        <v>6624</v>
      </c>
      <c r="F2203" s="61">
        <v>37048</v>
      </c>
      <c r="G2203" s="15" t="s">
        <v>73</v>
      </c>
      <c r="H2203" t="s">
        <v>6625</v>
      </c>
      <c r="I2203" s="62" t="s">
        <v>6626</v>
      </c>
      <c r="K2203" s="36" t="s">
        <v>68</v>
      </c>
      <c r="L2203" t="s">
        <v>69</v>
      </c>
      <c r="M2203" s="62" t="s">
        <v>70</v>
      </c>
      <c r="N2203" t="s">
        <v>71</v>
      </c>
      <c r="O2203" t="str">
        <f>IFERROR(IF(Tbla_actores[[#This Row],[codigo_proyecto]]="","",_xlfn.XLOOKUP(Tbla_actores[[#This Row],[codigo_proyecto]],Proyectos!$A:$A,Proyectos!$C:$C)),"")</f>
        <v>NULOS</v>
      </c>
    </row>
    <row r="2204" spans="1:15">
      <c r="A2204" s="9">
        <v>1000698296</v>
      </c>
      <c r="B2204" s="63" t="s">
        <v>61</v>
      </c>
      <c r="C2204" s="62" t="s">
        <v>6425</v>
      </c>
      <c r="D2204" t="s">
        <v>63</v>
      </c>
      <c r="E2204" t="s">
        <v>6627</v>
      </c>
      <c r="F2204" s="61">
        <v>37587</v>
      </c>
      <c r="G2204" s="15" t="s">
        <v>73</v>
      </c>
      <c r="H2204" t="s">
        <v>6628</v>
      </c>
      <c r="I2204" s="62" t="s">
        <v>6629</v>
      </c>
      <c r="K2204" s="36" t="s">
        <v>68</v>
      </c>
      <c r="L2204" t="s">
        <v>69</v>
      </c>
      <c r="M2204" s="62" t="s">
        <v>70</v>
      </c>
      <c r="N2204" t="s">
        <v>71</v>
      </c>
      <c r="O2204" t="str">
        <f>IFERROR(IF(Tbla_actores[[#This Row],[codigo_proyecto]]="","",_xlfn.XLOOKUP(Tbla_actores[[#This Row],[codigo_proyecto]],Proyectos!$A:$A,Proyectos!$C:$C)),"")</f>
        <v>NULOS</v>
      </c>
    </row>
    <row r="2205" spans="1:15">
      <c r="A2205" s="10">
        <v>1010093534</v>
      </c>
      <c r="B2205" s="64" t="s">
        <v>61</v>
      </c>
      <c r="C2205" s="62" t="s">
        <v>6425</v>
      </c>
      <c r="D2205" t="s">
        <v>63</v>
      </c>
      <c r="E2205" t="s">
        <v>6630</v>
      </c>
      <c r="F2205" s="61">
        <v>36894</v>
      </c>
      <c r="G2205" s="15" t="s">
        <v>73</v>
      </c>
      <c r="H2205" t="s">
        <v>6631</v>
      </c>
      <c r="I2205" s="62" t="s">
        <v>6632</v>
      </c>
      <c r="K2205" s="36" t="s">
        <v>68</v>
      </c>
      <c r="L2205" t="s">
        <v>69</v>
      </c>
      <c r="M2205" s="62" t="s">
        <v>70</v>
      </c>
      <c r="N2205" t="s">
        <v>71</v>
      </c>
      <c r="O2205" t="str">
        <f>IFERROR(IF(Tbla_actores[[#This Row],[codigo_proyecto]]="","",_xlfn.XLOOKUP(Tbla_actores[[#This Row],[codigo_proyecto]],Proyectos!$A:$A,Proyectos!$C:$C)),"")</f>
        <v>NULOS</v>
      </c>
    </row>
    <row r="2206" spans="1:15">
      <c r="A2206" s="9">
        <v>125340810</v>
      </c>
      <c r="B2206" s="63" t="s">
        <v>61</v>
      </c>
      <c r="C2206" s="62" t="s">
        <v>6425</v>
      </c>
      <c r="D2206" t="s">
        <v>63</v>
      </c>
      <c r="E2206" t="s">
        <v>6633</v>
      </c>
      <c r="F2206" s="61" t="s">
        <v>1433</v>
      </c>
      <c r="G2206" s="15" t="s">
        <v>1433</v>
      </c>
      <c r="H2206" t="s">
        <v>1433</v>
      </c>
      <c r="I2206" s="62" t="s">
        <v>1433</v>
      </c>
      <c r="K2206" s="36" t="s">
        <v>68</v>
      </c>
      <c r="L2206" t="s">
        <v>69</v>
      </c>
      <c r="M2206" s="62" t="s">
        <v>2558</v>
      </c>
      <c r="N2206" t="s">
        <v>71</v>
      </c>
      <c r="O2206" t="str">
        <f>IFERROR(IF(Tbla_actores[[#This Row],[codigo_proyecto]]="","",_xlfn.XLOOKUP(Tbla_actores[[#This Row],[codigo_proyecto]],Proyectos!$A:$A,Proyectos!$C:$C)),"")</f>
        <v>NULOS</v>
      </c>
    </row>
    <row r="2207" spans="1:15">
      <c r="A2207" s="10">
        <v>1007316793</v>
      </c>
      <c r="B2207" s="64" t="s">
        <v>61</v>
      </c>
      <c r="C2207" s="62" t="s">
        <v>6425</v>
      </c>
      <c r="D2207" t="s">
        <v>63</v>
      </c>
      <c r="E2207" t="s">
        <v>6634</v>
      </c>
      <c r="F2207" s="61">
        <v>36645</v>
      </c>
      <c r="G2207" s="15" t="s">
        <v>73</v>
      </c>
      <c r="H2207" t="s">
        <v>6635</v>
      </c>
      <c r="I2207" s="62" t="s">
        <v>6636</v>
      </c>
      <c r="K2207" s="36" t="s">
        <v>68</v>
      </c>
      <c r="L2207" t="s">
        <v>69</v>
      </c>
      <c r="M2207" s="62" t="s">
        <v>70</v>
      </c>
      <c r="N2207" t="s">
        <v>71</v>
      </c>
      <c r="O2207" t="str">
        <f>IFERROR(IF(Tbla_actores[[#This Row],[codigo_proyecto]]="","",_xlfn.XLOOKUP(Tbla_actores[[#This Row],[codigo_proyecto]],Proyectos!$A:$A,Proyectos!$C:$C)),"")</f>
        <v>NULOS</v>
      </c>
    </row>
    <row r="2208" spans="1:15">
      <c r="A2208" s="9">
        <v>1001191743</v>
      </c>
      <c r="B2208" s="63" t="s">
        <v>61</v>
      </c>
      <c r="C2208" s="62" t="s">
        <v>6425</v>
      </c>
      <c r="D2208" t="s">
        <v>63</v>
      </c>
      <c r="E2208" t="s">
        <v>6637</v>
      </c>
      <c r="F2208" s="61">
        <v>37109</v>
      </c>
      <c r="G2208" s="15" t="s">
        <v>73</v>
      </c>
      <c r="H2208" t="s">
        <v>6638</v>
      </c>
      <c r="I2208" s="62" t="s">
        <v>6639</v>
      </c>
      <c r="K2208" s="36" t="s">
        <v>68</v>
      </c>
      <c r="L2208" t="s">
        <v>69</v>
      </c>
      <c r="M2208" s="62" t="s">
        <v>70</v>
      </c>
      <c r="N2208" t="s">
        <v>71</v>
      </c>
      <c r="O2208" t="str">
        <f>IFERROR(IF(Tbla_actores[[#This Row],[codigo_proyecto]]="","",_xlfn.XLOOKUP(Tbla_actores[[#This Row],[codigo_proyecto]],Proyectos!$A:$A,Proyectos!$C:$C)),"")</f>
        <v>NULOS</v>
      </c>
    </row>
    <row r="2209" spans="1:15">
      <c r="A2209" s="10">
        <v>1193594345</v>
      </c>
      <c r="B2209" s="64" t="s">
        <v>61</v>
      </c>
      <c r="C2209" s="62" t="s">
        <v>6425</v>
      </c>
      <c r="D2209" t="s">
        <v>63</v>
      </c>
      <c r="E2209" t="s">
        <v>6640</v>
      </c>
      <c r="F2209" s="61">
        <v>37436</v>
      </c>
      <c r="G2209" s="15" t="s">
        <v>65</v>
      </c>
      <c r="H2209" t="s">
        <v>6641</v>
      </c>
      <c r="I2209" s="62" t="s">
        <v>6642</v>
      </c>
      <c r="K2209" s="36" t="s">
        <v>68</v>
      </c>
      <c r="L2209" t="s">
        <v>69</v>
      </c>
      <c r="M2209" s="62" t="s">
        <v>70</v>
      </c>
      <c r="N2209" t="s">
        <v>71</v>
      </c>
      <c r="O2209" t="str">
        <f>IFERROR(IF(Tbla_actores[[#This Row],[codigo_proyecto]]="","",_xlfn.XLOOKUP(Tbla_actores[[#This Row],[codigo_proyecto]],Proyectos!$A:$A,Proyectos!$C:$C)),"")</f>
        <v>NULOS</v>
      </c>
    </row>
    <row r="2210" spans="1:15">
      <c r="A2210" s="9">
        <v>1000149902</v>
      </c>
      <c r="B2210" s="63" t="s">
        <v>61</v>
      </c>
      <c r="C2210" s="62" t="s">
        <v>6425</v>
      </c>
      <c r="D2210" t="s">
        <v>63</v>
      </c>
      <c r="E2210" t="s">
        <v>6643</v>
      </c>
      <c r="F2210" s="61">
        <v>37548</v>
      </c>
      <c r="G2210" s="15" t="s">
        <v>65</v>
      </c>
      <c r="H2210" t="s">
        <v>6644</v>
      </c>
      <c r="I2210" s="62" t="s">
        <v>6645</v>
      </c>
      <c r="K2210" s="36" t="s">
        <v>68</v>
      </c>
      <c r="L2210" t="s">
        <v>69</v>
      </c>
      <c r="M2210" s="62" t="s">
        <v>70</v>
      </c>
      <c r="N2210" t="s">
        <v>71</v>
      </c>
      <c r="O2210" t="str">
        <f>IFERROR(IF(Tbla_actores[[#This Row],[codigo_proyecto]]="","",_xlfn.XLOOKUP(Tbla_actores[[#This Row],[codigo_proyecto]],Proyectos!$A:$A,Proyectos!$C:$C)),"")</f>
        <v>NULOS</v>
      </c>
    </row>
    <row r="2211" spans="1:15">
      <c r="A2211" s="10">
        <v>1001067366</v>
      </c>
      <c r="B2211" s="64" t="s">
        <v>61</v>
      </c>
      <c r="C2211" s="62" t="s">
        <v>6425</v>
      </c>
      <c r="D2211" t="s">
        <v>63</v>
      </c>
      <c r="E2211" t="s">
        <v>6646</v>
      </c>
      <c r="F2211" s="61">
        <v>36984</v>
      </c>
      <c r="G2211" s="15" t="s">
        <v>73</v>
      </c>
      <c r="H2211" t="s">
        <v>6647</v>
      </c>
      <c r="I2211" s="62" t="s">
        <v>6648</v>
      </c>
      <c r="K2211" s="36" t="s">
        <v>68</v>
      </c>
      <c r="L2211" t="s">
        <v>69</v>
      </c>
      <c r="M2211" s="62" t="s">
        <v>70</v>
      </c>
      <c r="N2211" t="s">
        <v>71</v>
      </c>
      <c r="O2211" t="str">
        <f>IFERROR(IF(Tbla_actores[[#This Row],[codigo_proyecto]]="","",_xlfn.XLOOKUP(Tbla_actores[[#This Row],[codigo_proyecto]],Proyectos!$A:$A,Proyectos!$C:$C)),"")</f>
        <v>NULOS</v>
      </c>
    </row>
    <row r="2212" spans="1:15">
      <c r="A2212" s="9">
        <v>1010960198</v>
      </c>
      <c r="B2212" s="63" t="s">
        <v>61</v>
      </c>
      <c r="C2212" s="62" t="s">
        <v>6425</v>
      </c>
      <c r="D2212" t="s">
        <v>63</v>
      </c>
      <c r="E2212" t="s">
        <v>6649</v>
      </c>
      <c r="F2212" s="61">
        <v>38076</v>
      </c>
      <c r="G2212" s="15" t="s">
        <v>73</v>
      </c>
      <c r="H2212" t="s">
        <v>6650</v>
      </c>
      <c r="I2212" s="62" t="s">
        <v>6651</v>
      </c>
      <c r="K2212" s="36" t="s">
        <v>68</v>
      </c>
      <c r="L2212" t="s">
        <v>69</v>
      </c>
      <c r="M2212" s="62" t="s">
        <v>70</v>
      </c>
      <c r="N2212" t="s">
        <v>71</v>
      </c>
      <c r="O2212" t="str">
        <f>IFERROR(IF(Tbla_actores[[#This Row],[codigo_proyecto]]="","",_xlfn.XLOOKUP(Tbla_actores[[#This Row],[codigo_proyecto]],Proyectos!$A:$A,Proyectos!$C:$C)),"")</f>
        <v>NULOS</v>
      </c>
    </row>
    <row r="2213" spans="1:15">
      <c r="A2213" s="10">
        <v>1193085764</v>
      </c>
      <c r="B2213" s="64" t="s">
        <v>61</v>
      </c>
      <c r="C2213" s="62" t="s">
        <v>6425</v>
      </c>
      <c r="D2213" t="s">
        <v>63</v>
      </c>
      <c r="E2213" t="s">
        <v>6652</v>
      </c>
      <c r="F2213" s="61">
        <v>37340</v>
      </c>
      <c r="G2213" s="15" t="s">
        <v>73</v>
      </c>
      <c r="H2213" t="s">
        <v>6653</v>
      </c>
      <c r="I2213" s="62" t="s">
        <v>6654</v>
      </c>
      <c r="K2213" s="36" t="s">
        <v>68</v>
      </c>
      <c r="L2213" t="s">
        <v>69</v>
      </c>
      <c r="M2213" s="62" t="s">
        <v>70</v>
      </c>
      <c r="N2213" t="s">
        <v>71</v>
      </c>
      <c r="O2213" t="str">
        <f>IFERROR(IF(Tbla_actores[[#This Row],[codigo_proyecto]]="","",_xlfn.XLOOKUP(Tbla_actores[[#This Row],[codigo_proyecto]],Proyectos!$A:$A,Proyectos!$C:$C)),"")</f>
        <v>NULOS</v>
      </c>
    </row>
    <row r="2214" spans="1:15">
      <c r="A2214" s="9">
        <v>1003740622</v>
      </c>
      <c r="B2214" s="63" t="s">
        <v>61</v>
      </c>
      <c r="C2214" s="62" t="s">
        <v>6425</v>
      </c>
      <c r="D2214" t="s">
        <v>63</v>
      </c>
      <c r="E2214" t="s">
        <v>6655</v>
      </c>
      <c r="F2214" s="61">
        <v>36684</v>
      </c>
      <c r="G2214" s="15" t="s">
        <v>73</v>
      </c>
      <c r="H2214" t="s">
        <v>6656</v>
      </c>
      <c r="I2214" s="62" t="s">
        <v>6657</v>
      </c>
      <c r="K2214" s="36" t="s">
        <v>68</v>
      </c>
      <c r="L2214" t="s">
        <v>69</v>
      </c>
      <c r="M2214" s="62" t="s">
        <v>70</v>
      </c>
      <c r="N2214" t="s">
        <v>71</v>
      </c>
      <c r="O2214" t="str">
        <f>IFERROR(IF(Tbla_actores[[#This Row],[codigo_proyecto]]="","",_xlfn.XLOOKUP(Tbla_actores[[#This Row],[codigo_proyecto]],Proyectos!$A:$A,Proyectos!$C:$C)),"")</f>
        <v>NULOS</v>
      </c>
    </row>
    <row r="2215" spans="1:15">
      <c r="A2215" s="10">
        <v>1018496717</v>
      </c>
      <c r="B2215" s="64" t="s">
        <v>61</v>
      </c>
      <c r="C2215" s="62" t="s">
        <v>6425</v>
      </c>
      <c r="D2215" t="s">
        <v>63</v>
      </c>
      <c r="E2215" t="s">
        <v>6658</v>
      </c>
      <c r="F2215" s="61">
        <v>35668</v>
      </c>
      <c r="G2215" s="15" t="s">
        <v>73</v>
      </c>
      <c r="H2215" t="s">
        <v>6659</v>
      </c>
      <c r="I2215" s="62" t="s">
        <v>6660</v>
      </c>
      <c r="K2215" s="36" t="s">
        <v>68</v>
      </c>
      <c r="L2215" t="s">
        <v>69</v>
      </c>
      <c r="M2215" s="62" t="s">
        <v>70</v>
      </c>
      <c r="N2215" t="s">
        <v>71</v>
      </c>
      <c r="O2215" t="str">
        <f>IFERROR(IF(Tbla_actores[[#This Row],[codigo_proyecto]]="","",_xlfn.XLOOKUP(Tbla_actores[[#This Row],[codigo_proyecto]],Proyectos!$A:$A,Proyectos!$C:$C)),"")</f>
        <v>NULOS</v>
      </c>
    </row>
    <row r="2216" spans="1:15">
      <c r="A2216" s="9">
        <v>1003533930</v>
      </c>
      <c r="B2216" s="63" t="s">
        <v>61</v>
      </c>
      <c r="C2216" s="62" t="s">
        <v>6425</v>
      </c>
      <c r="D2216" t="s">
        <v>63</v>
      </c>
      <c r="E2216" t="s">
        <v>6661</v>
      </c>
      <c r="F2216" s="61">
        <v>37420</v>
      </c>
      <c r="G2216" s="15" t="s">
        <v>73</v>
      </c>
      <c r="H2216" t="s">
        <v>6662</v>
      </c>
      <c r="I2216" s="62" t="s">
        <v>6663</v>
      </c>
      <c r="K2216" s="36" t="s">
        <v>68</v>
      </c>
      <c r="L2216" t="s">
        <v>69</v>
      </c>
      <c r="M2216" s="62" t="s">
        <v>70</v>
      </c>
      <c r="N2216" t="s">
        <v>71</v>
      </c>
      <c r="O2216" t="str">
        <f>IFERROR(IF(Tbla_actores[[#This Row],[codigo_proyecto]]="","",_xlfn.XLOOKUP(Tbla_actores[[#This Row],[codigo_proyecto]],Proyectos!$A:$A,Proyectos!$C:$C)),"")</f>
        <v>NULOS</v>
      </c>
    </row>
    <row r="2217" spans="1:15">
      <c r="A2217" s="10">
        <v>1192893106</v>
      </c>
      <c r="B2217" s="64" t="s">
        <v>61</v>
      </c>
      <c r="C2217" s="62" t="s">
        <v>6425</v>
      </c>
      <c r="D2217" t="s">
        <v>63</v>
      </c>
      <c r="E2217" t="s">
        <v>6664</v>
      </c>
      <c r="F2217" s="61">
        <v>36722</v>
      </c>
      <c r="G2217" s="15" t="s">
        <v>73</v>
      </c>
      <c r="H2217" t="s">
        <v>6665</v>
      </c>
      <c r="I2217" s="62" t="s">
        <v>6666</v>
      </c>
      <c r="K2217" s="36" t="s">
        <v>68</v>
      </c>
      <c r="L2217" t="s">
        <v>69</v>
      </c>
      <c r="M2217" s="62" t="s">
        <v>70</v>
      </c>
      <c r="N2217" t="s">
        <v>71</v>
      </c>
      <c r="O2217" t="str">
        <f>IFERROR(IF(Tbla_actores[[#This Row],[codigo_proyecto]]="","",_xlfn.XLOOKUP(Tbla_actores[[#This Row],[codigo_proyecto]],Proyectos!$A:$A,Proyectos!$C:$C)),"")</f>
        <v>NULOS</v>
      </c>
    </row>
    <row r="2218" spans="1:15">
      <c r="A2218" s="9">
        <v>1001309669</v>
      </c>
      <c r="B2218" s="63" t="s">
        <v>61</v>
      </c>
      <c r="C2218" s="62" t="s">
        <v>6425</v>
      </c>
      <c r="D2218" t="s">
        <v>63</v>
      </c>
      <c r="E2218" t="s">
        <v>6667</v>
      </c>
      <c r="F2218" s="61">
        <v>36666</v>
      </c>
      <c r="G2218" s="15" t="s">
        <v>73</v>
      </c>
      <c r="H2218" t="s">
        <v>6668</v>
      </c>
      <c r="I2218" s="62" t="s">
        <v>6669</v>
      </c>
      <c r="K2218" s="36" t="s">
        <v>68</v>
      </c>
      <c r="L2218" t="s">
        <v>69</v>
      </c>
      <c r="M2218" s="62" t="s">
        <v>70</v>
      </c>
      <c r="N2218" t="s">
        <v>71</v>
      </c>
      <c r="O2218" t="str">
        <f>IFERROR(IF(Tbla_actores[[#This Row],[codigo_proyecto]]="","",_xlfn.XLOOKUP(Tbla_actores[[#This Row],[codigo_proyecto]],Proyectos!$A:$A,Proyectos!$C:$C)),"")</f>
        <v>NULOS</v>
      </c>
    </row>
    <row r="2219" spans="1:15">
      <c r="A2219" s="10">
        <v>1000077188</v>
      </c>
      <c r="B2219" s="64" t="s">
        <v>61</v>
      </c>
      <c r="C2219" s="62" t="s">
        <v>6425</v>
      </c>
      <c r="D2219" t="s">
        <v>63</v>
      </c>
      <c r="E2219" t="s">
        <v>6670</v>
      </c>
      <c r="F2219" s="61">
        <v>37096</v>
      </c>
      <c r="G2219" s="15" t="s">
        <v>73</v>
      </c>
      <c r="H2219" t="s">
        <v>6671</v>
      </c>
      <c r="I2219" s="62" t="s">
        <v>6672</v>
      </c>
      <c r="K2219" s="36" t="s">
        <v>68</v>
      </c>
      <c r="L2219" t="s">
        <v>69</v>
      </c>
      <c r="M2219" s="62" t="s">
        <v>70</v>
      </c>
      <c r="N2219" t="s">
        <v>71</v>
      </c>
      <c r="O2219" t="str">
        <f>IFERROR(IF(Tbla_actores[[#This Row],[codigo_proyecto]]="","",_xlfn.XLOOKUP(Tbla_actores[[#This Row],[codigo_proyecto]],Proyectos!$A:$A,Proyectos!$C:$C)),"")</f>
        <v>NULOS</v>
      </c>
    </row>
    <row r="2220" spans="1:15">
      <c r="A2220" s="9">
        <v>1001346393</v>
      </c>
      <c r="B2220" s="63" t="s">
        <v>61</v>
      </c>
      <c r="C2220" s="62" t="s">
        <v>6425</v>
      </c>
      <c r="D2220" t="s">
        <v>63</v>
      </c>
      <c r="E2220" t="s">
        <v>6673</v>
      </c>
      <c r="F2220" s="61">
        <v>37208</v>
      </c>
      <c r="G2220" s="15" t="s">
        <v>73</v>
      </c>
      <c r="H2220" t="s">
        <v>6674</v>
      </c>
      <c r="I2220" s="62" t="s">
        <v>6675</v>
      </c>
      <c r="K2220" s="36" t="s">
        <v>68</v>
      </c>
      <c r="L2220" t="s">
        <v>69</v>
      </c>
      <c r="M2220" s="62" t="s">
        <v>70</v>
      </c>
      <c r="N2220" t="s">
        <v>71</v>
      </c>
      <c r="O2220" t="str">
        <f>IFERROR(IF(Tbla_actores[[#This Row],[codigo_proyecto]]="","",_xlfn.XLOOKUP(Tbla_actores[[#This Row],[codigo_proyecto]],Proyectos!$A:$A,Proyectos!$C:$C)),"")</f>
        <v>NULOS</v>
      </c>
    </row>
    <row r="2221" spans="1:15">
      <c r="A2221" s="10">
        <v>1010012273</v>
      </c>
      <c r="B2221" s="64" t="s">
        <v>61</v>
      </c>
      <c r="C2221" s="62" t="s">
        <v>6425</v>
      </c>
      <c r="D2221" t="s">
        <v>63</v>
      </c>
      <c r="E2221" t="s">
        <v>6676</v>
      </c>
      <c r="F2221" s="61">
        <v>36761</v>
      </c>
      <c r="G2221" s="15" t="s">
        <v>73</v>
      </c>
      <c r="H2221" t="s">
        <v>6677</v>
      </c>
      <c r="I2221" s="62" t="s">
        <v>6678</v>
      </c>
      <c r="K2221" s="36" t="s">
        <v>68</v>
      </c>
      <c r="L2221" t="s">
        <v>69</v>
      </c>
      <c r="M2221" s="62" t="s">
        <v>70</v>
      </c>
      <c r="N2221" t="s">
        <v>71</v>
      </c>
      <c r="O2221" t="str">
        <f>IFERROR(IF(Tbla_actores[[#This Row],[codigo_proyecto]]="","",_xlfn.XLOOKUP(Tbla_actores[[#This Row],[codigo_proyecto]],Proyectos!$A:$A,Proyectos!$C:$C)),"")</f>
        <v>NULOS</v>
      </c>
    </row>
    <row r="2222" spans="1:15">
      <c r="A2222" s="9">
        <v>1193077801</v>
      </c>
      <c r="B2222" s="63" t="s">
        <v>61</v>
      </c>
      <c r="C2222" s="62" t="s">
        <v>6425</v>
      </c>
      <c r="D2222" t="s">
        <v>63</v>
      </c>
      <c r="E2222" t="s">
        <v>6679</v>
      </c>
      <c r="F2222" s="61">
        <v>37004</v>
      </c>
      <c r="G2222" s="15" t="s">
        <v>73</v>
      </c>
      <c r="H2222" t="s">
        <v>6680</v>
      </c>
      <c r="I2222" s="62" t="s">
        <v>6681</v>
      </c>
      <c r="K2222" s="36" t="s">
        <v>68</v>
      </c>
      <c r="L2222" t="s">
        <v>69</v>
      </c>
      <c r="M2222" s="62" t="s">
        <v>70</v>
      </c>
      <c r="N2222" t="s">
        <v>71</v>
      </c>
      <c r="O2222" t="str">
        <f>IFERROR(IF(Tbla_actores[[#This Row],[codigo_proyecto]]="","",_xlfn.XLOOKUP(Tbla_actores[[#This Row],[codigo_proyecto]],Proyectos!$A:$A,Proyectos!$C:$C)),"")</f>
        <v>NULOS</v>
      </c>
    </row>
    <row r="2223" spans="1:15">
      <c r="A2223" s="10">
        <v>1007698596</v>
      </c>
      <c r="B2223" s="64" t="s">
        <v>61</v>
      </c>
      <c r="C2223" s="62" t="s">
        <v>6425</v>
      </c>
      <c r="D2223" t="s">
        <v>63</v>
      </c>
      <c r="E2223" t="s">
        <v>6682</v>
      </c>
      <c r="F2223" s="61">
        <v>36732</v>
      </c>
      <c r="G2223" s="15" t="s">
        <v>73</v>
      </c>
      <c r="H2223" t="s">
        <v>6683</v>
      </c>
      <c r="I2223" s="62" t="s">
        <v>6684</v>
      </c>
      <c r="K2223" s="36" t="s">
        <v>68</v>
      </c>
      <c r="L2223" t="s">
        <v>69</v>
      </c>
      <c r="M2223" s="62" t="s">
        <v>70</v>
      </c>
      <c r="N2223" t="s">
        <v>71</v>
      </c>
      <c r="O2223" t="str">
        <f>IFERROR(IF(Tbla_actores[[#This Row],[codigo_proyecto]]="","",_xlfn.XLOOKUP(Tbla_actores[[#This Row],[codigo_proyecto]],Proyectos!$A:$A,Proyectos!$C:$C)),"")</f>
        <v>NULOS</v>
      </c>
    </row>
    <row r="2224" spans="1:15">
      <c r="A2224" s="9">
        <v>1098783932</v>
      </c>
      <c r="B2224" s="63" t="s">
        <v>61</v>
      </c>
      <c r="C2224" s="62" t="s">
        <v>6425</v>
      </c>
      <c r="D2224" t="s">
        <v>63</v>
      </c>
      <c r="E2224" t="s">
        <v>6685</v>
      </c>
      <c r="F2224" s="61">
        <v>35189</v>
      </c>
      <c r="G2224" s="15" t="s">
        <v>73</v>
      </c>
      <c r="H2224" t="s">
        <v>6686</v>
      </c>
      <c r="I2224" s="62" t="s">
        <v>6687</v>
      </c>
      <c r="K2224" s="36" t="s">
        <v>68</v>
      </c>
      <c r="L2224" t="s">
        <v>69</v>
      </c>
      <c r="M2224" s="62" t="s">
        <v>70</v>
      </c>
      <c r="N2224" t="s">
        <v>71</v>
      </c>
      <c r="O2224" t="str">
        <f>IFERROR(IF(Tbla_actores[[#This Row],[codigo_proyecto]]="","",_xlfn.XLOOKUP(Tbla_actores[[#This Row],[codigo_proyecto]],Proyectos!$A:$A,Proyectos!$C:$C)),"")</f>
        <v>NULOS</v>
      </c>
    </row>
    <row r="2225" spans="1:15">
      <c r="A2225" s="10">
        <v>1001200081</v>
      </c>
      <c r="B2225" s="64" t="s">
        <v>61</v>
      </c>
      <c r="C2225" s="62" t="s">
        <v>6425</v>
      </c>
      <c r="D2225" t="s">
        <v>63</v>
      </c>
      <c r="E2225" t="s">
        <v>6688</v>
      </c>
      <c r="F2225" s="61">
        <v>37606</v>
      </c>
      <c r="G2225" s="15" t="s">
        <v>73</v>
      </c>
      <c r="H2225" t="s">
        <v>6689</v>
      </c>
      <c r="I2225" s="62" t="s">
        <v>6690</v>
      </c>
      <c r="K2225" s="36" t="s">
        <v>68</v>
      </c>
      <c r="L2225" t="s">
        <v>69</v>
      </c>
      <c r="M2225" s="62" t="s">
        <v>70</v>
      </c>
      <c r="N2225" t="s">
        <v>71</v>
      </c>
      <c r="O2225" t="str">
        <f>IFERROR(IF(Tbla_actores[[#This Row],[codigo_proyecto]]="","",_xlfn.XLOOKUP(Tbla_actores[[#This Row],[codigo_proyecto]],Proyectos!$A:$A,Proyectos!$C:$C)),"")</f>
        <v>NULOS</v>
      </c>
    </row>
    <row r="2226" spans="1:15">
      <c r="A2226" s="9">
        <v>1000163292</v>
      </c>
      <c r="B2226" s="63" t="s">
        <v>61</v>
      </c>
      <c r="C2226" s="62" t="s">
        <v>6425</v>
      </c>
      <c r="D2226" t="s">
        <v>63</v>
      </c>
      <c r="E2226" t="s">
        <v>6691</v>
      </c>
      <c r="F2226" s="61">
        <v>37037</v>
      </c>
      <c r="G2226" s="15" t="s">
        <v>73</v>
      </c>
      <c r="H2226" t="s">
        <v>6692</v>
      </c>
      <c r="I2226" s="62" t="s">
        <v>6693</v>
      </c>
      <c r="K2226" s="36" t="s">
        <v>68</v>
      </c>
      <c r="L2226" t="s">
        <v>69</v>
      </c>
      <c r="M2226" s="62" t="s">
        <v>70</v>
      </c>
      <c r="N2226" t="s">
        <v>71</v>
      </c>
      <c r="O2226" t="str">
        <f>IFERROR(IF(Tbla_actores[[#This Row],[codigo_proyecto]]="","",_xlfn.XLOOKUP(Tbla_actores[[#This Row],[codigo_proyecto]],Proyectos!$A:$A,Proyectos!$C:$C)),"")</f>
        <v>NULOS</v>
      </c>
    </row>
    <row r="2227" spans="1:15">
      <c r="A2227" s="10">
        <v>1010001480</v>
      </c>
      <c r="B2227" s="64" t="s">
        <v>61</v>
      </c>
      <c r="C2227" s="62" t="s">
        <v>6425</v>
      </c>
      <c r="D2227" t="s">
        <v>63</v>
      </c>
      <c r="E2227" t="s">
        <v>6694</v>
      </c>
      <c r="F2227" s="61">
        <v>36865</v>
      </c>
      <c r="G2227" s="15" t="s">
        <v>73</v>
      </c>
      <c r="H2227" t="s">
        <v>6695</v>
      </c>
      <c r="I2227" s="62" t="s">
        <v>6696</v>
      </c>
      <c r="K2227" s="36" t="s">
        <v>68</v>
      </c>
      <c r="L2227" t="s">
        <v>69</v>
      </c>
      <c r="M2227" s="62" t="s">
        <v>70</v>
      </c>
      <c r="N2227" t="s">
        <v>71</v>
      </c>
      <c r="O2227" t="str">
        <f>IFERROR(IF(Tbla_actores[[#This Row],[codigo_proyecto]]="","",_xlfn.XLOOKUP(Tbla_actores[[#This Row],[codigo_proyecto]],Proyectos!$A:$A,Proyectos!$C:$C)),"")</f>
        <v>NULOS</v>
      </c>
    </row>
    <row r="2228" spans="1:15">
      <c r="A2228" s="9">
        <v>1022444799</v>
      </c>
      <c r="B2228" s="63" t="s">
        <v>61</v>
      </c>
      <c r="C2228" s="62" t="s">
        <v>6425</v>
      </c>
      <c r="D2228" t="s">
        <v>63</v>
      </c>
      <c r="E2228" t="s">
        <v>6697</v>
      </c>
      <c r="F2228" s="61">
        <v>36379</v>
      </c>
      <c r="G2228" s="15" t="s">
        <v>73</v>
      </c>
      <c r="H2228" t="s">
        <v>6698</v>
      </c>
      <c r="I2228" s="62" t="s">
        <v>6699</v>
      </c>
      <c r="K2228" s="36" t="s">
        <v>68</v>
      </c>
      <c r="L2228" t="s">
        <v>69</v>
      </c>
      <c r="M2228" s="62" t="s">
        <v>70</v>
      </c>
      <c r="N2228" t="s">
        <v>71</v>
      </c>
      <c r="O2228" t="str">
        <f>IFERROR(IF(Tbla_actores[[#This Row],[codigo_proyecto]]="","",_xlfn.XLOOKUP(Tbla_actores[[#This Row],[codigo_proyecto]],Proyectos!$A:$A,Proyectos!$C:$C)),"")</f>
        <v>NULOS</v>
      </c>
    </row>
    <row r="2229" spans="1:15">
      <c r="A2229" s="10">
        <v>1020839781</v>
      </c>
      <c r="B2229" s="64" t="s">
        <v>61</v>
      </c>
      <c r="C2229" s="62" t="s">
        <v>6425</v>
      </c>
      <c r="D2229" t="s">
        <v>63</v>
      </c>
      <c r="E2229" t="s">
        <v>6700</v>
      </c>
      <c r="F2229" s="61">
        <v>36236</v>
      </c>
      <c r="G2229" s="15" t="s">
        <v>73</v>
      </c>
      <c r="H2229" t="s">
        <v>6701</v>
      </c>
      <c r="I2229" s="62" t="s">
        <v>6702</v>
      </c>
      <c r="K2229" s="36" t="s">
        <v>68</v>
      </c>
      <c r="L2229" t="s">
        <v>69</v>
      </c>
      <c r="M2229" s="62" t="s">
        <v>70</v>
      </c>
      <c r="N2229" t="s">
        <v>71</v>
      </c>
      <c r="O2229" t="str">
        <f>IFERROR(IF(Tbla_actores[[#This Row],[codigo_proyecto]]="","",_xlfn.XLOOKUP(Tbla_actores[[#This Row],[codigo_proyecto]],Proyectos!$A:$A,Proyectos!$C:$C)),"")</f>
        <v>NULOS</v>
      </c>
    </row>
    <row r="2230" spans="1:15">
      <c r="A2230" s="9">
        <v>1000158912</v>
      </c>
      <c r="B2230" s="63" t="s">
        <v>61</v>
      </c>
      <c r="C2230" s="62" t="s">
        <v>6425</v>
      </c>
      <c r="D2230" t="s">
        <v>63</v>
      </c>
      <c r="E2230" t="s">
        <v>6703</v>
      </c>
      <c r="F2230" s="61">
        <v>37129</v>
      </c>
      <c r="G2230" s="15" t="s">
        <v>73</v>
      </c>
      <c r="H2230" t="s">
        <v>6704</v>
      </c>
      <c r="I2230" s="62" t="s">
        <v>6705</v>
      </c>
      <c r="K2230" s="36" t="s">
        <v>68</v>
      </c>
      <c r="L2230" t="s">
        <v>69</v>
      </c>
      <c r="M2230" s="62" t="s">
        <v>70</v>
      </c>
      <c r="N2230" t="s">
        <v>71</v>
      </c>
      <c r="O2230" t="str">
        <f>IFERROR(IF(Tbla_actores[[#This Row],[codigo_proyecto]]="","",_xlfn.XLOOKUP(Tbla_actores[[#This Row],[codigo_proyecto]],Proyectos!$A:$A,Proyectos!$C:$C)),"")</f>
        <v>NULOS</v>
      </c>
    </row>
    <row r="2231" spans="1:15">
      <c r="A2231" s="10">
        <v>1006715762</v>
      </c>
      <c r="B2231" s="64" t="s">
        <v>61</v>
      </c>
      <c r="C2231" s="62" t="s">
        <v>6425</v>
      </c>
      <c r="D2231" t="s">
        <v>63</v>
      </c>
      <c r="E2231" t="s">
        <v>6706</v>
      </c>
      <c r="F2231" s="61">
        <v>36592</v>
      </c>
      <c r="G2231" s="15" t="s">
        <v>73</v>
      </c>
      <c r="H2231" t="s">
        <v>6707</v>
      </c>
      <c r="I2231" s="62" t="s">
        <v>6708</v>
      </c>
      <c r="K2231" s="36" t="s">
        <v>68</v>
      </c>
      <c r="L2231" t="s">
        <v>69</v>
      </c>
      <c r="M2231" s="62" t="s">
        <v>70</v>
      </c>
      <c r="N2231" t="s">
        <v>71</v>
      </c>
      <c r="O2231" t="str">
        <f>IFERROR(IF(Tbla_actores[[#This Row],[codigo_proyecto]]="","",_xlfn.XLOOKUP(Tbla_actores[[#This Row],[codigo_proyecto]],Proyectos!$A:$A,Proyectos!$C:$C)),"")</f>
        <v>NULOS</v>
      </c>
    </row>
    <row r="2232" spans="1:15">
      <c r="A2232" s="9">
        <v>1000697792</v>
      </c>
      <c r="B2232" s="63" t="s">
        <v>61</v>
      </c>
      <c r="C2232" s="62" t="s">
        <v>6425</v>
      </c>
      <c r="D2232" t="s">
        <v>63</v>
      </c>
      <c r="E2232" t="s">
        <v>6709</v>
      </c>
      <c r="F2232" s="61">
        <v>37254</v>
      </c>
      <c r="G2232" s="15" t="s">
        <v>65</v>
      </c>
      <c r="H2232" t="s">
        <v>6710</v>
      </c>
      <c r="I2232" s="62" t="s">
        <v>6711</v>
      </c>
      <c r="K2232" s="36" t="s">
        <v>68</v>
      </c>
      <c r="L2232" t="s">
        <v>69</v>
      </c>
      <c r="M2232" s="62" t="s">
        <v>70</v>
      </c>
      <c r="N2232" t="s">
        <v>71</v>
      </c>
      <c r="O2232" t="str">
        <f>IFERROR(IF(Tbla_actores[[#This Row],[codigo_proyecto]]="","",_xlfn.XLOOKUP(Tbla_actores[[#This Row],[codigo_proyecto]],Proyectos!$A:$A,Proyectos!$C:$C)),"")</f>
        <v>NULOS</v>
      </c>
    </row>
    <row r="2233" spans="1:15">
      <c r="A2233" s="10">
        <v>1004924436</v>
      </c>
      <c r="B2233" s="64" t="s">
        <v>61</v>
      </c>
      <c r="C2233" s="62" t="s">
        <v>6425</v>
      </c>
      <c r="D2233" t="s">
        <v>63</v>
      </c>
      <c r="E2233" t="s">
        <v>6712</v>
      </c>
      <c r="F2233" s="61">
        <v>37436</v>
      </c>
      <c r="G2233" s="15" t="s">
        <v>73</v>
      </c>
      <c r="H2233" t="s">
        <v>6713</v>
      </c>
      <c r="I2233" s="62" t="s">
        <v>6714</v>
      </c>
      <c r="K2233" s="36" t="s">
        <v>68</v>
      </c>
      <c r="L2233" t="s">
        <v>69</v>
      </c>
      <c r="M2233" s="62" t="s">
        <v>70</v>
      </c>
      <c r="N2233" t="s">
        <v>71</v>
      </c>
      <c r="O2233" t="str">
        <f>IFERROR(IF(Tbla_actores[[#This Row],[codigo_proyecto]]="","",_xlfn.XLOOKUP(Tbla_actores[[#This Row],[codigo_proyecto]],Proyectos!$A:$A,Proyectos!$C:$C)),"")</f>
        <v>NULOS</v>
      </c>
    </row>
    <row r="2234" spans="1:15">
      <c r="A2234" s="9">
        <v>1000722883</v>
      </c>
      <c r="B2234" s="63" t="s">
        <v>61</v>
      </c>
      <c r="C2234" s="62" t="s">
        <v>6425</v>
      </c>
      <c r="D2234" t="s">
        <v>63</v>
      </c>
      <c r="E2234" t="s">
        <v>6715</v>
      </c>
      <c r="F2234" s="61">
        <v>36779</v>
      </c>
      <c r="G2234" s="15" t="s">
        <v>73</v>
      </c>
      <c r="H2234" t="s">
        <v>6716</v>
      </c>
      <c r="I2234" s="62" t="s">
        <v>6717</v>
      </c>
      <c r="K2234" s="36" t="s">
        <v>68</v>
      </c>
      <c r="L2234" t="s">
        <v>69</v>
      </c>
      <c r="M2234" s="62" t="s">
        <v>70</v>
      </c>
      <c r="N2234" t="s">
        <v>71</v>
      </c>
      <c r="O2234" t="str">
        <f>IFERROR(IF(Tbla_actores[[#This Row],[codigo_proyecto]]="","",_xlfn.XLOOKUP(Tbla_actores[[#This Row],[codigo_proyecto]],Proyectos!$A:$A,Proyectos!$C:$C)),"")</f>
        <v>NULOS</v>
      </c>
    </row>
    <row r="2235" spans="1:15">
      <c r="A2235" s="10">
        <v>1000707444</v>
      </c>
      <c r="B2235" s="64" t="s">
        <v>61</v>
      </c>
      <c r="C2235" s="62" t="s">
        <v>6425</v>
      </c>
      <c r="D2235" t="s">
        <v>63</v>
      </c>
      <c r="E2235" t="s">
        <v>6718</v>
      </c>
      <c r="F2235" s="61">
        <v>37163</v>
      </c>
      <c r="G2235" s="15" t="s">
        <v>73</v>
      </c>
      <c r="H2235" t="s">
        <v>6719</v>
      </c>
      <c r="I2235" s="62" t="s">
        <v>6720</v>
      </c>
      <c r="K2235" s="36" t="s">
        <v>68</v>
      </c>
      <c r="L2235" t="s">
        <v>69</v>
      </c>
      <c r="M2235" s="62" t="s">
        <v>70</v>
      </c>
      <c r="N2235" t="s">
        <v>71</v>
      </c>
      <c r="O2235" t="str">
        <f>IFERROR(IF(Tbla_actores[[#This Row],[codigo_proyecto]]="","",_xlfn.XLOOKUP(Tbla_actores[[#This Row],[codigo_proyecto]],Proyectos!$A:$A,Proyectos!$C:$C)),"")</f>
        <v>NULOS</v>
      </c>
    </row>
    <row r="2236" spans="1:15">
      <c r="A2236" s="9">
        <v>1000944735</v>
      </c>
      <c r="B2236" s="63" t="s">
        <v>61</v>
      </c>
      <c r="C2236" s="62" t="s">
        <v>6425</v>
      </c>
      <c r="D2236" t="s">
        <v>63</v>
      </c>
      <c r="E2236" t="s">
        <v>6721</v>
      </c>
      <c r="F2236" s="61">
        <v>37027</v>
      </c>
      <c r="G2236" s="15" t="s">
        <v>65</v>
      </c>
      <c r="H2236" t="s">
        <v>6722</v>
      </c>
      <c r="I2236" s="62" t="s">
        <v>6723</v>
      </c>
      <c r="K2236" s="36" t="s">
        <v>68</v>
      </c>
      <c r="L2236" t="s">
        <v>69</v>
      </c>
      <c r="M2236" s="62" t="s">
        <v>70</v>
      </c>
      <c r="N2236" t="s">
        <v>71</v>
      </c>
      <c r="O2236" t="str">
        <f>IFERROR(IF(Tbla_actores[[#This Row],[codigo_proyecto]]="","",_xlfn.XLOOKUP(Tbla_actores[[#This Row],[codigo_proyecto]],Proyectos!$A:$A,Proyectos!$C:$C)),"")</f>
        <v>NULOS</v>
      </c>
    </row>
    <row r="2237" spans="1:15">
      <c r="A2237" s="10">
        <v>1001299701</v>
      </c>
      <c r="B2237" s="64" t="s">
        <v>61</v>
      </c>
      <c r="C2237" s="62" t="s">
        <v>6425</v>
      </c>
      <c r="D2237" t="s">
        <v>63</v>
      </c>
      <c r="E2237" t="s">
        <v>6724</v>
      </c>
      <c r="F2237" s="61">
        <v>37463</v>
      </c>
      <c r="G2237" s="15" t="s">
        <v>73</v>
      </c>
      <c r="H2237" t="s">
        <v>6725</v>
      </c>
      <c r="I2237" s="62" t="s">
        <v>6726</v>
      </c>
      <c r="K2237" s="36" t="s">
        <v>68</v>
      </c>
      <c r="L2237" t="s">
        <v>69</v>
      </c>
      <c r="M2237" s="62" t="s">
        <v>70</v>
      </c>
      <c r="N2237" t="s">
        <v>71</v>
      </c>
      <c r="O2237" t="str">
        <f>IFERROR(IF(Tbla_actores[[#This Row],[codigo_proyecto]]="","",_xlfn.XLOOKUP(Tbla_actores[[#This Row],[codigo_proyecto]],Proyectos!$A:$A,Proyectos!$C:$C)),"")</f>
        <v>NULOS</v>
      </c>
    </row>
    <row r="2238" spans="1:15">
      <c r="A2238" s="9">
        <v>1000784373</v>
      </c>
      <c r="B2238" s="63" t="s">
        <v>61</v>
      </c>
      <c r="C2238" s="62" t="s">
        <v>6425</v>
      </c>
      <c r="D2238" t="s">
        <v>63</v>
      </c>
      <c r="E2238" t="s">
        <v>6727</v>
      </c>
      <c r="F2238" s="61">
        <v>37219</v>
      </c>
      <c r="G2238" s="15" t="s">
        <v>73</v>
      </c>
      <c r="H2238" t="s">
        <v>6728</v>
      </c>
      <c r="I2238" s="62" t="s">
        <v>6729</v>
      </c>
      <c r="K2238" s="36" t="s">
        <v>68</v>
      </c>
      <c r="L2238" t="s">
        <v>69</v>
      </c>
      <c r="M2238" s="62" t="s">
        <v>70</v>
      </c>
      <c r="N2238" t="s">
        <v>71</v>
      </c>
      <c r="O2238" t="str">
        <f>IFERROR(IF(Tbla_actores[[#This Row],[codigo_proyecto]]="","",_xlfn.XLOOKUP(Tbla_actores[[#This Row],[codigo_proyecto]],Proyectos!$A:$A,Proyectos!$C:$C)),"")</f>
        <v>NULOS</v>
      </c>
    </row>
    <row r="2239" spans="1:15">
      <c r="A2239" s="10">
        <v>1000469179</v>
      </c>
      <c r="B2239" s="64" t="s">
        <v>61</v>
      </c>
      <c r="C2239" s="62" t="s">
        <v>6425</v>
      </c>
      <c r="D2239" t="s">
        <v>63</v>
      </c>
      <c r="E2239" t="s">
        <v>6730</v>
      </c>
      <c r="F2239" s="61">
        <v>36998</v>
      </c>
      <c r="G2239" s="15" t="s">
        <v>73</v>
      </c>
      <c r="H2239" t="s">
        <v>6731</v>
      </c>
      <c r="I2239" s="62" t="s">
        <v>6732</v>
      </c>
      <c r="K2239" s="36" t="s">
        <v>68</v>
      </c>
      <c r="L2239" t="s">
        <v>69</v>
      </c>
      <c r="M2239" s="62" t="s">
        <v>70</v>
      </c>
      <c r="N2239" t="s">
        <v>71</v>
      </c>
      <c r="O2239" t="str">
        <f>IFERROR(IF(Tbla_actores[[#This Row],[codigo_proyecto]]="","",_xlfn.XLOOKUP(Tbla_actores[[#This Row],[codigo_proyecto]],Proyectos!$A:$A,Proyectos!$C:$C)),"")</f>
        <v>NULOS</v>
      </c>
    </row>
    <row r="2240" spans="1:15">
      <c r="A2240" s="9">
        <v>1007196839</v>
      </c>
      <c r="B2240" s="63" t="s">
        <v>61</v>
      </c>
      <c r="C2240" s="62" t="s">
        <v>6425</v>
      </c>
      <c r="D2240" t="s">
        <v>63</v>
      </c>
      <c r="E2240" t="s">
        <v>6733</v>
      </c>
      <c r="F2240" s="61">
        <v>37005</v>
      </c>
      <c r="G2240" s="15" t="s">
        <v>65</v>
      </c>
      <c r="H2240" t="s">
        <v>6734</v>
      </c>
      <c r="I2240" s="62" t="s">
        <v>6735</v>
      </c>
      <c r="K2240" s="36" t="s">
        <v>68</v>
      </c>
      <c r="L2240" t="s">
        <v>69</v>
      </c>
      <c r="M2240" s="62" t="s">
        <v>70</v>
      </c>
      <c r="N2240" t="s">
        <v>71</v>
      </c>
      <c r="O2240" t="str">
        <f>IFERROR(IF(Tbla_actores[[#This Row],[codigo_proyecto]]="","",_xlfn.XLOOKUP(Tbla_actores[[#This Row],[codigo_proyecto]],Proyectos!$A:$A,Proyectos!$C:$C)),"")</f>
        <v>NULOS</v>
      </c>
    </row>
    <row r="2241" spans="1:15">
      <c r="A2241" s="10">
        <v>1000077617</v>
      </c>
      <c r="B2241" s="64" t="s">
        <v>61</v>
      </c>
      <c r="C2241" s="62" t="s">
        <v>6425</v>
      </c>
      <c r="D2241" t="s">
        <v>63</v>
      </c>
      <c r="E2241" t="s">
        <v>6736</v>
      </c>
      <c r="F2241" s="61">
        <v>37606</v>
      </c>
      <c r="G2241" s="15" t="s">
        <v>73</v>
      </c>
      <c r="H2241" t="s">
        <v>6737</v>
      </c>
      <c r="I2241" s="62" t="s">
        <v>6738</v>
      </c>
      <c r="K2241" s="36" t="s">
        <v>68</v>
      </c>
      <c r="L2241" t="s">
        <v>69</v>
      </c>
      <c r="M2241" s="62" t="s">
        <v>70</v>
      </c>
      <c r="N2241" t="s">
        <v>71</v>
      </c>
      <c r="O2241" t="str">
        <f>IFERROR(IF(Tbla_actores[[#This Row],[codigo_proyecto]]="","",_xlfn.XLOOKUP(Tbla_actores[[#This Row],[codigo_proyecto]],Proyectos!$A:$A,Proyectos!$C:$C)),"")</f>
        <v>NULOS</v>
      </c>
    </row>
    <row r="2242" spans="1:15">
      <c r="A2242" s="9">
        <v>1001202187</v>
      </c>
      <c r="B2242" s="63" t="s">
        <v>61</v>
      </c>
      <c r="C2242" s="62" t="s">
        <v>6425</v>
      </c>
      <c r="D2242" t="s">
        <v>63</v>
      </c>
      <c r="E2242" t="s">
        <v>6739</v>
      </c>
      <c r="F2242" s="61">
        <v>37252</v>
      </c>
      <c r="G2242" s="15" t="s">
        <v>73</v>
      </c>
      <c r="H2242" t="s">
        <v>6740</v>
      </c>
      <c r="I2242" s="62" t="s">
        <v>6741</v>
      </c>
      <c r="K2242" s="36" t="s">
        <v>68</v>
      </c>
      <c r="L2242" t="s">
        <v>69</v>
      </c>
      <c r="M2242" s="62" t="s">
        <v>70</v>
      </c>
      <c r="N2242" t="s">
        <v>71</v>
      </c>
      <c r="O2242" t="str">
        <f>IFERROR(IF(Tbla_actores[[#This Row],[codigo_proyecto]]="","",_xlfn.XLOOKUP(Tbla_actores[[#This Row],[codigo_proyecto]],Proyectos!$A:$A,Proyectos!$C:$C)),"")</f>
        <v>NULOS</v>
      </c>
    </row>
    <row r="2243" spans="1:15">
      <c r="A2243" s="10">
        <v>1001089</v>
      </c>
      <c r="B2243" s="64" t="s">
        <v>61</v>
      </c>
      <c r="C2243" s="62" t="s">
        <v>6425</v>
      </c>
      <c r="D2243" t="s">
        <v>63</v>
      </c>
      <c r="E2243" t="s">
        <v>6742</v>
      </c>
      <c r="F2243" s="61">
        <v>37288</v>
      </c>
      <c r="G2243" s="15" t="s">
        <v>65</v>
      </c>
      <c r="H2243" t="s">
        <v>6743</v>
      </c>
      <c r="I2243" s="62" t="s">
        <v>6744</v>
      </c>
      <c r="K2243" s="36" t="s">
        <v>68</v>
      </c>
      <c r="L2243" t="s">
        <v>69</v>
      </c>
      <c r="M2243" s="62" t="s">
        <v>70</v>
      </c>
      <c r="N2243" t="s">
        <v>71</v>
      </c>
      <c r="O2243" t="str">
        <f>IFERROR(IF(Tbla_actores[[#This Row],[codigo_proyecto]]="","",_xlfn.XLOOKUP(Tbla_actores[[#This Row],[codigo_proyecto]],Proyectos!$A:$A,Proyectos!$C:$C)),"")</f>
        <v>NULOS</v>
      </c>
    </row>
    <row r="2244" spans="1:15">
      <c r="A2244" s="9">
        <v>1001282466</v>
      </c>
      <c r="B2244" s="63" t="s">
        <v>61</v>
      </c>
      <c r="C2244" s="62" t="s">
        <v>6425</v>
      </c>
      <c r="D2244" t="s">
        <v>63</v>
      </c>
      <c r="E2244" t="s">
        <v>6745</v>
      </c>
      <c r="F2244" s="61">
        <v>36579</v>
      </c>
      <c r="G2244" s="15" t="s">
        <v>73</v>
      </c>
      <c r="H2244" t="s">
        <v>6746</v>
      </c>
      <c r="I2244" s="62" t="s">
        <v>6747</v>
      </c>
      <c r="K2244" s="36" t="s">
        <v>68</v>
      </c>
      <c r="L2244" t="s">
        <v>69</v>
      </c>
      <c r="M2244" s="62" t="s">
        <v>70</v>
      </c>
      <c r="N2244" t="s">
        <v>71</v>
      </c>
      <c r="O2244" t="str">
        <f>IFERROR(IF(Tbla_actores[[#This Row],[codigo_proyecto]]="","",_xlfn.XLOOKUP(Tbla_actores[[#This Row],[codigo_proyecto]],Proyectos!$A:$A,Proyectos!$C:$C)),"")</f>
        <v>NULOS</v>
      </c>
    </row>
    <row r="2245" spans="1:15">
      <c r="A2245" s="10">
        <v>1001310742</v>
      </c>
      <c r="B2245" s="64" t="s">
        <v>61</v>
      </c>
      <c r="C2245" s="62" t="s">
        <v>6425</v>
      </c>
      <c r="D2245" t="s">
        <v>63</v>
      </c>
      <c r="E2245" t="s">
        <v>6748</v>
      </c>
      <c r="F2245" s="61">
        <v>36917</v>
      </c>
      <c r="G2245" s="15" t="s">
        <v>73</v>
      </c>
      <c r="H2245" t="s">
        <v>6749</v>
      </c>
      <c r="I2245" s="62" t="s">
        <v>6750</v>
      </c>
      <c r="K2245" s="36" t="s">
        <v>1489</v>
      </c>
      <c r="L2245" t="s">
        <v>69</v>
      </c>
      <c r="M2245" s="62" t="s">
        <v>70</v>
      </c>
      <c r="N2245" t="s">
        <v>71</v>
      </c>
      <c r="O2245" t="str">
        <f>IFERROR(IF(Tbla_actores[[#This Row],[codigo_proyecto]]="","",_xlfn.XLOOKUP(Tbla_actores[[#This Row],[codigo_proyecto]],Proyectos!$A:$A,Proyectos!$C:$C)),"")</f>
        <v>NULOS</v>
      </c>
    </row>
    <row r="2246" spans="1:15">
      <c r="A2246" s="9">
        <v>1000708119</v>
      </c>
      <c r="B2246" s="63" t="s">
        <v>61</v>
      </c>
      <c r="C2246" s="62" t="s">
        <v>6425</v>
      </c>
      <c r="D2246" t="s">
        <v>63</v>
      </c>
      <c r="E2246" t="s">
        <v>6751</v>
      </c>
      <c r="F2246" s="61">
        <v>37533</v>
      </c>
      <c r="G2246" s="15" t="s">
        <v>73</v>
      </c>
      <c r="H2246" t="s">
        <v>6752</v>
      </c>
      <c r="I2246" s="62" t="s">
        <v>6753</v>
      </c>
      <c r="K2246" s="36" t="s">
        <v>1489</v>
      </c>
      <c r="L2246" t="s">
        <v>69</v>
      </c>
      <c r="M2246" s="62" t="s">
        <v>70</v>
      </c>
      <c r="N2246" t="s">
        <v>71</v>
      </c>
      <c r="O2246" t="str">
        <f>IFERROR(IF(Tbla_actores[[#This Row],[codigo_proyecto]]="","",_xlfn.XLOOKUP(Tbla_actores[[#This Row],[codigo_proyecto]],Proyectos!$A:$A,Proyectos!$C:$C)),"")</f>
        <v>NULOS</v>
      </c>
    </row>
    <row r="2247" spans="1:15">
      <c r="A2247" s="10">
        <v>1000989471</v>
      </c>
      <c r="B2247" s="64" t="s">
        <v>61</v>
      </c>
      <c r="C2247" s="62" t="s">
        <v>6425</v>
      </c>
      <c r="D2247" t="s">
        <v>63</v>
      </c>
      <c r="E2247" t="s">
        <v>6754</v>
      </c>
      <c r="F2247" s="61">
        <v>36997</v>
      </c>
      <c r="G2247" s="15" t="s">
        <v>73</v>
      </c>
      <c r="H2247" t="s">
        <v>6755</v>
      </c>
      <c r="I2247" s="62" t="s">
        <v>6756</v>
      </c>
      <c r="K2247" s="36" t="s">
        <v>1489</v>
      </c>
      <c r="L2247" t="s">
        <v>69</v>
      </c>
      <c r="M2247" s="62" t="s">
        <v>70</v>
      </c>
      <c r="N2247" t="s">
        <v>71</v>
      </c>
      <c r="O2247" t="str">
        <f>IFERROR(IF(Tbla_actores[[#This Row],[codigo_proyecto]]="","",_xlfn.XLOOKUP(Tbla_actores[[#This Row],[codigo_proyecto]],Proyectos!$A:$A,Proyectos!$C:$C)),"")</f>
        <v>NULOS</v>
      </c>
    </row>
    <row r="2248" spans="1:15">
      <c r="A2248" s="9">
        <v>1007351557</v>
      </c>
      <c r="B2248" s="63" t="s">
        <v>61</v>
      </c>
      <c r="C2248" s="62" t="s">
        <v>6425</v>
      </c>
      <c r="D2248" t="s">
        <v>63</v>
      </c>
      <c r="E2248" t="s">
        <v>6757</v>
      </c>
      <c r="F2248" s="61">
        <v>36653</v>
      </c>
      <c r="G2248" s="15" t="s">
        <v>73</v>
      </c>
      <c r="H2248" t="s">
        <v>6758</v>
      </c>
      <c r="I2248" s="62" t="s">
        <v>6759</v>
      </c>
      <c r="K2248" s="36" t="s">
        <v>1489</v>
      </c>
      <c r="L2248" t="s">
        <v>69</v>
      </c>
      <c r="M2248" s="62" t="s">
        <v>70</v>
      </c>
      <c r="N2248" t="s">
        <v>71</v>
      </c>
      <c r="O2248" t="str">
        <f>IFERROR(IF(Tbla_actores[[#This Row],[codigo_proyecto]]="","",_xlfn.XLOOKUP(Tbla_actores[[#This Row],[codigo_proyecto]],Proyectos!$A:$A,Proyectos!$C:$C)),"")</f>
        <v>NULOS</v>
      </c>
    </row>
    <row r="2249" spans="1:15">
      <c r="A2249" s="10">
        <v>1024576435</v>
      </c>
      <c r="B2249" s="64" t="s">
        <v>61</v>
      </c>
      <c r="C2249" s="62" t="s">
        <v>6425</v>
      </c>
      <c r="D2249" t="s">
        <v>63</v>
      </c>
      <c r="E2249" t="s">
        <v>6760</v>
      </c>
      <c r="F2249" s="61">
        <v>35402</v>
      </c>
      <c r="G2249" s="15" t="s">
        <v>73</v>
      </c>
      <c r="H2249" t="s">
        <v>6761</v>
      </c>
      <c r="I2249" s="62" t="s">
        <v>6762</v>
      </c>
      <c r="K2249" s="36" t="s">
        <v>1489</v>
      </c>
      <c r="L2249" t="s">
        <v>69</v>
      </c>
      <c r="M2249" s="62" t="s">
        <v>70</v>
      </c>
      <c r="N2249" t="s">
        <v>71</v>
      </c>
      <c r="O2249" t="str">
        <f>IFERROR(IF(Tbla_actores[[#This Row],[codigo_proyecto]]="","",_xlfn.XLOOKUP(Tbla_actores[[#This Row],[codigo_proyecto]],Proyectos!$A:$A,Proyectos!$C:$C)),"")</f>
        <v>NULOS</v>
      </c>
    </row>
    <row r="2250" spans="1:15">
      <c r="A2250" s="9">
        <v>1126745698</v>
      </c>
      <c r="B2250" s="63" t="s">
        <v>61</v>
      </c>
      <c r="C2250" s="62" t="s">
        <v>6425</v>
      </c>
      <c r="D2250" t="s">
        <v>63</v>
      </c>
      <c r="E2250" t="s">
        <v>6763</v>
      </c>
      <c r="F2250" s="61">
        <v>36276</v>
      </c>
      <c r="G2250" s="15" t="s">
        <v>73</v>
      </c>
      <c r="H2250" t="s">
        <v>6764</v>
      </c>
      <c r="I2250" s="62" t="s">
        <v>6765</v>
      </c>
      <c r="K2250" s="36" t="s">
        <v>1489</v>
      </c>
      <c r="L2250" t="s">
        <v>69</v>
      </c>
      <c r="M2250" s="62" t="s">
        <v>70</v>
      </c>
      <c r="N2250" t="s">
        <v>71</v>
      </c>
      <c r="O2250" t="str">
        <f>IFERROR(IF(Tbla_actores[[#This Row],[codigo_proyecto]]="","",_xlfn.XLOOKUP(Tbla_actores[[#This Row],[codigo_proyecto]],Proyectos!$A:$A,Proyectos!$C:$C)),"")</f>
        <v>NULOS</v>
      </c>
    </row>
    <row r="2251" spans="1:15">
      <c r="A2251" s="10">
        <v>1001299336</v>
      </c>
      <c r="B2251" s="64" t="s">
        <v>61</v>
      </c>
      <c r="C2251" s="62" t="s">
        <v>6425</v>
      </c>
      <c r="D2251" t="s">
        <v>63</v>
      </c>
      <c r="E2251" t="s">
        <v>6766</v>
      </c>
      <c r="F2251" s="61">
        <v>37501</v>
      </c>
      <c r="G2251" s="15" t="s">
        <v>73</v>
      </c>
      <c r="H2251" t="s">
        <v>6767</v>
      </c>
      <c r="I2251" s="62" t="s">
        <v>6768</v>
      </c>
      <c r="K2251" s="36" t="s">
        <v>1489</v>
      </c>
      <c r="L2251" t="s">
        <v>69</v>
      </c>
      <c r="M2251" s="62" t="s">
        <v>70</v>
      </c>
      <c r="N2251" t="s">
        <v>71</v>
      </c>
      <c r="O2251" t="str">
        <f>IFERROR(IF(Tbla_actores[[#This Row],[codigo_proyecto]]="","",_xlfn.XLOOKUP(Tbla_actores[[#This Row],[codigo_proyecto]],Proyectos!$A:$A,Proyectos!$C:$C)),"")</f>
        <v>NULOS</v>
      </c>
    </row>
    <row r="2252" spans="1:15">
      <c r="A2252" s="9">
        <v>1193109766</v>
      </c>
      <c r="B2252" s="63" t="s">
        <v>61</v>
      </c>
      <c r="C2252" s="62" t="s">
        <v>6425</v>
      </c>
      <c r="D2252" t="s">
        <v>63</v>
      </c>
      <c r="E2252" t="s">
        <v>6769</v>
      </c>
      <c r="F2252" s="61">
        <v>36915</v>
      </c>
      <c r="G2252" s="15" t="s">
        <v>73</v>
      </c>
      <c r="H2252" t="s">
        <v>6770</v>
      </c>
      <c r="I2252" s="62" t="s">
        <v>6771</v>
      </c>
      <c r="K2252" s="36" t="s">
        <v>1489</v>
      </c>
      <c r="L2252" t="s">
        <v>69</v>
      </c>
      <c r="M2252" s="62" t="s">
        <v>70</v>
      </c>
      <c r="N2252" t="s">
        <v>71</v>
      </c>
      <c r="O2252" t="str">
        <f>IFERROR(IF(Tbla_actores[[#This Row],[codigo_proyecto]]="","",_xlfn.XLOOKUP(Tbla_actores[[#This Row],[codigo_proyecto]],Proyectos!$A:$A,Proyectos!$C:$C)),"")</f>
        <v>NULOS</v>
      </c>
    </row>
    <row r="2253" spans="1:15">
      <c r="A2253" s="10">
        <v>1000257217</v>
      </c>
      <c r="B2253" s="64" t="s">
        <v>61</v>
      </c>
      <c r="C2253" s="62" t="s">
        <v>6425</v>
      </c>
      <c r="D2253" t="s">
        <v>63</v>
      </c>
      <c r="E2253" t="s">
        <v>6772</v>
      </c>
      <c r="F2253" s="61">
        <v>37023</v>
      </c>
      <c r="G2253" s="15" t="s">
        <v>73</v>
      </c>
      <c r="H2253" t="s">
        <v>6773</v>
      </c>
      <c r="I2253" s="62" t="s">
        <v>6774</v>
      </c>
      <c r="K2253" s="36" t="s">
        <v>1489</v>
      </c>
      <c r="L2253" t="s">
        <v>69</v>
      </c>
      <c r="M2253" s="62" t="s">
        <v>70</v>
      </c>
      <c r="N2253" t="s">
        <v>71</v>
      </c>
      <c r="O2253" t="str">
        <f>IFERROR(IF(Tbla_actores[[#This Row],[codigo_proyecto]]="","",_xlfn.XLOOKUP(Tbla_actores[[#This Row],[codigo_proyecto]],Proyectos!$A:$A,Proyectos!$C:$C)),"")</f>
        <v>NULOS</v>
      </c>
    </row>
    <row r="2254" spans="1:15">
      <c r="A2254" s="9">
        <v>1005369738</v>
      </c>
      <c r="B2254" s="63" t="s">
        <v>61</v>
      </c>
      <c r="C2254" s="62" t="s">
        <v>6425</v>
      </c>
      <c r="D2254" t="s">
        <v>63</v>
      </c>
      <c r="E2254" t="s">
        <v>6775</v>
      </c>
      <c r="F2254" s="61">
        <v>37553</v>
      </c>
      <c r="G2254" s="15" t="s">
        <v>65</v>
      </c>
      <c r="H2254" t="s">
        <v>6776</v>
      </c>
      <c r="I2254" s="62" t="s">
        <v>6777</v>
      </c>
      <c r="K2254" s="36" t="s">
        <v>1489</v>
      </c>
      <c r="L2254" t="s">
        <v>69</v>
      </c>
      <c r="M2254" s="62" t="s">
        <v>70</v>
      </c>
      <c r="N2254" t="s">
        <v>71</v>
      </c>
      <c r="O2254" t="str">
        <f>IFERROR(IF(Tbla_actores[[#This Row],[codigo_proyecto]]="","",_xlfn.XLOOKUP(Tbla_actores[[#This Row],[codigo_proyecto]],Proyectos!$A:$A,Proyectos!$C:$C)),"")</f>
        <v>NULOS</v>
      </c>
    </row>
    <row r="2255" spans="1:15">
      <c r="A2255" s="10">
        <v>1026592190</v>
      </c>
      <c r="B2255" s="64" t="s">
        <v>61</v>
      </c>
      <c r="C2255" s="62" t="s">
        <v>6425</v>
      </c>
      <c r="D2255" t="s">
        <v>63</v>
      </c>
      <c r="E2255" t="s">
        <v>6778</v>
      </c>
      <c r="F2255" s="61">
        <v>35708</v>
      </c>
      <c r="G2255" s="15" t="s">
        <v>73</v>
      </c>
      <c r="H2255" t="s">
        <v>6779</v>
      </c>
      <c r="I2255" s="62" t="s">
        <v>6780</v>
      </c>
      <c r="K2255" s="36" t="s">
        <v>1489</v>
      </c>
      <c r="L2255" t="s">
        <v>69</v>
      </c>
      <c r="M2255" s="62" t="s">
        <v>70</v>
      </c>
      <c r="N2255" t="s">
        <v>71</v>
      </c>
      <c r="O2255" t="str">
        <f>IFERROR(IF(Tbla_actores[[#This Row],[codigo_proyecto]]="","",_xlfn.XLOOKUP(Tbla_actores[[#This Row],[codigo_proyecto]],Proyectos!$A:$A,Proyectos!$C:$C)),"")</f>
        <v>NULOS</v>
      </c>
    </row>
    <row r="2256" spans="1:15">
      <c r="A2256" s="9">
        <v>1000457655</v>
      </c>
      <c r="B2256" s="63" t="s">
        <v>61</v>
      </c>
      <c r="C2256" s="62" t="s">
        <v>6425</v>
      </c>
      <c r="D2256" t="s">
        <v>63</v>
      </c>
      <c r="E2256" t="s">
        <v>6781</v>
      </c>
      <c r="F2256" s="61">
        <v>36745</v>
      </c>
      <c r="G2256" s="15" t="s">
        <v>73</v>
      </c>
      <c r="H2256" t="s">
        <v>6782</v>
      </c>
      <c r="I2256" s="62" t="s">
        <v>6783</v>
      </c>
      <c r="K2256" s="36" t="s">
        <v>1489</v>
      </c>
      <c r="L2256" t="s">
        <v>69</v>
      </c>
      <c r="M2256" s="62" t="s">
        <v>70</v>
      </c>
      <c r="N2256" t="s">
        <v>71</v>
      </c>
      <c r="O2256" t="str">
        <f>IFERROR(IF(Tbla_actores[[#This Row],[codigo_proyecto]]="","",_xlfn.XLOOKUP(Tbla_actores[[#This Row],[codigo_proyecto]],Proyectos!$A:$A,Proyectos!$C:$C)),"")</f>
        <v>NULOS</v>
      </c>
    </row>
    <row r="2257" spans="1:15">
      <c r="A2257" s="10">
        <v>1018506334</v>
      </c>
      <c r="B2257" s="64" t="s">
        <v>61</v>
      </c>
      <c r="C2257" s="62" t="s">
        <v>6425</v>
      </c>
      <c r="D2257" t="s">
        <v>63</v>
      </c>
      <c r="E2257" t="s">
        <v>6784</v>
      </c>
      <c r="F2257" s="61">
        <v>36085</v>
      </c>
      <c r="G2257" s="15" t="s">
        <v>73</v>
      </c>
      <c r="H2257" t="s">
        <v>6785</v>
      </c>
      <c r="I2257" s="62" t="s">
        <v>6786</v>
      </c>
      <c r="K2257" s="36" t="s">
        <v>1489</v>
      </c>
      <c r="L2257" t="s">
        <v>69</v>
      </c>
      <c r="M2257" s="62" t="s">
        <v>70</v>
      </c>
      <c r="N2257" t="s">
        <v>71</v>
      </c>
      <c r="O2257" t="str">
        <f>IFERROR(IF(Tbla_actores[[#This Row],[codigo_proyecto]]="","",_xlfn.XLOOKUP(Tbla_actores[[#This Row],[codigo_proyecto]],Proyectos!$A:$A,Proyectos!$C:$C)),"")</f>
        <v>NULOS</v>
      </c>
    </row>
    <row r="2258" spans="1:15">
      <c r="A2258" s="9">
        <v>1193211328</v>
      </c>
      <c r="B2258" s="63" t="s">
        <v>61</v>
      </c>
      <c r="C2258" s="62" t="s">
        <v>6425</v>
      </c>
      <c r="D2258" t="s">
        <v>63</v>
      </c>
      <c r="E2258" t="s">
        <v>6787</v>
      </c>
      <c r="F2258" s="61">
        <v>37201</v>
      </c>
      <c r="G2258" s="15" t="s">
        <v>65</v>
      </c>
      <c r="H2258" t="s">
        <v>6788</v>
      </c>
      <c r="I2258" s="62" t="s">
        <v>6789</v>
      </c>
      <c r="K2258" s="36" t="s">
        <v>1489</v>
      </c>
      <c r="L2258" t="s">
        <v>69</v>
      </c>
      <c r="M2258" s="62" t="s">
        <v>70</v>
      </c>
      <c r="N2258" t="s">
        <v>71</v>
      </c>
      <c r="O2258" t="str">
        <f>IFERROR(IF(Tbla_actores[[#This Row],[codigo_proyecto]]="","",_xlfn.XLOOKUP(Tbla_actores[[#This Row],[codigo_proyecto]],Proyectos!$A:$A,Proyectos!$C:$C)),"")</f>
        <v>NULOS</v>
      </c>
    </row>
    <row r="2259" spans="1:15">
      <c r="A2259" s="10">
        <v>1019153623</v>
      </c>
      <c r="B2259" s="64" t="s">
        <v>61</v>
      </c>
      <c r="C2259" s="62" t="s">
        <v>6425</v>
      </c>
      <c r="D2259" t="s">
        <v>63</v>
      </c>
      <c r="E2259" t="s">
        <v>6790</v>
      </c>
      <c r="F2259" s="61">
        <v>36474</v>
      </c>
      <c r="G2259" s="15" t="s">
        <v>73</v>
      </c>
      <c r="H2259" t="s">
        <v>6791</v>
      </c>
      <c r="I2259" s="62" t="s">
        <v>6792</v>
      </c>
      <c r="K2259" s="36" t="s">
        <v>1489</v>
      </c>
      <c r="L2259" t="s">
        <v>69</v>
      </c>
      <c r="M2259" s="62" t="s">
        <v>70</v>
      </c>
      <c r="N2259" t="s">
        <v>71</v>
      </c>
      <c r="O2259" t="str">
        <f>IFERROR(IF(Tbla_actores[[#This Row],[codigo_proyecto]]="","",_xlfn.XLOOKUP(Tbla_actores[[#This Row],[codigo_proyecto]],Proyectos!$A:$A,Proyectos!$C:$C)),"")</f>
        <v>NULOS</v>
      </c>
    </row>
    <row r="2260" spans="1:15">
      <c r="A2260" s="9">
        <v>1002558490</v>
      </c>
      <c r="B2260" s="63" t="s">
        <v>61</v>
      </c>
      <c r="C2260" s="62" t="s">
        <v>6425</v>
      </c>
      <c r="D2260" t="s">
        <v>63</v>
      </c>
      <c r="E2260" t="s">
        <v>6793</v>
      </c>
      <c r="F2260" s="61">
        <v>37626</v>
      </c>
      <c r="G2260" s="15" t="s">
        <v>73</v>
      </c>
      <c r="H2260" t="s">
        <v>6794</v>
      </c>
      <c r="I2260" s="62" t="s">
        <v>6795</v>
      </c>
      <c r="K2260" s="36" t="s">
        <v>1489</v>
      </c>
      <c r="L2260" t="s">
        <v>69</v>
      </c>
      <c r="M2260" s="62" t="s">
        <v>70</v>
      </c>
      <c r="N2260" t="s">
        <v>71</v>
      </c>
      <c r="O2260" t="str">
        <f>IFERROR(IF(Tbla_actores[[#This Row],[codigo_proyecto]]="","",_xlfn.XLOOKUP(Tbla_actores[[#This Row],[codigo_proyecto]],Proyectos!$A:$A,Proyectos!$C:$C)),"")</f>
        <v>NULOS</v>
      </c>
    </row>
    <row r="2261" spans="1:15">
      <c r="A2261" s="10">
        <v>1000017390</v>
      </c>
      <c r="B2261" s="64" t="s">
        <v>61</v>
      </c>
      <c r="C2261" s="62" t="s">
        <v>6425</v>
      </c>
      <c r="D2261" t="s">
        <v>63</v>
      </c>
      <c r="E2261" t="s">
        <v>6796</v>
      </c>
      <c r="F2261" s="61">
        <v>36607</v>
      </c>
      <c r="G2261" s="15" t="s">
        <v>73</v>
      </c>
      <c r="H2261" t="s">
        <v>6797</v>
      </c>
      <c r="I2261" s="62" t="s">
        <v>6798</v>
      </c>
      <c r="K2261" s="36" t="s">
        <v>1489</v>
      </c>
      <c r="L2261" t="s">
        <v>69</v>
      </c>
      <c r="M2261" s="62" t="s">
        <v>70</v>
      </c>
      <c r="N2261" t="s">
        <v>71</v>
      </c>
      <c r="O2261" t="str">
        <f>IFERROR(IF(Tbla_actores[[#This Row],[codigo_proyecto]]="","",_xlfn.XLOOKUP(Tbla_actores[[#This Row],[codigo_proyecto]],Proyectos!$A:$A,Proyectos!$C:$C)),"")</f>
        <v>NULOS</v>
      </c>
    </row>
    <row r="2262" spans="1:15">
      <c r="A2262" s="9">
        <v>1012433758</v>
      </c>
      <c r="B2262" s="63" t="s">
        <v>61</v>
      </c>
      <c r="C2262" s="62" t="s">
        <v>6425</v>
      </c>
      <c r="D2262" t="s">
        <v>63</v>
      </c>
      <c r="E2262" t="s">
        <v>6799</v>
      </c>
      <c r="F2262" s="61">
        <v>35248</v>
      </c>
      <c r="G2262" s="15" t="s">
        <v>73</v>
      </c>
      <c r="H2262" t="s">
        <v>6800</v>
      </c>
      <c r="I2262" s="62" t="s">
        <v>6801</v>
      </c>
      <c r="K2262" s="36" t="s">
        <v>1489</v>
      </c>
      <c r="L2262" t="s">
        <v>69</v>
      </c>
      <c r="M2262" s="62" t="s">
        <v>70</v>
      </c>
      <c r="N2262" t="s">
        <v>71</v>
      </c>
      <c r="O2262" t="str">
        <f>IFERROR(IF(Tbla_actores[[#This Row],[codigo_proyecto]]="","",_xlfn.XLOOKUP(Tbla_actores[[#This Row],[codigo_proyecto]],Proyectos!$A:$A,Proyectos!$C:$C)),"")</f>
        <v>NULOS</v>
      </c>
    </row>
    <row r="2263" spans="1:15">
      <c r="A2263" s="10">
        <v>1015482445</v>
      </c>
      <c r="B2263" s="64" t="s">
        <v>61</v>
      </c>
      <c r="C2263" s="62" t="s">
        <v>6425</v>
      </c>
      <c r="D2263" t="s">
        <v>63</v>
      </c>
      <c r="E2263" t="s">
        <v>6802</v>
      </c>
      <c r="F2263" s="61">
        <v>36357</v>
      </c>
      <c r="G2263" s="15" t="s">
        <v>73</v>
      </c>
      <c r="H2263" t="s">
        <v>6803</v>
      </c>
      <c r="I2263" s="62" t="s">
        <v>6804</v>
      </c>
      <c r="K2263" s="36" t="s">
        <v>1489</v>
      </c>
      <c r="L2263" t="s">
        <v>69</v>
      </c>
      <c r="M2263" s="62" t="s">
        <v>70</v>
      </c>
      <c r="N2263" t="s">
        <v>71</v>
      </c>
      <c r="O2263" t="str">
        <f>IFERROR(IF(Tbla_actores[[#This Row],[codigo_proyecto]]="","",_xlfn.XLOOKUP(Tbla_actores[[#This Row],[codigo_proyecto]],Proyectos!$A:$A,Proyectos!$C:$C)),"")</f>
        <v>NULOS</v>
      </c>
    </row>
    <row r="2264" spans="1:15">
      <c r="A2264" s="9">
        <v>1001192125</v>
      </c>
      <c r="B2264" s="63" t="s">
        <v>61</v>
      </c>
      <c r="C2264" s="62" t="s">
        <v>6425</v>
      </c>
      <c r="D2264" t="s">
        <v>63</v>
      </c>
      <c r="E2264" t="s">
        <v>6805</v>
      </c>
      <c r="F2264" s="61">
        <v>37236</v>
      </c>
      <c r="G2264" s="15" t="s">
        <v>65</v>
      </c>
      <c r="H2264" t="s">
        <v>6806</v>
      </c>
      <c r="I2264" s="62" t="s">
        <v>6807</v>
      </c>
      <c r="K2264" s="36" t="s">
        <v>1489</v>
      </c>
      <c r="L2264" t="s">
        <v>69</v>
      </c>
      <c r="M2264" s="62" t="s">
        <v>70</v>
      </c>
      <c r="N2264" t="s">
        <v>71</v>
      </c>
      <c r="O2264" t="str">
        <f>IFERROR(IF(Tbla_actores[[#This Row],[codigo_proyecto]]="","",_xlfn.XLOOKUP(Tbla_actores[[#This Row],[codigo_proyecto]],Proyectos!$A:$A,Proyectos!$C:$C)),"")</f>
        <v>NULOS</v>
      </c>
    </row>
    <row r="2265" spans="1:15">
      <c r="A2265" s="10">
        <v>1007514975</v>
      </c>
      <c r="B2265" s="64" t="s">
        <v>61</v>
      </c>
      <c r="C2265" s="62" t="s">
        <v>6425</v>
      </c>
      <c r="D2265" t="s">
        <v>63</v>
      </c>
      <c r="E2265" t="s">
        <v>6808</v>
      </c>
      <c r="F2265" s="61">
        <v>37289</v>
      </c>
      <c r="G2265" s="15" t="s">
        <v>65</v>
      </c>
      <c r="H2265" t="s">
        <v>6809</v>
      </c>
      <c r="I2265" s="62" t="s">
        <v>6810</v>
      </c>
      <c r="K2265" s="36" t="s">
        <v>1489</v>
      </c>
      <c r="L2265" t="s">
        <v>69</v>
      </c>
      <c r="M2265" s="62" t="s">
        <v>70</v>
      </c>
      <c r="N2265" t="s">
        <v>71</v>
      </c>
      <c r="O2265" t="str">
        <f>IFERROR(IF(Tbla_actores[[#This Row],[codigo_proyecto]]="","",_xlfn.XLOOKUP(Tbla_actores[[#This Row],[codigo_proyecto]],Proyectos!$A:$A,Proyectos!$C:$C)),"")</f>
        <v>NULOS</v>
      </c>
    </row>
    <row r="2266" spans="1:15">
      <c r="A2266" s="9">
        <v>1007140712</v>
      </c>
      <c r="B2266" s="63" t="s">
        <v>61</v>
      </c>
      <c r="C2266" s="62" t="s">
        <v>6425</v>
      </c>
      <c r="D2266" t="s">
        <v>63</v>
      </c>
      <c r="E2266" t="s">
        <v>6811</v>
      </c>
      <c r="F2266" s="61">
        <v>36822</v>
      </c>
      <c r="G2266" s="15" t="s">
        <v>65</v>
      </c>
      <c r="H2266" t="s">
        <v>6812</v>
      </c>
      <c r="I2266" s="62" t="s">
        <v>6813</v>
      </c>
      <c r="K2266" s="36" t="s">
        <v>1489</v>
      </c>
      <c r="L2266" t="s">
        <v>69</v>
      </c>
      <c r="M2266" s="62" t="s">
        <v>70</v>
      </c>
      <c r="N2266" t="s">
        <v>71</v>
      </c>
      <c r="O2266" t="str">
        <f>IFERROR(IF(Tbla_actores[[#This Row],[codigo_proyecto]]="","",_xlfn.XLOOKUP(Tbla_actores[[#This Row],[codigo_proyecto]],Proyectos!$A:$A,Proyectos!$C:$C)),"")</f>
        <v>NULOS</v>
      </c>
    </row>
    <row r="2267" spans="1:15">
      <c r="A2267" s="10">
        <v>1002524323</v>
      </c>
      <c r="B2267" s="64" t="s">
        <v>61</v>
      </c>
      <c r="C2267" s="62" t="s">
        <v>6425</v>
      </c>
      <c r="D2267" t="s">
        <v>63</v>
      </c>
      <c r="E2267" t="s">
        <v>6814</v>
      </c>
      <c r="F2267" s="61">
        <v>37357</v>
      </c>
      <c r="G2267" s="15" t="s">
        <v>65</v>
      </c>
      <c r="H2267" t="s">
        <v>6815</v>
      </c>
      <c r="I2267" s="62" t="s">
        <v>6816</v>
      </c>
      <c r="K2267" s="36" t="s">
        <v>1489</v>
      </c>
      <c r="L2267" t="s">
        <v>69</v>
      </c>
      <c r="M2267" s="62" t="s">
        <v>70</v>
      </c>
      <c r="N2267" t="s">
        <v>71</v>
      </c>
      <c r="O2267" t="str">
        <f>IFERROR(IF(Tbla_actores[[#This Row],[codigo_proyecto]]="","",_xlfn.XLOOKUP(Tbla_actores[[#This Row],[codigo_proyecto]],Proyectos!$A:$A,Proyectos!$C:$C)),"")</f>
        <v>NULOS</v>
      </c>
    </row>
    <row r="2268" spans="1:15">
      <c r="A2268" s="9">
        <v>1001327642</v>
      </c>
      <c r="B2268" s="63" t="s">
        <v>61</v>
      </c>
      <c r="C2268" s="62" t="s">
        <v>6425</v>
      </c>
      <c r="D2268" t="s">
        <v>63</v>
      </c>
      <c r="E2268" t="s">
        <v>6817</v>
      </c>
      <c r="F2268" s="61">
        <v>36930</v>
      </c>
      <c r="G2268" s="15" t="s">
        <v>73</v>
      </c>
      <c r="H2268" t="s">
        <v>6818</v>
      </c>
      <c r="I2268" s="62" t="s">
        <v>6819</v>
      </c>
      <c r="K2268" s="36" t="s">
        <v>1489</v>
      </c>
      <c r="L2268" t="s">
        <v>69</v>
      </c>
      <c r="M2268" s="62" t="s">
        <v>70</v>
      </c>
      <c r="N2268" t="s">
        <v>71</v>
      </c>
      <c r="O2268" t="str">
        <f>IFERROR(IF(Tbla_actores[[#This Row],[codigo_proyecto]]="","",_xlfn.XLOOKUP(Tbla_actores[[#This Row],[codigo_proyecto]],Proyectos!$A:$A,Proyectos!$C:$C)),"")</f>
        <v>NULOS</v>
      </c>
    </row>
    <row r="2269" spans="1:15">
      <c r="A2269" s="10">
        <v>1000836310</v>
      </c>
      <c r="B2269" s="64" t="s">
        <v>61</v>
      </c>
      <c r="C2269" s="62" t="s">
        <v>6425</v>
      </c>
      <c r="D2269" t="s">
        <v>63</v>
      </c>
      <c r="E2269" t="s">
        <v>6820</v>
      </c>
      <c r="F2269" s="61">
        <v>36959</v>
      </c>
      <c r="G2269" s="15" t="s">
        <v>65</v>
      </c>
      <c r="H2269" t="s">
        <v>6821</v>
      </c>
      <c r="I2269" s="62" t="s">
        <v>6822</v>
      </c>
      <c r="K2269" s="36" t="s">
        <v>169</v>
      </c>
      <c r="L2269" t="s">
        <v>69</v>
      </c>
      <c r="M2269" s="62" t="s">
        <v>170</v>
      </c>
      <c r="N2269" t="s">
        <v>71</v>
      </c>
      <c r="O2269" t="str">
        <f>IFERROR(IF(Tbla_actores[[#This Row],[codigo_proyecto]]="","",_xlfn.XLOOKUP(Tbla_actores[[#This Row],[codigo_proyecto]],Proyectos!$A:$A,Proyectos!$C:$C)),"")</f>
        <v>NULOS</v>
      </c>
    </row>
    <row r="2270" spans="1:15">
      <c r="A2270" s="9">
        <v>1010096462</v>
      </c>
      <c r="B2270" s="63" t="s">
        <v>61</v>
      </c>
      <c r="C2270" s="62" t="s">
        <v>6425</v>
      </c>
      <c r="D2270" t="s">
        <v>63</v>
      </c>
      <c r="E2270" t="s">
        <v>6823</v>
      </c>
      <c r="F2270" s="61">
        <v>36916</v>
      </c>
      <c r="G2270" s="15" t="s">
        <v>73</v>
      </c>
      <c r="H2270" t="s">
        <v>6824</v>
      </c>
      <c r="I2270" s="62" t="s">
        <v>6825</v>
      </c>
      <c r="K2270" s="36" t="s">
        <v>169</v>
      </c>
      <c r="L2270" t="s">
        <v>69</v>
      </c>
      <c r="M2270" s="62" t="s">
        <v>170</v>
      </c>
      <c r="N2270" t="s">
        <v>71</v>
      </c>
      <c r="O2270" t="str">
        <f>IFERROR(IF(Tbla_actores[[#This Row],[codigo_proyecto]]="","",_xlfn.XLOOKUP(Tbla_actores[[#This Row],[codigo_proyecto]],Proyectos!$A:$A,Proyectos!$C:$C)),"")</f>
        <v>NULOS</v>
      </c>
    </row>
    <row r="2271" spans="1:15">
      <c r="A2271" s="10">
        <v>1091352121</v>
      </c>
      <c r="B2271" s="64" t="s">
        <v>61</v>
      </c>
      <c r="C2271" s="62" t="s">
        <v>6425</v>
      </c>
      <c r="D2271" t="s">
        <v>63</v>
      </c>
      <c r="E2271" t="s">
        <v>6826</v>
      </c>
      <c r="F2271" s="61">
        <v>36749</v>
      </c>
      <c r="G2271" s="15" t="s">
        <v>73</v>
      </c>
      <c r="H2271" t="s">
        <v>6827</v>
      </c>
      <c r="I2271" s="62" t="s">
        <v>6828</v>
      </c>
      <c r="K2271" s="36" t="s">
        <v>169</v>
      </c>
      <c r="L2271" t="s">
        <v>69</v>
      </c>
      <c r="M2271" s="62" t="s">
        <v>170</v>
      </c>
      <c r="N2271" t="s">
        <v>71</v>
      </c>
      <c r="O2271" t="str">
        <f>IFERROR(IF(Tbla_actores[[#This Row],[codigo_proyecto]]="","",_xlfn.XLOOKUP(Tbla_actores[[#This Row],[codigo_proyecto]],Proyectos!$A:$A,Proyectos!$C:$C)),"")</f>
        <v>NULOS</v>
      </c>
    </row>
    <row r="2272" spans="1:15">
      <c r="A2272" s="9">
        <v>1001309680</v>
      </c>
      <c r="B2272" s="63" t="s">
        <v>61</v>
      </c>
      <c r="C2272" s="62" t="s">
        <v>6425</v>
      </c>
      <c r="D2272" t="s">
        <v>63</v>
      </c>
      <c r="E2272" t="s">
        <v>6829</v>
      </c>
      <c r="F2272" s="61">
        <v>36662</v>
      </c>
      <c r="G2272" s="15" t="s">
        <v>73</v>
      </c>
      <c r="H2272" t="s">
        <v>6830</v>
      </c>
      <c r="I2272" s="62" t="s">
        <v>6831</v>
      </c>
      <c r="K2272" s="36" t="s">
        <v>169</v>
      </c>
      <c r="L2272" t="s">
        <v>69</v>
      </c>
      <c r="M2272" s="62" t="s">
        <v>170</v>
      </c>
      <c r="N2272" t="s">
        <v>71</v>
      </c>
      <c r="O2272" t="str">
        <f>IFERROR(IF(Tbla_actores[[#This Row],[codigo_proyecto]]="","",_xlfn.XLOOKUP(Tbla_actores[[#This Row],[codigo_proyecto]],Proyectos!$A:$A,Proyectos!$C:$C)),"")</f>
        <v>NULOS</v>
      </c>
    </row>
    <row r="2273" spans="1:15">
      <c r="A2273" s="10">
        <v>1000943615</v>
      </c>
      <c r="B2273" s="64" t="s">
        <v>61</v>
      </c>
      <c r="C2273" s="62" t="s">
        <v>6425</v>
      </c>
      <c r="D2273" t="s">
        <v>63</v>
      </c>
      <c r="E2273" t="s">
        <v>6832</v>
      </c>
      <c r="F2273" s="61">
        <v>36719</v>
      </c>
      <c r="G2273" s="15" t="s">
        <v>73</v>
      </c>
      <c r="H2273" t="s">
        <v>6833</v>
      </c>
      <c r="I2273" s="62" t="s">
        <v>6834</v>
      </c>
      <c r="K2273" s="36" t="s">
        <v>169</v>
      </c>
      <c r="L2273" t="s">
        <v>69</v>
      </c>
      <c r="M2273" s="62" t="s">
        <v>170</v>
      </c>
      <c r="N2273" t="s">
        <v>71</v>
      </c>
      <c r="O2273" t="str">
        <f>IFERROR(IF(Tbla_actores[[#This Row],[codigo_proyecto]]="","",_xlfn.XLOOKUP(Tbla_actores[[#This Row],[codigo_proyecto]],Proyectos!$A:$A,Proyectos!$C:$C)),"")</f>
        <v>NULOS</v>
      </c>
    </row>
    <row r="2274" spans="1:15">
      <c r="A2274" s="9">
        <v>1000516408</v>
      </c>
      <c r="B2274" s="63" t="s">
        <v>61</v>
      </c>
      <c r="C2274" s="62" t="s">
        <v>6425</v>
      </c>
      <c r="D2274" t="s">
        <v>63</v>
      </c>
      <c r="E2274" t="s">
        <v>6835</v>
      </c>
      <c r="F2274" s="61">
        <v>36957</v>
      </c>
      <c r="G2274" s="15" t="s">
        <v>73</v>
      </c>
      <c r="H2274" t="s">
        <v>6836</v>
      </c>
      <c r="I2274" s="62" t="s">
        <v>6837</v>
      </c>
      <c r="K2274" s="36" t="s">
        <v>169</v>
      </c>
      <c r="L2274" t="s">
        <v>69</v>
      </c>
      <c r="M2274" s="62" t="s">
        <v>170</v>
      </c>
      <c r="N2274" t="s">
        <v>71</v>
      </c>
      <c r="O2274" t="str">
        <f>IFERROR(IF(Tbla_actores[[#This Row],[codigo_proyecto]]="","",_xlfn.XLOOKUP(Tbla_actores[[#This Row],[codigo_proyecto]],Proyectos!$A:$A,Proyectos!$C:$C)),"")</f>
        <v>NULOS</v>
      </c>
    </row>
    <row r="2275" spans="1:15">
      <c r="A2275" s="10">
        <v>1019121397</v>
      </c>
      <c r="B2275" s="64" t="s">
        <v>61</v>
      </c>
      <c r="C2275" s="62" t="s">
        <v>6425</v>
      </c>
      <c r="D2275" t="s">
        <v>63</v>
      </c>
      <c r="E2275" t="s">
        <v>6838</v>
      </c>
      <c r="F2275" s="61">
        <v>35253</v>
      </c>
      <c r="G2275" s="15" t="s">
        <v>65</v>
      </c>
      <c r="H2275" t="s">
        <v>6839</v>
      </c>
      <c r="I2275" s="62" t="s">
        <v>6840</v>
      </c>
      <c r="K2275" s="36" t="s">
        <v>169</v>
      </c>
      <c r="L2275" t="s">
        <v>69</v>
      </c>
      <c r="M2275" s="62" t="s">
        <v>170</v>
      </c>
      <c r="N2275" t="s">
        <v>71</v>
      </c>
      <c r="O2275" t="str">
        <f>IFERROR(IF(Tbla_actores[[#This Row],[codigo_proyecto]]="","",_xlfn.XLOOKUP(Tbla_actores[[#This Row],[codigo_proyecto]],Proyectos!$A:$A,Proyectos!$C:$C)),"")</f>
        <v>NULOS</v>
      </c>
    </row>
    <row r="2276" spans="1:15">
      <c r="A2276" s="9">
        <v>1018448237</v>
      </c>
      <c r="B2276" s="63" t="s">
        <v>61</v>
      </c>
      <c r="C2276" s="62" t="s">
        <v>6425</v>
      </c>
      <c r="D2276" t="s">
        <v>63</v>
      </c>
      <c r="E2276" t="s">
        <v>6841</v>
      </c>
      <c r="F2276" s="61">
        <v>33549</v>
      </c>
      <c r="G2276" s="15" t="s">
        <v>73</v>
      </c>
      <c r="H2276" t="s">
        <v>6842</v>
      </c>
      <c r="I2276" s="62" t="s">
        <v>6843</v>
      </c>
      <c r="K2276" s="36" t="s">
        <v>169</v>
      </c>
      <c r="L2276" t="s">
        <v>69</v>
      </c>
      <c r="M2276" s="62" t="s">
        <v>170</v>
      </c>
      <c r="N2276" t="s">
        <v>71</v>
      </c>
      <c r="O2276" t="str">
        <f>IFERROR(IF(Tbla_actores[[#This Row],[codigo_proyecto]]="","",_xlfn.XLOOKUP(Tbla_actores[[#This Row],[codigo_proyecto]],Proyectos!$A:$A,Proyectos!$C:$C)),"")</f>
        <v>NULOS</v>
      </c>
    </row>
    <row r="2277" spans="1:15">
      <c r="A2277" s="10">
        <v>1010248801</v>
      </c>
      <c r="B2277" s="64" t="s">
        <v>61</v>
      </c>
      <c r="C2277" s="62" t="s">
        <v>6425</v>
      </c>
      <c r="D2277" t="s">
        <v>63</v>
      </c>
      <c r="E2277" t="s">
        <v>6844</v>
      </c>
      <c r="F2277" s="61">
        <v>36520</v>
      </c>
      <c r="G2277" s="15" t="s">
        <v>73</v>
      </c>
      <c r="H2277" t="s">
        <v>6845</v>
      </c>
      <c r="I2277" s="62" t="s">
        <v>6846</v>
      </c>
      <c r="K2277" s="36" t="s">
        <v>169</v>
      </c>
      <c r="L2277" t="s">
        <v>69</v>
      </c>
      <c r="M2277" s="62" t="s">
        <v>170</v>
      </c>
      <c r="N2277" t="s">
        <v>71</v>
      </c>
      <c r="O2277" t="str">
        <f>IFERROR(IF(Tbla_actores[[#This Row],[codigo_proyecto]]="","",_xlfn.XLOOKUP(Tbla_actores[[#This Row],[codigo_proyecto]],Proyectos!$A:$A,Proyectos!$C:$C)),"")</f>
        <v>NULOS</v>
      </c>
    </row>
    <row r="2278" spans="1:15">
      <c r="A2278" s="9">
        <v>1007535055</v>
      </c>
      <c r="B2278" s="63" t="s">
        <v>61</v>
      </c>
      <c r="C2278" s="62" t="s">
        <v>6425</v>
      </c>
      <c r="D2278" t="s">
        <v>63</v>
      </c>
      <c r="E2278" t="s">
        <v>6847</v>
      </c>
      <c r="F2278" s="61">
        <v>36887</v>
      </c>
      <c r="G2278" s="15" t="s">
        <v>73</v>
      </c>
      <c r="H2278" t="s">
        <v>6848</v>
      </c>
      <c r="I2278" s="62" t="s">
        <v>6849</v>
      </c>
      <c r="K2278" s="36" t="s">
        <v>169</v>
      </c>
      <c r="L2278" t="s">
        <v>69</v>
      </c>
      <c r="M2278" s="62" t="s">
        <v>170</v>
      </c>
      <c r="N2278" t="s">
        <v>71</v>
      </c>
      <c r="O2278" t="str">
        <f>IFERROR(IF(Tbla_actores[[#This Row],[codigo_proyecto]]="","",_xlfn.XLOOKUP(Tbla_actores[[#This Row],[codigo_proyecto]],Proyectos!$A:$A,Proyectos!$C:$C)),"")</f>
        <v>NULOS</v>
      </c>
    </row>
    <row r="2279" spans="1:15">
      <c r="A2279" s="10">
        <v>1232890667</v>
      </c>
      <c r="B2279" s="64" t="s">
        <v>61</v>
      </c>
      <c r="C2279" s="62" t="s">
        <v>6425</v>
      </c>
      <c r="D2279" t="s">
        <v>63</v>
      </c>
      <c r="E2279" t="s">
        <v>6850</v>
      </c>
      <c r="F2279" s="61">
        <v>36136</v>
      </c>
      <c r="G2279" s="15" t="s">
        <v>73</v>
      </c>
      <c r="H2279" t="s">
        <v>6851</v>
      </c>
      <c r="I2279" s="62" t="s">
        <v>6852</v>
      </c>
      <c r="K2279" s="36" t="s">
        <v>169</v>
      </c>
      <c r="L2279" t="s">
        <v>69</v>
      </c>
      <c r="M2279" s="62" t="s">
        <v>170</v>
      </c>
      <c r="N2279" t="s">
        <v>71</v>
      </c>
      <c r="O2279" t="str">
        <f>IFERROR(IF(Tbla_actores[[#This Row],[codigo_proyecto]]="","",_xlfn.XLOOKUP(Tbla_actores[[#This Row],[codigo_proyecto]],Proyectos!$A:$A,Proyectos!$C:$C)),"")</f>
        <v>NULOS</v>
      </c>
    </row>
    <row r="2280" spans="1:15">
      <c r="A2280" s="9">
        <v>1000940126</v>
      </c>
      <c r="B2280" s="63" t="s">
        <v>61</v>
      </c>
      <c r="C2280" s="62" t="s">
        <v>6425</v>
      </c>
      <c r="D2280" t="s">
        <v>63</v>
      </c>
      <c r="E2280" t="s">
        <v>6853</v>
      </c>
      <c r="F2280" s="61">
        <v>37526</v>
      </c>
      <c r="G2280" s="15" t="s">
        <v>65</v>
      </c>
      <c r="H2280" t="s">
        <v>6854</v>
      </c>
      <c r="I2280" s="62" t="s">
        <v>6855</v>
      </c>
      <c r="K2280" s="36" t="s">
        <v>169</v>
      </c>
      <c r="L2280" t="s">
        <v>69</v>
      </c>
      <c r="M2280" s="62" t="s">
        <v>170</v>
      </c>
      <c r="N2280" t="s">
        <v>71</v>
      </c>
      <c r="O2280" t="str">
        <f>IFERROR(IF(Tbla_actores[[#This Row],[codigo_proyecto]]="","",_xlfn.XLOOKUP(Tbla_actores[[#This Row],[codigo_proyecto]],Proyectos!$A:$A,Proyectos!$C:$C)),"")</f>
        <v>NULOS</v>
      </c>
    </row>
    <row r="2281" spans="1:15">
      <c r="A2281" s="10">
        <v>1000801606</v>
      </c>
      <c r="B2281" s="64" t="s">
        <v>61</v>
      </c>
      <c r="C2281" s="62" t="s">
        <v>6425</v>
      </c>
      <c r="D2281" t="s">
        <v>63</v>
      </c>
      <c r="E2281" t="s">
        <v>6856</v>
      </c>
      <c r="F2281" s="61">
        <v>36670</v>
      </c>
      <c r="G2281" s="15" t="s">
        <v>73</v>
      </c>
      <c r="H2281" t="s">
        <v>6857</v>
      </c>
      <c r="I2281" s="62" t="s">
        <v>6858</v>
      </c>
      <c r="K2281" s="36" t="s">
        <v>169</v>
      </c>
      <c r="L2281" t="s">
        <v>69</v>
      </c>
      <c r="M2281" s="62" t="s">
        <v>170</v>
      </c>
      <c r="N2281" t="s">
        <v>71</v>
      </c>
      <c r="O2281" t="str">
        <f>IFERROR(IF(Tbla_actores[[#This Row],[codigo_proyecto]]="","",_xlfn.XLOOKUP(Tbla_actores[[#This Row],[codigo_proyecto]],Proyectos!$A:$A,Proyectos!$C:$C)),"")</f>
        <v>NULOS</v>
      </c>
    </row>
    <row r="2282" spans="1:15">
      <c r="A2282" s="9">
        <v>1000036367</v>
      </c>
      <c r="B2282" s="63" t="s">
        <v>61</v>
      </c>
      <c r="C2282" s="62" t="s">
        <v>6425</v>
      </c>
      <c r="D2282" t="s">
        <v>63</v>
      </c>
      <c r="E2282" t="s">
        <v>6859</v>
      </c>
      <c r="F2282" s="61">
        <v>36956</v>
      </c>
      <c r="G2282" s="15" t="s">
        <v>73</v>
      </c>
      <c r="H2282" t="s">
        <v>6860</v>
      </c>
      <c r="I2282" s="62" t="s">
        <v>6861</v>
      </c>
      <c r="K2282" s="36" t="s">
        <v>169</v>
      </c>
      <c r="L2282" t="s">
        <v>69</v>
      </c>
      <c r="M2282" s="62" t="s">
        <v>170</v>
      </c>
      <c r="N2282" t="s">
        <v>71</v>
      </c>
      <c r="O2282" t="str">
        <f>IFERROR(IF(Tbla_actores[[#This Row],[codigo_proyecto]]="","",_xlfn.XLOOKUP(Tbla_actores[[#This Row],[codigo_proyecto]],Proyectos!$A:$A,Proyectos!$C:$C)),"")</f>
        <v>NULOS</v>
      </c>
    </row>
    <row r="2283" spans="1:15">
      <c r="A2283" s="10">
        <v>1001067571</v>
      </c>
      <c r="B2283" s="64" t="s">
        <v>61</v>
      </c>
      <c r="C2283" s="62" t="s">
        <v>6425</v>
      </c>
      <c r="D2283" t="s">
        <v>63</v>
      </c>
      <c r="E2283" t="s">
        <v>6862</v>
      </c>
      <c r="F2283" s="61">
        <v>37265</v>
      </c>
      <c r="G2283" s="15" t="s">
        <v>65</v>
      </c>
      <c r="H2283" t="s">
        <v>6863</v>
      </c>
      <c r="I2283" s="62" t="s">
        <v>6864</v>
      </c>
      <c r="K2283" s="36" t="s">
        <v>169</v>
      </c>
      <c r="L2283" t="s">
        <v>69</v>
      </c>
      <c r="M2283" s="62" t="s">
        <v>170</v>
      </c>
      <c r="N2283" t="s">
        <v>71</v>
      </c>
      <c r="O2283" t="str">
        <f>IFERROR(IF(Tbla_actores[[#This Row],[codigo_proyecto]]="","",_xlfn.XLOOKUP(Tbla_actores[[#This Row],[codigo_proyecto]],Proyectos!$A:$A,Proyectos!$C:$C)),"")</f>
        <v>NULOS</v>
      </c>
    </row>
    <row r="2284" spans="1:15">
      <c r="A2284" s="9">
        <v>1001346785</v>
      </c>
      <c r="B2284" s="63" t="s">
        <v>61</v>
      </c>
      <c r="C2284" s="62" t="s">
        <v>6425</v>
      </c>
      <c r="D2284" t="s">
        <v>63</v>
      </c>
      <c r="E2284" t="s">
        <v>6865</v>
      </c>
      <c r="F2284" s="61">
        <v>37345</v>
      </c>
      <c r="G2284" s="15" t="s">
        <v>65</v>
      </c>
      <c r="H2284" t="s">
        <v>6866</v>
      </c>
      <c r="I2284" s="62" t="s">
        <v>6867</v>
      </c>
      <c r="K2284" s="36" t="s">
        <v>169</v>
      </c>
      <c r="L2284" t="s">
        <v>69</v>
      </c>
      <c r="M2284" s="62" t="s">
        <v>170</v>
      </c>
      <c r="N2284" t="s">
        <v>71</v>
      </c>
      <c r="O2284" t="str">
        <f>IFERROR(IF(Tbla_actores[[#This Row],[codigo_proyecto]]="","",_xlfn.XLOOKUP(Tbla_actores[[#This Row],[codigo_proyecto]],Proyectos!$A:$A,Proyectos!$C:$C)),"")</f>
        <v>NULOS</v>
      </c>
    </row>
    <row r="2285" spans="1:15">
      <c r="A2285" s="10">
        <v>1000365779</v>
      </c>
      <c r="B2285" s="64" t="s">
        <v>61</v>
      </c>
      <c r="C2285" s="62" t="s">
        <v>6425</v>
      </c>
      <c r="D2285" t="s">
        <v>63</v>
      </c>
      <c r="E2285" t="s">
        <v>6868</v>
      </c>
      <c r="F2285" s="61">
        <v>37905</v>
      </c>
      <c r="G2285" s="15" t="s">
        <v>65</v>
      </c>
      <c r="H2285" t="s">
        <v>6869</v>
      </c>
      <c r="I2285" s="62" t="s">
        <v>6870</v>
      </c>
      <c r="K2285" s="36" t="s">
        <v>169</v>
      </c>
      <c r="L2285" t="s">
        <v>69</v>
      </c>
      <c r="M2285" s="62" t="s">
        <v>170</v>
      </c>
      <c r="N2285" t="s">
        <v>71</v>
      </c>
      <c r="O2285" t="str">
        <f>IFERROR(IF(Tbla_actores[[#This Row],[codigo_proyecto]]="","",_xlfn.XLOOKUP(Tbla_actores[[#This Row],[codigo_proyecto]],Proyectos!$A:$A,Proyectos!$C:$C)),"")</f>
        <v>NULOS</v>
      </c>
    </row>
    <row r="2286" spans="1:15">
      <c r="A2286" s="9">
        <v>1000506188</v>
      </c>
      <c r="B2286" s="63" t="s">
        <v>61</v>
      </c>
      <c r="C2286" s="62" t="s">
        <v>6425</v>
      </c>
      <c r="D2286" t="s">
        <v>63</v>
      </c>
      <c r="E2286" t="s">
        <v>6871</v>
      </c>
      <c r="F2286" s="61">
        <v>37903</v>
      </c>
      <c r="G2286" s="15" t="s">
        <v>73</v>
      </c>
      <c r="H2286" t="s">
        <v>6872</v>
      </c>
      <c r="I2286" s="62" t="s">
        <v>6873</v>
      </c>
      <c r="K2286" s="36" t="s">
        <v>169</v>
      </c>
      <c r="L2286" t="s">
        <v>69</v>
      </c>
      <c r="M2286" s="62" t="s">
        <v>170</v>
      </c>
      <c r="N2286" t="s">
        <v>71</v>
      </c>
      <c r="O2286" t="str">
        <f>IFERROR(IF(Tbla_actores[[#This Row],[codigo_proyecto]]="","",_xlfn.XLOOKUP(Tbla_actores[[#This Row],[codigo_proyecto]],Proyectos!$A:$A,Proyectos!$C:$C)),"")</f>
        <v>NULOS</v>
      </c>
    </row>
    <row r="2287" spans="1:15">
      <c r="A2287" s="10">
        <v>1000611871</v>
      </c>
      <c r="B2287" s="64" t="s">
        <v>61</v>
      </c>
      <c r="C2287" s="62" t="s">
        <v>6425</v>
      </c>
      <c r="D2287" t="s">
        <v>63</v>
      </c>
      <c r="E2287" t="s">
        <v>6874</v>
      </c>
      <c r="F2287" s="61">
        <v>37969</v>
      </c>
      <c r="G2287" s="15" t="s">
        <v>65</v>
      </c>
      <c r="H2287" t="s">
        <v>6875</v>
      </c>
      <c r="I2287" s="62" t="s">
        <v>6876</v>
      </c>
      <c r="K2287" s="36" t="s">
        <v>169</v>
      </c>
      <c r="L2287" t="s">
        <v>69</v>
      </c>
      <c r="M2287" s="62" t="s">
        <v>170</v>
      </c>
      <c r="N2287" t="s">
        <v>71</v>
      </c>
      <c r="O2287" t="str">
        <f>IFERROR(IF(Tbla_actores[[#This Row],[codigo_proyecto]]="","",_xlfn.XLOOKUP(Tbla_actores[[#This Row],[codigo_proyecto]],Proyectos!$A:$A,Proyectos!$C:$C)),"")</f>
        <v>NULOS</v>
      </c>
    </row>
    <row r="2288" spans="1:15">
      <c r="A2288" s="9">
        <v>1004509340</v>
      </c>
      <c r="B2288" s="63" t="s">
        <v>61</v>
      </c>
      <c r="C2288" s="62" t="s">
        <v>6425</v>
      </c>
      <c r="D2288" t="s">
        <v>63</v>
      </c>
      <c r="E2288" t="s">
        <v>6877</v>
      </c>
      <c r="F2288" s="61">
        <v>37786</v>
      </c>
      <c r="G2288" s="15" t="s">
        <v>65</v>
      </c>
      <c r="H2288" t="s">
        <v>6878</v>
      </c>
      <c r="I2288" s="62" t="s">
        <v>6879</v>
      </c>
      <c r="K2288" s="36" t="s">
        <v>169</v>
      </c>
      <c r="L2288" t="s">
        <v>69</v>
      </c>
      <c r="M2288" s="62" t="s">
        <v>170</v>
      </c>
      <c r="N2288" t="s">
        <v>71</v>
      </c>
      <c r="O2288" t="str">
        <f>IFERROR(IF(Tbla_actores[[#This Row],[codigo_proyecto]]="","",_xlfn.XLOOKUP(Tbla_actores[[#This Row],[codigo_proyecto]],Proyectos!$A:$A,Proyectos!$C:$C)),"")</f>
        <v>NULOS</v>
      </c>
    </row>
    <row r="2289" spans="1:15">
      <c r="A2289" s="10">
        <v>1004193472</v>
      </c>
      <c r="B2289" s="64" t="s">
        <v>61</v>
      </c>
      <c r="C2289" s="62" t="s">
        <v>6425</v>
      </c>
      <c r="D2289" t="s">
        <v>63</v>
      </c>
      <c r="E2289" t="s">
        <v>6880</v>
      </c>
      <c r="F2289" s="61">
        <v>37611</v>
      </c>
      <c r="G2289" s="15" t="s">
        <v>73</v>
      </c>
      <c r="H2289" t="s">
        <v>6881</v>
      </c>
      <c r="I2289" s="62" t="s">
        <v>6882</v>
      </c>
      <c r="K2289" s="36" t="s">
        <v>169</v>
      </c>
      <c r="L2289" t="s">
        <v>69</v>
      </c>
      <c r="M2289" s="62" t="s">
        <v>170</v>
      </c>
      <c r="N2289" t="s">
        <v>71</v>
      </c>
      <c r="O2289" t="str">
        <f>IFERROR(IF(Tbla_actores[[#This Row],[codigo_proyecto]]="","",_xlfn.XLOOKUP(Tbla_actores[[#This Row],[codigo_proyecto]],Proyectos!$A:$A,Proyectos!$C:$C)),"")</f>
        <v>NULOS</v>
      </c>
    </row>
    <row r="2290" spans="1:15">
      <c r="A2290" s="9">
        <v>1001297232</v>
      </c>
      <c r="B2290" s="63" t="s">
        <v>61</v>
      </c>
      <c r="C2290" s="62" t="s">
        <v>6425</v>
      </c>
      <c r="D2290" t="s">
        <v>63</v>
      </c>
      <c r="E2290" t="s">
        <v>6883</v>
      </c>
      <c r="F2290" s="61">
        <v>37650</v>
      </c>
      <c r="G2290" s="15" t="s">
        <v>65</v>
      </c>
      <c r="H2290" t="s">
        <v>6884</v>
      </c>
      <c r="I2290" s="62" t="s">
        <v>6885</v>
      </c>
      <c r="K2290" s="36" t="s">
        <v>169</v>
      </c>
      <c r="L2290" t="s">
        <v>69</v>
      </c>
      <c r="M2290" s="62" t="s">
        <v>170</v>
      </c>
      <c r="N2290" t="s">
        <v>71</v>
      </c>
      <c r="O2290" t="str">
        <f>IFERROR(IF(Tbla_actores[[#This Row],[codigo_proyecto]]="","",_xlfn.XLOOKUP(Tbla_actores[[#This Row],[codigo_proyecto]],Proyectos!$A:$A,Proyectos!$C:$C)),"")</f>
        <v>NULOS</v>
      </c>
    </row>
    <row r="2291" spans="1:15">
      <c r="A2291" s="10">
        <v>1000462780</v>
      </c>
      <c r="B2291" s="64" t="s">
        <v>61</v>
      </c>
      <c r="C2291" s="62" t="s">
        <v>6425</v>
      </c>
      <c r="D2291" t="s">
        <v>63</v>
      </c>
      <c r="E2291" t="s">
        <v>6886</v>
      </c>
      <c r="F2291" s="61">
        <v>37805</v>
      </c>
      <c r="G2291" s="15" t="s">
        <v>73</v>
      </c>
      <c r="H2291" t="s">
        <v>6887</v>
      </c>
      <c r="I2291" s="62" t="s">
        <v>6888</v>
      </c>
      <c r="K2291" s="36" t="s">
        <v>169</v>
      </c>
      <c r="L2291" t="s">
        <v>69</v>
      </c>
      <c r="M2291" s="62" t="s">
        <v>170</v>
      </c>
      <c r="N2291" t="s">
        <v>71</v>
      </c>
      <c r="O2291" t="str">
        <f>IFERROR(IF(Tbla_actores[[#This Row],[codigo_proyecto]]="","",_xlfn.XLOOKUP(Tbla_actores[[#This Row],[codigo_proyecto]],Proyectos!$A:$A,Proyectos!$C:$C)),"")</f>
        <v>NULOS</v>
      </c>
    </row>
    <row r="2292" spans="1:15">
      <c r="A2292" s="9">
        <v>1005000375</v>
      </c>
      <c r="B2292" s="63" t="s">
        <v>61</v>
      </c>
      <c r="C2292" s="62" t="s">
        <v>6425</v>
      </c>
      <c r="D2292" t="s">
        <v>63</v>
      </c>
      <c r="E2292" t="s">
        <v>6889</v>
      </c>
      <c r="F2292" s="61">
        <v>37838</v>
      </c>
      <c r="G2292" s="15" t="s">
        <v>73</v>
      </c>
      <c r="H2292" t="s">
        <v>6890</v>
      </c>
      <c r="I2292" s="62" t="s">
        <v>6891</v>
      </c>
      <c r="K2292" s="36" t="s">
        <v>169</v>
      </c>
      <c r="L2292" t="s">
        <v>69</v>
      </c>
      <c r="M2292" s="62" t="s">
        <v>170</v>
      </c>
      <c r="N2292" t="s">
        <v>71</v>
      </c>
      <c r="O2292" t="str">
        <f>IFERROR(IF(Tbla_actores[[#This Row],[codigo_proyecto]]="","",_xlfn.XLOOKUP(Tbla_actores[[#This Row],[codigo_proyecto]],Proyectos!$A:$A,Proyectos!$C:$C)),"")</f>
        <v>NULOS</v>
      </c>
    </row>
    <row r="2293" spans="1:15">
      <c r="A2293" s="10">
        <v>1002329409</v>
      </c>
      <c r="B2293" s="64" t="s">
        <v>61</v>
      </c>
      <c r="C2293" s="62" t="s">
        <v>6425</v>
      </c>
      <c r="D2293" t="s">
        <v>63</v>
      </c>
      <c r="E2293" t="s">
        <v>6892</v>
      </c>
      <c r="F2293" s="61">
        <v>37080</v>
      </c>
      <c r="G2293" s="15" t="s">
        <v>73</v>
      </c>
      <c r="H2293" t="s">
        <v>6893</v>
      </c>
      <c r="I2293" s="62" t="s">
        <v>6894</v>
      </c>
      <c r="K2293" s="36" t="s">
        <v>169</v>
      </c>
      <c r="L2293" t="s">
        <v>69</v>
      </c>
      <c r="M2293" s="62" t="s">
        <v>170</v>
      </c>
      <c r="N2293" t="s">
        <v>71</v>
      </c>
      <c r="O2293" t="str">
        <f>IFERROR(IF(Tbla_actores[[#This Row],[codigo_proyecto]]="","",_xlfn.XLOOKUP(Tbla_actores[[#This Row],[codigo_proyecto]],Proyectos!$A:$A,Proyectos!$C:$C)),"")</f>
        <v>NULOS</v>
      </c>
    </row>
    <row r="2294" spans="1:15">
      <c r="A2294" s="9">
        <v>1006015555</v>
      </c>
      <c r="B2294" s="63" t="s">
        <v>61</v>
      </c>
      <c r="C2294" s="62" t="s">
        <v>6425</v>
      </c>
      <c r="D2294" t="s">
        <v>63</v>
      </c>
      <c r="E2294" t="s">
        <v>6895</v>
      </c>
      <c r="F2294" s="61">
        <v>37668</v>
      </c>
      <c r="G2294" s="15" t="s">
        <v>65</v>
      </c>
      <c r="H2294" t="s">
        <v>6896</v>
      </c>
      <c r="I2294" s="62" t="s">
        <v>6897</v>
      </c>
      <c r="K2294" s="36" t="s">
        <v>169</v>
      </c>
      <c r="L2294" t="s">
        <v>69</v>
      </c>
      <c r="M2294" s="62" t="s">
        <v>170</v>
      </c>
      <c r="N2294" t="s">
        <v>71</v>
      </c>
      <c r="O2294" t="str">
        <f>IFERROR(IF(Tbla_actores[[#This Row],[codigo_proyecto]]="","",_xlfn.XLOOKUP(Tbla_actores[[#This Row],[codigo_proyecto]],Proyectos!$A:$A,Proyectos!$C:$C)),"")</f>
        <v>NULOS</v>
      </c>
    </row>
    <row r="2295" spans="1:15">
      <c r="A2295" s="10">
        <v>1002208514</v>
      </c>
      <c r="B2295" s="64" t="s">
        <v>61</v>
      </c>
      <c r="C2295" s="62" t="s">
        <v>6425</v>
      </c>
      <c r="D2295" t="s">
        <v>63</v>
      </c>
      <c r="E2295" t="s">
        <v>6898</v>
      </c>
      <c r="F2295" s="61">
        <v>37270</v>
      </c>
      <c r="G2295" s="15" t="s">
        <v>73</v>
      </c>
      <c r="H2295" t="s">
        <v>6899</v>
      </c>
      <c r="I2295" s="62" t="s">
        <v>6900</v>
      </c>
      <c r="K2295" s="36" t="s">
        <v>169</v>
      </c>
      <c r="L2295" t="s">
        <v>69</v>
      </c>
      <c r="M2295" s="62" t="s">
        <v>170</v>
      </c>
      <c r="N2295" t="s">
        <v>71</v>
      </c>
      <c r="O2295" t="str">
        <f>IFERROR(IF(Tbla_actores[[#This Row],[codigo_proyecto]]="","",_xlfn.XLOOKUP(Tbla_actores[[#This Row],[codigo_proyecto]],Proyectos!$A:$A,Proyectos!$C:$C)),"")</f>
        <v>NULOS</v>
      </c>
    </row>
    <row r="2296" spans="1:15">
      <c r="A2296" s="9">
        <v>1007603912</v>
      </c>
      <c r="B2296" s="63" t="s">
        <v>61</v>
      </c>
      <c r="C2296" s="62" t="s">
        <v>6425</v>
      </c>
      <c r="D2296" t="s">
        <v>63</v>
      </c>
      <c r="E2296" t="s">
        <v>6901</v>
      </c>
      <c r="F2296" s="61">
        <v>37906</v>
      </c>
      <c r="G2296" s="15" t="s">
        <v>73</v>
      </c>
      <c r="H2296" t="s">
        <v>6902</v>
      </c>
      <c r="I2296" s="62" t="s">
        <v>6903</v>
      </c>
      <c r="K2296" s="36" t="s">
        <v>169</v>
      </c>
      <c r="L2296" t="s">
        <v>69</v>
      </c>
      <c r="M2296" s="62" t="s">
        <v>170</v>
      </c>
      <c r="N2296" t="s">
        <v>71</v>
      </c>
      <c r="O2296" t="str">
        <f>IFERROR(IF(Tbla_actores[[#This Row],[codigo_proyecto]]="","",_xlfn.XLOOKUP(Tbla_actores[[#This Row],[codigo_proyecto]],Proyectos!$A:$A,Proyectos!$C:$C)),"")</f>
        <v>NULOS</v>
      </c>
    </row>
    <row r="2297" spans="1:15">
      <c r="A2297" s="10">
        <v>1013098150</v>
      </c>
      <c r="B2297" s="64" t="s">
        <v>61</v>
      </c>
      <c r="C2297" s="62" t="s">
        <v>6425</v>
      </c>
      <c r="D2297" t="s">
        <v>63</v>
      </c>
      <c r="E2297" t="s">
        <v>6904</v>
      </c>
      <c r="F2297" s="61">
        <v>38032</v>
      </c>
      <c r="G2297" s="15" t="s">
        <v>73</v>
      </c>
      <c r="H2297" t="s">
        <v>6905</v>
      </c>
      <c r="I2297" s="62" t="s">
        <v>6906</v>
      </c>
      <c r="K2297" s="36" t="s">
        <v>169</v>
      </c>
      <c r="L2297" t="s">
        <v>69</v>
      </c>
      <c r="M2297" s="62" t="s">
        <v>170</v>
      </c>
      <c r="N2297" t="s">
        <v>71</v>
      </c>
      <c r="O2297" t="str">
        <f>IFERROR(IF(Tbla_actores[[#This Row],[codigo_proyecto]]="","",_xlfn.XLOOKUP(Tbla_actores[[#This Row],[codigo_proyecto]],Proyectos!$A:$A,Proyectos!$C:$C)),"")</f>
        <v>NULOS</v>
      </c>
    </row>
    <row r="2298" spans="1:15">
      <c r="A2298" s="9">
        <v>1122506209</v>
      </c>
      <c r="B2298" s="63" t="s">
        <v>61</v>
      </c>
      <c r="C2298" s="62" t="s">
        <v>6425</v>
      </c>
      <c r="D2298" t="s">
        <v>63</v>
      </c>
      <c r="E2298" t="s">
        <v>6907</v>
      </c>
      <c r="F2298" s="61">
        <v>38029</v>
      </c>
      <c r="G2298" s="15" t="s">
        <v>73</v>
      </c>
      <c r="H2298" t="s">
        <v>6908</v>
      </c>
      <c r="I2298" s="62" t="s">
        <v>6909</v>
      </c>
      <c r="K2298" s="36" t="s">
        <v>169</v>
      </c>
      <c r="L2298" t="s">
        <v>69</v>
      </c>
      <c r="M2298" s="62" t="s">
        <v>170</v>
      </c>
      <c r="N2298" t="s">
        <v>71</v>
      </c>
      <c r="O2298" t="str">
        <f>IFERROR(IF(Tbla_actores[[#This Row],[codigo_proyecto]]="","",_xlfn.XLOOKUP(Tbla_actores[[#This Row],[codigo_proyecto]],Proyectos!$A:$A,Proyectos!$C:$C)),"")</f>
        <v>NULOS</v>
      </c>
    </row>
    <row r="2299" spans="1:15">
      <c r="A2299" s="10">
        <v>1002365375</v>
      </c>
      <c r="B2299" s="64" t="s">
        <v>61</v>
      </c>
      <c r="C2299" s="62" t="s">
        <v>6425</v>
      </c>
      <c r="D2299" t="s">
        <v>63</v>
      </c>
      <c r="E2299" t="s">
        <v>6910</v>
      </c>
      <c r="F2299" s="61">
        <v>37489</v>
      </c>
      <c r="G2299" s="15" t="s">
        <v>73</v>
      </c>
      <c r="H2299" t="s">
        <v>6911</v>
      </c>
      <c r="I2299" s="62" t="s">
        <v>6912</v>
      </c>
      <c r="K2299" s="36" t="s">
        <v>169</v>
      </c>
      <c r="L2299" t="s">
        <v>69</v>
      </c>
      <c r="M2299" s="62" t="s">
        <v>170</v>
      </c>
      <c r="N2299" t="s">
        <v>71</v>
      </c>
      <c r="O2299" t="str">
        <f>IFERROR(IF(Tbla_actores[[#This Row],[codigo_proyecto]]="","",_xlfn.XLOOKUP(Tbla_actores[[#This Row],[codigo_proyecto]],Proyectos!$A:$A,Proyectos!$C:$C)),"")</f>
        <v>NULOS</v>
      </c>
    </row>
    <row r="2300" spans="1:15">
      <c r="A2300" s="9">
        <v>1000796192</v>
      </c>
      <c r="B2300" s="63" t="s">
        <v>61</v>
      </c>
      <c r="C2300" s="62" t="s">
        <v>6425</v>
      </c>
      <c r="D2300" t="s">
        <v>63</v>
      </c>
      <c r="E2300" t="s">
        <v>6913</v>
      </c>
      <c r="F2300" s="61">
        <v>37867</v>
      </c>
      <c r="G2300" s="15" t="s">
        <v>65</v>
      </c>
      <c r="H2300" t="s">
        <v>6914</v>
      </c>
      <c r="I2300" s="62" t="s">
        <v>6915</v>
      </c>
      <c r="K2300" s="36" t="s">
        <v>169</v>
      </c>
      <c r="L2300" t="s">
        <v>69</v>
      </c>
      <c r="M2300" s="62" t="s">
        <v>170</v>
      </c>
      <c r="N2300" t="s">
        <v>71</v>
      </c>
      <c r="O2300" t="str">
        <f>IFERROR(IF(Tbla_actores[[#This Row],[codigo_proyecto]]="","",_xlfn.XLOOKUP(Tbla_actores[[#This Row],[codigo_proyecto]],Proyectos!$A:$A,Proyectos!$C:$C)),"")</f>
        <v>NULOS</v>
      </c>
    </row>
    <row r="2301" spans="1:15">
      <c r="A2301" s="10">
        <v>1015478696</v>
      </c>
      <c r="B2301" s="64" t="s">
        <v>61</v>
      </c>
      <c r="C2301" s="62" t="s">
        <v>6425</v>
      </c>
      <c r="D2301" t="s">
        <v>63</v>
      </c>
      <c r="E2301" t="s">
        <v>6916</v>
      </c>
      <c r="F2301" s="61">
        <v>36160</v>
      </c>
      <c r="G2301" s="15" t="s">
        <v>73</v>
      </c>
      <c r="H2301" t="s">
        <v>6917</v>
      </c>
      <c r="I2301" s="62" t="s">
        <v>6918</v>
      </c>
      <c r="K2301" s="36" t="s">
        <v>169</v>
      </c>
      <c r="L2301" t="s">
        <v>69</v>
      </c>
      <c r="M2301" s="62" t="s">
        <v>170</v>
      </c>
      <c r="N2301" t="s">
        <v>71</v>
      </c>
      <c r="O2301" t="str">
        <f>IFERROR(IF(Tbla_actores[[#This Row],[codigo_proyecto]]="","",_xlfn.XLOOKUP(Tbla_actores[[#This Row],[codigo_proyecto]],Proyectos!$A:$A,Proyectos!$C:$C)),"")</f>
        <v>NULOS</v>
      </c>
    </row>
    <row r="2302" spans="1:15">
      <c r="A2302" s="9">
        <v>1001344790</v>
      </c>
      <c r="B2302" s="63" t="s">
        <v>61</v>
      </c>
      <c r="C2302" s="62" t="s">
        <v>6425</v>
      </c>
      <c r="D2302" t="s">
        <v>63</v>
      </c>
      <c r="E2302" t="s">
        <v>6919</v>
      </c>
      <c r="F2302" s="61">
        <v>37875</v>
      </c>
      <c r="G2302" s="15" t="s">
        <v>65</v>
      </c>
      <c r="H2302" t="s">
        <v>6920</v>
      </c>
      <c r="I2302" s="62" t="s">
        <v>6921</v>
      </c>
      <c r="K2302" s="36" t="s">
        <v>169</v>
      </c>
      <c r="L2302" t="s">
        <v>69</v>
      </c>
      <c r="M2302" s="62" t="s">
        <v>170</v>
      </c>
      <c r="N2302" t="s">
        <v>71</v>
      </c>
      <c r="O2302" t="str">
        <f>IFERROR(IF(Tbla_actores[[#This Row],[codigo_proyecto]]="","",_xlfn.XLOOKUP(Tbla_actores[[#This Row],[codigo_proyecto]],Proyectos!$A:$A,Proyectos!$C:$C)),"")</f>
        <v>NULOS</v>
      </c>
    </row>
    <row r="2303" spans="1:15">
      <c r="A2303" s="10">
        <v>1000732776</v>
      </c>
      <c r="B2303" s="64" t="s">
        <v>61</v>
      </c>
      <c r="C2303" s="62" t="s">
        <v>6425</v>
      </c>
      <c r="D2303" t="s">
        <v>63</v>
      </c>
      <c r="E2303" t="s">
        <v>6922</v>
      </c>
      <c r="F2303" s="61">
        <v>37867</v>
      </c>
      <c r="G2303" s="15" t="s">
        <v>65</v>
      </c>
      <c r="H2303" t="s">
        <v>6923</v>
      </c>
      <c r="I2303" s="62" t="s">
        <v>6924</v>
      </c>
      <c r="K2303" s="36" t="s">
        <v>169</v>
      </c>
      <c r="L2303" t="s">
        <v>69</v>
      </c>
      <c r="M2303" s="62" t="s">
        <v>170</v>
      </c>
      <c r="N2303" t="s">
        <v>71</v>
      </c>
      <c r="O2303" t="str">
        <f>IFERROR(IF(Tbla_actores[[#This Row],[codigo_proyecto]]="","",_xlfn.XLOOKUP(Tbla_actores[[#This Row],[codigo_proyecto]],Proyectos!$A:$A,Proyectos!$C:$C)),"")</f>
        <v>NULOS</v>
      </c>
    </row>
    <row r="2304" spans="1:15">
      <c r="A2304" s="9">
        <v>1010129820</v>
      </c>
      <c r="B2304" s="63" t="s">
        <v>61</v>
      </c>
      <c r="C2304" s="62" t="s">
        <v>6425</v>
      </c>
      <c r="D2304" t="s">
        <v>63</v>
      </c>
      <c r="E2304" t="s">
        <v>6925</v>
      </c>
      <c r="F2304" s="61">
        <v>36812</v>
      </c>
      <c r="G2304" s="15" t="s">
        <v>73</v>
      </c>
      <c r="H2304" t="s">
        <v>6926</v>
      </c>
      <c r="I2304" s="62" t="s">
        <v>6927</v>
      </c>
      <c r="K2304" s="36" t="s">
        <v>169</v>
      </c>
      <c r="L2304" t="s">
        <v>69</v>
      </c>
      <c r="M2304" s="62" t="s">
        <v>170</v>
      </c>
      <c r="N2304" t="s">
        <v>71</v>
      </c>
      <c r="O2304" t="str">
        <f>IFERROR(IF(Tbla_actores[[#This Row],[codigo_proyecto]]="","",_xlfn.XLOOKUP(Tbla_actores[[#This Row],[codigo_proyecto]],Proyectos!$A:$A,Proyectos!$C:$C)),"")</f>
        <v>NULOS</v>
      </c>
    </row>
    <row r="2305" spans="1:15">
      <c r="A2305" s="10">
        <v>1105460156</v>
      </c>
      <c r="B2305" s="64" t="s">
        <v>61</v>
      </c>
      <c r="C2305" s="62" t="s">
        <v>6425</v>
      </c>
      <c r="D2305" t="s">
        <v>63</v>
      </c>
      <c r="E2305" t="s">
        <v>6928</v>
      </c>
      <c r="F2305" s="61">
        <v>38016</v>
      </c>
      <c r="G2305" s="15" t="s">
        <v>65</v>
      </c>
      <c r="H2305" t="s">
        <v>6929</v>
      </c>
      <c r="I2305" s="62" t="s">
        <v>6930</v>
      </c>
      <c r="K2305" s="36" t="s">
        <v>169</v>
      </c>
      <c r="L2305" t="s">
        <v>69</v>
      </c>
      <c r="M2305" s="62" t="s">
        <v>170</v>
      </c>
      <c r="N2305" t="s">
        <v>71</v>
      </c>
      <c r="O2305" t="str">
        <f>IFERROR(IF(Tbla_actores[[#This Row],[codigo_proyecto]]="","",_xlfn.XLOOKUP(Tbla_actores[[#This Row],[codigo_proyecto]],Proyectos!$A:$A,Proyectos!$C:$C)),"")</f>
        <v>NULOS</v>
      </c>
    </row>
    <row r="2306" spans="1:15">
      <c r="A2306" s="9">
        <v>1123430981</v>
      </c>
      <c r="B2306" s="63" t="s">
        <v>61</v>
      </c>
      <c r="C2306" s="62" t="s">
        <v>6425</v>
      </c>
      <c r="D2306" t="s">
        <v>63</v>
      </c>
      <c r="E2306" t="s">
        <v>6931</v>
      </c>
      <c r="F2306" s="61">
        <v>38110</v>
      </c>
      <c r="G2306" s="15" t="s">
        <v>65</v>
      </c>
      <c r="H2306" t="s">
        <v>6932</v>
      </c>
      <c r="I2306" s="62" t="s">
        <v>6933</v>
      </c>
      <c r="K2306" s="36" t="s">
        <v>169</v>
      </c>
      <c r="L2306" t="s">
        <v>69</v>
      </c>
      <c r="M2306" s="62" t="s">
        <v>170</v>
      </c>
      <c r="N2306" t="s">
        <v>71</v>
      </c>
      <c r="O2306" t="str">
        <f>IFERROR(IF(Tbla_actores[[#This Row],[codigo_proyecto]]="","",_xlfn.XLOOKUP(Tbla_actores[[#This Row],[codigo_proyecto]],Proyectos!$A:$A,Proyectos!$C:$C)),"")</f>
        <v>NULOS</v>
      </c>
    </row>
    <row r="2307" spans="1:15">
      <c r="A2307" s="10">
        <v>1004216120</v>
      </c>
      <c r="B2307" s="64" t="s">
        <v>61</v>
      </c>
      <c r="C2307" s="62" t="s">
        <v>6425</v>
      </c>
      <c r="D2307" t="s">
        <v>63</v>
      </c>
      <c r="E2307" t="s">
        <v>6934</v>
      </c>
      <c r="F2307" s="61">
        <v>37576</v>
      </c>
      <c r="G2307" s="15" t="s">
        <v>65</v>
      </c>
      <c r="H2307" t="s">
        <v>6935</v>
      </c>
      <c r="I2307" s="62" t="s">
        <v>6936</v>
      </c>
      <c r="K2307" s="36" t="s">
        <v>169</v>
      </c>
      <c r="L2307" t="s">
        <v>69</v>
      </c>
      <c r="M2307" s="62" t="s">
        <v>170</v>
      </c>
      <c r="N2307" t="s">
        <v>71</v>
      </c>
      <c r="O2307" t="str">
        <f>IFERROR(IF(Tbla_actores[[#This Row],[codigo_proyecto]]="","",_xlfn.XLOOKUP(Tbla_actores[[#This Row],[codigo_proyecto]],Proyectos!$A:$A,Proyectos!$C:$C)),"")</f>
        <v>NULOS</v>
      </c>
    </row>
    <row r="2308" spans="1:15">
      <c r="A2308" s="9">
        <v>1003534857</v>
      </c>
      <c r="B2308" s="63" t="s">
        <v>61</v>
      </c>
      <c r="C2308" s="62" t="s">
        <v>6425</v>
      </c>
      <c r="D2308" t="s">
        <v>63</v>
      </c>
      <c r="E2308" t="s">
        <v>6937</v>
      </c>
      <c r="F2308" s="61">
        <v>37732</v>
      </c>
      <c r="G2308" s="15" t="s">
        <v>65</v>
      </c>
      <c r="H2308" t="s">
        <v>6938</v>
      </c>
      <c r="I2308" s="62" t="s">
        <v>6939</v>
      </c>
      <c r="K2308" s="36" t="s">
        <v>169</v>
      </c>
      <c r="L2308" t="s">
        <v>69</v>
      </c>
      <c r="M2308" s="62" t="s">
        <v>170</v>
      </c>
      <c r="N2308" t="s">
        <v>71</v>
      </c>
      <c r="O2308" t="str">
        <f>IFERROR(IF(Tbla_actores[[#This Row],[codigo_proyecto]]="","",_xlfn.XLOOKUP(Tbla_actores[[#This Row],[codigo_proyecto]],Proyectos!$A:$A,Proyectos!$C:$C)),"")</f>
        <v>NULOS</v>
      </c>
    </row>
    <row r="2309" spans="1:15">
      <c r="A2309" s="10">
        <v>1007103459</v>
      </c>
      <c r="B2309" s="64" t="s">
        <v>61</v>
      </c>
      <c r="C2309" s="62" t="s">
        <v>6425</v>
      </c>
      <c r="D2309" t="s">
        <v>63</v>
      </c>
      <c r="E2309" t="s">
        <v>6940</v>
      </c>
      <c r="F2309" s="61">
        <v>37787</v>
      </c>
      <c r="G2309" s="15" t="s">
        <v>73</v>
      </c>
      <c r="H2309" t="s">
        <v>6941</v>
      </c>
      <c r="I2309" s="62" t="s">
        <v>6942</v>
      </c>
      <c r="K2309" s="36" t="s">
        <v>169</v>
      </c>
      <c r="L2309" t="s">
        <v>69</v>
      </c>
      <c r="M2309" s="62" t="s">
        <v>170</v>
      </c>
      <c r="N2309" t="s">
        <v>71</v>
      </c>
      <c r="O2309" t="str">
        <f>IFERROR(IF(Tbla_actores[[#This Row],[codigo_proyecto]]="","",_xlfn.XLOOKUP(Tbla_actores[[#This Row],[codigo_proyecto]],Proyectos!$A:$A,Proyectos!$C:$C)),"")</f>
        <v>NULOS</v>
      </c>
    </row>
    <row r="2310" spans="1:15">
      <c r="A2310" s="9">
        <v>1002479420</v>
      </c>
      <c r="B2310" s="63" t="s">
        <v>61</v>
      </c>
      <c r="C2310" s="62" t="s">
        <v>6425</v>
      </c>
      <c r="D2310" t="s">
        <v>63</v>
      </c>
      <c r="E2310" t="s">
        <v>6943</v>
      </c>
      <c r="F2310" s="61">
        <v>37425</v>
      </c>
      <c r="G2310" s="15" t="s">
        <v>65</v>
      </c>
      <c r="H2310" t="s">
        <v>6944</v>
      </c>
      <c r="I2310" s="62" t="s">
        <v>6945</v>
      </c>
      <c r="K2310" s="36" t="s">
        <v>169</v>
      </c>
      <c r="L2310" t="s">
        <v>69</v>
      </c>
      <c r="M2310" s="62" t="s">
        <v>170</v>
      </c>
      <c r="N2310" t="s">
        <v>71</v>
      </c>
      <c r="O2310" t="str">
        <f>IFERROR(IF(Tbla_actores[[#This Row],[codigo_proyecto]]="","",_xlfn.XLOOKUP(Tbla_actores[[#This Row],[codigo_proyecto]],Proyectos!$A:$A,Proyectos!$C:$C)),"")</f>
        <v>NULOS</v>
      </c>
    </row>
    <row r="2311" spans="1:15">
      <c r="A2311" s="10">
        <v>1192832021</v>
      </c>
      <c r="B2311" s="64" t="s">
        <v>61</v>
      </c>
      <c r="C2311" s="62" t="s">
        <v>6425</v>
      </c>
      <c r="D2311" t="s">
        <v>63</v>
      </c>
      <c r="E2311" t="s">
        <v>6946</v>
      </c>
      <c r="F2311" s="61">
        <v>37932</v>
      </c>
      <c r="G2311" s="15" t="s">
        <v>73</v>
      </c>
      <c r="H2311" t="s">
        <v>6947</v>
      </c>
      <c r="I2311" s="62" t="s">
        <v>6948</v>
      </c>
      <c r="K2311" s="36" t="s">
        <v>169</v>
      </c>
      <c r="L2311" t="s">
        <v>69</v>
      </c>
      <c r="M2311" s="62" t="s">
        <v>170</v>
      </c>
      <c r="N2311" t="s">
        <v>71</v>
      </c>
      <c r="O2311" t="str">
        <f>IFERROR(IF(Tbla_actores[[#This Row],[codigo_proyecto]]="","",_xlfn.XLOOKUP(Tbla_actores[[#This Row],[codigo_proyecto]],Proyectos!$A:$A,Proyectos!$C:$C)),"")</f>
        <v>NULOS</v>
      </c>
    </row>
    <row r="2312" spans="1:15">
      <c r="A2312" s="9">
        <v>1105460022</v>
      </c>
      <c r="B2312" s="63" t="s">
        <v>61</v>
      </c>
      <c r="C2312" s="62" t="s">
        <v>6425</v>
      </c>
      <c r="D2312" t="s">
        <v>63</v>
      </c>
      <c r="E2312" t="s">
        <v>6949</v>
      </c>
      <c r="F2312" s="61">
        <v>37972</v>
      </c>
      <c r="G2312" s="15" t="s">
        <v>65</v>
      </c>
      <c r="H2312" t="s">
        <v>6950</v>
      </c>
      <c r="I2312" s="62" t="s">
        <v>6951</v>
      </c>
      <c r="K2312" s="36" t="s">
        <v>169</v>
      </c>
      <c r="L2312" t="s">
        <v>69</v>
      </c>
      <c r="M2312" s="62" t="s">
        <v>170</v>
      </c>
      <c r="N2312" t="s">
        <v>71</v>
      </c>
      <c r="O2312" t="str">
        <f>IFERROR(IF(Tbla_actores[[#This Row],[codigo_proyecto]]="","",_xlfn.XLOOKUP(Tbla_actores[[#This Row],[codigo_proyecto]],Proyectos!$A:$A,Proyectos!$C:$C)),"")</f>
        <v>NULOS</v>
      </c>
    </row>
    <row r="2313" spans="1:15">
      <c r="A2313" s="10">
        <v>1000035095</v>
      </c>
      <c r="B2313" s="64" t="s">
        <v>61</v>
      </c>
      <c r="C2313" s="62" t="s">
        <v>6425</v>
      </c>
      <c r="D2313" t="s">
        <v>63</v>
      </c>
      <c r="E2313" t="s">
        <v>6952</v>
      </c>
      <c r="F2313" s="61">
        <v>37476</v>
      </c>
      <c r="G2313" s="15" t="s">
        <v>65</v>
      </c>
      <c r="H2313" t="s">
        <v>6953</v>
      </c>
      <c r="I2313" s="62" t="s">
        <v>6954</v>
      </c>
      <c r="K2313" s="36" t="s">
        <v>169</v>
      </c>
      <c r="L2313" t="s">
        <v>69</v>
      </c>
      <c r="M2313" s="62" t="s">
        <v>170</v>
      </c>
      <c r="N2313" t="s">
        <v>71</v>
      </c>
      <c r="O2313" t="str">
        <f>IFERROR(IF(Tbla_actores[[#This Row],[codigo_proyecto]]="","",_xlfn.XLOOKUP(Tbla_actores[[#This Row],[codigo_proyecto]],Proyectos!$A:$A,Proyectos!$C:$C)),"")</f>
        <v>NULOS</v>
      </c>
    </row>
    <row r="2314" spans="1:15">
      <c r="A2314" s="9">
        <v>1019982704</v>
      </c>
      <c r="B2314" s="63" t="s">
        <v>61</v>
      </c>
      <c r="C2314" s="62" t="s">
        <v>6425</v>
      </c>
      <c r="D2314" t="s">
        <v>63</v>
      </c>
      <c r="E2314" t="s">
        <v>6955</v>
      </c>
      <c r="F2314" s="61">
        <v>38104</v>
      </c>
      <c r="G2314" s="15" t="s">
        <v>65</v>
      </c>
      <c r="H2314" t="s">
        <v>6956</v>
      </c>
      <c r="I2314" s="62" t="s">
        <v>6957</v>
      </c>
      <c r="K2314" s="36" t="s">
        <v>169</v>
      </c>
      <c r="L2314" t="s">
        <v>69</v>
      </c>
      <c r="M2314" s="62" t="s">
        <v>170</v>
      </c>
      <c r="N2314" t="s">
        <v>71</v>
      </c>
      <c r="O2314" t="str">
        <f>IFERROR(IF(Tbla_actores[[#This Row],[codigo_proyecto]]="","",_xlfn.XLOOKUP(Tbla_actores[[#This Row],[codigo_proyecto]],Proyectos!$A:$A,Proyectos!$C:$C)),"")</f>
        <v>NULOS</v>
      </c>
    </row>
    <row r="2315" spans="1:15">
      <c r="A2315" s="10">
        <v>1001094479</v>
      </c>
      <c r="B2315" s="64" t="s">
        <v>61</v>
      </c>
      <c r="C2315" s="62" t="s">
        <v>6425</v>
      </c>
      <c r="D2315" t="s">
        <v>63</v>
      </c>
      <c r="E2315" t="s">
        <v>6958</v>
      </c>
      <c r="F2315" s="61">
        <v>37666</v>
      </c>
      <c r="G2315" s="15" t="s">
        <v>73</v>
      </c>
      <c r="H2315" t="s">
        <v>6959</v>
      </c>
      <c r="I2315" s="62" t="s">
        <v>6960</v>
      </c>
      <c r="K2315" s="36" t="s">
        <v>169</v>
      </c>
      <c r="L2315" t="s">
        <v>69</v>
      </c>
      <c r="M2315" s="62" t="s">
        <v>170</v>
      </c>
      <c r="N2315" t="s">
        <v>71</v>
      </c>
      <c r="O2315" t="str">
        <f>IFERROR(IF(Tbla_actores[[#This Row],[codigo_proyecto]]="","",_xlfn.XLOOKUP(Tbla_actores[[#This Row],[codigo_proyecto]],Proyectos!$A:$A,Proyectos!$C:$C)),"")</f>
        <v>NULOS</v>
      </c>
    </row>
    <row r="2316" spans="1:15">
      <c r="A2316" s="9">
        <v>1019152599</v>
      </c>
      <c r="B2316" s="63" t="s">
        <v>61</v>
      </c>
      <c r="C2316" s="62" t="s">
        <v>6425</v>
      </c>
      <c r="D2316" t="s">
        <v>63</v>
      </c>
      <c r="E2316" t="s">
        <v>6961</v>
      </c>
      <c r="F2316" s="61">
        <v>36467</v>
      </c>
      <c r="G2316" s="15" t="s">
        <v>73</v>
      </c>
      <c r="H2316" t="s">
        <v>6962</v>
      </c>
      <c r="I2316" s="62" t="s">
        <v>6963</v>
      </c>
      <c r="K2316" s="36" t="s">
        <v>169</v>
      </c>
      <c r="L2316" t="s">
        <v>69</v>
      </c>
      <c r="M2316" s="62" t="s">
        <v>170</v>
      </c>
      <c r="N2316" t="s">
        <v>71</v>
      </c>
      <c r="O2316" t="str">
        <f>IFERROR(IF(Tbla_actores[[#This Row],[codigo_proyecto]]="","",_xlfn.XLOOKUP(Tbla_actores[[#This Row],[codigo_proyecto]],Proyectos!$A:$A,Proyectos!$C:$C)),"")</f>
        <v>NULOS</v>
      </c>
    </row>
    <row r="2317" spans="1:15">
      <c r="A2317" s="10">
        <v>1001276468</v>
      </c>
      <c r="B2317" s="64" t="s">
        <v>61</v>
      </c>
      <c r="C2317" s="62" t="s">
        <v>6425</v>
      </c>
      <c r="D2317" t="s">
        <v>63</v>
      </c>
      <c r="E2317" t="s">
        <v>6964</v>
      </c>
      <c r="F2317" s="61">
        <v>37881</v>
      </c>
      <c r="G2317" s="15" t="s">
        <v>65</v>
      </c>
      <c r="H2317" t="s">
        <v>6965</v>
      </c>
      <c r="I2317" s="62" t="s">
        <v>6966</v>
      </c>
      <c r="K2317" s="36" t="s">
        <v>169</v>
      </c>
      <c r="L2317" t="s">
        <v>69</v>
      </c>
      <c r="M2317" s="62" t="s">
        <v>170</v>
      </c>
      <c r="N2317" t="s">
        <v>71</v>
      </c>
      <c r="O2317" t="str">
        <f>IFERROR(IF(Tbla_actores[[#This Row],[codigo_proyecto]]="","",_xlfn.XLOOKUP(Tbla_actores[[#This Row],[codigo_proyecto]],Proyectos!$A:$A,Proyectos!$C:$C)),"")</f>
        <v>NULOS</v>
      </c>
    </row>
    <row r="2318" spans="1:15">
      <c r="A2318" s="9">
        <v>1023082290</v>
      </c>
      <c r="B2318" s="63" t="s">
        <v>61</v>
      </c>
      <c r="C2318" s="62" t="s">
        <v>6425</v>
      </c>
      <c r="D2318" t="s">
        <v>63</v>
      </c>
      <c r="E2318" t="s">
        <v>6967</v>
      </c>
      <c r="F2318" s="61">
        <v>38071</v>
      </c>
      <c r="G2318" s="15" t="s">
        <v>65</v>
      </c>
      <c r="H2318" t="s">
        <v>6968</v>
      </c>
      <c r="I2318" s="62" t="s">
        <v>6969</v>
      </c>
      <c r="K2318" s="36" t="s">
        <v>169</v>
      </c>
      <c r="L2318" t="s">
        <v>69</v>
      </c>
      <c r="M2318" s="62" t="s">
        <v>170</v>
      </c>
      <c r="N2318" t="s">
        <v>71</v>
      </c>
      <c r="O2318" t="str">
        <f>IFERROR(IF(Tbla_actores[[#This Row],[codigo_proyecto]]="","",_xlfn.XLOOKUP(Tbla_actores[[#This Row],[codigo_proyecto]],Proyectos!$A:$A,Proyectos!$C:$C)),"")</f>
        <v>NULOS</v>
      </c>
    </row>
    <row r="2319" spans="1:15">
      <c r="A2319" s="10">
        <v>1014736519</v>
      </c>
      <c r="B2319" s="64" t="s">
        <v>61</v>
      </c>
      <c r="C2319" s="62" t="s">
        <v>6425</v>
      </c>
      <c r="D2319" t="s">
        <v>63</v>
      </c>
      <c r="E2319" t="s">
        <v>6970</v>
      </c>
      <c r="F2319" s="61">
        <v>38043</v>
      </c>
      <c r="G2319" s="15" t="s">
        <v>73</v>
      </c>
      <c r="H2319" t="s">
        <v>6971</v>
      </c>
      <c r="I2319" s="62" t="s">
        <v>6972</v>
      </c>
      <c r="K2319" s="36" t="s">
        <v>169</v>
      </c>
      <c r="L2319" t="s">
        <v>69</v>
      </c>
      <c r="M2319" s="62" t="s">
        <v>170</v>
      </c>
      <c r="N2319" t="s">
        <v>71</v>
      </c>
      <c r="O2319" t="str">
        <f>IFERROR(IF(Tbla_actores[[#This Row],[codigo_proyecto]]="","",_xlfn.XLOOKUP(Tbla_actores[[#This Row],[codigo_proyecto]],Proyectos!$A:$A,Proyectos!$C:$C)),"")</f>
        <v>NULOS</v>
      </c>
    </row>
    <row r="2320" spans="1:15">
      <c r="A2320" s="9">
        <v>1007529987</v>
      </c>
      <c r="B2320" s="63" t="s">
        <v>61</v>
      </c>
      <c r="C2320" s="62" t="s">
        <v>6425</v>
      </c>
      <c r="D2320" t="s">
        <v>63</v>
      </c>
      <c r="E2320" t="s">
        <v>6973</v>
      </c>
      <c r="F2320" s="61">
        <v>37384</v>
      </c>
      <c r="G2320" s="15" t="s">
        <v>65</v>
      </c>
      <c r="H2320" t="s">
        <v>6974</v>
      </c>
      <c r="I2320" s="62" t="s">
        <v>6975</v>
      </c>
      <c r="K2320" s="36" t="s">
        <v>169</v>
      </c>
      <c r="L2320" t="s">
        <v>69</v>
      </c>
      <c r="M2320" s="62" t="s">
        <v>170</v>
      </c>
      <c r="N2320" t="s">
        <v>71</v>
      </c>
      <c r="O2320" t="str">
        <f>IFERROR(IF(Tbla_actores[[#This Row],[codigo_proyecto]]="","",_xlfn.XLOOKUP(Tbla_actores[[#This Row],[codigo_proyecto]],Proyectos!$A:$A,Proyectos!$C:$C)),"")</f>
        <v>NULOS</v>
      </c>
    </row>
    <row r="2321" spans="1:15">
      <c r="A2321" s="10">
        <v>1006460765</v>
      </c>
      <c r="B2321" s="64" t="s">
        <v>61</v>
      </c>
      <c r="C2321" s="62" t="s">
        <v>6425</v>
      </c>
      <c r="D2321" t="s">
        <v>63</v>
      </c>
      <c r="E2321" t="s">
        <v>6976</v>
      </c>
      <c r="F2321" s="61">
        <v>37874</v>
      </c>
      <c r="G2321" s="15" t="s">
        <v>73</v>
      </c>
      <c r="H2321" t="s">
        <v>6977</v>
      </c>
      <c r="I2321" s="62" t="s">
        <v>6978</v>
      </c>
      <c r="K2321" s="36" t="s">
        <v>169</v>
      </c>
      <c r="L2321" t="s">
        <v>69</v>
      </c>
      <c r="M2321" s="62" t="s">
        <v>170</v>
      </c>
      <c r="N2321" t="s">
        <v>71</v>
      </c>
      <c r="O2321" t="str">
        <f>IFERROR(IF(Tbla_actores[[#This Row],[codigo_proyecto]]="","",_xlfn.XLOOKUP(Tbla_actores[[#This Row],[codigo_proyecto]],Proyectos!$A:$A,Proyectos!$C:$C)),"")</f>
        <v>NULOS</v>
      </c>
    </row>
    <row r="2322" spans="1:15">
      <c r="A2322" s="9">
        <v>1047501831</v>
      </c>
      <c r="B2322" s="63" t="s">
        <v>61</v>
      </c>
      <c r="C2322" s="62" t="s">
        <v>6425</v>
      </c>
      <c r="D2322" t="s">
        <v>63</v>
      </c>
      <c r="E2322" t="s">
        <v>6979</v>
      </c>
      <c r="F2322" s="61">
        <v>35905</v>
      </c>
      <c r="G2322" s="15" t="s">
        <v>73</v>
      </c>
      <c r="H2322" t="s">
        <v>6980</v>
      </c>
      <c r="I2322" s="62" t="s">
        <v>6981</v>
      </c>
      <c r="K2322" s="36" t="s">
        <v>169</v>
      </c>
      <c r="L2322" t="s">
        <v>69</v>
      </c>
      <c r="M2322" s="62" t="s">
        <v>170</v>
      </c>
      <c r="N2322" t="s">
        <v>71</v>
      </c>
      <c r="O2322" t="str">
        <f>IFERROR(IF(Tbla_actores[[#This Row],[codigo_proyecto]]="","",_xlfn.XLOOKUP(Tbla_actores[[#This Row],[codigo_proyecto]],Proyectos!$A:$A,Proyectos!$C:$C)),"")</f>
        <v>NULOS</v>
      </c>
    </row>
    <row r="2323" spans="1:15">
      <c r="A2323" s="10">
        <v>1010000910</v>
      </c>
      <c r="B2323" s="64" t="s">
        <v>61</v>
      </c>
      <c r="C2323" s="62" t="s">
        <v>6425</v>
      </c>
      <c r="D2323" t="s">
        <v>63</v>
      </c>
      <c r="E2323" t="s">
        <v>6982</v>
      </c>
      <c r="F2323" s="61">
        <v>37607</v>
      </c>
      <c r="G2323" s="15" t="s">
        <v>73</v>
      </c>
      <c r="H2323" t="s">
        <v>6983</v>
      </c>
      <c r="I2323" s="62" t="s">
        <v>6984</v>
      </c>
      <c r="K2323" s="36" t="s">
        <v>169</v>
      </c>
      <c r="L2323" t="s">
        <v>69</v>
      </c>
      <c r="M2323" s="62" t="s">
        <v>170</v>
      </c>
      <c r="N2323" t="s">
        <v>71</v>
      </c>
      <c r="O2323" t="str">
        <f>IFERROR(IF(Tbla_actores[[#This Row],[codigo_proyecto]]="","",_xlfn.XLOOKUP(Tbla_actores[[#This Row],[codigo_proyecto]],Proyectos!$A:$A,Proyectos!$C:$C)),"")</f>
        <v>NULOS</v>
      </c>
    </row>
    <row r="2324" spans="1:15">
      <c r="A2324" s="9">
        <v>1034576132</v>
      </c>
      <c r="B2324" s="63" t="s">
        <v>61</v>
      </c>
      <c r="C2324" s="62" t="s">
        <v>6425</v>
      </c>
      <c r="D2324" t="s">
        <v>63</v>
      </c>
      <c r="E2324" t="s">
        <v>6985</v>
      </c>
      <c r="F2324" s="61">
        <v>38037</v>
      </c>
      <c r="G2324" s="15" t="s">
        <v>65</v>
      </c>
      <c r="H2324" t="s">
        <v>6986</v>
      </c>
      <c r="I2324" s="62" t="s">
        <v>6987</v>
      </c>
      <c r="K2324" s="36" t="s">
        <v>169</v>
      </c>
      <c r="L2324" t="s">
        <v>69</v>
      </c>
      <c r="M2324" s="62" t="s">
        <v>170</v>
      </c>
      <c r="N2324" t="s">
        <v>71</v>
      </c>
      <c r="O2324" t="str">
        <f>IFERROR(IF(Tbla_actores[[#This Row],[codigo_proyecto]]="","",_xlfn.XLOOKUP(Tbla_actores[[#This Row],[codigo_proyecto]],Proyectos!$A:$A,Proyectos!$C:$C)),"")</f>
        <v>NULOS</v>
      </c>
    </row>
    <row r="2325" spans="1:15">
      <c r="A2325" s="10">
        <v>1149461759</v>
      </c>
      <c r="B2325" s="64" t="s">
        <v>61</v>
      </c>
      <c r="C2325" s="62" t="s">
        <v>6425</v>
      </c>
      <c r="D2325" t="s">
        <v>63</v>
      </c>
      <c r="E2325" t="s">
        <v>6988</v>
      </c>
      <c r="F2325" s="61">
        <v>38305</v>
      </c>
      <c r="G2325" s="15" t="s">
        <v>65</v>
      </c>
      <c r="H2325" t="s">
        <v>6989</v>
      </c>
      <c r="I2325" s="62" t="s">
        <v>6990</v>
      </c>
      <c r="K2325" s="36" t="s">
        <v>169</v>
      </c>
      <c r="L2325" t="s">
        <v>69</v>
      </c>
      <c r="M2325" s="62" t="s">
        <v>170</v>
      </c>
      <c r="N2325" t="s">
        <v>71</v>
      </c>
      <c r="O2325" t="str">
        <f>IFERROR(IF(Tbla_actores[[#This Row],[codigo_proyecto]]="","",_xlfn.XLOOKUP(Tbla_actores[[#This Row],[codigo_proyecto]],Proyectos!$A:$A,Proyectos!$C:$C)),"")</f>
        <v>NULOS</v>
      </c>
    </row>
    <row r="2326" spans="1:15">
      <c r="A2326" s="9">
        <v>1005753682</v>
      </c>
      <c r="B2326" s="63" t="s">
        <v>61</v>
      </c>
      <c r="C2326" s="62" t="s">
        <v>6425</v>
      </c>
      <c r="D2326" t="s">
        <v>63</v>
      </c>
      <c r="E2326" t="s">
        <v>6991</v>
      </c>
      <c r="F2326" s="61">
        <v>37319</v>
      </c>
      <c r="G2326" s="15" t="s">
        <v>73</v>
      </c>
      <c r="H2326" t="s">
        <v>6992</v>
      </c>
      <c r="I2326" s="62" t="s">
        <v>6993</v>
      </c>
      <c r="K2326" s="36" t="s">
        <v>169</v>
      </c>
      <c r="L2326" t="s">
        <v>69</v>
      </c>
      <c r="M2326" s="62" t="s">
        <v>170</v>
      </c>
      <c r="N2326" t="s">
        <v>71</v>
      </c>
      <c r="O2326" t="str">
        <f>IFERROR(IF(Tbla_actores[[#This Row],[codigo_proyecto]]="","",_xlfn.XLOOKUP(Tbla_actores[[#This Row],[codigo_proyecto]],Proyectos!$A:$A,Proyectos!$C:$C)),"")</f>
        <v>NULOS</v>
      </c>
    </row>
    <row r="2327" spans="1:15">
      <c r="A2327" s="10">
        <v>1010024560</v>
      </c>
      <c r="B2327" s="64" t="s">
        <v>61</v>
      </c>
      <c r="C2327" s="62" t="s">
        <v>6425</v>
      </c>
      <c r="D2327" t="s">
        <v>63</v>
      </c>
      <c r="E2327" t="s">
        <v>6994</v>
      </c>
      <c r="F2327" s="61">
        <v>36808</v>
      </c>
      <c r="G2327" s="15" t="s">
        <v>65</v>
      </c>
      <c r="H2327" t="s">
        <v>6995</v>
      </c>
      <c r="I2327" s="62" t="s">
        <v>6996</v>
      </c>
      <c r="K2327" s="36" t="s">
        <v>169</v>
      </c>
      <c r="L2327" t="s">
        <v>69</v>
      </c>
      <c r="M2327" s="62" t="s">
        <v>170</v>
      </c>
      <c r="N2327" t="s">
        <v>71</v>
      </c>
      <c r="O2327" t="str">
        <f>IFERROR(IF(Tbla_actores[[#This Row],[codigo_proyecto]]="","",_xlfn.XLOOKUP(Tbla_actores[[#This Row],[codigo_proyecto]],Proyectos!$A:$A,Proyectos!$C:$C)),"")</f>
        <v>NULOS</v>
      </c>
    </row>
    <row r="2328" spans="1:15">
      <c r="A2328" s="9">
        <v>1004136877</v>
      </c>
      <c r="B2328" s="63" t="s">
        <v>61</v>
      </c>
      <c r="C2328" s="62" t="s">
        <v>6425</v>
      </c>
      <c r="D2328" t="s">
        <v>63</v>
      </c>
      <c r="E2328" t="s">
        <v>6997</v>
      </c>
      <c r="F2328" s="61">
        <v>37017</v>
      </c>
      <c r="G2328" s="15" t="s">
        <v>73</v>
      </c>
      <c r="H2328" t="s">
        <v>6998</v>
      </c>
      <c r="I2328" s="62" t="s">
        <v>6999</v>
      </c>
      <c r="K2328" s="36" t="s">
        <v>169</v>
      </c>
      <c r="L2328" t="s">
        <v>69</v>
      </c>
      <c r="M2328" s="62" t="s">
        <v>170</v>
      </c>
      <c r="N2328" t="s">
        <v>71</v>
      </c>
      <c r="O2328" t="str">
        <f>IFERROR(IF(Tbla_actores[[#This Row],[codigo_proyecto]]="","",_xlfn.XLOOKUP(Tbla_actores[[#This Row],[codigo_proyecto]],Proyectos!$A:$A,Proyectos!$C:$C)),"")</f>
        <v>NULOS</v>
      </c>
    </row>
    <row r="2329" spans="1:15">
      <c r="A2329" s="10">
        <v>1000240953</v>
      </c>
      <c r="B2329" s="64" t="s">
        <v>61</v>
      </c>
      <c r="C2329" s="62" t="s">
        <v>6425</v>
      </c>
      <c r="D2329" t="s">
        <v>63</v>
      </c>
      <c r="E2329" t="s">
        <v>7000</v>
      </c>
      <c r="F2329" s="61">
        <v>37252</v>
      </c>
      <c r="G2329" s="15" t="s">
        <v>65</v>
      </c>
      <c r="H2329" t="s">
        <v>7001</v>
      </c>
      <c r="I2329" s="62" t="s">
        <v>7002</v>
      </c>
      <c r="K2329" s="36" t="s">
        <v>169</v>
      </c>
      <c r="L2329" t="s">
        <v>69</v>
      </c>
      <c r="M2329" s="62" t="s">
        <v>170</v>
      </c>
      <c r="N2329" t="s">
        <v>71</v>
      </c>
      <c r="O2329" t="str">
        <f>IFERROR(IF(Tbla_actores[[#This Row],[codigo_proyecto]]="","",_xlfn.XLOOKUP(Tbla_actores[[#This Row],[codigo_proyecto]],Proyectos!$A:$A,Proyectos!$C:$C)),"")</f>
        <v>NULOS</v>
      </c>
    </row>
    <row r="2330" spans="1:15">
      <c r="A2330" s="9">
        <v>1000181186</v>
      </c>
      <c r="B2330" s="63" t="s">
        <v>61</v>
      </c>
      <c r="C2330" s="62" t="s">
        <v>6425</v>
      </c>
      <c r="D2330" t="s">
        <v>63</v>
      </c>
      <c r="E2330" t="s">
        <v>7003</v>
      </c>
      <c r="F2330" s="61">
        <v>37700</v>
      </c>
      <c r="G2330" s="15" t="s">
        <v>65</v>
      </c>
      <c r="H2330" t="s">
        <v>7004</v>
      </c>
      <c r="I2330" s="62" t="s">
        <v>7005</v>
      </c>
      <c r="K2330" s="36" t="s">
        <v>169</v>
      </c>
      <c r="L2330" t="s">
        <v>69</v>
      </c>
      <c r="M2330" s="62" t="s">
        <v>170</v>
      </c>
      <c r="N2330" t="s">
        <v>71</v>
      </c>
      <c r="O2330" t="str">
        <f>IFERROR(IF(Tbla_actores[[#This Row],[codigo_proyecto]]="","",_xlfn.XLOOKUP(Tbla_actores[[#This Row],[codigo_proyecto]],Proyectos!$A:$A,Proyectos!$C:$C)),"")</f>
        <v>NULOS</v>
      </c>
    </row>
    <row r="2331" spans="1:15">
      <c r="A2331" s="10">
        <v>1000372605</v>
      </c>
      <c r="B2331" s="64" t="s">
        <v>61</v>
      </c>
      <c r="C2331" s="62" t="s">
        <v>6425</v>
      </c>
      <c r="D2331" t="s">
        <v>63</v>
      </c>
      <c r="E2331" t="s">
        <v>7006</v>
      </c>
      <c r="F2331" s="61">
        <v>37608</v>
      </c>
      <c r="G2331" s="15" t="s">
        <v>73</v>
      </c>
      <c r="H2331" t="s">
        <v>7007</v>
      </c>
      <c r="I2331" s="62" t="s">
        <v>7008</v>
      </c>
      <c r="K2331" s="36" t="s">
        <v>169</v>
      </c>
      <c r="L2331" t="s">
        <v>69</v>
      </c>
      <c r="M2331" s="62" t="s">
        <v>170</v>
      </c>
      <c r="N2331" t="s">
        <v>71</v>
      </c>
      <c r="O2331" t="str">
        <f>IFERROR(IF(Tbla_actores[[#This Row],[codigo_proyecto]]="","",_xlfn.XLOOKUP(Tbla_actores[[#This Row],[codigo_proyecto]],Proyectos!$A:$A,Proyectos!$C:$C)),"")</f>
        <v>NULOS</v>
      </c>
    </row>
    <row r="2332" spans="1:15">
      <c r="A2332" s="9">
        <v>1019153388</v>
      </c>
      <c r="B2332" s="63" t="s">
        <v>61</v>
      </c>
      <c r="C2332" s="62" t="s">
        <v>6425</v>
      </c>
      <c r="D2332" t="s">
        <v>63</v>
      </c>
      <c r="E2332" t="s">
        <v>7009</v>
      </c>
      <c r="F2332" s="61">
        <v>36513</v>
      </c>
      <c r="G2332" s="15" t="s">
        <v>65</v>
      </c>
      <c r="H2332" t="s">
        <v>7010</v>
      </c>
      <c r="I2332" s="62" t="s">
        <v>7011</v>
      </c>
      <c r="K2332" s="36" t="s">
        <v>169</v>
      </c>
      <c r="L2332" t="s">
        <v>69</v>
      </c>
      <c r="M2332" s="62" t="s">
        <v>170</v>
      </c>
      <c r="N2332" t="s">
        <v>71</v>
      </c>
      <c r="O2332" t="str">
        <f>IFERROR(IF(Tbla_actores[[#This Row],[codigo_proyecto]]="","",_xlfn.XLOOKUP(Tbla_actores[[#This Row],[codigo_proyecto]],Proyectos!$A:$A,Proyectos!$C:$C)),"")</f>
        <v>NULOS</v>
      </c>
    </row>
    <row r="2333" spans="1:15">
      <c r="A2333" s="10">
        <v>1027150209</v>
      </c>
      <c r="B2333" s="64" t="s">
        <v>61</v>
      </c>
      <c r="C2333" s="62" t="s">
        <v>6425</v>
      </c>
      <c r="D2333" t="s">
        <v>63</v>
      </c>
      <c r="E2333" t="s">
        <v>7012</v>
      </c>
      <c r="F2333" s="61">
        <v>38090</v>
      </c>
      <c r="G2333" s="15" t="s">
        <v>73</v>
      </c>
      <c r="H2333" t="s">
        <v>7013</v>
      </c>
      <c r="I2333" s="62" t="s">
        <v>7014</v>
      </c>
      <c r="K2333" s="36" t="s">
        <v>169</v>
      </c>
      <c r="L2333" t="s">
        <v>69</v>
      </c>
      <c r="M2333" s="62" t="s">
        <v>170</v>
      </c>
      <c r="N2333" t="s">
        <v>71</v>
      </c>
      <c r="O2333" t="str">
        <f>IFERROR(IF(Tbla_actores[[#This Row],[codigo_proyecto]]="","",_xlfn.XLOOKUP(Tbla_actores[[#This Row],[codigo_proyecto]],Proyectos!$A:$A,Proyectos!$C:$C)),"")</f>
        <v>NULOS</v>
      </c>
    </row>
    <row r="2334" spans="1:15">
      <c r="A2334" s="9">
        <v>1000794138</v>
      </c>
      <c r="B2334" s="63" t="s">
        <v>61</v>
      </c>
      <c r="C2334" s="62" t="s">
        <v>6425</v>
      </c>
      <c r="D2334" t="s">
        <v>63</v>
      </c>
      <c r="E2334" t="s">
        <v>7015</v>
      </c>
      <c r="F2334" s="61">
        <v>36581</v>
      </c>
      <c r="G2334" s="15" t="s">
        <v>65</v>
      </c>
      <c r="H2334" t="s">
        <v>5667</v>
      </c>
      <c r="I2334" s="62" t="s">
        <v>5668</v>
      </c>
      <c r="K2334" s="36" t="s">
        <v>169</v>
      </c>
      <c r="L2334" t="s">
        <v>69</v>
      </c>
      <c r="M2334" s="62" t="s">
        <v>70</v>
      </c>
      <c r="N2334" t="s">
        <v>71</v>
      </c>
      <c r="O2334" t="str">
        <f>IFERROR(IF(Tbla_actores[[#This Row],[codigo_proyecto]]="","",_xlfn.XLOOKUP(Tbla_actores[[#This Row],[codigo_proyecto]],Proyectos!$A:$A,Proyectos!$C:$C)),"")</f>
        <v>NULOS</v>
      </c>
    </row>
    <row r="2335" spans="1:15">
      <c r="A2335" s="10">
        <v>1193207376</v>
      </c>
      <c r="B2335" s="64" t="s">
        <v>61</v>
      </c>
      <c r="C2335" s="62" t="s">
        <v>6425</v>
      </c>
      <c r="D2335" t="s">
        <v>63</v>
      </c>
      <c r="E2335" t="s">
        <v>7016</v>
      </c>
      <c r="F2335" s="61">
        <v>37503</v>
      </c>
      <c r="G2335" s="15" t="s">
        <v>73</v>
      </c>
      <c r="H2335" t="s">
        <v>7017</v>
      </c>
      <c r="I2335" s="62" t="s">
        <v>7018</v>
      </c>
      <c r="K2335" s="36" t="s">
        <v>169</v>
      </c>
      <c r="L2335" t="s">
        <v>69</v>
      </c>
      <c r="M2335" s="62" t="s">
        <v>170</v>
      </c>
      <c r="N2335" t="s">
        <v>71</v>
      </c>
      <c r="O2335" t="str">
        <f>IFERROR(IF(Tbla_actores[[#This Row],[codigo_proyecto]]="","",_xlfn.XLOOKUP(Tbla_actores[[#This Row],[codigo_proyecto]],Proyectos!$A:$A,Proyectos!$C:$C)),"")</f>
        <v>NULOS</v>
      </c>
    </row>
    <row r="2336" spans="1:15">
      <c r="A2336" s="9">
        <v>1019152693</v>
      </c>
      <c r="B2336" s="63" t="s">
        <v>61</v>
      </c>
      <c r="C2336" s="62" t="s">
        <v>6425</v>
      </c>
      <c r="D2336" t="s">
        <v>63</v>
      </c>
      <c r="E2336" t="s">
        <v>7019</v>
      </c>
      <c r="F2336" s="61">
        <v>36432</v>
      </c>
      <c r="G2336" s="15" t="s">
        <v>73</v>
      </c>
      <c r="H2336" t="s">
        <v>7020</v>
      </c>
      <c r="I2336" s="62" t="s">
        <v>7021</v>
      </c>
      <c r="K2336" s="36" t="s">
        <v>169</v>
      </c>
      <c r="L2336" t="s">
        <v>69</v>
      </c>
      <c r="M2336" s="62" t="s">
        <v>170</v>
      </c>
      <c r="N2336" t="s">
        <v>71</v>
      </c>
      <c r="O2336" t="str">
        <f>IFERROR(IF(Tbla_actores[[#This Row],[codigo_proyecto]]="","",_xlfn.XLOOKUP(Tbla_actores[[#This Row],[codigo_proyecto]],Proyectos!$A:$A,Proyectos!$C:$C)),"")</f>
        <v>NULOS</v>
      </c>
    </row>
    <row r="2337" spans="1:15">
      <c r="A2337" s="10">
        <v>1019147345</v>
      </c>
      <c r="B2337" s="64" t="s">
        <v>61</v>
      </c>
      <c r="C2337" s="62" t="s">
        <v>6425</v>
      </c>
      <c r="D2337" t="s">
        <v>63</v>
      </c>
      <c r="E2337" t="s">
        <v>7022</v>
      </c>
      <c r="F2337" s="61">
        <v>36109</v>
      </c>
      <c r="G2337" s="15" t="s">
        <v>73</v>
      </c>
      <c r="H2337" t="s">
        <v>7023</v>
      </c>
      <c r="I2337" s="62" t="s">
        <v>7024</v>
      </c>
      <c r="K2337" s="36" t="s">
        <v>169</v>
      </c>
      <c r="L2337" t="s">
        <v>69</v>
      </c>
      <c r="M2337" s="62" t="s">
        <v>170</v>
      </c>
      <c r="N2337" t="s">
        <v>71</v>
      </c>
      <c r="O2337" t="str">
        <f>IFERROR(IF(Tbla_actores[[#This Row],[codigo_proyecto]]="","",_xlfn.XLOOKUP(Tbla_actores[[#This Row],[codigo_proyecto]],Proyectos!$A:$A,Proyectos!$C:$C)),"")</f>
        <v>NULOS</v>
      </c>
    </row>
    <row r="2338" spans="1:15">
      <c r="A2338" s="9">
        <v>1006857108</v>
      </c>
      <c r="B2338" s="63" t="s">
        <v>61</v>
      </c>
      <c r="C2338" s="62" t="s">
        <v>6425</v>
      </c>
      <c r="D2338" t="s">
        <v>63</v>
      </c>
      <c r="E2338" t="s">
        <v>7025</v>
      </c>
      <c r="F2338" s="61">
        <v>37393</v>
      </c>
      <c r="G2338" s="15" t="s">
        <v>65</v>
      </c>
      <c r="H2338" t="s">
        <v>7026</v>
      </c>
      <c r="I2338" s="62" t="s">
        <v>7027</v>
      </c>
      <c r="K2338" s="36" t="s">
        <v>169</v>
      </c>
      <c r="L2338" t="s">
        <v>69</v>
      </c>
      <c r="M2338" s="62" t="s">
        <v>170</v>
      </c>
      <c r="N2338" t="s">
        <v>71</v>
      </c>
      <c r="O2338" t="str">
        <f>IFERROR(IF(Tbla_actores[[#This Row],[codigo_proyecto]]="","",_xlfn.XLOOKUP(Tbla_actores[[#This Row],[codigo_proyecto]],Proyectos!$A:$A,Proyectos!$C:$C)),"")</f>
        <v>NULOS</v>
      </c>
    </row>
    <row r="2339" spans="1:15">
      <c r="A2339" s="10">
        <v>1000612543</v>
      </c>
      <c r="B2339" s="64" t="s">
        <v>61</v>
      </c>
      <c r="C2339" s="62" t="s">
        <v>6425</v>
      </c>
      <c r="D2339" t="s">
        <v>63</v>
      </c>
      <c r="E2339" t="s">
        <v>7028</v>
      </c>
      <c r="F2339" s="61">
        <v>37784</v>
      </c>
      <c r="G2339" s="15" t="s">
        <v>65</v>
      </c>
      <c r="H2339" t="s">
        <v>7029</v>
      </c>
      <c r="I2339" s="62" t="s">
        <v>7030</v>
      </c>
      <c r="K2339" s="36" t="s">
        <v>169</v>
      </c>
      <c r="L2339" t="s">
        <v>69</v>
      </c>
      <c r="M2339" s="62" t="s">
        <v>170</v>
      </c>
      <c r="N2339" t="s">
        <v>71</v>
      </c>
      <c r="O2339" t="str">
        <f>IFERROR(IF(Tbla_actores[[#This Row],[codigo_proyecto]]="","",_xlfn.XLOOKUP(Tbla_actores[[#This Row],[codigo_proyecto]],Proyectos!$A:$A,Proyectos!$C:$C)),"")</f>
        <v>NULOS</v>
      </c>
    </row>
    <row r="2340" spans="1:15">
      <c r="A2340" s="9">
        <v>1007249087</v>
      </c>
      <c r="B2340" s="63" t="s">
        <v>61</v>
      </c>
      <c r="C2340" s="62" t="s">
        <v>6425</v>
      </c>
      <c r="D2340" t="s">
        <v>63</v>
      </c>
      <c r="E2340" t="s">
        <v>7031</v>
      </c>
      <c r="F2340" s="61">
        <v>36723</v>
      </c>
      <c r="G2340" s="15" t="s">
        <v>65</v>
      </c>
      <c r="H2340" t="s">
        <v>7032</v>
      </c>
      <c r="I2340" s="62" t="s">
        <v>7033</v>
      </c>
      <c r="K2340" s="36" t="s">
        <v>169</v>
      </c>
      <c r="L2340" t="s">
        <v>69</v>
      </c>
      <c r="M2340" s="62" t="s">
        <v>170</v>
      </c>
      <c r="N2340" t="s">
        <v>71</v>
      </c>
      <c r="O2340" t="str">
        <f>IFERROR(IF(Tbla_actores[[#This Row],[codigo_proyecto]]="","",_xlfn.XLOOKUP(Tbla_actores[[#This Row],[codigo_proyecto]],Proyectos!$A:$A,Proyectos!$C:$C)),"")</f>
        <v>NULOS</v>
      </c>
    </row>
    <row r="2341" spans="1:15">
      <c r="A2341" s="10">
        <v>1193104124</v>
      </c>
      <c r="B2341" s="64" t="s">
        <v>61</v>
      </c>
      <c r="C2341" s="62" t="s">
        <v>6425</v>
      </c>
      <c r="D2341" t="s">
        <v>63</v>
      </c>
      <c r="E2341" t="s">
        <v>7034</v>
      </c>
      <c r="F2341" s="61">
        <v>37154</v>
      </c>
      <c r="G2341" s="15" t="s">
        <v>65</v>
      </c>
      <c r="H2341" t="s">
        <v>7035</v>
      </c>
      <c r="I2341" s="62" t="s">
        <v>7036</v>
      </c>
      <c r="K2341" s="36" t="s">
        <v>169</v>
      </c>
      <c r="L2341" t="s">
        <v>69</v>
      </c>
      <c r="M2341" s="62" t="s">
        <v>170</v>
      </c>
      <c r="N2341" t="s">
        <v>71</v>
      </c>
      <c r="O2341" t="str">
        <f>IFERROR(IF(Tbla_actores[[#This Row],[codigo_proyecto]]="","",_xlfn.XLOOKUP(Tbla_actores[[#This Row],[codigo_proyecto]],Proyectos!$A:$A,Proyectos!$C:$C)),"")</f>
        <v>NULOS</v>
      </c>
    </row>
    <row r="2342" spans="1:15">
      <c r="A2342" s="9">
        <v>1234639729</v>
      </c>
      <c r="B2342" s="63" t="s">
        <v>61</v>
      </c>
      <c r="C2342" s="62" t="s">
        <v>6425</v>
      </c>
      <c r="D2342" t="s">
        <v>63</v>
      </c>
      <c r="E2342" t="s">
        <v>7037</v>
      </c>
      <c r="F2342" s="61">
        <v>35724</v>
      </c>
      <c r="G2342" s="15" t="s">
        <v>73</v>
      </c>
      <c r="H2342" t="s">
        <v>7038</v>
      </c>
      <c r="I2342" s="62" t="s">
        <v>7039</v>
      </c>
      <c r="K2342" s="36" t="s">
        <v>169</v>
      </c>
      <c r="L2342" t="s">
        <v>69</v>
      </c>
      <c r="M2342" s="62" t="s">
        <v>170</v>
      </c>
      <c r="N2342" t="s">
        <v>71</v>
      </c>
      <c r="O2342" t="str">
        <f>IFERROR(IF(Tbla_actores[[#This Row],[codigo_proyecto]]="","",_xlfn.XLOOKUP(Tbla_actores[[#This Row],[codigo_proyecto]],Proyectos!$A:$A,Proyectos!$C:$C)),"")</f>
        <v>NULOS</v>
      </c>
    </row>
    <row r="2343" spans="1:15">
      <c r="A2343" s="10">
        <v>1026303059</v>
      </c>
      <c r="B2343" s="64" t="s">
        <v>61</v>
      </c>
      <c r="C2343" s="62" t="s">
        <v>6425</v>
      </c>
      <c r="D2343" t="s">
        <v>63</v>
      </c>
      <c r="E2343" t="s">
        <v>7040</v>
      </c>
      <c r="F2343" s="61">
        <v>36071</v>
      </c>
      <c r="G2343" s="15" t="s">
        <v>73</v>
      </c>
      <c r="H2343" t="s">
        <v>3863</v>
      </c>
      <c r="I2343" s="62" t="s">
        <v>3864</v>
      </c>
      <c r="K2343" s="36" t="s">
        <v>169</v>
      </c>
      <c r="L2343" t="s">
        <v>69</v>
      </c>
      <c r="M2343" s="62" t="s">
        <v>70</v>
      </c>
      <c r="N2343" t="s">
        <v>71</v>
      </c>
      <c r="O2343" t="str">
        <f>IFERROR(IF(Tbla_actores[[#This Row],[codigo_proyecto]]="","",_xlfn.XLOOKUP(Tbla_actores[[#This Row],[codigo_proyecto]],Proyectos!$A:$A,Proyectos!$C:$C)),"")</f>
        <v>NULOS</v>
      </c>
    </row>
    <row r="2344" spans="1:15">
      <c r="A2344" s="9">
        <v>1010003175</v>
      </c>
      <c r="B2344" s="63" t="s">
        <v>61</v>
      </c>
      <c r="C2344" s="62" t="s">
        <v>6425</v>
      </c>
      <c r="D2344" t="s">
        <v>63</v>
      </c>
      <c r="E2344" t="s">
        <v>7041</v>
      </c>
      <c r="F2344" s="61">
        <v>36684</v>
      </c>
      <c r="G2344" s="15" t="s">
        <v>73</v>
      </c>
      <c r="H2344" t="s">
        <v>7042</v>
      </c>
      <c r="I2344" s="62" t="s">
        <v>7043</v>
      </c>
      <c r="K2344" s="36" t="s">
        <v>169</v>
      </c>
      <c r="L2344" t="s">
        <v>69</v>
      </c>
      <c r="M2344" s="62" t="s">
        <v>170</v>
      </c>
      <c r="N2344" t="s">
        <v>71</v>
      </c>
      <c r="O2344" t="str">
        <f>IFERROR(IF(Tbla_actores[[#This Row],[codigo_proyecto]]="","",_xlfn.XLOOKUP(Tbla_actores[[#This Row],[codigo_proyecto]],Proyectos!$A:$A,Proyectos!$C:$C)),"")</f>
        <v>NULOS</v>
      </c>
    </row>
    <row r="2345" spans="1:15">
      <c r="A2345" s="10">
        <v>1193135045</v>
      </c>
      <c r="B2345" s="64" t="s">
        <v>61</v>
      </c>
      <c r="C2345" s="62" t="s">
        <v>6425</v>
      </c>
      <c r="D2345" t="s">
        <v>63</v>
      </c>
      <c r="E2345" t="s">
        <v>7044</v>
      </c>
      <c r="F2345" s="61">
        <v>36797</v>
      </c>
      <c r="G2345" s="15" t="s">
        <v>65</v>
      </c>
      <c r="H2345" t="s">
        <v>7045</v>
      </c>
      <c r="I2345" s="62" t="s">
        <v>7046</v>
      </c>
      <c r="K2345" s="36" t="s">
        <v>169</v>
      </c>
      <c r="L2345" t="s">
        <v>69</v>
      </c>
      <c r="M2345" s="62" t="s">
        <v>170</v>
      </c>
      <c r="N2345" t="s">
        <v>71</v>
      </c>
      <c r="O2345" t="str">
        <f>IFERROR(IF(Tbla_actores[[#This Row],[codigo_proyecto]]="","",_xlfn.XLOOKUP(Tbla_actores[[#This Row],[codigo_proyecto]],Proyectos!$A:$A,Proyectos!$C:$C)),"")</f>
        <v>NULOS</v>
      </c>
    </row>
    <row r="2346" spans="1:15">
      <c r="A2346" s="9">
        <v>1007249191</v>
      </c>
      <c r="B2346" s="63" t="s">
        <v>61</v>
      </c>
      <c r="C2346" s="62" t="s">
        <v>6425</v>
      </c>
      <c r="D2346" t="s">
        <v>63</v>
      </c>
      <c r="E2346" t="s">
        <v>7047</v>
      </c>
      <c r="F2346" s="61">
        <v>36987</v>
      </c>
      <c r="G2346" s="15" t="s">
        <v>73</v>
      </c>
      <c r="H2346" t="s">
        <v>7048</v>
      </c>
      <c r="I2346" s="62" t="s">
        <v>7049</v>
      </c>
      <c r="K2346" s="36" t="s">
        <v>169</v>
      </c>
      <c r="L2346" t="s">
        <v>69</v>
      </c>
      <c r="M2346" s="62" t="s">
        <v>170</v>
      </c>
      <c r="N2346" t="s">
        <v>71</v>
      </c>
      <c r="O2346" t="str">
        <f>IFERROR(IF(Tbla_actores[[#This Row],[codigo_proyecto]]="","",_xlfn.XLOOKUP(Tbla_actores[[#This Row],[codigo_proyecto]],Proyectos!$A:$A,Proyectos!$C:$C)),"")</f>
        <v>NULOS</v>
      </c>
    </row>
    <row r="2347" spans="1:15">
      <c r="A2347" s="10">
        <v>1000284795</v>
      </c>
      <c r="B2347" s="64" t="s">
        <v>61</v>
      </c>
      <c r="C2347" s="62" t="s">
        <v>6425</v>
      </c>
      <c r="D2347" t="s">
        <v>63</v>
      </c>
      <c r="E2347" t="s">
        <v>7050</v>
      </c>
      <c r="F2347" s="61">
        <v>36555</v>
      </c>
      <c r="G2347" s="15" t="s">
        <v>65</v>
      </c>
      <c r="H2347" t="s">
        <v>7051</v>
      </c>
      <c r="I2347" s="62" t="s">
        <v>7052</v>
      </c>
      <c r="K2347" s="36" t="s">
        <v>169</v>
      </c>
      <c r="L2347" t="s">
        <v>69</v>
      </c>
      <c r="M2347" s="62" t="s">
        <v>170</v>
      </c>
      <c r="N2347" t="s">
        <v>71</v>
      </c>
      <c r="O2347" t="str">
        <f>IFERROR(IF(Tbla_actores[[#This Row],[codigo_proyecto]]="","",_xlfn.XLOOKUP(Tbla_actores[[#This Row],[codigo_proyecto]],Proyectos!$A:$A,Proyectos!$C:$C)),"")</f>
        <v>NULOS</v>
      </c>
    </row>
    <row r="2348" spans="1:15">
      <c r="A2348" s="9">
        <v>1005338343</v>
      </c>
      <c r="B2348" s="63" t="s">
        <v>61</v>
      </c>
      <c r="C2348" s="62" t="s">
        <v>6425</v>
      </c>
      <c r="D2348" t="s">
        <v>63</v>
      </c>
      <c r="E2348" t="s">
        <v>7053</v>
      </c>
      <c r="F2348" s="61">
        <v>36628</v>
      </c>
      <c r="G2348" s="15" t="s">
        <v>73</v>
      </c>
      <c r="H2348" t="s">
        <v>7054</v>
      </c>
      <c r="I2348" s="62" t="s">
        <v>7055</v>
      </c>
      <c r="K2348" s="36" t="s">
        <v>169</v>
      </c>
      <c r="L2348" t="s">
        <v>69</v>
      </c>
      <c r="M2348" s="62" t="s">
        <v>170</v>
      </c>
      <c r="N2348" t="s">
        <v>71</v>
      </c>
      <c r="O2348" t="str">
        <f>IFERROR(IF(Tbla_actores[[#This Row],[codigo_proyecto]]="","",_xlfn.XLOOKUP(Tbla_actores[[#This Row],[codigo_proyecto]],Proyectos!$A:$A,Proyectos!$C:$C)),"")</f>
        <v>NULOS</v>
      </c>
    </row>
    <row r="2349" spans="1:15">
      <c r="A2349" s="10">
        <v>1000148693</v>
      </c>
      <c r="B2349" s="64" t="s">
        <v>61</v>
      </c>
      <c r="C2349" s="62" t="s">
        <v>6425</v>
      </c>
      <c r="D2349" t="s">
        <v>63</v>
      </c>
      <c r="E2349" t="s">
        <v>7056</v>
      </c>
      <c r="F2349" s="61">
        <v>36656</v>
      </c>
      <c r="G2349" s="15" t="s">
        <v>73</v>
      </c>
      <c r="H2349" t="s">
        <v>7057</v>
      </c>
      <c r="I2349" s="62" t="s">
        <v>7058</v>
      </c>
      <c r="K2349" s="36" t="s">
        <v>169</v>
      </c>
      <c r="L2349" t="s">
        <v>69</v>
      </c>
      <c r="M2349" s="62" t="s">
        <v>170</v>
      </c>
      <c r="N2349" t="s">
        <v>71</v>
      </c>
      <c r="O2349" t="str">
        <f>IFERROR(IF(Tbla_actores[[#This Row],[codigo_proyecto]]="","",_xlfn.XLOOKUP(Tbla_actores[[#This Row],[codigo_proyecto]],Proyectos!$A:$A,Proyectos!$C:$C)),"")</f>
        <v>NULOS</v>
      </c>
    </row>
    <row r="2350" spans="1:15">
      <c r="A2350" s="9">
        <v>1032506973</v>
      </c>
      <c r="B2350" s="63" t="s">
        <v>61</v>
      </c>
      <c r="C2350" s="62" t="s">
        <v>6425</v>
      </c>
      <c r="D2350" t="s">
        <v>63</v>
      </c>
      <c r="E2350" t="s">
        <v>7059</v>
      </c>
      <c r="F2350" s="61">
        <v>36423</v>
      </c>
      <c r="G2350" s="15" t="s">
        <v>73</v>
      </c>
      <c r="H2350" t="s">
        <v>7060</v>
      </c>
      <c r="I2350" s="62" t="s">
        <v>7061</v>
      </c>
      <c r="K2350" s="36" t="s">
        <v>169</v>
      </c>
      <c r="L2350" t="s">
        <v>69</v>
      </c>
      <c r="M2350" s="62" t="s">
        <v>170</v>
      </c>
      <c r="N2350" t="s">
        <v>71</v>
      </c>
      <c r="O2350" t="str">
        <f>IFERROR(IF(Tbla_actores[[#This Row],[codigo_proyecto]]="","",_xlfn.XLOOKUP(Tbla_actores[[#This Row],[codigo_proyecto]],Proyectos!$A:$A,Proyectos!$C:$C)),"")</f>
        <v>NULOS</v>
      </c>
    </row>
    <row r="2351" spans="1:15">
      <c r="A2351" s="10">
        <v>1000717717</v>
      </c>
      <c r="B2351" s="64" t="s">
        <v>61</v>
      </c>
      <c r="C2351" s="62" t="s">
        <v>6425</v>
      </c>
      <c r="D2351" t="s">
        <v>63</v>
      </c>
      <c r="E2351" t="s">
        <v>7062</v>
      </c>
      <c r="F2351" s="61">
        <v>36595</v>
      </c>
      <c r="G2351" s="15" t="s">
        <v>73</v>
      </c>
      <c r="H2351" t="s">
        <v>7063</v>
      </c>
      <c r="I2351" s="62" t="s">
        <v>7064</v>
      </c>
      <c r="K2351" s="36" t="s">
        <v>169</v>
      </c>
      <c r="L2351" t="s">
        <v>69</v>
      </c>
      <c r="M2351" s="62" t="s">
        <v>170</v>
      </c>
      <c r="N2351" t="s">
        <v>71</v>
      </c>
      <c r="O2351" t="str">
        <f>IFERROR(IF(Tbla_actores[[#This Row],[codigo_proyecto]]="","",_xlfn.XLOOKUP(Tbla_actores[[#This Row],[codigo_proyecto]],Proyectos!$A:$A,Proyectos!$C:$C)),"")</f>
        <v>NULOS</v>
      </c>
    </row>
    <row r="2352" spans="1:15">
      <c r="A2352" s="9">
        <v>1032505957</v>
      </c>
      <c r="B2352" s="63" t="s">
        <v>61</v>
      </c>
      <c r="C2352" s="62" t="s">
        <v>6425</v>
      </c>
      <c r="D2352" t="s">
        <v>63</v>
      </c>
      <c r="E2352" t="s">
        <v>7065</v>
      </c>
      <c r="F2352" s="61">
        <v>36340</v>
      </c>
      <c r="G2352" s="15" t="s">
        <v>73</v>
      </c>
      <c r="H2352" t="s">
        <v>7066</v>
      </c>
      <c r="I2352" s="62" t="s">
        <v>7067</v>
      </c>
      <c r="K2352" s="36" t="s">
        <v>169</v>
      </c>
      <c r="L2352" t="s">
        <v>69</v>
      </c>
      <c r="M2352" s="62" t="s">
        <v>170</v>
      </c>
      <c r="N2352" t="s">
        <v>71</v>
      </c>
      <c r="O2352" t="str">
        <f>IFERROR(IF(Tbla_actores[[#This Row],[codigo_proyecto]]="","",_xlfn.XLOOKUP(Tbla_actores[[#This Row],[codigo_proyecto]],Proyectos!$A:$A,Proyectos!$C:$C)),"")</f>
        <v>NULOS</v>
      </c>
    </row>
    <row r="2353" spans="1:15">
      <c r="A2353" s="10">
        <v>1019152230</v>
      </c>
      <c r="B2353" s="64" t="s">
        <v>61</v>
      </c>
      <c r="C2353" s="62" t="s">
        <v>6425</v>
      </c>
      <c r="D2353" t="s">
        <v>63</v>
      </c>
      <c r="E2353" t="s">
        <v>7068</v>
      </c>
      <c r="F2353" s="61">
        <v>36447</v>
      </c>
      <c r="G2353" s="15" t="s">
        <v>65</v>
      </c>
      <c r="H2353" t="s">
        <v>7069</v>
      </c>
      <c r="I2353" s="62" t="s">
        <v>7070</v>
      </c>
      <c r="K2353" s="36" t="s">
        <v>169</v>
      </c>
      <c r="L2353" t="s">
        <v>69</v>
      </c>
      <c r="M2353" s="62" t="s">
        <v>170</v>
      </c>
      <c r="N2353" t="s">
        <v>71</v>
      </c>
      <c r="O2353" t="str">
        <f>IFERROR(IF(Tbla_actores[[#This Row],[codigo_proyecto]]="","",_xlfn.XLOOKUP(Tbla_actores[[#This Row],[codigo_proyecto]],Proyectos!$A:$A,Proyectos!$C:$C)),"")</f>
        <v>NULOS</v>
      </c>
    </row>
    <row r="2354" spans="1:15">
      <c r="A2354" s="9">
        <v>1019150137</v>
      </c>
      <c r="B2354" s="63" t="s">
        <v>61</v>
      </c>
      <c r="C2354" s="62" t="s">
        <v>6425</v>
      </c>
      <c r="D2354" t="s">
        <v>63</v>
      </c>
      <c r="E2354" t="s">
        <v>7071</v>
      </c>
      <c r="F2354" s="61">
        <v>36347</v>
      </c>
      <c r="G2354" s="15" t="s">
        <v>73</v>
      </c>
      <c r="H2354" t="s">
        <v>7072</v>
      </c>
      <c r="I2354" s="62" t="s">
        <v>7073</v>
      </c>
      <c r="K2354" s="36" t="s">
        <v>169</v>
      </c>
      <c r="L2354" t="s">
        <v>69</v>
      </c>
      <c r="M2354" s="62" t="s">
        <v>170</v>
      </c>
      <c r="N2354" t="s">
        <v>71</v>
      </c>
      <c r="O2354" t="str">
        <f>IFERROR(IF(Tbla_actores[[#This Row],[codigo_proyecto]]="","",_xlfn.XLOOKUP(Tbla_actores[[#This Row],[codigo_proyecto]],Proyectos!$A:$A,Proyectos!$C:$C)),"")</f>
        <v>NULOS</v>
      </c>
    </row>
    <row r="2355" spans="1:15">
      <c r="A2355" s="10">
        <v>1000774034</v>
      </c>
      <c r="B2355" s="64" t="s">
        <v>61</v>
      </c>
      <c r="C2355" s="62" t="s">
        <v>6425</v>
      </c>
      <c r="D2355" t="s">
        <v>63</v>
      </c>
      <c r="E2355" t="s">
        <v>7074</v>
      </c>
      <c r="F2355" s="61">
        <v>36891</v>
      </c>
      <c r="G2355" s="15" t="s">
        <v>65</v>
      </c>
      <c r="H2355" t="s">
        <v>7075</v>
      </c>
      <c r="I2355" s="62" t="s">
        <v>7076</v>
      </c>
      <c r="K2355" s="36" t="s">
        <v>169</v>
      </c>
      <c r="L2355" t="s">
        <v>69</v>
      </c>
      <c r="M2355" s="62" t="s">
        <v>170</v>
      </c>
      <c r="N2355" t="s">
        <v>71</v>
      </c>
      <c r="O2355" t="str">
        <f>IFERROR(IF(Tbla_actores[[#This Row],[codigo_proyecto]]="","",_xlfn.XLOOKUP(Tbla_actores[[#This Row],[codigo_proyecto]],Proyectos!$A:$A,Proyectos!$C:$C)),"")</f>
        <v>NULOS</v>
      </c>
    </row>
    <row r="2356" spans="1:15">
      <c r="A2356" s="9">
        <v>1010127451</v>
      </c>
      <c r="B2356" s="63" t="s">
        <v>61</v>
      </c>
      <c r="C2356" s="62" t="s">
        <v>6425</v>
      </c>
      <c r="D2356" t="s">
        <v>63</v>
      </c>
      <c r="E2356" t="s">
        <v>7077</v>
      </c>
      <c r="F2356" s="61">
        <v>36785</v>
      </c>
      <c r="G2356" s="15" t="s">
        <v>65</v>
      </c>
      <c r="H2356" t="s">
        <v>7078</v>
      </c>
      <c r="I2356" s="62" t="s">
        <v>7079</v>
      </c>
      <c r="K2356" s="36" t="s">
        <v>169</v>
      </c>
      <c r="L2356" t="s">
        <v>69</v>
      </c>
      <c r="M2356" s="62" t="s">
        <v>170</v>
      </c>
      <c r="N2356" t="s">
        <v>71</v>
      </c>
      <c r="O2356" t="str">
        <f>IFERROR(IF(Tbla_actores[[#This Row],[codigo_proyecto]]="","",_xlfn.XLOOKUP(Tbla_actores[[#This Row],[codigo_proyecto]],Proyectos!$A:$A,Proyectos!$C:$C)),"")</f>
        <v>NULOS</v>
      </c>
    </row>
    <row r="2357" spans="1:15">
      <c r="A2357" s="10">
        <v>1015481006</v>
      </c>
      <c r="B2357" s="64" t="s">
        <v>61</v>
      </c>
      <c r="C2357" s="62" t="s">
        <v>6425</v>
      </c>
      <c r="D2357" t="s">
        <v>63</v>
      </c>
      <c r="E2357" t="s">
        <v>7080</v>
      </c>
      <c r="F2357" s="61">
        <v>36290</v>
      </c>
      <c r="G2357" s="15" t="s">
        <v>73</v>
      </c>
      <c r="H2357" t="s">
        <v>7081</v>
      </c>
      <c r="I2357" s="62" t="s">
        <v>7082</v>
      </c>
      <c r="K2357" s="36" t="s">
        <v>169</v>
      </c>
      <c r="L2357" t="s">
        <v>69</v>
      </c>
      <c r="M2357" s="62" t="s">
        <v>170</v>
      </c>
      <c r="N2357" t="s">
        <v>71</v>
      </c>
      <c r="O2357" t="str">
        <f>IFERROR(IF(Tbla_actores[[#This Row],[codigo_proyecto]]="","",_xlfn.XLOOKUP(Tbla_actores[[#This Row],[codigo_proyecto]],Proyectos!$A:$A,Proyectos!$C:$C)),"")</f>
        <v>NULOS</v>
      </c>
    </row>
    <row r="2358" spans="1:15">
      <c r="A2358" s="9">
        <v>1061816977</v>
      </c>
      <c r="B2358" s="63" t="s">
        <v>61</v>
      </c>
      <c r="C2358" s="62" t="s">
        <v>6425</v>
      </c>
      <c r="D2358" t="s">
        <v>63</v>
      </c>
      <c r="E2358" t="s">
        <v>7083</v>
      </c>
      <c r="F2358" s="61">
        <v>36253</v>
      </c>
      <c r="G2358" s="15" t="s">
        <v>73</v>
      </c>
      <c r="H2358" t="s">
        <v>7084</v>
      </c>
      <c r="I2358" s="62" t="s">
        <v>7085</v>
      </c>
      <c r="K2358" s="36" t="s">
        <v>169</v>
      </c>
      <c r="L2358" t="s">
        <v>69</v>
      </c>
      <c r="M2358" s="62" t="s">
        <v>170</v>
      </c>
      <c r="N2358" t="s">
        <v>71</v>
      </c>
      <c r="O2358" t="str">
        <f>IFERROR(IF(Tbla_actores[[#This Row],[codigo_proyecto]]="","",_xlfn.XLOOKUP(Tbla_actores[[#This Row],[codigo_proyecto]],Proyectos!$A:$A,Proyectos!$C:$C)),"")</f>
        <v>NULOS</v>
      </c>
    </row>
    <row r="2359" spans="1:15">
      <c r="A2359" s="10">
        <v>1020845674</v>
      </c>
      <c r="B2359" s="64" t="s">
        <v>61</v>
      </c>
      <c r="C2359" s="62" t="s">
        <v>6425</v>
      </c>
      <c r="D2359" t="s">
        <v>63</v>
      </c>
      <c r="E2359" t="s">
        <v>7086</v>
      </c>
      <c r="F2359" s="61">
        <v>36543</v>
      </c>
      <c r="G2359" s="15" t="s">
        <v>65</v>
      </c>
      <c r="H2359" t="s">
        <v>7087</v>
      </c>
      <c r="I2359" s="62" t="s">
        <v>7088</v>
      </c>
      <c r="K2359" s="36" t="s">
        <v>169</v>
      </c>
      <c r="L2359" t="s">
        <v>69</v>
      </c>
      <c r="M2359" s="62" t="s">
        <v>170</v>
      </c>
      <c r="N2359" t="s">
        <v>71</v>
      </c>
      <c r="O2359" t="str">
        <f>IFERROR(IF(Tbla_actores[[#This Row],[codigo_proyecto]]="","",_xlfn.XLOOKUP(Tbla_actores[[#This Row],[codigo_proyecto]],Proyectos!$A:$A,Proyectos!$C:$C)),"")</f>
        <v>NULOS</v>
      </c>
    </row>
    <row r="2360" spans="1:15">
      <c r="A2360" s="9">
        <v>1127573368</v>
      </c>
      <c r="B2360" s="63" t="s">
        <v>61</v>
      </c>
      <c r="C2360" s="62" t="s">
        <v>6425</v>
      </c>
      <c r="D2360" t="s">
        <v>63</v>
      </c>
      <c r="E2360" t="s">
        <v>7089</v>
      </c>
      <c r="F2360" s="61">
        <v>37127</v>
      </c>
      <c r="G2360" s="15" t="s">
        <v>65</v>
      </c>
      <c r="H2360" t="s">
        <v>7090</v>
      </c>
      <c r="I2360" s="62" t="s">
        <v>7091</v>
      </c>
      <c r="K2360" s="36" t="s">
        <v>169</v>
      </c>
      <c r="L2360" t="s">
        <v>69</v>
      </c>
      <c r="M2360" s="62" t="s">
        <v>170</v>
      </c>
      <c r="N2360" t="s">
        <v>71</v>
      </c>
      <c r="O2360" t="str">
        <f>IFERROR(IF(Tbla_actores[[#This Row],[codigo_proyecto]]="","",_xlfn.XLOOKUP(Tbla_actores[[#This Row],[codigo_proyecto]],Proyectos!$A:$A,Proyectos!$C:$C)),"")</f>
        <v>NULOS</v>
      </c>
    </row>
    <row r="2361" spans="1:15">
      <c r="A2361" s="10">
        <v>1000149318</v>
      </c>
      <c r="B2361" s="64" t="s">
        <v>61</v>
      </c>
      <c r="C2361" s="62" t="s">
        <v>6425</v>
      </c>
      <c r="D2361" t="s">
        <v>63</v>
      </c>
      <c r="E2361" t="s">
        <v>7092</v>
      </c>
      <c r="F2361" s="61">
        <v>36725</v>
      </c>
      <c r="G2361" s="15" t="s">
        <v>65</v>
      </c>
      <c r="H2361" t="s">
        <v>7093</v>
      </c>
      <c r="I2361" s="62" t="s">
        <v>7094</v>
      </c>
      <c r="K2361" s="36" t="s">
        <v>169</v>
      </c>
      <c r="L2361" t="s">
        <v>69</v>
      </c>
      <c r="M2361" s="62" t="s">
        <v>170</v>
      </c>
      <c r="N2361" t="s">
        <v>71</v>
      </c>
      <c r="O2361" t="str">
        <f>IFERROR(IF(Tbla_actores[[#This Row],[codigo_proyecto]]="","",_xlfn.XLOOKUP(Tbla_actores[[#This Row],[codigo_proyecto]],Proyectos!$A:$A,Proyectos!$C:$C)),"")</f>
        <v>NULOS</v>
      </c>
    </row>
    <row r="2362" spans="1:15">
      <c r="A2362" s="9">
        <v>1010000971</v>
      </c>
      <c r="B2362" s="63" t="s">
        <v>61</v>
      </c>
      <c r="C2362" s="62" t="s">
        <v>6425</v>
      </c>
      <c r="D2362" t="s">
        <v>63</v>
      </c>
      <c r="E2362" t="s">
        <v>7095</v>
      </c>
      <c r="F2362" s="61">
        <v>36641</v>
      </c>
      <c r="G2362" s="15" t="s">
        <v>73</v>
      </c>
      <c r="H2362" t="s">
        <v>7096</v>
      </c>
      <c r="I2362" s="62" t="s">
        <v>7097</v>
      </c>
      <c r="K2362" s="36" t="s">
        <v>169</v>
      </c>
      <c r="L2362" t="s">
        <v>69</v>
      </c>
      <c r="M2362" s="62" t="s">
        <v>170</v>
      </c>
      <c r="N2362" t="s">
        <v>71</v>
      </c>
      <c r="O2362" t="str">
        <f>IFERROR(IF(Tbla_actores[[#This Row],[codigo_proyecto]]="","",_xlfn.XLOOKUP(Tbla_actores[[#This Row],[codigo_proyecto]],Proyectos!$A:$A,Proyectos!$C:$C)),"")</f>
        <v>NULOS</v>
      </c>
    </row>
    <row r="2363" spans="1:15">
      <c r="A2363" s="10">
        <v>1192817415</v>
      </c>
      <c r="B2363" s="64" t="s">
        <v>61</v>
      </c>
      <c r="C2363" s="62" t="s">
        <v>6425</v>
      </c>
      <c r="D2363" t="s">
        <v>63</v>
      </c>
      <c r="E2363" t="s">
        <v>7098</v>
      </c>
      <c r="F2363" s="61">
        <v>36832</v>
      </c>
      <c r="G2363" s="15" t="s">
        <v>73</v>
      </c>
      <c r="H2363" t="s">
        <v>7099</v>
      </c>
      <c r="I2363" s="62" t="s">
        <v>7100</v>
      </c>
      <c r="K2363" s="36" t="s">
        <v>169</v>
      </c>
      <c r="L2363" t="s">
        <v>69</v>
      </c>
      <c r="M2363" s="62" t="s">
        <v>170</v>
      </c>
      <c r="N2363" t="s">
        <v>71</v>
      </c>
      <c r="O2363" t="str">
        <f>IFERROR(IF(Tbla_actores[[#This Row],[codigo_proyecto]]="","",_xlfn.XLOOKUP(Tbla_actores[[#This Row],[codigo_proyecto]],Proyectos!$A:$A,Proyectos!$C:$C)),"")</f>
        <v>NULOS</v>
      </c>
    </row>
    <row r="2364" spans="1:15">
      <c r="A2364" s="9">
        <v>1000272964</v>
      </c>
      <c r="B2364" s="63" t="s">
        <v>61</v>
      </c>
      <c r="C2364" s="62" t="s">
        <v>6425</v>
      </c>
      <c r="D2364" t="s">
        <v>63</v>
      </c>
      <c r="E2364" t="s">
        <v>7101</v>
      </c>
      <c r="F2364" s="61">
        <v>37481</v>
      </c>
      <c r="G2364" s="15" t="s">
        <v>73</v>
      </c>
      <c r="H2364" t="s">
        <v>7102</v>
      </c>
      <c r="I2364" s="62" t="s">
        <v>7103</v>
      </c>
      <c r="K2364" s="36" t="s">
        <v>169</v>
      </c>
      <c r="L2364" t="s">
        <v>69</v>
      </c>
      <c r="M2364" s="62" t="s">
        <v>170</v>
      </c>
      <c r="N2364" t="s">
        <v>71</v>
      </c>
      <c r="O2364" t="str">
        <f>IFERROR(IF(Tbla_actores[[#This Row],[codigo_proyecto]]="","",_xlfn.XLOOKUP(Tbla_actores[[#This Row],[codigo_proyecto]],Proyectos!$A:$A,Proyectos!$C:$C)),"")</f>
        <v>NULOS</v>
      </c>
    </row>
    <row r="2365" spans="1:15">
      <c r="A2365" s="10">
        <v>1193233454</v>
      </c>
      <c r="B2365" s="64" t="s">
        <v>61</v>
      </c>
      <c r="C2365" s="62" t="s">
        <v>6425</v>
      </c>
      <c r="D2365" t="s">
        <v>63</v>
      </c>
      <c r="E2365" t="s">
        <v>7104</v>
      </c>
      <c r="F2365" s="61">
        <v>37523</v>
      </c>
      <c r="G2365" s="15" t="s">
        <v>65</v>
      </c>
      <c r="H2365" t="s">
        <v>7105</v>
      </c>
      <c r="I2365" s="62" t="s">
        <v>7106</v>
      </c>
      <c r="K2365" s="36" t="s">
        <v>169</v>
      </c>
      <c r="L2365" t="s">
        <v>69</v>
      </c>
      <c r="M2365" s="62" t="s">
        <v>170</v>
      </c>
      <c r="N2365" t="s">
        <v>71</v>
      </c>
      <c r="O2365" t="str">
        <f>IFERROR(IF(Tbla_actores[[#This Row],[codigo_proyecto]]="","",_xlfn.XLOOKUP(Tbla_actores[[#This Row],[codigo_proyecto]],Proyectos!$A:$A,Proyectos!$C:$C)),"")</f>
        <v>NULOS</v>
      </c>
    </row>
    <row r="2366" spans="1:15">
      <c r="A2366" s="9">
        <v>1001348757</v>
      </c>
      <c r="B2366" s="63" t="s">
        <v>61</v>
      </c>
      <c r="C2366" s="62" t="s">
        <v>6425</v>
      </c>
      <c r="D2366" t="s">
        <v>63</v>
      </c>
      <c r="E2366" t="s">
        <v>7107</v>
      </c>
      <c r="F2366" s="61">
        <v>37819</v>
      </c>
      <c r="G2366" s="15" t="s">
        <v>65</v>
      </c>
      <c r="H2366" t="s">
        <v>7108</v>
      </c>
      <c r="I2366" s="62" t="s">
        <v>7109</v>
      </c>
      <c r="K2366" s="36" t="s">
        <v>169</v>
      </c>
      <c r="L2366" t="s">
        <v>69</v>
      </c>
      <c r="M2366" s="62" t="s">
        <v>170</v>
      </c>
      <c r="N2366" t="s">
        <v>71</v>
      </c>
      <c r="O2366" t="str">
        <f>IFERROR(IF(Tbla_actores[[#This Row],[codigo_proyecto]]="","",_xlfn.XLOOKUP(Tbla_actores[[#This Row],[codigo_proyecto]],Proyectos!$A:$A,Proyectos!$C:$C)),"")</f>
        <v>NULOS</v>
      </c>
    </row>
    <row r="2367" spans="1:15">
      <c r="A2367" s="10">
        <v>1001201388</v>
      </c>
      <c r="B2367" s="64" t="s">
        <v>61</v>
      </c>
      <c r="C2367" s="62" t="s">
        <v>6425</v>
      </c>
      <c r="D2367" t="s">
        <v>63</v>
      </c>
      <c r="E2367" t="s">
        <v>7110</v>
      </c>
      <c r="F2367" s="61">
        <v>37745</v>
      </c>
      <c r="G2367" s="15" t="s">
        <v>65</v>
      </c>
      <c r="H2367" t="s">
        <v>7111</v>
      </c>
      <c r="I2367" s="62" t="s">
        <v>7112</v>
      </c>
      <c r="K2367" s="36" t="s">
        <v>169</v>
      </c>
      <c r="L2367" t="s">
        <v>69</v>
      </c>
      <c r="M2367" s="62" t="s">
        <v>170</v>
      </c>
      <c r="N2367" t="s">
        <v>71</v>
      </c>
      <c r="O2367" t="str">
        <f>IFERROR(IF(Tbla_actores[[#This Row],[codigo_proyecto]]="","",_xlfn.XLOOKUP(Tbla_actores[[#This Row],[codigo_proyecto]],Proyectos!$A:$A,Proyectos!$C:$C)),"")</f>
        <v>NULOS</v>
      </c>
    </row>
    <row r="2368" spans="1:15">
      <c r="A2368" s="9">
        <v>1000795324</v>
      </c>
      <c r="B2368" s="63" t="s">
        <v>61</v>
      </c>
      <c r="C2368" s="62" t="s">
        <v>6425</v>
      </c>
      <c r="D2368" t="s">
        <v>63</v>
      </c>
      <c r="E2368" t="s">
        <v>7113</v>
      </c>
      <c r="F2368" s="61">
        <v>37244</v>
      </c>
      <c r="G2368" s="15" t="s">
        <v>73</v>
      </c>
      <c r="H2368" t="s">
        <v>7114</v>
      </c>
      <c r="I2368" s="62" t="s">
        <v>7115</v>
      </c>
      <c r="K2368" s="36" t="s">
        <v>169</v>
      </c>
      <c r="L2368" t="s">
        <v>69</v>
      </c>
      <c r="M2368" s="62" t="s">
        <v>170</v>
      </c>
      <c r="N2368" t="s">
        <v>71</v>
      </c>
      <c r="O2368" t="str">
        <f>IFERROR(IF(Tbla_actores[[#This Row],[codigo_proyecto]]="","",_xlfn.XLOOKUP(Tbla_actores[[#This Row],[codigo_proyecto]],Proyectos!$A:$A,Proyectos!$C:$C)),"")</f>
        <v>NULOS</v>
      </c>
    </row>
    <row r="2369" spans="1:15">
      <c r="A2369" s="10">
        <v>1000574765</v>
      </c>
      <c r="B2369" s="64" t="s">
        <v>61</v>
      </c>
      <c r="C2369" s="62" t="s">
        <v>6425</v>
      </c>
      <c r="D2369" t="s">
        <v>63</v>
      </c>
      <c r="E2369" t="s">
        <v>7116</v>
      </c>
      <c r="F2369" s="61">
        <v>37785</v>
      </c>
      <c r="G2369" s="15" t="s">
        <v>73</v>
      </c>
      <c r="H2369" t="s">
        <v>7117</v>
      </c>
      <c r="I2369" s="62" t="s">
        <v>7118</v>
      </c>
      <c r="K2369" s="36" t="s">
        <v>169</v>
      </c>
      <c r="L2369" t="s">
        <v>69</v>
      </c>
      <c r="M2369" s="62" t="s">
        <v>170</v>
      </c>
      <c r="N2369" t="s">
        <v>71</v>
      </c>
      <c r="O2369" t="str">
        <f>IFERROR(IF(Tbla_actores[[#This Row],[codigo_proyecto]]="","",_xlfn.XLOOKUP(Tbla_actores[[#This Row],[codigo_proyecto]],Proyectos!$A:$A,Proyectos!$C:$C)),"")</f>
        <v>NULOS</v>
      </c>
    </row>
    <row r="2370" spans="1:15">
      <c r="A2370" s="9">
        <v>1000186211</v>
      </c>
      <c r="B2370" s="63" t="s">
        <v>61</v>
      </c>
      <c r="C2370" s="62" t="s">
        <v>6425</v>
      </c>
      <c r="D2370" t="s">
        <v>63</v>
      </c>
      <c r="E2370" t="s">
        <v>7119</v>
      </c>
      <c r="F2370" s="61">
        <v>37621</v>
      </c>
      <c r="G2370" s="15" t="s">
        <v>73</v>
      </c>
      <c r="H2370" t="s">
        <v>7120</v>
      </c>
      <c r="I2370" s="62" t="s">
        <v>7121</v>
      </c>
      <c r="K2370" s="36" t="s">
        <v>169</v>
      </c>
      <c r="L2370" t="s">
        <v>69</v>
      </c>
      <c r="M2370" s="62" t="s">
        <v>170</v>
      </c>
      <c r="N2370" t="s">
        <v>71</v>
      </c>
      <c r="O2370" t="str">
        <f>IFERROR(IF(Tbla_actores[[#This Row],[codigo_proyecto]]="","",_xlfn.XLOOKUP(Tbla_actores[[#This Row],[codigo_proyecto]],Proyectos!$A:$A,Proyectos!$C:$C)),"")</f>
        <v>NULOS</v>
      </c>
    </row>
    <row r="2371" spans="1:15">
      <c r="A2371" s="10">
        <v>1005321354</v>
      </c>
      <c r="B2371" s="64" t="s">
        <v>61</v>
      </c>
      <c r="C2371" s="62" t="s">
        <v>6425</v>
      </c>
      <c r="D2371" t="s">
        <v>63</v>
      </c>
      <c r="E2371" t="s">
        <v>7122</v>
      </c>
      <c r="F2371" s="61">
        <v>36837</v>
      </c>
      <c r="G2371" s="15" t="s">
        <v>65</v>
      </c>
      <c r="H2371" t="s">
        <v>4765</v>
      </c>
      <c r="I2371" s="62" t="s">
        <v>4766</v>
      </c>
      <c r="K2371" s="36" t="s">
        <v>169</v>
      </c>
      <c r="L2371" t="s">
        <v>69</v>
      </c>
      <c r="M2371" s="62" t="s">
        <v>70</v>
      </c>
      <c r="N2371" t="s">
        <v>71</v>
      </c>
      <c r="O2371" t="str">
        <f>IFERROR(IF(Tbla_actores[[#This Row],[codigo_proyecto]]="","",_xlfn.XLOOKUP(Tbla_actores[[#This Row],[codigo_proyecto]],Proyectos!$A:$A,Proyectos!$C:$C)),"")</f>
        <v>NULOS</v>
      </c>
    </row>
    <row r="2372" spans="1:15">
      <c r="A2372" s="9">
        <v>1020840274</v>
      </c>
      <c r="B2372" s="63" t="s">
        <v>61</v>
      </c>
      <c r="C2372" s="62" t="s">
        <v>6425</v>
      </c>
      <c r="D2372" t="s">
        <v>63</v>
      </c>
      <c r="E2372" t="s">
        <v>7123</v>
      </c>
      <c r="F2372" s="61">
        <v>36222</v>
      </c>
      <c r="G2372" s="15" t="s">
        <v>73</v>
      </c>
      <c r="H2372" t="s">
        <v>7124</v>
      </c>
      <c r="I2372" s="62" t="s">
        <v>7125</v>
      </c>
      <c r="K2372" s="36" t="s">
        <v>169</v>
      </c>
      <c r="L2372" t="s">
        <v>69</v>
      </c>
      <c r="M2372" s="62" t="s">
        <v>170</v>
      </c>
      <c r="N2372" t="s">
        <v>71</v>
      </c>
      <c r="O2372" t="str">
        <f>IFERROR(IF(Tbla_actores[[#This Row],[codigo_proyecto]]="","",_xlfn.XLOOKUP(Tbla_actores[[#This Row],[codigo_proyecto]],Proyectos!$A:$A,Proyectos!$C:$C)),"")</f>
        <v>NULOS</v>
      </c>
    </row>
    <row r="2373" spans="1:15">
      <c r="A2373" s="10">
        <v>1005087448</v>
      </c>
      <c r="B2373" s="64" t="s">
        <v>61</v>
      </c>
      <c r="C2373" s="62" t="s">
        <v>6425</v>
      </c>
      <c r="D2373" t="s">
        <v>63</v>
      </c>
      <c r="E2373" t="s">
        <v>7126</v>
      </c>
      <c r="F2373" s="61">
        <v>37166</v>
      </c>
      <c r="G2373" s="15" t="s">
        <v>73</v>
      </c>
      <c r="H2373" t="s">
        <v>7127</v>
      </c>
      <c r="I2373" s="62" t="s">
        <v>7128</v>
      </c>
      <c r="K2373" s="36" t="s">
        <v>169</v>
      </c>
      <c r="L2373" t="s">
        <v>69</v>
      </c>
      <c r="M2373" s="62" t="s">
        <v>170</v>
      </c>
      <c r="N2373" t="s">
        <v>71</v>
      </c>
      <c r="O2373" t="str">
        <f>IFERROR(IF(Tbla_actores[[#This Row],[codigo_proyecto]]="","",_xlfn.XLOOKUP(Tbla_actores[[#This Row],[codigo_proyecto]],Proyectos!$A:$A,Proyectos!$C:$C)),"")</f>
        <v>NULOS</v>
      </c>
    </row>
    <row r="2374" spans="1:15">
      <c r="A2374" s="9">
        <v>1020844843</v>
      </c>
      <c r="B2374" s="63" t="s">
        <v>61</v>
      </c>
      <c r="C2374" s="62" t="s">
        <v>6425</v>
      </c>
      <c r="D2374" t="s">
        <v>63</v>
      </c>
      <c r="E2374" t="s">
        <v>7129</v>
      </c>
      <c r="F2374" s="61">
        <v>36477</v>
      </c>
      <c r="G2374" s="15" t="s">
        <v>65</v>
      </c>
      <c r="H2374" t="s">
        <v>7130</v>
      </c>
      <c r="I2374" s="62" t="s">
        <v>7131</v>
      </c>
      <c r="K2374" s="36" t="s">
        <v>169</v>
      </c>
      <c r="L2374" t="s">
        <v>69</v>
      </c>
      <c r="M2374" s="62" t="s">
        <v>170</v>
      </c>
      <c r="N2374" t="s">
        <v>71</v>
      </c>
      <c r="O2374" t="str">
        <f>IFERROR(IF(Tbla_actores[[#This Row],[codigo_proyecto]]="","",_xlfn.XLOOKUP(Tbla_actores[[#This Row],[codigo_proyecto]],Proyectos!$A:$A,Proyectos!$C:$C)),"")</f>
        <v>NULOS</v>
      </c>
    </row>
    <row r="2375" spans="1:15">
      <c r="A2375" s="10">
        <v>1001091125</v>
      </c>
      <c r="B2375" s="64" t="s">
        <v>61</v>
      </c>
      <c r="C2375" s="62" t="s">
        <v>6425</v>
      </c>
      <c r="D2375" t="s">
        <v>63</v>
      </c>
      <c r="E2375" t="s">
        <v>7132</v>
      </c>
      <c r="F2375" s="61">
        <v>37043</v>
      </c>
      <c r="G2375" s="15" t="s">
        <v>73</v>
      </c>
      <c r="H2375" t="s">
        <v>7133</v>
      </c>
      <c r="I2375" s="62" t="s">
        <v>7134</v>
      </c>
      <c r="K2375" s="36" t="s">
        <v>169</v>
      </c>
      <c r="L2375" t="s">
        <v>69</v>
      </c>
      <c r="M2375" s="62" t="s">
        <v>170</v>
      </c>
      <c r="N2375" t="s">
        <v>71</v>
      </c>
      <c r="O2375" t="str">
        <f>IFERROR(IF(Tbla_actores[[#This Row],[codigo_proyecto]]="","",_xlfn.XLOOKUP(Tbla_actores[[#This Row],[codigo_proyecto]],Proyectos!$A:$A,Proyectos!$C:$C)),"")</f>
        <v>NULOS</v>
      </c>
    </row>
    <row r="2376" spans="1:15">
      <c r="A2376" s="9">
        <v>1001296271</v>
      </c>
      <c r="B2376" s="63" t="s">
        <v>61</v>
      </c>
      <c r="C2376" s="62" t="s">
        <v>6425</v>
      </c>
      <c r="D2376" t="s">
        <v>63</v>
      </c>
      <c r="E2376" t="s">
        <v>7135</v>
      </c>
      <c r="F2376" s="61">
        <v>37137</v>
      </c>
      <c r="G2376" s="15" t="s">
        <v>73</v>
      </c>
      <c r="H2376" t="s">
        <v>7136</v>
      </c>
      <c r="I2376" s="62" t="s">
        <v>7137</v>
      </c>
      <c r="K2376" s="36" t="s">
        <v>169</v>
      </c>
      <c r="L2376" t="s">
        <v>69</v>
      </c>
      <c r="M2376" s="62" t="s">
        <v>170</v>
      </c>
      <c r="N2376" t="s">
        <v>71</v>
      </c>
      <c r="O2376" t="str">
        <f>IFERROR(IF(Tbla_actores[[#This Row],[codigo_proyecto]]="","",_xlfn.XLOOKUP(Tbla_actores[[#This Row],[codigo_proyecto]],Proyectos!$A:$A,Proyectos!$C:$C)),"")</f>
        <v>NULOS</v>
      </c>
    </row>
    <row r="2377" spans="1:15">
      <c r="A2377" s="10">
        <v>1019147649</v>
      </c>
      <c r="B2377" s="64" t="s">
        <v>61</v>
      </c>
      <c r="C2377" s="62" t="s">
        <v>6425</v>
      </c>
      <c r="D2377" t="s">
        <v>63</v>
      </c>
      <c r="E2377" t="s">
        <v>7138</v>
      </c>
      <c r="F2377" s="61">
        <v>36248</v>
      </c>
      <c r="G2377" s="15" t="s">
        <v>73</v>
      </c>
      <c r="H2377" t="s">
        <v>7139</v>
      </c>
      <c r="I2377" s="62" t="s">
        <v>7140</v>
      </c>
      <c r="K2377" s="36" t="s">
        <v>169</v>
      </c>
      <c r="L2377" t="s">
        <v>69</v>
      </c>
      <c r="M2377" s="62" t="s">
        <v>170</v>
      </c>
      <c r="N2377" t="s">
        <v>71</v>
      </c>
      <c r="O2377" t="str">
        <f>IFERROR(IF(Tbla_actores[[#This Row],[codigo_proyecto]]="","",_xlfn.XLOOKUP(Tbla_actores[[#This Row],[codigo_proyecto]],Proyectos!$A:$A,Proyectos!$C:$C)),"")</f>
        <v>NULOS</v>
      </c>
    </row>
    <row r="2378" spans="1:15">
      <c r="A2378" s="9">
        <v>1000534166</v>
      </c>
      <c r="B2378" s="63" t="s">
        <v>61</v>
      </c>
      <c r="C2378" s="62" t="s">
        <v>6425</v>
      </c>
      <c r="D2378" t="s">
        <v>63</v>
      </c>
      <c r="E2378" t="s">
        <v>7141</v>
      </c>
      <c r="F2378" s="61">
        <v>37675</v>
      </c>
      <c r="G2378" s="15" t="s">
        <v>65</v>
      </c>
      <c r="H2378" t="s">
        <v>7142</v>
      </c>
      <c r="I2378" s="62" t="s">
        <v>7143</v>
      </c>
      <c r="K2378" s="36" t="s">
        <v>169</v>
      </c>
      <c r="L2378" t="s">
        <v>69</v>
      </c>
      <c r="M2378" s="62" t="s">
        <v>170</v>
      </c>
      <c r="N2378" t="s">
        <v>71</v>
      </c>
      <c r="O2378" t="str">
        <f>IFERROR(IF(Tbla_actores[[#This Row],[codigo_proyecto]]="","",_xlfn.XLOOKUP(Tbla_actores[[#This Row],[codigo_proyecto]],Proyectos!$A:$A,Proyectos!$C:$C)),"")</f>
        <v>NULOS</v>
      </c>
    </row>
    <row r="2379" spans="1:15">
      <c r="A2379" s="10">
        <v>1000270979</v>
      </c>
      <c r="B2379" s="64" t="s">
        <v>61</v>
      </c>
      <c r="C2379" s="62" t="s">
        <v>6425</v>
      </c>
      <c r="D2379" t="s">
        <v>63</v>
      </c>
      <c r="E2379" t="s">
        <v>7144</v>
      </c>
      <c r="F2379" s="61">
        <v>37275</v>
      </c>
      <c r="G2379" s="15" t="s">
        <v>73</v>
      </c>
      <c r="H2379" t="s">
        <v>7145</v>
      </c>
      <c r="I2379" s="62" t="s">
        <v>7146</v>
      </c>
      <c r="K2379" s="36" t="s">
        <v>169</v>
      </c>
      <c r="L2379" t="s">
        <v>69</v>
      </c>
      <c r="M2379" s="62" t="s">
        <v>170</v>
      </c>
      <c r="N2379" t="s">
        <v>71</v>
      </c>
      <c r="O2379" t="str">
        <f>IFERROR(IF(Tbla_actores[[#This Row],[codigo_proyecto]]="","",_xlfn.XLOOKUP(Tbla_actores[[#This Row],[codigo_proyecto]],Proyectos!$A:$A,Proyectos!$C:$C)),"")</f>
        <v>NULOS</v>
      </c>
    </row>
    <row r="2380" spans="1:15">
      <c r="A2380" s="9">
        <v>1001347885</v>
      </c>
      <c r="B2380" s="63" t="s">
        <v>61</v>
      </c>
      <c r="C2380" s="62" t="s">
        <v>6425</v>
      </c>
      <c r="D2380" t="s">
        <v>63</v>
      </c>
      <c r="E2380" t="s">
        <v>7147</v>
      </c>
      <c r="F2380" s="61">
        <v>37458</v>
      </c>
      <c r="G2380" s="15" t="s">
        <v>73</v>
      </c>
      <c r="H2380" t="s">
        <v>7148</v>
      </c>
      <c r="I2380" s="62" t="s">
        <v>7149</v>
      </c>
      <c r="K2380" s="36" t="s">
        <v>169</v>
      </c>
      <c r="L2380" t="s">
        <v>69</v>
      </c>
      <c r="M2380" s="62" t="s">
        <v>170</v>
      </c>
      <c r="N2380" t="s">
        <v>71</v>
      </c>
      <c r="O2380" t="str">
        <f>IFERROR(IF(Tbla_actores[[#This Row],[codigo_proyecto]]="","",_xlfn.XLOOKUP(Tbla_actores[[#This Row],[codigo_proyecto]],Proyectos!$A:$A,Proyectos!$C:$C)),"")</f>
        <v>NULOS</v>
      </c>
    </row>
    <row r="2381" spans="1:15">
      <c r="A2381" s="10">
        <v>1001091972</v>
      </c>
      <c r="B2381" s="64" t="s">
        <v>61</v>
      </c>
      <c r="C2381" s="62" t="s">
        <v>6425</v>
      </c>
      <c r="D2381" t="s">
        <v>63</v>
      </c>
      <c r="E2381" t="s">
        <v>7150</v>
      </c>
      <c r="F2381" s="61">
        <v>37460</v>
      </c>
      <c r="G2381" s="15" t="s">
        <v>73</v>
      </c>
      <c r="H2381" t="s">
        <v>7151</v>
      </c>
      <c r="I2381" s="62" t="s">
        <v>7152</v>
      </c>
      <c r="K2381" s="36" t="s">
        <v>169</v>
      </c>
      <c r="L2381" t="s">
        <v>69</v>
      </c>
      <c r="M2381" s="62" t="s">
        <v>170</v>
      </c>
      <c r="N2381" t="s">
        <v>71</v>
      </c>
      <c r="O2381" t="str">
        <f>IFERROR(IF(Tbla_actores[[#This Row],[codigo_proyecto]]="","",_xlfn.XLOOKUP(Tbla_actores[[#This Row],[codigo_proyecto]],Proyectos!$A:$A,Proyectos!$C:$C)),"")</f>
        <v>NULOS</v>
      </c>
    </row>
    <row r="2382" spans="1:15">
      <c r="A2382" s="9">
        <v>1000271574</v>
      </c>
      <c r="B2382" s="63" t="s">
        <v>61</v>
      </c>
      <c r="C2382" s="62" t="s">
        <v>6425</v>
      </c>
      <c r="D2382" t="s">
        <v>63</v>
      </c>
      <c r="E2382" t="s">
        <v>7153</v>
      </c>
      <c r="F2382" s="61">
        <v>37856</v>
      </c>
      <c r="G2382" s="15" t="s">
        <v>73</v>
      </c>
      <c r="H2382" t="s">
        <v>7154</v>
      </c>
      <c r="I2382" s="62" t="s">
        <v>7155</v>
      </c>
      <c r="K2382" s="36" t="s">
        <v>169</v>
      </c>
      <c r="L2382" t="s">
        <v>69</v>
      </c>
      <c r="M2382" s="62" t="s">
        <v>170</v>
      </c>
      <c r="N2382" t="s">
        <v>71</v>
      </c>
      <c r="O2382" t="str">
        <f>IFERROR(IF(Tbla_actores[[#This Row],[codigo_proyecto]]="","",_xlfn.XLOOKUP(Tbla_actores[[#This Row],[codigo_proyecto]],Proyectos!$A:$A,Proyectos!$C:$C)),"")</f>
        <v>NULOS</v>
      </c>
    </row>
    <row r="2383" spans="1:15">
      <c r="A2383" s="10">
        <v>1022442031</v>
      </c>
      <c r="B2383" s="64" t="s">
        <v>61</v>
      </c>
      <c r="C2383" s="62" t="s">
        <v>6425</v>
      </c>
      <c r="D2383" t="s">
        <v>63</v>
      </c>
      <c r="E2383" t="s">
        <v>7156</v>
      </c>
      <c r="F2383" s="61">
        <v>36228</v>
      </c>
      <c r="G2383" s="15" t="s">
        <v>73</v>
      </c>
      <c r="H2383" t="s">
        <v>7157</v>
      </c>
      <c r="I2383" s="62" t="s">
        <v>7158</v>
      </c>
      <c r="K2383" s="36" t="s">
        <v>169</v>
      </c>
      <c r="L2383" t="s">
        <v>69</v>
      </c>
      <c r="M2383" s="62" t="s">
        <v>170</v>
      </c>
      <c r="N2383" t="s">
        <v>71</v>
      </c>
      <c r="O2383" t="str">
        <f>IFERROR(IF(Tbla_actores[[#This Row],[codigo_proyecto]]="","",_xlfn.XLOOKUP(Tbla_actores[[#This Row],[codigo_proyecto]],Proyectos!$A:$A,Proyectos!$C:$C)),"")</f>
        <v>NULOS</v>
      </c>
    </row>
    <row r="2384" spans="1:15">
      <c r="A2384" s="9">
        <v>1000941613</v>
      </c>
      <c r="B2384" s="63" t="s">
        <v>61</v>
      </c>
      <c r="C2384" s="62" t="s">
        <v>6425</v>
      </c>
      <c r="D2384" t="s">
        <v>63</v>
      </c>
      <c r="E2384" t="s">
        <v>7159</v>
      </c>
      <c r="F2384" s="61">
        <v>37469</v>
      </c>
      <c r="G2384" s="15" t="s">
        <v>65</v>
      </c>
      <c r="H2384" t="s">
        <v>7160</v>
      </c>
      <c r="I2384" s="62" t="s">
        <v>7161</v>
      </c>
      <c r="K2384" s="36" t="s">
        <v>169</v>
      </c>
      <c r="L2384" t="s">
        <v>69</v>
      </c>
      <c r="M2384" s="62" t="s">
        <v>170</v>
      </c>
      <c r="N2384" t="s">
        <v>71</v>
      </c>
      <c r="O2384" t="str">
        <f>IFERROR(IF(Tbla_actores[[#This Row],[codigo_proyecto]]="","",_xlfn.XLOOKUP(Tbla_actores[[#This Row],[codigo_proyecto]],Proyectos!$A:$A,Proyectos!$C:$C)),"")</f>
        <v>NULOS</v>
      </c>
    </row>
    <row r="2385" spans="1:15">
      <c r="A2385" s="10">
        <v>1193132447</v>
      </c>
      <c r="B2385" s="64" t="s">
        <v>61</v>
      </c>
      <c r="C2385" s="62" t="s">
        <v>6425</v>
      </c>
      <c r="D2385" t="s">
        <v>63</v>
      </c>
      <c r="E2385" t="s">
        <v>7162</v>
      </c>
      <c r="F2385" s="61">
        <v>37674</v>
      </c>
      <c r="G2385" s="15" t="s">
        <v>73</v>
      </c>
      <c r="H2385" t="s">
        <v>7163</v>
      </c>
      <c r="I2385" s="62" t="s">
        <v>7164</v>
      </c>
      <c r="K2385" s="36" t="s">
        <v>169</v>
      </c>
      <c r="L2385" t="s">
        <v>69</v>
      </c>
      <c r="M2385" s="62" t="s">
        <v>170</v>
      </c>
      <c r="N2385" t="s">
        <v>71</v>
      </c>
      <c r="O2385" t="str">
        <f>IFERROR(IF(Tbla_actores[[#This Row],[codigo_proyecto]]="","",_xlfn.XLOOKUP(Tbla_actores[[#This Row],[codigo_proyecto]],Proyectos!$A:$A,Proyectos!$C:$C)),"")</f>
        <v>NULOS</v>
      </c>
    </row>
    <row r="2386" spans="1:15">
      <c r="A2386" s="9">
        <v>1107974032</v>
      </c>
      <c r="B2386" s="63" t="s">
        <v>61</v>
      </c>
      <c r="C2386" s="62" t="s">
        <v>6425</v>
      </c>
      <c r="D2386" t="s">
        <v>63</v>
      </c>
      <c r="E2386" t="s">
        <v>7165</v>
      </c>
      <c r="F2386" s="61">
        <v>37951</v>
      </c>
      <c r="G2386" s="15" t="s">
        <v>73</v>
      </c>
      <c r="H2386" t="s">
        <v>7166</v>
      </c>
      <c r="I2386" s="62" t="s">
        <v>7167</v>
      </c>
      <c r="K2386" s="36" t="s">
        <v>169</v>
      </c>
      <c r="L2386" t="s">
        <v>69</v>
      </c>
      <c r="M2386" s="62" t="s">
        <v>170</v>
      </c>
      <c r="N2386" t="s">
        <v>71</v>
      </c>
      <c r="O2386" t="str">
        <f>IFERROR(IF(Tbla_actores[[#This Row],[codigo_proyecto]]="","",_xlfn.XLOOKUP(Tbla_actores[[#This Row],[codigo_proyecto]],Proyectos!$A:$A,Proyectos!$C:$C)),"")</f>
        <v>NULOS</v>
      </c>
    </row>
    <row r="2387" spans="1:15">
      <c r="A2387" s="10">
        <v>1000149436</v>
      </c>
      <c r="B2387" s="64" t="s">
        <v>61</v>
      </c>
      <c r="C2387" s="62" t="s">
        <v>6425</v>
      </c>
      <c r="D2387" t="s">
        <v>63</v>
      </c>
      <c r="E2387" t="s">
        <v>7168</v>
      </c>
      <c r="F2387" s="61">
        <v>37453</v>
      </c>
      <c r="G2387" s="15" t="s">
        <v>73</v>
      </c>
      <c r="H2387" t="s">
        <v>7169</v>
      </c>
      <c r="I2387" s="62" t="s">
        <v>7170</v>
      </c>
      <c r="K2387" s="36" t="s">
        <v>169</v>
      </c>
      <c r="L2387" t="s">
        <v>69</v>
      </c>
      <c r="M2387" s="62" t="s">
        <v>170</v>
      </c>
      <c r="N2387" t="s">
        <v>71</v>
      </c>
      <c r="O2387" t="str">
        <f>IFERROR(IF(Tbla_actores[[#This Row],[codigo_proyecto]]="","",_xlfn.XLOOKUP(Tbla_actores[[#This Row],[codigo_proyecto]],Proyectos!$A:$A,Proyectos!$C:$C)),"")</f>
        <v>NULOS</v>
      </c>
    </row>
    <row r="2388" spans="1:15">
      <c r="A2388" s="9">
        <v>763522</v>
      </c>
      <c r="B2388" s="63" t="s">
        <v>61</v>
      </c>
      <c r="C2388" s="62" t="s">
        <v>6425</v>
      </c>
      <c r="D2388" t="s">
        <v>63</v>
      </c>
      <c r="E2388" t="s">
        <v>7171</v>
      </c>
      <c r="F2388" s="61">
        <v>37715</v>
      </c>
      <c r="G2388" s="15" t="s">
        <v>73</v>
      </c>
      <c r="H2388" t="s">
        <v>7172</v>
      </c>
      <c r="I2388" s="62" t="s">
        <v>7173</v>
      </c>
      <c r="K2388" s="36" t="s">
        <v>169</v>
      </c>
      <c r="L2388" t="s">
        <v>69</v>
      </c>
      <c r="M2388" s="62" t="s">
        <v>170</v>
      </c>
      <c r="N2388" t="s">
        <v>71</v>
      </c>
      <c r="O2388" t="str">
        <f>IFERROR(IF(Tbla_actores[[#This Row],[codigo_proyecto]]="","",_xlfn.XLOOKUP(Tbla_actores[[#This Row],[codigo_proyecto]],Proyectos!$A:$A,Proyectos!$C:$C)),"")</f>
        <v>NULOS</v>
      </c>
    </row>
    <row r="2389" spans="1:15">
      <c r="A2389" s="10">
        <v>1002395690</v>
      </c>
      <c r="B2389" s="64" t="s">
        <v>61</v>
      </c>
      <c r="C2389" s="62" t="s">
        <v>6425</v>
      </c>
      <c r="D2389" t="s">
        <v>63</v>
      </c>
      <c r="E2389" t="s">
        <v>7174</v>
      </c>
      <c r="F2389" s="61">
        <v>37506</v>
      </c>
      <c r="G2389" s="15" t="s">
        <v>65</v>
      </c>
      <c r="H2389" t="s">
        <v>7175</v>
      </c>
      <c r="I2389" s="62" t="s">
        <v>7176</v>
      </c>
      <c r="K2389" s="36" t="s">
        <v>169</v>
      </c>
      <c r="L2389" t="s">
        <v>69</v>
      </c>
      <c r="M2389" s="62" t="s">
        <v>170</v>
      </c>
      <c r="N2389" t="s">
        <v>71</v>
      </c>
      <c r="O2389" t="str">
        <f>IFERROR(IF(Tbla_actores[[#This Row],[codigo_proyecto]]="","",_xlfn.XLOOKUP(Tbla_actores[[#This Row],[codigo_proyecto]],Proyectos!$A:$A,Proyectos!$C:$C)),"")</f>
        <v>NULOS</v>
      </c>
    </row>
    <row r="2390" spans="1:15">
      <c r="A2390" s="9">
        <v>1193036418</v>
      </c>
      <c r="B2390" s="63" t="s">
        <v>61</v>
      </c>
      <c r="C2390" s="62" t="s">
        <v>6425</v>
      </c>
      <c r="D2390" t="s">
        <v>63</v>
      </c>
      <c r="E2390" t="s">
        <v>7177</v>
      </c>
      <c r="F2390" s="61">
        <v>36689</v>
      </c>
      <c r="G2390" s="15" t="s">
        <v>73</v>
      </c>
      <c r="H2390" t="s">
        <v>7178</v>
      </c>
      <c r="I2390" s="62" t="s">
        <v>7179</v>
      </c>
      <c r="K2390" s="36" t="s">
        <v>169</v>
      </c>
      <c r="L2390" t="s">
        <v>69</v>
      </c>
      <c r="M2390" s="62" t="s">
        <v>170</v>
      </c>
      <c r="N2390" t="s">
        <v>71</v>
      </c>
      <c r="O2390" t="str">
        <f>IFERROR(IF(Tbla_actores[[#This Row],[codigo_proyecto]]="","",_xlfn.XLOOKUP(Tbla_actores[[#This Row],[codigo_proyecto]],Proyectos!$A:$A,Proyectos!$C:$C)),"")</f>
        <v>NULOS</v>
      </c>
    </row>
    <row r="2391" spans="1:15">
      <c r="A2391" s="10">
        <v>1001118678</v>
      </c>
      <c r="B2391" s="64" t="s">
        <v>61</v>
      </c>
      <c r="C2391" s="62" t="s">
        <v>6425</v>
      </c>
      <c r="D2391" t="s">
        <v>63</v>
      </c>
      <c r="E2391" t="s">
        <v>7180</v>
      </c>
      <c r="F2391" s="61">
        <v>37798</v>
      </c>
      <c r="G2391" s="15" t="s">
        <v>65</v>
      </c>
      <c r="H2391" t="s">
        <v>7181</v>
      </c>
      <c r="I2391" s="62" t="s">
        <v>7182</v>
      </c>
      <c r="K2391" s="36" t="s">
        <v>169</v>
      </c>
      <c r="L2391" t="s">
        <v>69</v>
      </c>
      <c r="M2391" s="62" t="s">
        <v>170</v>
      </c>
      <c r="N2391" t="s">
        <v>71</v>
      </c>
      <c r="O2391" t="str">
        <f>IFERROR(IF(Tbla_actores[[#This Row],[codigo_proyecto]]="","",_xlfn.XLOOKUP(Tbla_actores[[#This Row],[codigo_proyecto]],Proyectos!$A:$A,Proyectos!$C:$C)),"")</f>
        <v>NULOS</v>
      </c>
    </row>
    <row r="2392" spans="1:15">
      <c r="A2392" s="9">
        <v>1000944969</v>
      </c>
      <c r="B2392" s="63" t="s">
        <v>61</v>
      </c>
      <c r="C2392" s="62" t="s">
        <v>6425</v>
      </c>
      <c r="D2392" t="s">
        <v>63</v>
      </c>
      <c r="E2392" t="s">
        <v>7183</v>
      </c>
      <c r="F2392" s="61">
        <v>37827</v>
      </c>
      <c r="G2392" s="15" t="s">
        <v>65</v>
      </c>
      <c r="H2392" t="s">
        <v>7184</v>
      </c>
      <c r="I2392" s="62" t="s">
        <v>7185</v>
      </c>
      <c r="K2392" s="36" t="s">
        <v>169</v>
      </c>
      <c r="L2392" t="s">
        <v>69</v>
      </c>
      <c r="M2392" s="62" t="s">
        <v>170</v>
      </c>
      <c r="N2392" t="s">
        <v>71</v>
      </c>
      <c r="O2392" t="str">
        <f>IFERROR(IF(Tbla_actores[[#This Row],[codigo_proyecto]]="","",_xlfn.XLOOKUP(Tbla_actores[[#This Row],[codigo_proyecto]],Proyectos!$A:$A,Proyectos!$C:$C)),"")</f>
        <v>NULOS</v>
      </c>
    </row>
    <row r="2393" spans="1:15">
      <c r="A2393" s="10">
        <v>1000180334</v>
      </c>
      <c r="B2393" s="64" t="s">
        <v>61</v>
      </c>
      <c r="C2393" s="62" t="s">
        <v>6425</v>
      </c>
      <c r="D2393" t="s">
        <v>63</v>
      </c>
      <c r="E2393" t="s">
        <v>7186</v>
      </c>
      <c r="F2393" s="61">
        <v>37829</v>
      </c>
      <c r="G2393" s="15" t="s">
        <v>65</v>
      </c>
      <c r="H2393" t="s">
        <v>7187</v>
      </c>
      <c r="I2393" s="62" t="s">
        <v>7188</v>
      </c>
      <c r="K2393" s="36" t="s">
        <v>169</v>
      </c>
      <c r="L2393" t="s">
        <v>69</v>
      </c>
      <c r="M2393" s="62" t="s">
        <v>170</v>
      </c>
      <c r="N2393" t="s">
        <v>71</v>
      </c>
      <c r="O2393" t="str">
        <f>IFERROR(IF(Tbla_actores[[#This Row],[codigo_proyecto]]="","",_xlfn.XLOOKUP(Tbla_actores[[#This Row],[codigo_proyecto]],Proyectos!$A:$A,Proyectos!$C:$C)),"")</f>
        <v>NULOS</v>
      </c>
    </row>
    <row r="2394" spans="1:15">
      <c r="A2394" s="9">
        <v>1007722216</v>
      </c>
      <c r="B2394" s="63" t="s">
        <v>61</v>
      </c>
      <c r="C2394" s="62" t="s">
        <v>6425</v>
      </c>
      <c r="D2394" t="s">
        <v>63</v>
      </c>
      <c r="E2394" t="s">
        <v>7189</v>
      </c>
      <c r="F2394" s="61">
        <v>36804</v>
      </c>
      <c r="G2394" s="15" t="s">
        <v>65</v>
      </c>
      <c r="H2394" t="s">
        <v>7190</v>
      </c>
      <c r="I2394" s="62" t="s">
        <v>7191</v>
      </c>
      <c r="K2394" s="36" t="s">
        <v>169</v>
      </c>
      <c r="L2394" t="s">
        <v>69</v>
      </c>
      <c r="M2394" s="62" t="s">
        <v>170</v>
      </c>
      <c r="N2394" t="s">
        <v>71</v>
      </c>
      <c r="O2394" t="str">
        <f>IFERROR(IF(Tbla_actores[[#This Row],[codigo_proyecto]]="","",_xlfn.XLOOKUP(Tbla_actores[[#This Row],[codigo_proyecto]],Proyectos!$A:$A,Proyectos!$C:$C)),"")</f>
        <v>NULOS</v>
      </c>
    </row>
    <row r="2395" spans="1:15">
      <c r="A2395" s="10">
        <v>1007015421</v>
      </c>
      <c r="B2395" s="64" t="s">
        <v>61</v>
      </c>
      <c r="C2395" s="62" t="s">
        <v>6425</v>
      </c>
      <c r="D2395" t="s">
        <v>63</v>
      </c>
      <c r="E2395" t="s">
        <v>7192</v>
      </c>
      <c r="F2395" s="61">
        <v>36594</v>
      </c>
      <c r="G2395" s="15" t="s">
        <v>73</v>
      </c>
      <c r="H2395" t="s">
        <v>7193</v>
      </c>
      <c r="I2395" s="62" t="s">
        <v>7194</v>
      </c>
      <c r="K2395" s="36" t="s">
        <v>169</v>
      </c>
      <c r="L2395" t="s">
        <v>69</v>
      </c>
      <c r="M2395" s="62" t="s">
        <v>170</v>
      </c>
      <c r="N2395" t="s">
        <v>71</v>
      </c>
      <c r="O2395" t="str">
        <f>IFERROR(IF(Tbla_actores[[#This Row],[codigo_proyecto]]="","",_xlfn.XLOOKUP(Tbla_actores[[#This Row],[codigo_proyecto]],Proyectos!$A:$A,Proyectos!$C:$C)),"")</f>
        <v>NULOS</v>
      </c>
    </row>
    <row r="2396" spans="1:15">
      <c r="A2396" s="9">
        <v>1001091199</v>
      </c>
      <c r="B2396" s="63" t="s">
        <v>61</v>
      </c>
      <c r="C2396" s="62" t="s">
        <v>6425</v>
      </c>
      <c r="D2396" t="s">
        <v>63</v>
      </c>
      <c r="E2396" t="s">
        <v>7195</v>
      </c>
      <c r="F2396" s="61">
        <v>37490</v>
      </c>
      <c r="G2396" s="15" t="s">
        <v>65</v>
      </c>
      <c r="H2396" t="s">
        <v>7196</v>
      </c>
      <c r="I2396" s="62" t="s">
        <v>7197</v>
      </c>
      <c r="K2396" s="36" t="s">
        <v>169</v>
      </c>
      <c r="L2396" t="s">
        <v>69</v>
      </c>
      <c r="M2396" s="62" t="s">
        <v>170</v>
      </c>
      <c r="N2396" t="s">
        <v>71</v>
      </c>
      <c r="O2396" t="str">
        <f>IFERROR(IF(Tbla_actores[[#This Row],[codigo_proyecto]]="","",_xlfn.XLOOKUP(Tbla_actores[[#This Row],[codigo_proyecto]],Proyectos!$A:$A,Proyectos!$C:$C)),"")</f>
        <v>NULOS</v>
      </c>
    </row>
    <row r="2397" spans="1:15">
      <c r="A2397" s="10">
        <v>1232892138</v>
      </c>
      <c r="B2397" s="64" t="s">
        <v>61</v>
      </c>
      <c r="C2397" s="62" t="s">
        <v>6425</v>
      </c>
      <c r="D2397" t="s">
        <v>63</v>
      </c>
      <c r="E2397" t="s">
        <v>7198</v>
      </c>
      <c r="F2397" s="61">
        <v>36429</v>
      </c>
      <c r="G2397" s="15" t="s">
        <v>65</v>
      </c>
      <c r="H2397" t="s">
        <v>7199</v>
      </c>
      <c r="I2397" s="62" t="s">
        <v>7200</v>
      </c>
      <c r="K2397" s="36" t="s">
        <v>169</v>
      </c>
      <c r="L2397" t="s">
        <v>69</v>
      </c>
      <c r="M2397" s="62" t="s">
        <v>170</v>
      </c>
      <c r="N2397" t="s">
        <v>71</v>
      </c>
      <c r="O2397" t="str">
        <f>IFERROR(IF(Tbla_actores[[#This Row],[codigo_proyecto]]="","",_xlfn.XLOOKUP(Tbla_actores[[#This Row],[codigo_proyecto]],Proyectos!$A:$A,Proyectos!$C:$C)),"")</f>
        <v>NULOS</v>
      </c>
    </row>
    <row r="2398" spans="1:15">
      <c r="A2398" s="9">
        <v>1000148937</v>
      </c>
      <c r="B2398" s="63" t="s">
        <v>61</v>
      </c>
      <c r="C2398" s="62" t="s">
        <v>6425</v>
      </c>
      <c r="D2398" t="s">
        <v>63</v>
      </c>
      <c r="E2398" t="s">
        <v>7201</v>
      </c>
      <c r="F2398" s="61">
        <v>36800</v>
      </c>
      <c r="G2398" s="15" t="s">
        <v>73</v>
      </c>
      <c r="H2398" t="s">
        <v>7202</v>
      </c>
      <c r="I2398" s="62" t="s">
        <v>7203</v>
      </c>
      <c r="K2398" s="36" t="s">
        <v>169</v>
      </c>
      <c r="L2398" t="s">
        <v>69</v>
      </c>
      <c r="M2398" s="62" t="s">
        <v>170</v>
      </c>
      <c r="N2398" t="s">
        <v>71</v>
      </c>
      <c r="O2398" t="str">
        <f>IFERROR(IF(Tbla_actores[[#This Row],[codigo_proyecto]]="","",_xlfn.XLOOKUP(Tbla_actores[[#This Row],[codigo_proyecto]],Proyectos!$A:$A,Proyectos!$C:$C)),"")</f>
        <v>NULOS</v>
      </c>
    </row>
    <row r="2399" spans="1:15">
      <c r="A2399" s="10">
        <v>1000077550</v>
      </c>
      <c r="B2399" s="64" t="s">
        <v>61</v>
      </c>
      <c r="C2399" s="62" t="s">
        <v>6425</v>
      </c>
      <c r="D2399" t="s">
        <v>63</v>
      </c>
      <c r="E2399" t="s">
        <v>7204</v>
      </c>
      <c r="F2399" s="61">
        <v>37579</v>
      </c>
      <c r="G2399" s="15" t="s">
        <v>65</v>
      </c>
      <c r="H2399" t="s">
        <v>7205</v>
      </c>
      <c r="I2399" s="62" t="s">
        <v>7206</v>
      </c>
      <c r="K2399" s="36" t="s">
        <v>169</v>
      </c>
      <c r="L2399" t="s">
        <v>69</v>
      </c>
      <c r="M2399" s="62" t="s">
        <v>170</v>
      </c>
      <c r="N2399" t="s">
        <v>71</v>
      </c>
      <c r="O2399" t="str">
        <f>IFERROR(IF(Tbla_actores[[#This Row],[codigo_proyecto]]="","",_xlfn.XLOOKUP(Tbla_actores[[#This Row],[codigo_proyecto]],Proyectos!$A:$A,Proyectos!$C:$C)),"")</f>
        <v>NULOS</v>
      </c>
    </row>
    <row r="2400" spans="1:15">
      <c r="A2400" s="9">
        <v>1032497697</v>
      </c>
      <c r="B2400" s="63" t="s">
        <v>61</v>
      </c>
      <c r="C2400" s="62" t="s">
        <v>6425</v>
      </c>
      <c r="D2400" t="s">
        <v>63</v>
      </c>
      <c r="E2400" t="s">
        <v>7207</v>
      </c>
      <c r="F2400" s="61">
        <v>35774</v>
      </c>
      <c r="G2400" s="15" t="s">
        <v>73</v>
      </c>
      <c r="H2400" t="s">
        <v>7208</v>
      </c>
      <c r="I2400" s="62" t="s">
        <v>7209</v>
      </c>
      <c r="K2400" s="36" t="s">
        <v>169</v>
      </c>
      <c r="L2400" t="s">
        <v>69</v>
      </c>
      <c r="M2400" s="62" t="s">
        <v>170</v>
      </c>
      <c r="N2400" t="s">
        <v>71</v>
      </c>
      <c r="O2400" t="str">
        <f>IFERROR(IF(Tbla_actores[[#This Row],[codigo_proyecto]]="","",_xlfn.XLOOKUP(Tbla_actores[[#This Row],[codigo_proyecto]],Proyectos!$A:$A,Proyectos!$C:$C)),"")</f>
        <v>NULOS</v>
      </c>
    </row>
    <row r="2401" spans="1:15">
      <c r="A2401" s="10">
        <v>1020835247</v>
      </c>
      <c r="B2401" s="64" t="s">
        <v>61</v>
      </c>
      <c r="C2401" s="62" t="s">
        <v>6425</v>
      </c>
      <c r="D2401" t="s">
        <v>63</v>
      </c>
      <c r="E2401" t="s">
        <v>7210</v>
      </c>
      <c r="F2401" s="61">
        <v>36045</v>
      </c>
      <c r="G2401" s="15" t="s">
        <v>65</v>
      </c>
      <c r="H2401" t="s">
        <v>7211</v>
      </c>
      <c r="I2401" s="62" t="s">
        <v>7212</v>
      </c>
      <c r="K2401" s="36" t="s">
        <v>169</v>
      </c>
      <c r="L2401" t="s">
        <v>69</v>
      </c>
      <c r="M2401" s="62" t="s">
        <v>170</v>
      </c>
      <c r="N2401" t="s">
        <v>71</v>
      </c>
      <c r="O2401" t="str">
        <f>IFERROR(IF(Tbla_actores[[#This Row],[codigo_proyecto]]="","",_xlfn.XLOOKUP(Tbla_actores[[#This Row],[codigo_proyecto]],Proyectos!$A:$A,Proyectos!$C:$C)),"")</f>
        <v>NULOS</v>
      </c>
    </row>
    <row r="2402" spans="1:15">
      <c r="A2402" s="9">
        <v>1007493667</v>
      </c>
      <c r="B2402" s="63" t="s">
        <v>61</v>
      </c>
      <c r="C2402" s="62" t="s">
        <v>6425</v>
      </c>
      <c r="D2402" t="s">
        <v>63</v>
      </c>
      <c r="E2402" t="s">
        <v>7213</v>
      </c>
      <c r="F2402" s="61">
        <v>37593</v>
      </c>
      <c r="G2402" s="15" t="s">
        <v>73</v>
      </c>
      <c r="H2402" t="s">
        <v>7214</v>
      </c>
      <c r="I2402" s="62" t="s">
        <v>7215</v>
      </c>
      <c r="K2402" s="36" t="s">
        <v>169</v>
      </c>
      <c r="L2402" t="s">
        <v>69</v>
      </c>
      <c r="M2402" s="62" t="s">
        <v>170</v>
      </c>
      <c r="N2402" t="s">
        <v>71</v>
      </c>
      <c r="O2402" t="str">
        <f>IFERROR(IF(Tbla_actores[[#This Row],[codigo_proyecto]]="","",_xlfn.XLOOKUP(Tbla_actores[[#This Row],[codigo_proyecto]],Proyectos!$A:$A,Proyectos!$C:$C)),"")</f>
        <v>NULOS</v>
      </c>
    </row>
    <row r="2403" spans="1:15">
      <c r="A2403" s="10">
        <v>1101260188</v>
      </c>
      <c r="B2403" s="64" t="s">
        <v>61</v>
      </c>
      <c r="C2403" s="62" t="s">
        <v>6425</v>
      </c>
      <c r="D2403" t="s">
        <v>63</v>
      </c>
      <c r="E2403" t="s">
        <v>7216</v>
      </c>
      <c r="F2403" s="61">
        <v>38123</v>
      </c>
      <c r="G2403" s="15" t="s">
        <v>65</v>
      </c>
      <c r="H2403" t="s">
        <v>7217</v>
      </c>
      <c r="I2403" s="62" t="s">
        <v>7218</v>
      </c>
      <c r="K2403" s="36" t="s">
        <v>169</v>
      </c>
      <c r="L2403" t="s">
        <v>69</v>
      </c>
      <c r="M2403" s="62" t="s">
        <v>170</v>
      </c>
      <c r="N2403" t="s">
        <v>71</v>
      </c>
      <c r="O2403" t="str">
        <f>IFERROR(IF(Tbla_actores[[#This Row],[codigo_proyecto]]="","",_xlfn.XLOOKUP(Tbla_actores[[#This Row],[codigo_proyecto]],Proyectos!$A:$A,Proyectos!$C:$C)),"")</f>
        <v>NULOS</v>
      </c>
    </row>
    <row r="2404" spans="1:15">
      <c r="A2404" s="9">
        <v>1006873547</v>
      </c>
      <c r="B2404" s="63" t="s">
        <v>61</v>
      </c>
      <c r="C2404" s="62" t="s">
        <v>6425</v>
      </c>
      <c r="D2404" t="s">
        <v>63</v>
      </c>
      <c r="E2404" t="s">
        <v>7219</v>
      </c>
      <c r="F2404" s="61">
        <v>37669</v>
      </c>
      <c r="G2404" s="15" t="s">
        <v>73</v>
      </c>
      <c r="H2404" t="s">
        <v>7220</v>
      </c>
      <c r="I2404" s="62" t="s">
        <v>7221</v>
      </c>
      <c r="K2404" s="36" t="s">
        <v>169</v>
      </c>
      <c r="L2404" t="s">
        <v>69</v>
      </c>
      <c r="M2404" s="62" t="s">
        <v>170</v>
      </c>
      <c r="N2404" t="s">
        <v>71</v>
      </c>
      <c r="O2404" t="str">
        <f>IFERROR(IF(Tbla_actores[[#This Row],[codigo_proyecto]]="","",_xlfn.XLOOKUP(Tbla_actores[[#This Row],[codigo_proyecto]],Proyectos!$A:$A,Proyectos!$C:$C)),"")</f>
        <v>NULOS</v>
      </c>
    </row>
    <row r="2405" spans="1:15">
      <c r="A2405" s="10">
        <v>1004810552</v>
      </c>
      <c r="B2405" s="64" t="s">
        <v>61</v>
      </c>
      <c r="C2405" s="62" t="s">
        <v>6425</v>
      </c>
      <c r="D2405" t="s">
        <v>63</v>
      </c>
      <c r="E2405" t="s">
        <v>7222</v>
      </c>
      <c r="F2405" s="61">
        <v>37796</v>
      </c>
      <c r="G2405" s="15" t="s">
        <v>73</v>
      </c>
      <c r="H2405" t="s">
        <v>7223</v>
      </c>
      <c r="I2405" s="62" t="s">
        <v>7224</v>
      </c>
      <c r="K2405" s="36" t="s">
        <v>169</v>
      </c>
      <c r="L2405" t="s">
        <v>69</v>
      </c>
      <c r="M2405" s="62" t="s">
        <v>170</v>
      </c>
      <c r="N2405" t="s">
        <v>71</v>
      </c>
      <c r="O2405" t="str">
        <f>IFERROR(IF(Tbla_actores[[#This Row],[codigo_proyecto]]="","",_xlfn.XLOOKUP(Tbla_actores[[#This Row],[codigo_proyecto]],Proyectos!$A:$A,Proyectos!$C:$C)),"")</f>
        <v>NULOS</v>
      </c>
    </row>
    <row r="2406" spans="1:15">
      <c r="A2406" s="9">
        <v>1001065723</v>
      </c>
      <c r="B2406" s="63" t="s">
        <v>61</v>
      </c>
      <c r="C2406" s="62" t="s">
        <v>6425</v>
      </c>
      <c r="D2406" t="s">
        <v>63</v>
      </c>
      <c r="E2406" t="s">
        <v>7225</v>
      </c>
      <c r="F2406" s="61">
        <v>37828</v>
      </c>
      <c r="G2406" s="15" t="s">
        <v>65</v>
      </c>
      <c r="H2406" t="s">
        <v>7226</v>
      </c>
      <c r="I2406" s="62" t="s">
        <v>7227</v>
      </c>
      <c r="K2406" s="36" t="s">
        <v>169</v>
      </c>
      <c r="L2406" t="s">
        <v>69</v>
      </c>
      <c r="M2406" s="62" t="s">
        <v>170</v>
      </c>
      <c r="N2406" t="s">
        <v>71</v>
      </c>
      <c r="O2406" t="str">
        <f>IFERROR(IF(Tbla_actores[[#This Row],[codigo_proyecto]]="","",_xlfn.XLOOKUP(Tbla_actores[[#This Row],[codigo_proyecto]],Proyectos!$A:$A,Proyectos!$C:$C)),"")</f>
        <v>NULOS</v>
      </c>
    </row>
    <row r="2407" spans="1:15">
      <c r="A2407" s="10">
        <v>1000226058</v>
      </c>
      <c r="B2407" s="64" t="s">
        <v>61</v>
      </c>
      <c r="C2407" s="62" t="s">
        <v>6425</v>
      </c>
      <c r="D2407" t="s">
        <v>63</v>
      </c>
      <c r="E2407" t="s">
        <v>7228</v>
      </c>
      <c r="F2407" s="61">
        <v>37563</v>
      </c>
      <c r="G2407" s="15" t="s">
        <v>73</v>
      </c>
      <c r="H2407" t="s">
        <v>7229</v>
      </c>
      <c r="I2407" s="62" t="s">
        <v>7230</v>
      </c>
      <c r="K2407" s="36" t="s">
        <v>169</v>
      </c>
      <c r="L2407" t="s">
        <v>69</v>
      </c>
      <c r="M2407" s="62" t="s">
        <v>170</v>
      </c>
      <c r="N2407" t="s">
        <v>71</v>
      </c>
      <c r="O2407" t="str">
        <f>IFERROR(IF(Tbla_actores[[#This Row],[codigo_proyecto]]="","",_xlfn.XLOOKUP(Tbla_actores[[#This Row],[codigo_proyecto]],Proyectos!$A:$A,Proyectos!$C:$C)),"")</f>
        <v>NULOS</v>
      </c>
    </row>
    <row r="2408" spans="1:15">
      <c r="A2408" s="9">
        <v>1010037341</v>
      </c>
      <c r="B2408" s="63" t="s">
        <v>61</v>
      </c>
      <c r="C2408" s="62" t="s">
        <v>6425</v>
      </c>
      <c r="D2408" t="s">
        <v>63</v>
      </c>
      <c r="E2408" t="s">
        <v>7231</v>
      </c>
      <c r="F2408" s="61">
        <v>36802</v>
      </c>
      <c r="G2408" s="15" t="s">
        <v>65</v>
      </c>
      <c r="H2408" t="s">
        <v>4215</v>
      </c>
      <c r="I2408" s="62" t="s">
        <v>4216</v>
      </c>
      <c r="K2408" s="36" t="s">
        <v>169</v>
      </c>
      <c r="L2408" t="s">
        <v>69</v>
      </c>
      <c r="M2408" s="62" t="s">
        <v>70</v>
      </c>
      <c r="N2408" t="s">
        <v>71</v>
      </c>
      <c r="O2408" t="str">
        <f>IFERROR(IF(Tbla_actores[[#This Row],[codigo_proyecto]]="","",_xlfn.XLOOKUP(Tbla_actores[[#This Row],[codigo_proyecto]],Proyectos!$A:$A,Proyectos!$C:$C)),"")</f>
        <v>NULOS</v>
      </c>
    </row>
    <row r="2409" spans="1:15">
      <c r="A2409" s="10">
        <v>1023082324</v>
      </c>
      <c r="B2409" s="64" t="s">
        <v>61</v>
      </c>
      <c r="C2409" s="62" t="s">
        <v>6425</v>
      </c>
      <c r="D2409" t="s">
        <v>63</v>
      </c>
      <c r="E2409" t="s">
        <v>7232</v>
      </c>
      <c r="F2409" s="61">
        <v>38093</v>
      </c>
      <c r="G2409" s="15" t="s">
        <v>73</v>
      </c>
      <c r="H2409" t="s">
        <v>7233</v>
      </c>
      <c r="I2409" s="62" t="s">
        <v>7234</v>
      </c>
      <c r="K2409" s="36" t="s">
        <v>169</v>
      </c>
      <c r="L2409" t="s">
        <v>69</v>
      </c>
      <c r="M2409" s="62" t="s">
        <v>170</v>
      </c>
      <c r="N2409" t="s">
        <v>71</v>
      </c>
      <c r="O2409" t="str">
        <f>IFERROR(IF(Tbla_actores[[#This Row],[codigo_proyecto]]="","",_xlfn.XLOOKUP(Tbla_actores[[#This Row],[codigo_proyecto]],Proyectos!$A:$A,Proyectos!$C:$C)),"")</f>
        <v>NULOS</v>
      </c>
    </row>
    <row r="2410" spans="1:15">
      <c r="A2410" s="9">
        <v>1001168472</v>
      </c>
      <c r="B2410" s="63" t="s">
        <v>61</v>
      </c>
      <c r="C2410" s="62" t="s">
        <v>6425</v>
      </c>
      <c r="D2410" t="s">
        <v>63</v>
      </c>
      <c r="E2410" t="s">
        <v>7235</v>
      </c>
      <c r="F2410" s="61">
        <v>37245</v>
      </c>
      <c r="G2410" s="15" t="s">
        <v>65</v>
      </c>
      <c r="H2410" t="s">
        <v>7236</v>
      </c>
      <c r="I2410" s="62" t="s">
        <v>7237</v>
      </c>
      <c r="K2410" s="36" t="s">
        <v>169</v>
      </c>
      <c r="L2410" t="s">
        <v>69</v>
      </c>
      <c r="M2410" s="62" t="s">
        <v>170</v>
      </c>
      <c r="N2410" t="s">
        <v>71</v>
      </c>
      <c r="O2410" t="str">
        <f>IFERROR(IF(Tbla_actores[[#This Row],[codigo_proyecto]]="","",_xlfn.XLOOKUP(Tbla_actores[[#This Row],[codigo_proyecto]],Proyectos!$A:$A,Proyectos!$C:$C)),"")</f>
        <v>NULOS</v>
      </c>
    </row>
    <row r="2411" spans="1:15">
      <c r="A2411" s="10">
        <v>1005012167</v>
      </c>
      <c r="B2411" s="64" t="s">
        <v>61</v>
      </c>
      <c r="C2411" s="62" t="s">
        <v>6425</v>
      </c>
      <c r="D2411" t="s">
        <v>63</v>
      </c>
      <c r="E2411" t="s">
        <v>7238</v>
      </c>
      <c r="F2411" s="61">
        <v>37391</v>
      </c>
      <c r="G2411" s="15" t="s">
        <v>65</v>
      </c>
      <c r="H2411" t="s">
        <v>7239</v>
      </c>
      <c r="I2411" s="62" t="s">
        <v>7240</v>
      </c>
      <c r="K2411" s="36" t="s">
        <v>169</v>
      </c>
      <c r="L2411" t="s">
        <v>69</v>
      </c>
      <c r="M2411" s="62" t="s">
        <v>170</v>
      </c>
      <c r="N2411" t="s">
        <v>71</v>
      </c>
      <c r="O2411" t="str">
        <f>IFERROR(IF(Tbla_actores[[#This Row],[codigo_proyecto]]="","",_xlfn.XLOOKUP(Tbla_actores[[#This Row],[codigo_proyecto]],Proyectos!$A:$A,Proyectos!$C:$C)),"")</f>
        <v>NULOS</v>
      </c>
    </row>
    <row r="2412" spans="1:15">
      <c r="A2412" s="9">
        <v>1000951248</v>
      </c>
      <c r="B2412" s="63" t="s">
        <v>61</v>
      </c>
      <c r="C2412" s="62" t="s">
        <v>6425</v>
      </c>
      <c r="D2412" t="s">
        <v>63</v>
      </c>
      <c r="E2412" t="s">
        <v>7241</v>
      </c>
      <c r="F2412" s="61">
        <v>37373</v>
      </c>
      <c r="G2412" s="15" t="s">
        <v>73</v>
      </c>
      <c r="H2412" t="s">
        <v>7242</v>
      </c>
      <c r="I2412" s="62" t="s">
        <v>7243</v>
      </c>
      <c r="K2412" s="36" t="s">
        <v>169</v>
      </c>
      <c r="L2412" t="s">
        <v>69</v>
      </c>
      <c r="M2412" s="62" t="s">
        <v>170</v>
      </c>
      <c r="N2412" t="s">
        <v>71</v>
      </c>
      <c r="O2412" t="str">
        <f>IFERROR(IF(Tbla_actores[[#This Row],[codigo_proyecto]]="","",_xlfn.XLOOKUP(Tbla_actores[[#This Row],[codigo_proyecto]],Proyectos!$A:$A,Proyectos!$C:$C)),"")</f>
        <v>NULOS</v>
      </c>
    </row>
    <row r="2413" spans="1:15">
      <c r="A2413" s="10">
        <v>1000832769</v>
      </c>
      <c r="B2413" s="64" t="s">
        <v>61</v>
      </c>
      <c r="C2413" s="62" t="s">
        <v>6425</v>
      </c>
      <c r="D2413" t="s">
        <v>63</v>
      </c>
      <c r="E2413" t="s">
        <v>7244</v>
      </c>
      <c r="F2413" s="61">
        <v>36660</v>
      </c>
      <c r="G2413" s="15" t="s">
        <v>73</v>
      </c>
      <c r="H2413" t="s">
        <v>7245</v>
      </c>
      <c r="I2413" s="62" t="s">
        <v>7246</v>
      </c>
      <c r="K2413" s="36" t="s">
        <v>169</v>
      </c>
      <c r="L2413" t="s">
        <v>69</v>
      </c>
      <c r="M2413" s="62" t="s">
        <v>170</v>
      </c>
      <c r="N2413" t="s">
        <v>71</v>
      </c>
      <c r="O2413" t="str">
        <f>IFERROR(IF(Tbla_actores[[#This Row],[codigo_proyecto]]="","",_xlfn.XLOOKUP(Tbla_actores[[#This Row],[codigo_proyecto]],Proyectos!$A:$A,Proyectos!$C:$C)),"")</f>
        <v>NULOS</v>
      </c>
    </row>
    <row r="2414" spans="1:15">
      <c r="A2414" s="9">
        <v>1006874651</v>
      </c>
      <c r="B2414" s="63" t="s">
        <v>61</v>
      </c>
      <c r="C2414" s="62" t="s">
        <v>6425</v>
      </c>
      <c r="D2414" t="s">
        <v>63</v>
      </c>
      <c r="E2414" t="s">
        <v>7247</v>
      </c>
      <c r="F2414" s="61">
        <v>36761</v>
      </c>
      <c r="G2414" s="15" t="s">
        <v>73</v>
      </c>
      <c r="H2414" t="s">
        <v>7248</v>
      </c>
      <c r="I2414" s="62" t="s">
        <v>7249</v>
      </c>
      <c r="K2414" s="36" t="s">
        <v>169</v>
      </c>
      <c r="L2414" t="s">
        <v>69</v>
      </c>
      <c r="M2414" s="62" t="s">
        <v>170</v>
      </c>
      <c r="N2414" t="s">
        <v>71</v>
      </c>
      <c r="O2414" t="str">
        <f>IFERROR(IF(Tbla_actores[[#This Row],[codigo_proyecto]]="","",_xlfn.XLOOKUP(Tbla_actores[[#This Row],[codigo_proyecto]],Proyectos!$A:$A,Proyectos!$C:$C)),"")</f>
        <v>NULOS</v>
      </c>
    </row>
    <row r="2415" spans="1:15">
      <c r="A2415" s="10">
        <v>1000161591</v>
      </c>
      <c r="B2415" s="64" t="s">
        <v>61</v>
      </c>
      <c r="C2415" s="62" t="s">
        <v>6425</v>
      </c>
      <c r="D2415" t="s">
        <v>63</v>
      </c>
      <c r="E2415" t="s">
        <v>7250</v>
      </c>
      <c r="F2415" s="61">
        <v>37678</v>
      </c>
      <c r="G2415" s="15" t="s">
        <v>73</v>
      </c>
      <c r="H2415" t="s">
        <v>7251</v>
      </c>
      <c r="I2415" s="62" t="s">
        <v>7252</v>
      </c>
      <c r="K2415" s="36" t="s">
        <v>169</v>
      </c>
      <c r="L2415" t="s">
        <v>69</v>
      </c>
      <c r="M2415" s="62" t="s">
        <v>170</v>
      </c>
      <c r="N2415" t="s">
        <v>71</v>
      </c>
      <c r="O2415" t="str">
        <f>IFERROR(IF(Tbla_actores[[#This Row],[codigo_proyecto]]="","",_xlfn.XLOOKUP(Tbla_actores[[#This Row],[codigo_proyecto]],Proyectos!$A:$A,Proyectos!$C:$C)),"")</f>
        <v>NULOS</v>
      </c>
    </row>
    <row r="2416" spans="1:15">
      <c r="A2416" s="9">
        <v>1001192974</v>
      </c>
      <c r="B2416" s="63" t="s">
        <v>61</v>
      </c>
      <c r="C2416" s="62" t="s">
        <v>6425</v>
      </c>
      <c r="D2416" t="s">
        <v>63</v>
      </c>
      <c r="E2416" t="s">
        <v>7253</v>
      </c>
      <c r="F2416" s="61">
        <v>37441</v>
      </c>
      <c r="G2416" s="15" t="s">
        <v>65</v>
      </c>
      <c r="H2416" t="s">
        <v>7254</v>
      </c>
      <c r="I2416" s="62" t="s">
        <v>7255</v>
      </c>
      <c r="K2416" s="36" t="s">
        <v>169</v>
      </c>
      <c r="L2416" t="s">
        <v>69</v>
      </c>
      <c r="M2416" s="62" t="s">
        <v>170</v>
      </c>
      <c r="N2416" t="s">
        <v>71</v>
      </c>
      <c r="O2416" t="str">
        <f>IFERROR(IF(Tbla_actores[[#This Row],[codigo_proyecto]]="","",_xlfn.XLOOKUP(Tbla_actores[[#This Row],[codigo_proyecto]],Proyectos!$A:$A,Proyectos!$C:$C)),"")</f>
        <v>NULOS</v>
      </c>
    </row>
    <row r="2417" spans="1:15">
      <c r="A2417" s="10">
        <v>1005182425</v>
      </c>
      <c r="B2417" s="64" t="s">
        <v>61</v>
      </c>
      <c r="C2417" s="62" t="s">
        <v>6425</v>
      </c>
      <c r="D2417" t="s">
        <v>63</v>
      </c>
      <c r="E2417" t="s">
        <v>7256</v>
      </c>
      <c r="F2417" s="61">
        <v>37893</v>
      </c>
      <c r="G2417" s="15" t="s">
        <v>65</v>
      </c>
      <c r="H2417" t="s">
        <v>7257</v>
      </c>
      <c r="I2417" s="62" t="s">
        <v>7258</v>
      </c>
      <c r="K2417" s="36" t="s">
        <v>169</v>
      </c>
      <c r="L2417" t="s">
        <v>69</v>
      </c>
      <c r="M2417" s="62" t="s">
        <v>170</v>
      </c>
      <c r="N2417" t="s">
        <v>71</v>
      </c>
      <c r="O2417" t="str">
        <f>IFERROR(IF(Tbla_actores[[#This Row],[codigo_proyecto]]="","",_xlfn.XLOOKUP(Tbla_actores[[#This Row],[codigo_proyecto]],Proyectos!$A:$A,Proyectos!$C:$C)),"")</f>
        <v>NULOS</v>
      </c>
    </row>
    <row r="2418" spans="1:15">
      <c r="A2418" s="9">
        <v>1193577398</v>
      </c>
      <c r="B2418" s="63" t="s">
        <v>61</v>
      </c>
      <c r="C2418" s="62" t="s">
        <v>6425</v>
      </c>
      <c r="D2418" t="s">
        <v>63</v>
      </c>
      <c r="E2418" t="s">
        <v>7259</v>
      </c>
      <c r="F2418" s="61">
        <v>37635</v>
      </c>
      <c r="G2418" s="15" t="s">
        <v>65</v>
      </c>
      <c r="H2418" t="s">
        <v>7260</v>
      </c>
      <c r="I2418" s="62" t="s">
        <v>7261</v>
      </c>
      <c r="K2418" s="36" t="s">
        <v>169</v>
      </c>
      <c r="L2418" t="s">
        <v>69</v>
      </c>
      <c r="M2418" s="62" t="s">
        <v>170</v>
      </c>
      <c r="N2418" t="s">
        <v>71</v>
      </c>
      <c r="O2418" t="str">
        <f>IFERROR(IF(Tbla_actores[[#This Row],[codigo_proyecto]]="","",_xlfn.XLOOKUP(Tbla_actores[[#This Row],[codigo_proyecto]],Proyectos!$A:$A,Proyectos!$C:$C)),"")</f>
        <v>NULOS</v>
      </c>
    </row>
    <row r="2419" spans="1:15">
      <c r="A2419" s="10">
        <v>1003265208</v>
      </c>
      <c r="B2419" s="64" t="s">
        <v>61</v>
      </c>
      <c r="C2419" s="62" t="s">
        <v>6425</v>
      </c>
      <c r="D2419" t="s">
        <v>63</v>
      </c>
      <c r="E2419" t="s">
        <v>7262</v>
      </c>
      <c r="F2419" s="61">
        <v>36804</v>
      </c>
      <c r="G2419" s="15" t="s">
        <v>73</v>
      </c>
      <c r="H2419" t="s">
        <v>7263</v>
      </c>
      <c r="I2419" s="62" t="s">
        <v>7264</v>
      </c>
      <c r="K2419" s="36" t="s">
        <v>169</v>
      </c>
      <c r="L2419" t="s">
        <v>69</v>
      </c>
      <c r="M2419" s="62" t="s">
        <v>170</v>
      </c>
      <c r="N2419" t="s">
        <v>71</v>
      </c>
      <c r="O2419" t="str">
        <f>IFERROR(IF(Tbla_actores[[#This Row],[codigo_proyecto]]="","",_xlfn.XLOOKUP(Tbla_actores[[#This Row],[codigo_proyecto]],Proyectos!$A:$A,Proyectos!$C:$C)),"")</f>
        <v>NULOS</v>
      </c>
    </row>
    <row r="2420" spans="1:15">
      <c r="A2420" s="9">
        <v>1052416744</v>
      </c>
      <c r="B2420" s="63" t="s">
        <v>61</v>
      </c>
      <c r="C2420" s="62" t="s">
        <v>6425</v>
      </c>
      <c r="D2420" t="s">
        <v>63</v>
      </c>
      <c r="E2420" t="s">
        <v>7265</v>
      </c>
      <c r="F2420" s="61">
        <v>36458</v>
      </c>
      <c r="G2420" s="15" t="s">
        <v>73</v>
      </c>
      <c r="H2420" t="s">
        <v>7266</v>
      </c>
      <c r="I2420" s="62" t="s">
        <v>7267</v>
      </c>
      <c r="K2420" s="36" t="s">
        <v>1489</v>
      </c>
      <c r="L2420" t="s">
        <v>69</v>
      </c>
      <c r="M2420" s="62" t="s">
        <v>70</v>
      </c>
      <c r="N2420" t="s">
        <v>71</v>
      </c>
      <c r="O2420" t="str">
        <f>IFERROR(IF(Tbla_actores[[#This Row],[codigo_proyecto]]="","",_xlfn.XLOOKUP(Tbla_actores[[#This Row],[codigo_proyecto]],Proyectos!$A:$A,Proyectos!$C:$C)),"")</f>
        <v>NULOS</v>
      </c>
    </row>
    <row r="2421" spans="1:15">
      <c r="A2421" s="10">
        <v>164853537</v>
      </c>
      <c r="B2421" s="64" t="s">
        <v>61</v>
      </c>
      <c r="C2421" s="62" t="s">
        <v>6425</v>
      </c>
      <c r="D2421" t="s">
        <v>63</v>
      </c>
      <c r="E2421" t="s">
        <v>7268</v>
      </c>
      <c r="F2421" s="61">
        <v>36686</v>
      </c>
      <c r="G2421" s="15" t="s">
        <v>65</v>
      </c>
      <c r="H2421" t="s">
        <v>7269</v>
      </c>
      <c r="I2421" s="62" t="s">
        <v>7270</v>
      </c>
      <c r="K2421" s="36" t="s">
        <v>6427</v>
      </c>
      <c r="L2421" t="s">
        <v>69</v>
      </c>
      <c r="M2421" s="62" t="s">
        <v>70</v>
      </c>
      <c r="N2421" t="s">
        <v>71</v>
      </c>
      <c r="O2421" t="str">
        <f>IFERROR(IF(Tbla_actores[[#This Row],[codigo_proyecto]]="","",_xlfn.XLOOKUP(Tbla_actores[[#This Row],[codigo_proyecto]],Proyectos!$A:$A,Proyectos!$C:$C)),"")</f>
        <v>NULOS</v>
      </c>
    </row>
    <row r="2422" spans="1:15">
      <c r="A2422" s="9">
        <v>183024800</v>
      </c>
      <c r="B2422" s="63" t="s">
        <v>61</v>
      </c>
      <c r="C2422" s="62" t="s">
        <v>6425</v>
      </c>
      <c r="D2422" t="s">
        <v>63</v>
      </c>
      <c r="E2422" t="s">
        <v>7271</v>
      </c>
      <c r="F2422" s="61">
        <v>36956</v>
      </c>
      <c r="G2422" s="15" t="s">
        <v>73</v>
      </c>
      <c r="H2422" t="s">
        <v>7272</v>
      </c>
      <c r="I2422" s="62" t="s">
        <v>7273</v>
      </c>
      <c r="K2422" s="36" t="s">
        <v>68</v>
      </c>
      <c r="L2422" t="s">
        <v>69</v>
      </c>
      <c r="M2422" s="62" t="s">
        <v>70</v>
      </c>
      <c r="N2422" t="s">
        <v>71</v>
      </c>
      <c r="O2422" t="str">
        <f>IFERROR(IF(Tbla_actores[[#This Row],[codigo_proyecto]]="","",_xlfn.XLOOKUP(Tbla_actores[[#This Row],[codigo_proyecto]],Proyectos!$A:$A,Proyectos!$C:$C)),"")</f>
        <v>NULOS</v>
      </c>
    </row>
    <row r="2423" spans="1:15">
      <c r="A2423" s="10">
        <v>1004754414</v>
      </c>
      <c r="B2423" s="64" t="s">
        <v>61</v>
      </c>
      <c r="C2423" s="62" t="s">
        <v>7274</v>
      </c>
      <c r="D2423" t="s">
        <v>63</v>
      </c>
      <c r="E2423" t="s">
        <v>7275</v>
      </c>
      <c r="F2423" s="61">
        <v>37160</v>
      </c>
      <c r="G2423" s="15" t="s">
        <v>65</v>
      </c>
      <c r="H2423" t="s">
        <v>7276</v>
      </c>
      <c r="I2423" s="62" t="s">
        <v>7277</v>
      </c>
      <c r="K2423" s="36" t="s">
        <v>6427</v>
      </c>
      <c r="L2423" t="s">
        <v>69</v>
      </c>
      <c r="M2423" s="62" t="s">
        <v>70</v>
      </c>
      <c r="N2423" t="s">
        <v>71</v>
      </c>
      <c r="O2423" t="str">
        <f>IFERROR(IF(Tbla_actores[[#This Row],[codigo_proyecto]]="","",_xlfn.XLOOKUP(Tbla_actores[[#This Row],[codigo_proyecto]],Proyectos!$A:$A,Proyectos!$C:$C)),"")</f>
        <v>NULOS</v>
      </c>
    </row>
    <row r="2424" spans="1:15">
      <c r="A2424" s="9">
        <v>1019138837</v>
      </c>
      <c r="B2424" s="63" t="s">
        <v>61</v>
      </c>
      <c r="C2424" s="62" t="s">
        <v>7274</v>
      </c>
      <c r="D2424" t="s">
        <v>63</v>
      </c>
      <c r="E2424" t="s">
        <v>7278</v>
      </c>
      <c r="F2424" s="61">
        <v>35773</v>
      </c>
      <c r="G2424" s="15" t="s">
        <v>73</v>
      </c>
      <c r="H2424" t="s">
        <v>7279</v>
      </c>
      <c r="I2424" s="62" t="s">
        <v>7280</v>
      </c>
      <c r="K2424" s="36" t="s">
        <v>6427</v>
      </c>
      <c r="L2424" t="s">
        <v>69</v>
      </c>
      <c r="M2424" s="62" t="s">
        <v>70</v>
      </c>
      <c r="N2424" t="s">
        <v>71</v>
      </c>
      <c r="O2424" t="str">
        <f>IFERROR(IF(Tbla_actores[[#This Row],[codigo_proyecto]]="","",_xlfn.XLOOKUP(Tbla_actores[[#This Row],[codigo_proyecto]],Proyectos!$A:$A,Proyectos!$C:$C)),"")</f>
        <v>NULOS</v>
      </c>
    </row>
    <row r="2425" spans="1:15">
      <c r="A2425" s="10">
        <v>1000076451</v>
      </c>
      <c r="B2425" s="64" t="s">
        <v>61</v>
      </c>
      <c r="C2425" s="62" t="s">
        <v>7274</v>
      </c>
      <c r="D2425" t="s">
        <v>63</v>
      </c>
      <c r="E2425" t="s">
        <v>7281</v>
      </c>
      <c r="F2425" s="61">
        <v>36629</v>
      </c>
      <c r="G2425" s="15" t="s">
        <v>73</v>
      </c>
      <c r="H2425" t="s">
        <v>7282</v>
      </c>
      <c r="I2425" s="62" t="s">
        <v>7283</v>
      </c>
      <c r="K2425" s="36" t="s">
        <v>7284</v>
      </c>
      <c r="L2425" t="s">
        <v>69</v>
      </c>
      <c r="M2425" s="62" t="s">
        <v>70</v>
      </c>
      <c r="N2425" t="s">
        <v>71</v>
      </c>
      <c r="O2425" t="str">
        <f>IFERROR(IF(Tbla_actores[[#This Row],[codigo_proyecto]]="","",_xlfn.XLOOKUP(Tbla_actores[[#This Row],[codigo_proyecto]],Proyectos!$A:$A,Proyectos!$C:$C)),"")</f>
        <v>NULOS</v>
      </c>
    </row>
    <row r="2426" spans="1:15">
      <c r="A2426" s="9">
        <v>455941</v>
      </c>
      <c r="B2426" s="63" t="s">
        <v>61</v>
      </c>
      <c r="C2426" s="62" t="s">
        <v>7274</v>
      </c>
      <c r="D2426" t="s">
        <v>63</v>
      </c>
      <c r="E2426" t="s">
        <v>7285</v>
      </c>
      <c r="F2426" s="61">
        <v>37184</v>
      </c>
      <c r="G2426" s="15" t="s">
        <v>65</v>
      </c>
      <c r="H2426" t="s">
        <v>7286</v>
      </c>
      <c r="I2426" s="62" t="s">
        <v>7287</v>
      </c>
      <c r="K2426" s="36" t="s">
        <v>6427</v>
      </c>
      <c r="L2426" t="s">
        <v>69</v>
      </c>
      <c r="M2426" s="62" t="s">
        <v>70</v>
      </c>
      <c r="N2426" t="s">
        <v>71</v>
      </c>
      <c r="O2426" t="str">
        <f>IFERROR(IF(Tbla_actores[[#This Row],[codigo_proyecto]]="","",_xlfn.XLOOKUP(Tbla_actores[[#This Row],[codigo_proyecto]],Proyectos!$A:$A,Proyectos!$C:$C)),"")</f>
        <v>NULOS</v>
      </c>
    </row>
    <row r="2427" spans="1:15">
      <c r="A2427" s="10">
        <v>1007794922</v>
      </c>
      <c r="B2427" s="64" t="s">
        <v>61</v>
      </c>
      <c r="C2427" s="62" t="s">
        <v>5575</v>
      </c>
      <c r="D2427" t="s">
        <v>63</v>
      </c>
      <c r="E2427" t="s">
        <v>7288</v>
      </c>
      <c r="F2427" s="61">
        <v>36701</v>
      </c>
      <c r="G2427" s="15" t="s">
        <v>73</v>
      </c>
      <c r="H2427" t="s">
        <v>7289</v>
      </c>
      <c r="I2427" s="62" t="s">
        <v>7290</v>
      </c>
      <c r="K2427" s="36" t="s">
        <v>1489</v>
      </c>
      <c r="L2427" t="s">
        <v>69</v>
      </c>
      <c r="M2427" s="62" t="s">
        <v>70</v>
      </c>
      <c r="N2427" t="s">
        <v>71</v>
      </c>
      <c r="O2427" t="str">
        <f>IFERROR(IF(Tbla_actores[[#This Row],[codigo_proyecto]]="","",_xlfn.XLOOKUP(Tbla_actores[[#This Row],[codigo_proyecto]],Proyectos!$A:$A,Proyectos!$C:$C)),"")</f>
        <v>NULOS</v>
      </c>
    </row>
    <row r="2428" spans="1:15">
      <c r="A2428" s="9">
        <v>1000834737</v>
      </c>
      <c r="B2428" s="63" t="s">
        <v>61</v>
      </c>
      <c r="C2428" s="62" t="s">
        <v>7274</v>
      </c>
      <c r="D2428" t="s">
        <v>63</v>
      </c>
      <c r="E2428" t="s">
        <v>7291</v>
      </c>
      <c r="F2428" s="61">
        <v>37014</v>
      </c>
      <c r="G2428" s="15" t="s">
        <v>73</v>
      </c>
      <c r="H2428" t="s">
        <v>7292</v>
      </c>
      <c r="I2428" s="62" t="s">
        <v>7293</v>
      </c>
      <c r="K2428" s="36" t="s">
        <v>1489</v>
      </c>
      <c r="L2428" t="s">
        <v>69</v>
      </c>
      <c r="M2428" s="62" t="s">
        <v>70</v>
      </c>
      <c r="N2428" t="s">
        <v>71</v>
      </c>
      <c r="O2428" t="str">
        <f>IFERROR(IF(Tbla_actores[[#This Row],[codigo_proyecto]]="","",_xlfn.XLOOKUP(Tbla_actores[[#This Row],[codigo_proyecto]],Proyectos!$A:$A,Proyectos!$C:$C)),"")</f>
        <v>NULOS</v>
      </c>
    </row>
    <row r="2429" spans="1:15">
      <c r="A2429" s="10">
        <v>1010028528</v>
      </c>
      <c r="B2429" s="64" t="s">
        <v>61</v>
      </c>
      <c r="C2429" s="62" t="s">
        <v>6425</v>
      </c>
      <c r="D2429" t="s">
        <v>63</v>
      </c>
      <c r="E2429" t="s">
        <v>7294</v>
      </c>
      <c r="F2429" s="61">
        <v>36531</v>
      </c>
      <c r="G2429" s="15" t="s">
        <v>73</v>
      </c>
      <c r="H2429" t="s">
        <v>7295</v>
      </c>
      <c r="I2429" s="62" t="s">
        <v>7296</v>
      </c>
      <c r="K2429" s="36" t="s">
        <v>1489</v>
      </c>
      <c r="L2429" t="s">
        <v>69</v>
      </c>
      <c r="M2429" s="62" t="s">
        <v>70</v>
      </c>
      <c r="N2429" t="s">
        <v>71</v>
      </c>
      <c r="O2429" t="str">
        <f>IFERROR(IF(Tbla_actores[[#This Row],[codigo_proyecto]]="","",_xlfn.XLOOKUP(Tbla_actores[[#This Row],[codigo_proyecto]],Proyectos!$A:$A,Proyectos!$C:$C)),"")</f>
        <v>NULOS</v>
      </c>
    </row>
    <row r="2430" spans="1:15">
      <c r="A2430" s="9">
        <v>1010032718</v>
      </c>
      <c r="B2430" s="63" t="s">
        <v>61</v>
      </c>
      <c r="C2430" s="62" t="s">
        <v>7274</v>
      </c>
      <c r="D2430" t="s">
        <v>63</v>
      </c>
      <c r="E2430" t="s">
        <v>7297</v>
      </c>
      <c r="F2430" s="61">
        <v>36837</v>
      </c>
      <c r="G2430" s="15" t="s">
        <v>73</v>
      </c>
      <c r="H2430" t="s">
        <v>7298</v>
      </c>
      <c r="I2430" s="62" t="s">
        <v>7299</v>
      </c>
      <c r="K2430" s="36" t="s">
        <v>1489</v>
      </c>
      <c r="L2430" t="s">
        <v>69</v>
      </c>
      <c r="M2430" s="62" t="s">
        <v>70</v>
      </c>
      <c r="N2430" t="s">
        <v>71</v>
      </c>
      <c r="O2430" t="str">
        <f>IFERROR(IF(Tbla_actores[[#This Row],[codigo_proyecto]]="","",_xlfn.XLOOKUP(Tbla_actores[[#This Row],[codigo_proyecto]],Proyectos!$A:$A,Proyectos!$C:$C)),"")</f>
        <v>NULOS</v>
      </c>
    </row>
    <row r="2431" spans="1:15">
      <c r="A2431" s="10">
        <v>1020834231</v>
      </c>
      <c r="B2431" s="64" t="s">
        <v>61</v>
      </c>
      <c r="C2431" s="62" t="s">
        <v>7274</v>
      </c>
      <c r="D2431" t="s">
        <v>63</v>
      </c>
      <c r="E2431" t="s">
        <v>7300</v>
      </c>
      <c r="F2431" s="61">
        <v>35993</v>
      </c>
      <c r="G2431" s="15" t="s">
        <v>73</v>
      </c>
      <c r="H2431" t="s">
        <v>7301</v>
      </c>
      <c r="I2431" s="62" t="s">
        <v>7302</v>
      </c>
      <c r="K2431" s="36" t="s">
        <v>1489</v>
      </c>
      <c r="L2431" t="s">
        <v>69</v>
      </c>
      <c r="M2431" s="62" t="s">
        <v>70</v>
      </c>
      <c r="N2431" t="s">
        <v>71</v>
      </c>
      <c r="O2431" t="str">
        <f>IFERROR(IF(Tbla_actores[[#This Row],[codigo_proyecto]]="","",_xlfn.XLOOKUP(Tbla_actores[[#This Row],[codigo_proyecto]],Proyectos!$A:$A,Proyectos!$C:$C)),"")</f>
        <v>NULOS</v>
      </c>
    </row>
    <row r="2432" spans="1:15">
      <c r="A2432" s="9">
        <v>1007290453</v>
      </c>
      <c r="B2432" s="63" t="s">
        <v>61</v>
      </c>
      <c r="C2432" s="62" t="s">
        <v>7274</v>
      </c>
      <c r="D2432" t="s">
        <v>63</v>
      </c>
      <c r="E2432" t="s">
        <v>7303</v>
      </c>
      <c r="F2432" s="61">
        <v>36959</v>
      </c>
      <c r="G2432" s="15" t="s">
        <v>73</v>
      </c>
      <c r="H2432" t="s">
        <v>7304</v>
      </c>
      <c r="I2432" s="62" t="s">
        <v>7305</v>
      </c>
      <c r="K2432" s="36" t="s">
        <v>1489</v>
      </c>
      <c r="L2432" t="s">
        <v>69</v>
      </c>
      <c r="M2432" s="62" t="s">
        <v>70</v>
      </c>
      <c r="N2432" t="s">
        <v>71</v>
      </c>
      <c r="O2432" t="str">
        <f>IFERROR(IF(Tbla_actores[[#This Row],[codigo_proyecto]]="","",_xlfn.XLOOKUP(Tbla_actores[[#This Row],[codigo_proyecto]],Proyectos!$A:$A,Proyectos!$C:$C)),"")</f>
        <v>NULOS</v>
      </c>
    </row>
    <row r="2433" spans="1:15">
      <c r="A2433" s="10">
        <v>1192758320</v>
      </c>
      <c r="B2433" s="64" t="s">
        <v>61</v>
      </c>
      <c r="C2433" s="62" t="s">
        <v>7274</v>
      </c>
      <c r="D2433" t="s">
        <v>63</v>
      </c>
      <c r="E2433" t="s">
        <v>7306</v>
      </c>
      <c r="F2433" s="61">
        <v>36604</v>
      </c>
      <c r="G2433" s="15" t="s">
        <v>73</v>
      </c>
      <c r="H2433" t="s">
        <v>7307</v>
      </c>
      <c r="I2433" s="62" t="s">
        <v>7308</v>
      </c>
      <c r="K2433" s="36" t="s">
        <v>1489</v>
      </c>
      <c r="L2433" t="s">
        <v>69</v>
      </c>
      <c r="M2433" s="62" t="s">
        <v>70</v>
      </c>
      <c r="N2433" t="s">
        <v>71</v>
      </c>
      <c r="O2433" t="str">
        <f>IFERROR(IF(Tbla_actores[[#This Row],[codigo_proyecto]]="","",_xlfn.XLOOKUP(Tbla_actores[[#This Row],[codigo_proyecto]],Proyectos!$A:$A,Proyectos!$C:$C)),"")</f>
        <v>NULOS</v>
      </c>
    </row>
    <row r="2434" spans="1:15">
      <c r="A2434" s="9">
        <v>1000851322</v>
      </c>
      <c r="B2434" s="63" t="s">
        <v>61</v>
      </c>
      <c r="C2434" s="62" t="s">
        <v>7274</v>
      </c>
      <c r="D2434" t="s">
        <v>63</v>
      </c>
      <c r="E2434" t="s">
        <v>7309</v>
      </c>
      <c r="F2434" s="61">
        <v>36965</v>
      </c>
      <c r="G2434" s="15" t="s">
        <v>73</v>
      </c>
      <c r="H2434" t="s">
        <v>7310</v>
      </c>
      <c r="I2434" s="62" t="s">
        <v>7311</v>
      </c>
      <c r="K2434" s="36" t="s">
        <v>1489</v>
      </c>
      <c r="L2434" t="s">
        <v>69</v>
      </c>
      <c r="M2434" s="62" t="s">
        <v>70</v>
      </c>
      <c r="N2434" t="s">
        <v>71</v>
      </c>
      <c r="O2434" t="str">
        <f>IFERROR(IF(Tbla_actores[[#This Row],[codigo_proyecto]]="","",_xlfn.XLOOKUP(Tbla_actores[[#This Row],[codigo_proyecto]],Proyectos!$A:$A,Proyectos!$C:$C)),"")</f>
        <v>NULOS</v>
      </c>
    </row>
    <row r="2435" spans="1:15">
      <c r="A2435" s="10">
        <v>1000032990</v>
      </c>
      <c r="B2435" s="64" t="s">
        <v>61</v>
      </c>
      <c r="C2435" s="62" t="s">
        <v>7312</v>
      </c>
      <c r="D2435" t="s">
        <v>63</v>
      </c>
      <c r="E2435" t="s">
        <v>7313</v>
      </c>
      <c r="F2435" s="61">
        <v>36638</v>
      </c>
      <c r="G2435" s="15" t="s">
        <v>73</v>
      </c>
      <c r="H2435" t="s">
        <v>7314</v>
      </c>
      <c r="I2435" s="62" t="s">
        <v>7315</v>
      </c>
      <c r="K2435" s="36" t="s">
        <v>169</v>
      </c>
      <c r="L2435" t="s">
        <v>69</v>
      </c>
      <c r="M2435" s="62" t="s">
        <v>170</v>
      </c>
      <c r="N2435" t="s">
        <v>71</v>
      </c>
      <c r="O2435" t="str">
        <f>IFERROR(IF(Tbla_actores[[#This Row],[codigo_proyecto]]="","",_xlfn.XLOOKUP(Tbla_actores[[#This Row],[codigo_proyecto]],Proyectos!$A:$A,Proyectos!$C:$C)),"")</f>
        <v>NULOS</v>
      </c>
    </row>
    <row r="2436" spans="1:15">
      <c r="A2436" s="9">
        <v>1077875616</v>
      </c>
      <c r="B2436" s="63" t="s">
        <v>61</v>
      </c>
      <c r="C2436" s="62" t="s">
        <v>7312</v>
      </c>
      <c r="D2436" t="s">
        <v>63</v>
      </c>
      <c r="E2436" t="s">
        <v>7316</v>
      </c>
      <c r="F2436" s="61">
        <v>35828</v>
      </c>
      <c r="G2436" s="15" t="s">
        <v>73</v>
      </c>
      <c r="H2436" t="s">
        <v>7317</v>
      </c>
      <c r="I2436" s="62" t="s">
        <v>7318</v>
      </c>
      <c r="K2436" s="36" t="s">
        <v>169</v>
      </c>
      <c r="L2436" t="s">
        <v>69</v>
      </c>
      <c r="M2436" s="62" t="s">
        <v>170</v>
      </c>
      <c r="N2436" t="s">
        <v>71</v>
      </c>
      <c r="O2436" t="str">
        <f>IFERROR(IF(Tbla_actores[[#This Row],[codigo_proyecto]]="","",_xlfn.XLOOKUP(Tbla_actores[[#This Row],[codigo_proyecto]],Proyectos!$A:$A,Proyectos!$C:$C)),"")</f>
        <v>NULOS</v>
      </c>
    </row>
    <row r="2437" spans="1:15">
      <c r="A2437" s="10">
        <v>1032507497</v>
      </c>
      <c r="B2437" s="64" t="s">
        <v>61</v>
      </c>
      <c r="C2437" s="62" t="s">
        <v>7312</v>
      </c>
      <c r="D2437" t="s">
        <v>63</v>
      </c>
      <c r="E2437" t="s">
        <v>7319</v>
      </c>
      <c r="F2437" s="61">
        <v>36436</v>
      </c>
      <c r="G2437" s="15" t="s">
        <v>65</v>
      </c>
      <c r="H2437" t="s">
        <v>7320</v>
      </c>
      <c r="I2437" s="62" t="s">
        <v>7321</v>
      </c>
      <c r="K2437" s="36" t="s">
        <v>169</v>
      </c>
      <c r="L2437" t="s">
        <v>69</v>
      </c>
      <c r="M2437" s="62" t="s">
        <v>170</v>
      </c>
      <c r="N2437" t="s">
        <v>71</v>
      </c>
      <c r="O2437" t="str">
        <f>IFERROR(IF(Tbla_actores[[#This Row],[codigo_proyecto]]="","",_xlfn.XLOOKUP(Tbla_actores[[#This Row],[codigo_proyecto]],Proyectos!$A:$A,Proyectos!$C:$C)),"")</f>
        <v>NULOS</v>
      </c>
    </row>
    <row r="2438" spans="1:15">
      <c r="A2438" s="9">
        <v>1121963846</v>
      </c>
      <c r="B2438" s="63" t="s">
        <v>61</v>
      </c>
      <c r="C2438" s="62" t="s">
        <v>7312</v>
      </c>
      <c r="D2438" t="s">
        <v>63</v>
      </c>
      <c r="E2438" t="s">
        <v>7322</v>
      </c>
      <c r="F2438" s="61">
        <v>36295</v>
      </c>
      <c r="G2438" s="15" t="s">
        <v>65</v>
      </c>
      <c r="H2438" t="s">
        <v>7323</v>
      </c>
      <c r="I2438" s="62" t="s">
        <v>7324</v>
      </c>
      <c r="K2438" s="36" t="s">
        <v>169</v>
      </c>
      <c r="L2438" t="s">
        <v>69</v>
      </c>
      <c r="M2438" s="62" t="s">
        <v>170</v>
      </c>
      <c r="N2438" t="s">
        <v>71</v>
      </c>
      <c r="O2438" t="str">
        <f>IFERROR(IF(Tbla_actores[[#This Row],[codigo_proyecto]]="","",_xlfn.XLOOKUP(Tbla_actores[[#This Row],[codigo_proyecto]],Proyectos!$A:$A,Proyectos!$C:$C)),"")</f>
        <v>NULOS</v>
      </c>
    </row>
    <row r="2439" spans="1:15">
      <c r="A2439" s="10">
        <v>1193216751</v>
      </c>
      <c r="B2439" s="64" t="s">
        <v>61</v>
      </c>
      <c r="C2439" s="62" t="s">
        <v>7312</v>
      </c>
      <c r="D2439" t="s">
        <v>63</v>
      </c>
      <c r="E2439" t="s">
        <v>7325</v>
      </c>
      <c r="F2439" s="61">
        <v>37489</v>
      </c>
      <c r="G2439" s="15" t="s">
        <v>73</v>
      </c>
      <c r="H2439" t="s">
        <v>7326</v>
      </c>
      <c r="I2439" s="62" t="s">
        <v>7327</v>
      </c>
      <c r="K2439" s="36" t="s">
        <v>68</v>
      </c>
      <c r="L2439" t="s">
        <v>69</v>
      </c>
      <c r="M2439" s="62" t="s">
        <v>70</v>
      </c>
      <c r="N2439" t="s">
        <v>71</v>
      </c>
      <c r="O2439" t="str">
        <f>IFERROR(IF(Tbla_actores[[#This Row],[codigo_proyecto]]="","",_xlfn.XLOOKUP(Tbla_actores[[#This Row],[codigo_proyecto]],Proyectos!$A:$A,Proyectos!$C:$C)),"")</f>
        <v>NULOS</v>
      </c>
    </row>
    <row r="2440" spans="1:15">
      <c r="A2440" s="9">
        <v>1000285591</v>
      </c>
      <c r="B2440" s="63" t="s">
        <v>61</v>
      </c>
      <c r="C2440" s="62" t="s">
        <v>7312</v>
      </c>
      <c r="D2440" t="s">
        <v>63</v>
      </c>
      <c r="E2440" t="s">
        <v>7328</v>
      </c>
      <c r="F2440" s="61">
        <v>37093</v>
      </c>
      <c r="G2440" s="15" t="s">
        <v>73</v>
      </c>
      <c r="H2440" t="s">
        <v>7329</v>
      </c>
      <c r="I2440" s="62" t="s">
        <v>7330</v>
      </c>
      <c r="K2440" s="36" t="s">
        <v>68</v>
      </c>
      <c r="L2440" t="s">
        <v>69</v>
      </c>
      <c r="M2440" s="62" t="s">
        <v>70</v>
      </c>
      <c r="N2440" t="s">
        <v>71</v>
      </c>
      <c r="O2440" t="str">
        <f>IFERROR(IF(Tbla_actores[[#This Row],[codigo_proyecto]]="","",_xlfn.XLOOKUP(Tbla_actores[[#This Row],[codigo_proyecto]],Proyectos!$A:$A,Proyectos!$C:$C)),"")</f>
        <v>NULOS</v>
      </c>
    </row>
    <row r="2441" spans="1:15">
      <c r="A2441" s="10">
        <v>1001188624</v>
      </c>
      <c r="B2441" s="64" t="s">
        <v>61</v>
      </c>
      <c r="C2441" s="62" t="s">
        <v>7312</v>
      </c>
      <c r="D2441" t="s">
        <v>63</v>
      </c>
      <c r="E2441" t="s">
        <v>7331</v>
      </c>
      <c r="F2441" s="61">
        <v>37033</v>
      </c>
      <c r="G2441" s="15" t="s">
        <v>65</v>
      </c>
      <c r="H2441" t="s">
        <v>7332</v>
      </c>
      <c r="I2441" s="62" t="s">
        <v>7333</v>
      </c>
      <c r="K2441" s="36" t="s">
        <v>1489</v>
      </c>
      <c r="L2441" t="s">
        <v>69</v>
      </c>
      <c r="M2441" s="62" t="s">
        <v>70</v>
      </c>
      <c r="N2441" t="s">
        <v>71</v>
      </c>
      <c r="O2441" t="str">
        <f>IFERROR(IF(Tbla_actores[[#This Row],[codigo_proyecto]]="","",_xlfn.XLOOKUP(Tbla_actores[[#This Row],[codigo_proyecto]],Proyectos!$A:$A,Proyectos!$C:$C)),"")</f>
        <v>NULOS</v>
      </c>
    </row>
    <row r="2442" spans="1:15">
      <c r="A2442" s="9">
        <v>1072670108</v>
      </c>
      <c r="B2442" s="63" t="s">
        <v>61</v>
      </c>
      <c r="C2442" s="62" t="s">
        <v>7312</v>
      </c>
      <c r="D2442" t="s">
        <v>63</v>
      </c>
      <c r="E2442" t="s">
        <v>7334</v>
      </c>
      <c r="F2442" s="61">
        <v>36027</v>
      </c>
      <c r="G2442" s="15" t="s">
        <v>73</v>
      </c>
      <c r="H2442" t="s">
        <v>7335</v>
      </c>
      <c r="I2442" s="62" t="s">
        <v>7336</v>
      </c>
      <c r="K2442" s="36" t="s">
        <v>1489</v>
      </c>
      <c r="L2442" t="s">
        <v>69</v>
      </c>
      <c r="M2442" s="62" t="s">
        <v>70</v>
      </c>
      <c r="N2442" t="s">
        <v>71</v>
      </c>
      <c r="O2442" t="str">
        <f>IFERROR(IF(Tbla_actores[[#This Row],[codigo_proyecto]]="","",_xlfn.XLOOKUP(Tbla_actores[[#This Row],[codigo_proyecto]],Proyectos!$A:$A,Proyectos!$C:$C)),"")</f>
        <v>NULOS</v>
      </c>
    </row>
    <row r="2443" spans="1:15">
      <c r="A2443" s="10">
        <v>1006745601</v>
      </c>
      <c r="B2443" s="64" t="s">
        <v>61</v>
      </c>
      <c r="C2443" s="62" t="s">
        <v>7312</v>
      </c>
      <c r="D2443" t="s">
        <v>63</v>
      </c>
      <c r="E2443" t="s">
        <v>7337</v>
      </c>
      <c r="F2443" s="61">
        <v>37104</v>
      </c>
      <c r="G2443" s="15" t="s">
        <v>65</v>
      </c>
      <c r="H2443" t="s">
        <v>7338</v>
      </c>
      <c r="I2443" s="62" t="s">
        <v>7339</v>
      </c>
      <c r="K2443" s="36" t="s">
        <v>1489</v>
      </c>
      <c r="L2443" t="s">
        <v>69</v>
      </c>
      <c r="M2443" s="62" t="s">
        <v>70</v>
      </c>
      <c r="N2443" t="s">
        <v>71</v>
      </c>
      <c r="O2443" t="str">
        <f>IFERROR(IF(Tbla_actores[[#This Row],[codigo_proyecto]]="","",_xlfn.XLOOKUP(Tbla_actores[[#This Row],[codigo_proyecto]],Proyectos!$A:$A,Proyectos!$C:$C)),"")</f>
        <v>NULOS</v>
      </c>
    </row>
    <row r="2444" spans="1:15">
      <c r="A2444" s="9">
        <v>1000688823</v>
      </c>
      <c r="B2444" s="63" t="s">
        <v>61</v>
      </c>
      <c r="C2444" s="62" t="s">
        <v>7312</v>
      </c>
      <c r="D2444" t="s">
        <v>63</v>
      </c>
      <c r="E2444" t="s">
        <v>7340</v>
      </c>
      <c r="F2444" s="61">
        <v>37781</v>
      </c>
      <c r="G2444" s="15" t="s">
        <v>65</v>
      </c>
      <c r="H2444" t="s">
        <v>7341</v>
      </c>
      <c r="I2444" s="62" t="s">
        <v>7342</v>
      </c>
      <c r="K2444" s="36" t="s">
        <v>495</v>
      </c>
      <c r="L2444" t="s">
        <v>69</v>
      </c>
      <c r="M2444" s="62" t="s">
        <v>70</v>
      </c>
      <c r="N2444" t="s">
        <v>71</v>
      </c>
      <c r="O2444" t="str">
        <f>IFERROR(IF(Tbla_actores[[#This Row],[codigo_proyecto]]="","",_xlfn.XLOOKUP(Tbla_actores[[#This Row],[codigo_proyecto]],Proyectos!$A:$A,Proyectos!$C:$C)),"")</f>
        <v>NULOS</v>
      </c>
    </row>
    <row r="2445" spans="1:15">
      <c r="A2445" s="10">
        <v>1019152635</v>
      </c>
      <c r="B2445" s="64" t="s">
        <v>61</v>
      </c>
      <c r="C2445" s="62" t="s">
        <v>7312</v>
      </c>
      <c r="D2445" t="s">
        <v>63</v>
      </c>
      <c r="E2445" t="s">
        <v>7343</v>
      </c>
      <c r="F2445" s="61">
        <v>36471</v>
      </c>
      <c r="G2445" s="15" t="s">
        <v>65</v>
      </c>
      <c r="H2445" t="s">
        <v>7344</v>
      </c>
      <c r="I2445" s="62" t="s">
        <v>7345</v>
      </c>
      <c r="K2445" s="36" t="s">
        <v>495</v>
      </c>
      <c r="L2445" t="s">
        <v>69</v>
      </c>
      <c r="M2445" s="62" t="s">
        <v>70</v>
      </c>
      <c r="N2445" t="s">
        <v>71</v>
      </c>
      <c r="O2445" t="str">
        <f>IFERROR(IF(Tbla_actores[[#This Row],[codigo_proyecto]]="","",_xlfn.XLOOKUP(Tbla_actores[[#This Row],[codigo_proyecto]],Proyectos!$A:$A,Proyectos!$C:$C)),"")</f>
        <v>NULOS</v>
      </c>
    </row>
    <row r="2446" spans="1:15">
      <c r="A2446" s="9">
        <v>1010079989</v>
      </c>
      <c r="B2446" s="63" t="s">
        <v>61</v>
      </c>
      <c r="C2446" s="62" t="s">
        <v>7312</v>
      </c>
      <c r="D2446" t="s">
        <v>63</v>
      </c>
      <c r="E2446" t="s">
        <v>7346</v>
      </c>
      <c r="F2446" s="61">
        <v>36540</v>
      </c>
      <c r="G2446" s="15" t="s">
        <v>65</v>
      </c>
      <c r="H2446" t="s">
        <v>7347</v>
      </c>
      <c r="I2446" s="62" t="s">
        <v>7348</v>
      </c>
      <c r="K2446" s="36" t="s">
        <v>495</v>
      </c>
      <c r="L2446" t="s">
        <v>69</v>
      </c>
      <c r="M2446" s="62" t="s">
        <v>70</v>
      </c>
      <c r="N2446" t="s">
        <v>71</v>
      </c>
      <c r="O2446" t="str">
        <f>IFERROR(IF(Tbla_actores[[#This Row],[codigo_proyecto]]="","",_xlfn.XLOOKUP(Tbla_actores[[#This Row],[codigo_proyecto]],Proyectos!$A:$A,Proyectos!$C:$C)),"")</f>
        <v>NULOS</v>
      </c>
    </row>
    <row r="2447" spans="1:15">
      <c r="A2447" s="10">
        <v>1005815435</v>
      </c>
      <c r="B2447" s="64" t="s">
        <v>61</v>
      </c>
      <c r="C2447" s="62" t="s">
        <v>7312</v>
      </c>
      <c r="D2447" t="s">
        <v>63</v>
      </c>
      <c r="E2447" t="s">
        <v>7349</v>
      </c>
      <c r="F2447" s="61">
        <v>37286</v>
      </c>
      <c r="G2447" s="15" t="s">
        <v>73</v>
      </c>
      <c r="H2447" t="s">
        <v>7350</v>
      </c>
      <c r="I2447" s="62" t="s">
        <v>7351</v>
      </c>
      <c r="K2447" s="36" t="s">
        <v>495</v>
      </c>
      <c r="L2447" t="s">
        <v>69</v>
      </c>
      <c r="M2447" s="62" t="s">
        <v>70</v>
      </c>
      <c r="N2447" t="s">
        <v>71</v>
      </c>
      <c r="O2447" t="str">
        <f>IFERROR(IF(Tbla_actores[[#This Row],[codigo_proyecto]]="","",_xlfn.XLOOKUP(Tbla_actores[[#This Row],[codigo_proyecto]],Proyectos!$A:$A,Proyectos!$C:$C)),"")</f>
        <v>NULOS</v>
      </c>
    </row>
    <row r="2448" spans="1:15">
      <c r="A2448" s="9">
        <v>1193265497</v>
      </c>
      <c r="B2448" s="63" t="s">
        <v>61</v>
      </c>
      <c r="C2448" s="62" t="s">
        <v>7312</v>
      </c>
      <c r="D2448" t="s">
        <v>63</v>
      </c>
      <c r="E2448" t="s">
        <v>7352</v>
      </c>
      <c r="F2448" s="61">
        <v>37251</v>
      </c>
      <c r="G2448" s="15" t="s">
        <v>73</v>
      </c>
      <c r="H2448" t="s">
        <v>7353</v>
      </c>
      <c r="I2448" s="62" t="s">
        <v>7354</v>
      </c>
      <c r="K2448" s="36" t="s">
        <v>495</v>
      </c>
      <c r="L2448" t="s">
        <v>69</v>
      </c>
      <c r="M2448" s="62" t="s">
        <v>70</v>
      </c>
      <c r="N2448" t="s">
        <v>71</v>
      </c>
      <c r="O2448" t="str">
        <f>IFERROR(IF(Tbla_actores[[#This Row],[codigo_proyecto]]="","",_xlfn.XLOOKUP(Tbla_actores[[#This Row],[codigo_proyecto]],Proyectos!$A:$A,Proyectos!$C:$C)),"")</f>
        <v>NULOS</v>
      </c>
    </row>
    <row r="2449" spans="1:15">
      <c r="A2449" s="10">
        <v>1020812837</v>
      </c>
      <c r="B2449" s="64" t="s">
        <v>61</v>
      </c>
      <c r="C2449" s="62" t="s">
        <v>7312</v>
      </c>
      <c r="D2449" t="s">
        <v>63</v>
      </c>
      <c r="E2449" t="s">
        <v>7355</v>
      </c>
      <c r="F2449" s="61">
        <v>35109</v>
      </c>
      <c r="G2449" s="15" t="s">
        <v>73</v>
      </c>
      <c r="H2449" t="s">
        <v>7356</v>
      </c>
      <c r="I2449" s="62" t="s">
        <v>7357</v>
      </c>
      <c r="K2449" s="36" t="s">
        <v>495</v>
      </c>
      <c r="L2449" t="s">
        <v>69</v>
      </c>
      <c r="M2449" s="62" t="s">
        <v>70</v>
      </c>
      <c r="N2449" t="s">
        <v>71</v>
      </c>
      <c r="O2449" t="str">
        <f>IFERROR(IF(Tbla_actores[[#This Row],[codigo_proyecto]]="","",_xlfn.XLOOKUP(Tbla_actores[[#This Row],[codigo_proyecto]],Proyectos!$A:$A,Proyectos!$C:$C)),"")</f>
        <v>NULOS</v>
      </c>
    </row>
    <row r="2450" spans="1:15">
      <c r="A2450" s="9">
        <v>1007863134</v>
      </c>
      <c r="B2450" s="63" t="s">
        <v>61</v>
      </c>
      <c r="C2450" s="62" t="s">
        <v>7312</v>
      </c>
      <c r="D2450" t="s">
        <v>63</v>
      </c>
      <c r="E2450" t="s">
        <v>7358</v>
      </c>
      <c r="F2450" s="61">
        <v>36783</v>
      </c>
      <c r="G2450" s="15" t="s">
        <v>65</v>
      </c>
      <c r="H2450" t="s">
        <v>7359</v>
      </c>
      <c r="I2450" s="62" t="s">
        <v>7360</v>
      </c>
      <c r="K2450" s="36" t="s">
        <v>495</v>
      </c>
      <c r="L2450" t="s">
        <v>69</v>
      </c>
      <c r="M2450" s="62" t="s">
        <v>70</v>
      </c>
      <c r="N2450" t="s">
        <v>71</v>
      </c>
      <c r="O2450" t="str">
        <f>IFERROR(IF(Tbla_actores[[#This Row],[codigo_proyecto]]="","",_xlfn.XLOOKUP(Tbla_actores[[#This Row],[codigo_proyecto]],Proyectos!$A:$A,Proyectos!$C:$C)),"")</f>
        <v>NULOS</v>
      </c>
    </row>
    <row r="2451" spans="1:15">
      <c r="A2451" s="10">
        <v>1004579155</v>
      </c>
      <c r="B2451" s="64" t="s">
        <v>61</v>
      </c>
      <c r="C2451" s="62" t="s">
        <v>7312</v>
      </c>
      <c r="D2451" t="s">
        <v>63</v>
      </c>
      <c r="E2451" t="s">
        <v>7361</v>
      </c>
      <c r="F2451" s="61">
        <v>37455</v>
      </c>
      <c r="G2451" s="15" t="s">
        <v>73</v>
      </c>
      <c r="H2451" t="s">
        <v>7362</v>
      </c>
      <c r="I2451" s="62" t="s">
        <v>7363</v>
      </c>
      <c r="K2451" s="36" t="s">
        <v>495</v>
      </c>
      <c r="L2451" t="s">
        <v>69</v>
      </c>
      <c r="M2451" s="62" t="s">
        <v>70</v>
      </c>
      <c r="N2451" t="s">
        <v>71</v>
      </c>
      <c r="O2451" t="str">
        <f>IFERROR(IF(Tbla_actores[[#This Row],[codigo_proyecto]]="","",_xlfn.XLOOKUP(Tbla_actores[[#This Row],[codigo_proyecto]],Proyectos!$A:$A,Proyectos!$C:$C)),"")</f>
        <v>NULOS</v>
      </c>
    </row>
    <row r="2452" spans="1:15">
      <c r="A2452" s="9">
        <v>1000590440</v>
      </c>
      <c r="B2452" s="63" t="s">
        <v>61</v>
      </c>
      <c r="C2452" s="62" t="s">
        <v>7312</v>
      </c>
      <c r="D2452" t="s">
        <v>63</v>
      </c>
      <c r="E2452" t="s">
        <v>7364</v>
      </c>
      <c r="F2452" s="61">
        <v>36548</v>
      </c>
      <c r="G2452" s="15" t="s">
        <v>65</v>
      </c>
      <c r="H2452" t="s">
        <v>7365</v>
      </c>
      <c r="I2452" s="62" t="s">
        <v>7366</v>
      </c>
      <c r="K2452" s="36" t="s">
        <v>495</v>
      </c>
      <c r="L2452" t="s">
        <v>69</v>
      </c>
      <c r="M2452" s="62" t="s">
        <v>70</v>
      </c>
      <c r="N2452" t="s">
        <v>71</v>
      </c>
      <c r="O2452" t="str">
        <f>IFERROR(IF(Tbla_actores[[#This Row],[codigo_proyecto]]="","",_xlfn.XLOOKUP(Tbla_actores[[#This Row],[codigo_proyecto]],Proyectos!$A:$A,Proyectos!$C:$C)),"")</f>
        <v>NULOS</v>
      </c>
    </row>
    <row r="2453" spans="1:15">
      <c r="A2453" s="10">
        <v>1007413830</v>
      </c>
      <c r="B2453" s="64" t="s">
        <v>61</v>
      </c>
      <c r="C2453" s="62" t="s">
        <v>7312</v>
      </c>
      <c r="D2453" t="s">
        <v>63</v>
      </c>
      <c r="E2453" t="s">
        <v>7367</v>
      </c>
      <c r="F2453" s="61">
        <v>36712</v>
      </c>
      <c r="G2453" s="15" t="s">
        <v>73</v>
      </c>
      <c r="H2453" t="s">
        <v>7368</v>
      </c>
      <c r="I2453" s="62" t="s">
        <v>7369</v>
      </c>
      <c r="K2453" s="36" t="s">
        <v>495</v>
      </c>
      <c r="L2453" t="s">
        <v>69</v>
      </c>
      <c r="M2453" s="62" t="s">
        <v>70</v>
      </c>
      <c r="N2453" t="s">
        <v>71</v>
      </c>
      <c r="O2453" t="str">
        <f>IFERROR(IF(Tbla_actores[[#This Row],[codigo_proyecto]]="","",_xlfn.XLOOKUP(Tbla_actores[[#This Row],[codigo_proyecto]],Proyectos!$A:$A,Proyectos!$C:$C)),"")</f>
        <v>NULOS</v>
      </c>
    </row>
    <row r="2454" spans="1:15">
      <c r="A2454" s="9">
        <v>1002740685</v>
      </c>
      <c r="B2454" s="63" t="s">
        <v>61</v>
      </c>
      <c r="C2454" s="62" t="s">
        <v>7312</v>
      </c>
      <c r="D2454" t="s">
        <v>63</v>
      </c>
      <c r="E2454" t="s">
        <v>7370</v>
      </c>
      <c r="F2454" s="61">
        <v>37352</v>
      </c>
      <c r="G2454" s="15" t="s">
        <v>65</v>
      </c>
      <c r="H2454" t="s">
        <v>7371</v>
      </c>
      <c r="I2454" s="62" t="s">
        <v>7372</v>
      </c>
      <c r="K2454" s="36" t="s">
        <v>495</v>
      </c>
      <c r="L2454" t="s">
        <v>69</v>
      </c>
      <c r="M2454" s="62" t="s">
        <v>70</v>
      </c>
      <c r="N2454" t="s">
        <v>71</v>
      </c>
      <c r="O2454" t="str">
        <f>IFERROR(IF(Tbla_actores[[#This Row],[codigo_proyecto]]="","",_xlfn.XLOOKUP(Tbla_actores[[#This Row],[codigo_proyecto]],Proyectos!$A:$A,Proyectos!$C:$C)),"")</f>
        <v>NULOS</v>
      </c>
    </row>
    <row r="2455" spans="1:15">
      <c r="A2455" s="10">
        <v>1005716474</v>
      </c>
      <c r="B2455" s="64" t="s">
        <v>61</v>
      </c>
      <c r="C2455" s="62" t="s">
        <v>7312</v>
      </c>
      <c r="D2455" t="s">
        <v>63</v>
      </c>
      <c r="E2455" t="s">
        <v>7373</v>
      </c>
      <c r="F2455" s="61">
        <v>37275</v>
      </c>
      <c r="G2455" s="15" t="s">
        <v>73</v>
      </c>
      <c r="H2455" t="s">
        <v>7374</v>
      </c>
      <c r="I2455" s="62" t="s">
        <v>7375</v>
      </c>
      <c r="K2455" s="36" t="s">
        <v>495</v>
      </c>
      <c r="L2455" t="s">
        <v>69</v>
      </c>
      <c r="M2455" s="62" t="s">
        <v>70</v>
      </c>
      <c r="N2455" t="s">
        <v>71</v>
      </c>
      <c r="O2455" t="str">
        <f>IFERROR(IF(Tbla_actores[[#This Row],[codigo_proyecto]]="","",_xlfn.XLOOKUP(Tbla_actores[[#This Row],[codigo_proyecto]],Proyectos!$A:$A,Proyectos!$C:$C)),"")</f>
        <v>NULOS</v>
      </c>
    </row>
    <row r="2456" spans="1:15">
      <c r="A2456" s="9">
        <v>1193156243</v>
      </c>
      <c r="B2456" s="63" t="s">
        <v>61</v>
      </c>
      <c r="C2456" s="62" t="s">
        <v>7312</v>
      </c>
      <c r="D2456" t="s">
        <v>63</v>
      </c>
      <c r="E2456" t="s">
        <v>7376</v>
      </c>
      <c r="F2456" s="61">
        <v>37015</v>
      </c>
      <c r="G2456" s="15" t="s">
        <v>73</v>
      </c>
      <c r="H2456" t="s">
        <v>7377</v>
      </c>
      <c r="I2456" s="62" t="s">
        <v>7378</v>
      </c>
      <c r="K2456" s="36" t="s">
        <v>495</v>
      </c>
      <c r="L2456" t="s">
        <v>69</v>
      </c>
      <c r="M2456" s="62" t="s">
        <v>70</v>
      </c>
      <c r="N2456" t="s">
        <v>71</v>
      </c>
      <c r="O2456" t="str">
        <f>IFERROR(IF(Tbla_actores[[#This Row],[codigo_proyecto]]="","",_xlfn.XLOOKUP(Tbla_actores[[#This Row],[codigo_proyecto]],Proyectos!$A:$A,Proyectos!$C:$C)),"")</f>
        <v>NULOS</v>
      </c>
    </row>
    <row r="2457" spans="1:15">
      <c r="A2457" s="10">
        <v>1001094285</v>
      </c>
      <c r="B2457" s="64" t="s">
        <v>61</v>
      </c>
      <c r="C2457" s="62" t="s">
        <v>7312</v>
      </c>
      <c r="D2457" t="s">
        <v>63</v>
      </c>
      <c r="E2457" t="s">
        <v>7379</v>
      </c>
      <c r="F2457" s="61">
        <v>37589</v>
      </c>
      <c r="G2457" s="15" t="s">
        <v>65</v>
      </c>
      <c r="H2457" t="s">
        <v>7380</v>
      </c>
      <c r="I2457" s="62" t="s">
        <v>7381</v>
      </c>
      <c r="K2457" s="36" t="s">
        <v>495</v>
      </c>
      <c r="L2457" t="s">
        <v>69</v>
      </c>
      <c r="M2457" s="62" t="s">
        <v>70</v>
      </c>
      <c r="N2457" t="s">
        <v>71</v>
      </c>
      <c r="O2457" t="str">
        <f>IFERROR(IF(Tbla_actores[[#This Row],[codigo_proyecto]]="","",_xlfn.XLOOKUP(Tbla_actores[[#This Row],[codigo_proyecto]],Proyectos!$A:$A,Proyectos!$C:$C)),"")</f>
        <v>NULOS</v>
      </c>
    </row>
    <row r="2458" spans="1:15">
      <c r="A2458" s="9">
        <v>1000076583</v>
      </c>
      <c r="B2458" s="63" t="s">
        <v>61</v>
      </c>
      <c r="C2458" s="62" t="s">
        <v>7312</v>
      </c>
      <c r="D2458" t="s">
        <v>63</v>
      </c>
      <c r="E2458" t="s">
        <v>7382</v>
      </c>
      <c r="F2458" s="61">
        <v>36669</v>
      </c>
      <c r="G2458" s="15" t="s">
        <v>73</v>
      </c>
      <c r="H2458" t="s">
        <v>7383</v>
      </c>
      <c r="I2458" s="62" t="s">
        <v>7384</v>
      </c>
      <c r="K2458" s="36" t="s">
        <v>495</v>
      </c>
      <c r="L2458" t="s">
        <v>69</v>
      </c>
      <c r="M2458" s="62" t="s">
        <v>70</v>
      </c>
      <c r="N2458" t="s">
        <v>71</v>
      </c>
      <c r="O2458" t="str">
        <f>IFERROR(IF(Tbla_actores[[#This Row],[codigo_proyecto]]="","",_xlfn.XLOOKUP(Tbla_actores[[#This Row],[codigo_proyecto]],Proyectos!$A:$A,Proyectos!$C:$C)),"")</f>
        <v>NULOS</v>
      </c>
    </row>
    <row r="2459" spans="1:15">
      <c r="A2459" s="10">
        <v>1019144474</v>
      </c>
      <c r="B2459" s="64" t="s">
        <v>61</v>
      </c>
      <c r="C2459" s="62" t="s">
        <v>7312</v>
      </c>
      <c r="D2459" t="s">
        <v>63</v>
      </c>
      <c r="E2459" t="s">
        <v>7385</v>
      </c>
      <c r="F2459" s="61">
        <v>36094</v>
      </c>
      <c r="G2459" s="15" t="s">
        <v>73</v>
      </c>
      <c r="H2459" t="s">
        <v>7386</v>
      </c>
      <c r="I2459" s="62" t="s">
        <v>7387</v>
      </c>
      <c r="K2459" s="36" t="s">
        <v>495</v>
      </c>
      <c r="L2459" t="s">
        <v>69</v>
      </c>
      <c r="M2459" s="62" t="s">
        <v>70</v>
      </c>
      <c r="N2459" t="s">
        <v>71</v>
      </c>
      <c r="O2459" t="str">
        <f>IFERROR(IF(Tbla_actores[[#This Row],[codigo_proyecto]]="","",_xlfn.XLOOKUP(Tbla_actores[[#This Row],[codigo_proyecto]],Proyectos!$A:$A,Proyectos!$C:$C)),"")</f>
        <v>NULOS</v>
      </c>
    </row>
    <row r="2460" spans="1:15">
      <c r="A2460" s="9">
        <v>1015481105</v>
      </c>
      <c r="B2460" s="63" t="s">
        <v>61</v>
      </c>
      <c r="C2460" s="62" t="s">
        <v>7312</v>
      </c>
      <c r="D2460" t="s">
        <v>63</v>
      </c>
      <c r="E2460" t="s">
        <v>7388</v>
      </c>
      <c r="F2460" s="61">
        <v>36294</v>
      </c>
      <c r="G2460" s="15" t="s">
        <v>73</v>
      </c>
      <c r="H2460" t="s">
        <v>7389</v>
      </c>
      <c r="I2460" s="62" t="s">
        <v>7390</v>
      </c>
      <c r="K2460" s="36" t="s">
        <v>495</v>
      </c>
      <c r="L2460" t="s">
        <v>69</v>
      </c>
      <c r="M2460" s="62" t="s">
        <v>70</v>
      </c>
      <c r="N2460" t="s">
        <v>71</v>
      </c>
      <c r="O2460" t="str">
        <f>IFERROR(IF(Tbla_actores[[#This Row],[codigo_proyecto]]="","",_xlfn.XLOOKUP(Tbla_actores[[#This Row],[codigo_proyecto]],Proyectos!$A:$A,Proyectos!$C:$C)),"")</f>
        <v>NULOS</v>
      </c>
    </row>
    <row r="2461" spans="1:15">
      <c r="A2461" s="10">
        <v>1090520490</v>
      </c>
      <c r="B2461" s="64" t="s">
        <v>61</v>
      </c>
      <c r="C2461" s="62" t="s">
        <v>7312</v>
      </c>
      <c r="D2461" t="s">
        <v>63</v>
      </c>
      <c r="E2461" t="s">
        <v>7391</v>
      </c>
      <c r="F2461" s="61">
        <v>36084</v>
      </c>
      <c r="G2461" s="15" t="s">
        <v>65</v>
      </c>
      <c r="H2461" t="s">
        <v>7392</v>
      </c>
      <c r="I2461" s="62" t="s">
        <v>7393</v>
      </c>
      <c r="K2461" s="36" t="s">
        <v>495</v>
      </c>
      <c r="L2461" t="s">
        <v>69</v>
      </c>
      <c r="M2461" s="62" t="s">
        <v>70</v>
      </c>
      <c r="N2461" t="s">
        <v>71</v>
      </c>
      <c r="O2461" t="str">
        <f>IFERROR(IF(Tbla_actores[[#This Row],[codigo_proyecto]]="","",_xlfn.XLOOKUP(Tbla_actores[[#This Row],[codigo_proyecto]],Proyectos!$A:$A,Proyectos!$C:$C)),"")</f>
        <v>NULOS</v>
      </c>
    </row>
    <row r="2462" spans="1:15">
      <c r="A2462" s="9">
        <v>1000939920</v>
      </c>
      <c r="B2462" s="63" t="s">
        <v>61</v>
      </c>
      <c r="C2462" s="62" t="s">
        <v>7312</v>
      </c>
      <c r="D2462" t="s">
        <v>63</v>
      </c>
      <c r="E2462" t="s">
        <v>7394</v>
      </c>
      <c r="F2462" s="61">
        <v>36764</v>
      </c>
      <c r="G2462" s="15" t="s">
        <v>73</v>
      </c>
      <c r="H2462" t="s">
        <v>7395</v>
      </c>
      <c r="I2462" s="62" t="s">
        <v>7396</v>
      </c>
      <c r="K2462" s="36" t="s">
        <v>495</v>
      </c>
      <c r="L2462" t="s">
        <v>69</v>
      </c>
      <c r="M2462" s="62" t="s">
        <v>70</v>
      </c>
      <c r="N2462" t="s">
        <v>71</v>
      </c>
      <c r="O2462" t="str">
        <f>IFERROR(IF(Tbla_actores[[#This Row],[codigo_proyecto]]="","",_xlfn.XLOOKUP(Tbla_actores[[#This Row],[codigo_proyecto]],Proyectos!$A:$A,Proyectos!$C:$C)),"")</f>
        <v>NULOS</v>
      </c>
    </row>
    <row r="2463" spans="1:15">
      <c r="A2463" s="10">
        <v>1000944458</v>
      </c>
      <c r="B2463" s="64" t="s">
        <v>61</v>
      </c>
      <c r="C2463" s="62" t="s">
        <v>7312</v>
      </c>
      <c r="D2463" t="s">
        <v>63</v>
      </c>
      <c r="E2463" t="s">
        <v>7397</v>
      </c>
      <c r="F2463" s="61">
        <v>37636</v>
      </c>
      <c r="G2463" s="15" t="s">
        <v>73</v>
      </c>
      <c r="H2463" t="s">
        <v>7398</v>
      </c>
      <c r="I2463" s="62" t="s">
        <v>7399</v>
      </c>
      <c r="K2463" s="36" t="s">
        <v>1489</v>
      </c>
      <c r="L2463" t="s">
        <v>69</v>
      </c>
      <c r="M2463" s="62" t="s">
        <v>70</v>
      </c>
      <c r="N2463" t="s">
        <v>71</v>
      </c>
      <c r="O2463" t="str">
        <f>IFERROR(IF(Tbla_actores[[#This Row],[codigo_proyecto]]="","",_xlfn.XLOOKUP(Tbla_actores[[#This Row],[codigo_proyecto]],Proyectos!$A:$A,Proyectos!$C:$C)),"")</f>
        <v>NULOS</v>
      </c>
    </row>
    <row r="2464" spans="1:15">
      <c r="A2464" s="9">
        <v>1193086734</v>
      </c>
      <c r="B2464" s="63" t="s">
        <v>61</v>
      </c>
      <c r="C2464" s="62" t="s">
        <v>7312</v>
      </c>
      <c r="D2464" t="s">
        <v>63</v>
      </c>
      <c r="E2464" t="s">
        <v>7400</v>
      </c>
      <c r="F2464" s="61">
        <v>37354</v>
      </c>
      <c r="G2464" s="15" t="s">
        <v>65</v>
      </c>
      <c r="H2464" t="s">
        <v>7401</v>
      </c>
      <c r="I2464" s="62" t="s">
        <v>7402</v>
      </c>
      <c r="K2464" s="36" t="s">
        <v>1489</v>
      </c>
      <c r="L2464" t="s">
        <v>69</v>
      </c>
      <c r="M2464" s="62" t="s">
        <v>70</v>
      </c>
      <c r="N2464" t="s">
        <v>71</v>
      </c>
      <c r="O2464" t="str">
        <f>IFERROR(IF(Tbla_actores[[#This Row],[codigo_proyecto]]="","",_xlfn.XLOOKUP(Tbla_actores[[#This Row],[codigo_proyecto]],Proyectos!$A:$A,Proyectos!$C:$C)),"")</f>
        <v>NULOS</v>
      </c>
    </row>
    <row r="2465" spans="1:15">
      <c r="A2465" s="10">
        <v>1000613238</v>
      </c>
      <c r="B2465" s="64" t="s">
        <v>61</v>
      </c>
      <c r="C2465" s="62" t="s">
        <v>7312</v>
      </c>
      <c r="D2465" t="s">
        <v>63</v>
      </c>
      <c r="E2465" t="s">
        <v>7403</v>
      </c>
      <c r="F2465" s="61">
        <v>37584</v>
      </c>
      <c r="G2465" s="15" t="s">
        <v>73</v>
      </c>
      <c r="H2465" t="s">
        <v>7404</v>
      </c>
      <c r="I2465" s="62" t="s">
        <v>7405</v>
      </c>
      <c r="K2465" s="36" t="s">
        <v>68</v>
      </c>
      <c r="L2465" t="s">
        <v>69</v>
      </c>
      <c r="M2465" s="62" t="s">
        <v>70</v>
      </c>
      <c r="N2465" t="s">
        <v>71</v>
      </c>
      <c r="O2465" t="str">
        <f>IFERROR(IF(Tbla_actores[[#This Row],[codigo_proyecto]]="","",_xlfn.XLOOKUP(Tbla_actores[[#This Row],[codigo_proyecto]],Proyectos!$A:$A,Proyectos!$C:$C)),"")</f>
        <v>NULOS</v>
      </c>
    </row>
    <row r="2466" spans="1:15">
      <c r="A2466" s="9">
        <v>1121968452</v>
      </c>
      <c r="B2466" s="63" t="s">
        <v>61</v>
      </c>
      <c r="C2466" s="62" t="s">
        <v>7312</v>
      </c>
      <c r="D2466" t="s">
        <v>63</v>
      </c>
      <c r="E2466" t="s">
        <v>7406</v>
      </c>
      <c r="F2466" s="61">
        <v>36518</v>
      </c>
      <c r="G2466" s="15" t="s">
        <v>73</v>
      </c>
      <c r="H2466" t="s">
        <v>7407</v>
      </c>
      <c r="I2466" s="62" t="s">
        <v>7408</v>
      </c>
      <c r="K2466" s="36" t="s">
        <v>68</v>
      </c>
      <c r="L2466" t="s">
        <v>69</v>
      </c>
      <c r="M2466" s="62" t="s">
        <v>70</v>
      </c>
      <c r="N2466" t="s">
        <v>71</v>
      </c>
      <c r="O2466" t="str">
        <f>IFERROR(IF(Tbla_actores[[#This Row],[codigo_proyecto]]="","",_xlfn.XLOOKUP(Tbla_actores[[#This Row],[codigo_proyecto]],Proyectos!$A:$A,Proyectos!$C:$C)),"")</f>
        <v>NULOS</v>
      </c>
    </row>
    <row r="2467" spans="1:15">
      <c r="A2467" s="10">
        <v>7171132</v>
      </c>
      <c r="B2467" s="64" t="s">
        <v>61</v>
      </c>
      <c r="C2467" s="62" t="s">
        <v>7312</v>
      </c>
      <c r="D2467" t="s">
        <v>63</v>
      </c>
      <c r="E2467" t="s">
        <v>7409</v>
      </c>
      <c r="F2467" s="61">
        <v>37481</v>
      </c>
      <c r="G2467" s="15" t="s">
        <v>73</v>
      </c>
      <c r="H2467" t="s">
        <v>7410</v>
      </c>
      <c r="I2467" s="62" t="s">
        <v>7411</v>
      </c>
      <c r="K2467" s="36" t="s">
        <v>68</v>
      </c>
      <c r="L2467" t="s">
        <v>69</v>
      </c>
      <c r="M2467" s="62" t="s">
        <v>70</v>
      </c>
      <c r="N2467" t="s">
        <v>71</v>
      </c>
      <c r="O2467" t="str">
        <f>IFERROR(IF(Tbla_actores[[#This Row],[codigo_proyecto]]="","",_xlfn.XLOOKUP(Tbla_actores[[#This Row],[codigo_proyecto]],Proyectos!$A:$A,Proyectos!$C:$C)),"")</f>
        <v>NULOS</v>
      </c>
    </row>
    <row r="2468" spans="1:15">
      <c r="A2468" s="9">
        <v>1004925638</v>
      </c>
      <c r="B2468" s="63" t="s">
        <v>61</v>
      </c>
      <c r="C2468" s="62" t="s">
        <v>7312</v>
      </c>
      <c r="D2468" t="s">
        <v>63</v>
      </c>
      <c r="E2468" t="s">
        <v>7412</v>
      </c>
      <c r="F2468" s="61">
        <v>37715</v>
      </c>
      <c r="G2468" s="15" t="s">
        <v>65</v>
      </c>
      <c r="H2468" t="s">
        <v>7413</v>
      </c>
      <c r="I2468" s="62" t="s">
        <v>7414</v>
      </c>
      <c r="K2468" s="36" t="s">
        <v>1489</v>
      </c>
      <c r="L2468" t="s">
        <v>69</v>
      </c>
      <c r="M2468" s="62" t="s">
        <v>70</v>
      </c>
      <c r="N2468" t="s">
        <v>71</v>
      </c>
      <c r="O2468" t="str">
        <f>IFERROR(IF(Tbla_actores[[#This Row],[codigo_proyecto]]="","",_xlfn.XLOOKUP(Tbla_actores[[#This Row],[codigo_proyecto]],Proyectos!$A:$A,Proyectos!$C:$C)),"")</f>
        <v>NULOS</v>
      </c>
    </row>
    <row r="2469" spans="1:15">
      <c r="A2469" s="10">
        <v>1010089436</v>
      </c>
      <c r="B2469" s="64" t="s">
        <v>61</v>
      </c>
      <c r="C2469" s="62" t="s">
        <v>7312</v>
      </c>
      <c r="D2469" t="s">
        <v>63</v>
      </c>
      <c r="E2469" t="s">
        <v>7415</v>
      </c>
      <c r="F2469" s="61">
        <v>36909</v>
      </c>
      <c r="G2469" s="15" t="s">
        <v>73</v>
      </c>
      <c r="H2469" t="s">
        <v>7416</v>
      </c>
      <c r="I2469" s="62" t="s">
        <v>7417</v>
      </c>
      <c r="K2469" s="36" t="s">
        <v>1489</v>
      </c>
      <c r="L2469" t="s">
        <v>69</v>
      </c>
      <c r="M2469" s="62" t="s">
        <v>70</v>
      </c>
      <c r="N2469" t="s">
        <v>71</v>
      </c>
      <c r="O2469" t="str">
        <f>IFERROR(IF(Tbla_actores[[#This Row],[codigo_proyecto]]="","",_xlfn.XLOOKUP(Tbla_actores[[#This Row],[codigo_proyecto]],Proyectos!$A:$A,Proyectos!$C:$C)),"")</f>
        <v>NULOS</v>
      </c>
    </row>
    <row r="2470" spans="1:15">
      <c r="A2470" s="9">
        <v>1121968569</v>
      </c>
      <c r="B2470" s="63" t="s">
        <v>61</v>
      </c>
      <c r="C2470" s="62" t="s">
        <v>7312</v>
      </c>
      <c r="D2470" t="s">
        <v>63</v>
      </c>
      <c r="E2470" t="s">
        <v>7418</v>
      </c>
      <c r="F2470" s="61">
        <v>36510</v>
      </c>
      <c r="G2470" s="15" t="s">
        <v>73</v>
      </c>
      <c r="H2470" t="s">
        <v>7419</v>
      </c>
      <c r="I2470" s="62" t="s">
        <v>7420</v>
      </c>
      <c r="K2470" s="36" t="s">
        <v>68</v>
      </c>
      <c r="L2470" t="s">
        <v>69</v>
      </c>
      <c r="M2470" s="62" t="s">
        <v>70</v>
      </c>
      <c r="N2470" t="s">
        <v>71</v>
      </c>
      <c r="O2470" t="str">
        <f>IFERROR(IF(Tbla_actores[[#This Row],[codigo_proyecto]]="","",_xlfn.XLOOKUP(Tbla_actores[[#This Row],[codigo_proyecto]],Proyectos!$A:$A,Proyectos!$C:$C)),"")</f>
        <v>NULOS</v>
      </c>
    </row>
    <row r="2471" spans="1:15">
      <c r="A2471" s="10">
        <v>1000686445</v>
      </c>
      <c r="B2471" s="64" t="s">
        <v>61</v>
      </c>
      <c r="C2471" s="62" t="s">
        <v>7312</v>
      </c>
      <c r="D2471" t="s">
        <v>63</v>
      </c>
      <c r="E2471" t="s">
        <v>7421</v>
      </c>
      <c r="F2471" s="61">
        <v>37138</v>
      </c>
      <c r="G2471" s="15" t="s">
        <v>73</v>
      </c>
      <c r="H2471" t="s">
        <v>7422</v>
      </c>
      <c r="I2471" s="62" t="s">
        <v>7423</v>
      </c>
      <c r="K2471" s="36" t="s">
        <v>68</v>
      </c>
      <c r="L2471" t="s">
        <v>69</v>
      </c>
      <c r="M2471" s="62" t="s">
        <v>70</v>
      </c>
      <c r="N2471" t="s">
        <v>71</v>
      </c>
      <c r="O2471" t="str">
        <f>IFERROR(IF(Tbla_actores[[#This Row],[codigo_proyecto]]="","",_xlfn.XLOOKUP(Tbla_actores[[#This Row],[codigo_proyecto]],Proyectos!$A:$A,Proyectos!$C:$C)),"")</f>
        <v>NULOS</v>
      </c>
    </row>
    <row r="2472" spans="1:15">
      <c r="A2472" s="9">
        <v>1193102386</v>
      </c>
      <c r="B2472" s="63" t="s">
        <v>61</v>
      </c>
      <c r="C2472" s="62" t="s">
        <v>7312</v>
      </c>
      <c r="D2472" t="s">
        <v>63</v>
      </c>
      <c r="E2472" t="s">
        <v>7424</v>
      </c>
      <c r="F2472" s="61">
        <v>37205</v>
      </c>
      <c r="G2472" s="15" t="s">
        <v>73</v>
      </c>
      <c r="H2472" t="s">
        <v>7425</v>
      </c>
      <c r="I2472" s="62" t="s">
        <v>7426</v>
      </c>
      <c r="K2472" s="36" t="s">
        <v>1489</v>
      </c>
      <c r="L2472" t="s">
        <v>69</v>
      </c>
      <c r="M2472" s="62" t="s">
        <v>70</v>
      </c>
      <c r="N2472" t="s">
        <v>71</v>
      </c>
      <c r="O2472" t="str">
        <f>IFERROR(IF(Tbla_actores[[#This Row],[codigo_proyecto]]="","",_xlfn.XLOOKUP(Tbla_actores[[#This Row],[codigo_proyecto]],Proyectos!$A:$A,Proyectos!$C:$C)),"")</f>
        <v>NULOS</v>
      </c>
    </row>
    <row r="2473" spans="1:15">
      <c r="A2473" s="10">
        <v>1001192835</v>
      </c>
      <c r="B2473" s="64" t="s">
        <v>61</v>
      </c>
      <c r="C2473" s="62" t="s">
        <v>7312</v>
      </c>
      <c r="D2473" t="s">
        <v>63</v>
      </c>
      <c r="E2473" t="s">
        <v>7427</v>
      </c>
      <c r="F2473" s="61">
        <v>37537</v>
      </c>
      <c r="G2473" s="15" t="s">
        <v>65</v>
      </c>
      <c r="H2473" t="s">
        <v>7428</v>
      </c>
      <c r="I2473" s="62" t="s">
        <v>7429</v>
      </c>
      <c r="K2473" s="36" t="s">
        <v>169</v>
      </c>
      <c r="L2473" t="s">
        <v>69</v>
      </c>
      <c r="M2473" s="62" t="s">
        <v>170</v>
      </c>
      <c r="N2473" t="s">
        <v>71</v>
      </c>
      <c r="O2473" t="str">
        <f>IFERROR(IF(Tbla_actores[[#This Row],[codigo_proyecto]]="","",_xlfn.XLOOKUP(Tbla_actores[[#This Row],[codigo_proyecto]],Proyectos!$A:$A,Proyectos!$C:$C)),"")</f>
        <v>NULOS</v>
      </c>
    </row>
    <row r="2474" spans="1:15">
      <c r="A2474" s="9">
        <v>1000807352</v>
      </c>
      <c r="B2474" s="63" t="s">
        <v>61</v>
      </c>
      <c r="C2474" s="62" t="s">
        <v>7312</v>
      </c>
      <c r="D2474" t="s">
        <v>63</v>
      </c>
      <c r="E2474" t="s">
        <v>7430</v>
      </c>
      <c r="F2474" s="61">
        <v>37546</v>
      </c>
      <c r="G2474" s="15" t="s">
        <v>73</v>
      </c>
      <c r="H2474" t="s">
        <v>7431</v>
      </c>
      <c r="I2474" s="62" t="s">
        <v>7432</v>
      </c>
      <c r="K2474" s="36" t="s">
        <v>169</v>
      </c>
      <c r="L2474" t="s">
        <v>69</v>
      </c>
      <c r="M2474" s="62" t="s">
        <v>170</v>
      </c>
      <c r="N2474" t="s">
        <v>71</v>
      </c>
      <c r="O2474" t="str">
        <f>IFERROR(IF(Tbla_actores[[#This Row],[codigo_proyecto]]="","",_xlfn.XLOOKUP(Tbla_actores[[#This Row],[codigo_proyecto]],Proyectos!$A:$A,Proyectos!$C:$C)),"")</f>
        <v>NULOS</v>
      </c>
    </row>
    <row r="2475" spans="1:15">
      <c r="A2475" s="10">
        <v>1001297265</v>
      </c>
      <c r="B2475" s="64" t="s">
        <v>61</v>
      </c>
      <c r="C2475" s="62" t="s">
        <v>7312</v>
      </c>
      <c r="D2475" t="s">
        <v>63</v>
      </c>
      <c r="E2475" t="s">
        <v>7433</v>
      </c>
      <c r="F2475" s="61">
        <v>37244</v>
      </c>
      <c r="G2475" s="15" t="s">
        <v>73</v>
      </c>
      <c r="H2475" t="s">
        <v>7434</v>
      </c>
      <c r="I2475" s="62" t="s">
        <v>7435</v>
      </c>
      <c r="K2475" s="36" t="s">
        <v>169</v>
      </c>
      <c r="L2475" t="s">
        <v>69</v>
      </c>
      <c r="M2475" s="62" t="s">
        <v>170</v>
      </c>
      <c r="N2475" t="s">
        <v>71</v>
      </c>
      <c r="O2475" t="str">
        <f>IFERROR(IF(Tbla_actores[[#This Row],[codigo_proyecto]]="","",_xlfn.XLOOKUP(Tbla_actores[[#This Row],[codigo_proyecto]],Proyectos!$A:$A,Proyectos!$C:$C)),"")</f>
        <v>NULOS</v>
      </c>
    </row>
    <row r="2476" spans="1:15">
      <c r="A2476" s="9">
        <v>1007569653</v>
      </c>
      <c r="B2476" s="63" t="s">
        <v>61</v>
      </c>
      <c r="C2476" s="62" t="s">
        <v>7312</v>
      </c>
      <c r="D2476" t="s">
        <v>63</v>
      </c>
      <c r="E2476" t="s">
        <v>7436</v>
      </c>
      <c r="F2476" s="61">
        <v>37801</v>
      </c>
      <c r="G2476" s="15" t="s">
        <v>65</v>
      </c>
      <c r="H2476" t="s">
        <v>7437</v>
      </c>
      <c r="I2476" s="62" t="s">
        <v>7438</v>
      </c>
      <c r="K2476" s="36" t="s">
        <v>169</v>
      </c>
      <c r="L2476" t="s">
        <v>69</v>
      </c>
      <c r="M2476" s="62" t="s">
        <v>170</v>
      </c>
      <c r="N2476" t="s">
        <v>71</v>
      </c>
      <c r="O2476" t="str">
        <f>IFERROR(IF(Tbla_actores[[#This Row],[codigo_proyecto]]="","",_xlfn.XLOOKUP(Tbla_actores[[#This Row],[codigo_proyecto]],Proyectos!$A:$A,Proyectos!$C:$C)),"")</f>
        <v>NULOS</v>
      </c>
    </row>
    <row r="2477" spans="1:15">
      <c r="A2477" s="10">
        <v>1000794971</v>
      </c>
      <c r="B2477" s="64" t="s">
        <v>61</v>
      </c>
      <c r="C2477" s="62" t="s">
        <v>7312</v>
      </c>
      <c r="D2477" t="s">
        <v>63</v>
      </c>
      <c r="E2477" t="s">
        <v>7439</v>
      </c>
      <c r="F2477" s="61">
        <v>37048</v>
      </c>
      <c r="G2477" s="15" t="s">
        <v>73</v>
      </c>
      <c r="H2477" t="s">
        <v>7440</v>
      </c>
      <c r="I2477" s="62" t="s">
        <v>7441</v>
      </c>
      <c r="K2477" s="36" t="s">
        <v>169</v>
      </c>
      <c r="L2477" t="s">
        <v>69</v>
      </c>
      <c r="M2477" s="62" t="s">
        <v>170</v>
      </c>
      <c r="N2477" t="s">
        <v>71</v>
      </c>
      <c r="O2477" t="str">
        <f>IFERROR(IF(Tbla_actores[[#This Row],[codigo_proyecto]]="","",_xlfn.XLOOKUP(Tbla_actores[[#This Row],[codigo_proyecto]],Proyectos!$A:$A,Proyectos!$C:$C)),"")</f>
        <v>NULOS</v>
      </c>
    </row>
    <row r="2478" spans="1:15">
      <c r="A2478" s="9">
        <v>1005040609</v>
      </c>
      <c r="B2478" s="63" t="s">
        <v>61</v>
      </c>
      <c r="C2478" s="62" t="s">
        <v>7312</v>
      </c>
      <c r="D2478" t="s">
        <v>63</v>
      </c>
      <c r="E2478" t="s">
        <v>7442</v>
      </c>
      <c r="F2478" s="61">
        <v>37581</v>
      </c>
      <c r="G2478" s="15" t="s">
        <v>73</v>
      </c>
      <c r="H2478" t="s">
        <v>7443</v>
      </c>
      <c r="I2478" s="62" t="s">
        <v>7444</v>
      </c>
      <c r="K2478" s="36" t="s">
        <v>495</v>
      </c>
      <c r="L2478" t="s">
        <v>69</v>
      </c>
      <c r="M2478" s="62" t="s">
        <v>70</v>
      </c>
      <c r="N2478" t="s">
        <v>71</v>
      </c>
      <c r="O2478" t="str">
        <f>IFERROR(IF(Tbla_actores[[#This Row],[codigo_proyecto]]="","",_xlfn.XLOOKUP(Tbla_actores[[#This Row],[codigo_proyecto]],Proyectos!$A:$A,Proyectos!$C:$C)),"")</f>
        <v>NULOS</v>
      </c>
    </row>
    <row r="2479" spans="1:15">
      <c r="A2479" s="10">
        <v>1143413081</v>
      </c>
      <c r="B2479" s="64" t="s">
        <v>61</v>
      </c>
      <c r="C2479" s="62" t="s">
        <v>7312</v>
      </c>
      <c r="D2479" t="s">
        <v>63</v>
      </c>
      <c r="E2479" t="s">
        <v>7445</v>
      </c>
      <c r="F2479" s="61">
        <v>36323</v>
      </c>
      <c r="G2479" s="15" t="s">
        <v>73</v>
      </c>
      <c r="H2479" t="s">
        <v>7446</v>
      </c>
      <c r="I2479" s="62" t="s">
        <v>7447</v>
      </c>
      <c r="K2479" s="36" t="s">
        <v>495</v>
      </c>
      <c r="L2479" t="s">
        <v>69</v>
      </c>
      <c r="M2479" s="62" t="s">
        <v>70</v>
      </c>
      <c r="N2479" t="s">
        <v>71</v>
      </c>
      <c r="O2479" t="str">
        <f>IFERROR(IF(Tbla_actores[[#This Row],[codigo_proyecto]]="","",_xlfn.XLOOKUP(Tbla_actores[[#This Row],[codigo_proyecto]],Proyectos!$A:$A,Proyectos!$C:$C)),"")</f>
        <v>NULOS</v>
      </c>
    </row>
    <row r="2480" spans="1:15">
      <c r="A2480" s="9">
        <v>1003265972</v>
      </c>
      <c r="B2480" s="63" t="s">
        <v>61</v>
      </c>
      <c r="C2480" s="62" t="s">
        <v>7312</v>
      </c>
      <c r="D2480" t="s">
        <v>63</v>
      </c>
      <c r="E2480" t="s">
        <v>7448</v>
      </c>
      <c r="F2480" s="61">
        <v>37471</v>
      </c>
      <c r="G2480" s="15" t="s">
        <v>73</v>
      </c>
      <c r="H2480" t="s">
        <v>7449</v>
      </c>
      <c r="I2480" s="62" t="s">
        <v>7450</v>
      </c>
      <c r="K2480" s="36" t="s">
        <v>495</v>
      </c>
      <c r="L2480" t="s">
        <v>69</v>
      </c>
      <c r="M2480" s="62" t="s">
        <v>70</v>
      </c>
      <c r="N2480" t="s">
        <v>71</v>
      </c>
      <c r="O2480" t="str">
        <f>IFERROR(IF(Tbla_actores[[#This Row],[codigo_proyecto]]="","",_xlfn.XLOOKUP(Tbla_actores[[#This Row],[codigo_proyecto]],Proyectos!$A:$A,Proyectos!$C:$C)),"")</f>
        <v>NULOS</v>
      </c>
    </row>
    <row r="2481" spans="1:15">
      <c r="A2481" s="10">
        <v>1010247354</v>
      </c>
      <c r="B2481" s="64" t="s">
        <v>61</v>
      </c>
      <c r="C2481" s="62" t="s">
        <v>7312</v>
      </c>
      <c r="D2481" t="s">
        <v>63</v>
      </c>
      <c r="E2481" t="s">
        <v>7451</v>
      </c>
      <c r="F2481" s="61">
        <v>36411</v>
      </c>
      <c r="G2481" s="15" t="s">
        <v>73</v>
      </c>
      <c r="H2481" t="s">
        <v>7452</v>
      </c>
      <c r="I2481" s="62" t="s">
        <v>7453</v>
      </c>
      <c r="K2481" s="36" t="s">
        <v>495</v>
      </c>
      <c r="L2481" t="s">
        <v>69</v>
      </c>
      <c r="M2481" s="62" t="s">
        <v>70</v>
      </c>
      <c r="N2481" t="s">
        <v>71</v>
      </c>
      <c r="O2481" t="str">
        <f>IFERROR(IF(Tbla_actores[[#This Row],[codigo_proyecto]]="","",_xlfn.XLOOKUP(Tbla_actores[[#This Row],[codigo_proyecto]],Proyectos!$A:$A,Proyectos!$C:$C)),"")</f>
        <v>NULOS</v>
      </c>
    </row>
    <row r="2482" spans="1:15">
      <c r="A2482" s="9">
        <v>1004209912</v>
      </c>
      <c r="B2482" s="63" t="s">
        <v>61</v>
      </c>
      <c r="C2482" s="62" t="s">
        <v>7312</v>
      </c>
      <c r="D2482" t="s">
        <v>63</v>
      </c>
      <c r="E2482" t="s">
        <v>7454</v>
      </c>
      <c r="F2482" s="61">
        <v>37585</v>
      </c>
      <c r="G2482" s="15" t="s">
        <v>73</v>
      </c>
      <c r="H2482" t="s">
        <v>7455</v>
      </c>
      <c r="I2482" s="62" t="s">
        <v>7456</v>
      </c>
      <c r="K2482" s="36" t="s">
        <v>495</v>
      </c>
      <c r="L2482" t="s">
        <v>69</v>
      </c>
      <c r="M2482" s="62" t="s">
        <v>70</v>
      </c>
      <c r="N2482" t="s">
        <v>71</v>
      </c>
      <c r="O2482" t="str">
        <f>IFERROR(IF(Tbla_actores[[#This Row],[codigo_proyecto]]="","",_xlfn.XLOOKUP(Tbla_actores[[#This Row],[codigo_proyecto]],Proyectos!$A:$A,Proyectos!$C:$C)),"")</f>
        <v>NULOS</v>
      </c>
    </row>
    <row r="2483" spans="1:15">
      <c r="A2483" s="10">
        <v>1002458140</v>
      </c>
      <c r="B2483" s="64" t="s">
        <v>61</v>
      </c>
      <c r="C2483" s="62" t="s">
        <v>7312</v>
      </c>
      <c r="D2483" t="s">
        <v>63</v>
      </c>
      <c r="E2483" t="s">
        <v>7457</v>
      </c>
      <c r="F2483" s="61">
        <v>37109</v>
      </c>
      <c r="G2483" s="15" t="s">
        <v>73</v>
      </c>
      <c r="H2483" t="s">
        <v>7458</v>
      </c>
      <c r="I2483" s="62" t="s">
        <v>7459</v>
      </c>
      <c r="K2483" s="36" t="s">
        <v>495</v>
      </c>
      <c r="L2483" t="s">
        <v>69</v>
      </c>
      <c r="M2483" s="62" t="s">
        <v>70</v>
      </c>
      <c r="N2483" t="s">
        <v>71</v>
      </c>
      <c r="O2483" t="str">
        <f>IFERROR(IF(Tbla_actores[[#This Row],[codigo_proyecto]]="","",_xlfn.XLOOKUP(Tbla_actores[[#This Row],[codigo_proyecto]],Proyectos!$A:$A,Proyectos!$C:$C)),"")</f>
        <v>NULOS</v>
      </c>
    </row>
    <row r="2484" spans="1:15">
      <c r="A2484" s="9">
        <v>1001067885</v>
      </c>
      <c r="B2484" s="63" t="s">
        <v>61</v>
      </c>
      <c r="C2484" s="62" t="s">
        <v>7312</v>
      </c>
      <c r="D2484" t="s">
        <v>63</v>
      </c>
      <c r="E2484" t="s">
        <v>7460</v>
      </c>
      <c r="F2484" s="61">
        <v>37337</v>
      </c>
      <c r="G2484" s="15" t="s">
        <v>73</v>
      </c>
      <c r="H2484" t="s">
        <v>7461</v>
      </c>
      <c r="I2484" s="62" t="s">
        <v>7462</v>
      </c>
      <c r="K2484" s="36" t="s">
        <v>495</v>
      </c>
      <c r="L2484" t="s">
        <v>69</v>
      </c>
      <c r="M2484" s="62" t="s">
        <v>70</v>
      </c>
      <c r="N2484" t="s">
        <v>71</v>
      </c>
      <c r="O2484" t="str">
        <f>IFERROR(IF(Tbla_actores[[#This Row],[codigo_proyecto]]="","",_xlfn.XLOOKUP(Tbla_actores[[#This Row],[codigo_proyecto]],Proyectos!$A:$A,Proyectos!$C:$C)),"")</f>
        <v>NULOS</v>
      </c>
    </row>
    <row r="2485" spans="1:15">
      <c r="A2485" s="10">
        <v>1001310313</v>
      </c>
      <c r="B2485" s="64" t="s">
        <v>61</v>
      </c>
      <c r="C2485" s="62" t="s">
        <v>7312</v>
      </c>
      <c r="D2485" t="s">
        <v>63</v>
      </c>
      <c r="E2485" t="s">
        <v>7463</v>
      </c>
      <c r="F2485" s="61">
        <v>37653</v>
      </c>
      <c r="G2485" s="15" t="s">
        <v>65</v>
      </c>
      <c r="H2485" t="s">
        <v>7464</v>
      </c>
      <c r="I2485" s="62" t="s">
        <v>7465</v>
      </c>
      <c r="K2485" s="36" t="s">
        <v>169</v>
      </c>
      <c r="L2485" t="s">
        <v>69</v>
      </c>
      <c r="M2485" s="62" t="s">
        <v>170</v>
      </c>
      <c r="N2485" t="s">
        <v>71</v>
      </c>
      <c r="O2485" t="str">
        <f>IFERROR(IF(Tbla_actores[[#This Row],[codigo_proyecto]]="","",_xlfn.XLOOKUP(Tbla_actores[[#This Row],[codigo_proyecto]],Proyectos!$A:$A,Proyectos!$C:$C)),"")</f>
        <v>NULOS</v>
      </c>
    </row>
    <row r="2486" spans="1:15">
      <c r="A2486" s="9">
        <v>1000944698</v>
      </c>
      <c r="B2486" s="63" t="s">
        <v>61</v>
      </c>
      <c r="C2486" s="62" t="s">
        <v>7312</v>
      </c>
      <c r="D2486" t="s">
        <v>63</v>
      </c>
      <c r="E2486" t="s">
        <v>7466</v>
      </c>
      <c r="F2486" s="61">
        <v>37348</v>
      </c>
      <c r="G2486" s="15" t="s">
        <v>65</v>
      </c>
      <c r="H2486" t="s">
        <v>7467</v>
      </c>
      <c r="I2486" s="62" t="s">
        <v>7468</v>
      </c>
      <c r="K2486" s="36" t="s">
        <v>169</v>
      </c>
      <c r="L2486" t="s">
        <v>69</v>
      </c>
      <c r="M2486" s="62" t="s">
        <v>170</v>
      </c>
      <c r="N2486" t="s">
        <v>71</v>
      </c>
      <c r="O2486" t="str">
        <f>IFERROR(IF(Tbla_actores[[#This Row],[codigo_proyecto]]="","",_xlfn.XLOOKUP(Tbla_actores[[#This Row],[codigo_proyecto]],Proyectos!$A:$A,Proyectos!$C:$C)),"")</f>
        <v>NULOS</v>
      </c>
    </row>
    <row r="2487" spans="1:15">
      <c r="A2487" s="10">
        <v>1000944119</v>
      </c>
      <c r="B2487" s="64" t="s">
        <v>61</v>
      </c>
      <c r="C2487" s="62" t="s">
        <v>7312</v>
      </c>
      <c r="D2487" t="s">
        <v>63</v>
      </c>
      <c r="E2487" t="s">
        <v>7469</v>
      </c>
      <c r="F2487" s="61">
        <v>37092</v>
      </c>
      <c r="G2487" s="15" t="s">
        <v>73</v>
      </c>
      <c r="H2487" t="s">
        <v>7470</v>
      </c>
      <c r="I2487" s="62" t="s">
        <v>7471</v>
      </c>
      <c r="K2487" s="36" t="s">
        <v>169</v>
      </c>
      <c r="L2487" t="s">
        <v>69</v>
      </c>
      <c r="M2487" s="62" t="s">
        <v>170</v>
      </c>
      <c r="N2487" t="s">
        <v>71</v>
      </c>
      <c r="O2487" t="str">
        <f>IFERROR(IF(Tbla_actores[[#This Row],[codigo_proyecto]]="","",_xlfn.XLOOKUP(Tbla_actores[[#This Row],[codigo_proyecto]],Proyectos!$A:$A,Proyectos!$C:$C)),"")</f>
        <v>NULOS</v>
      </c>
    </row>
    <row r="2488" spans="1:15">
      <c r="A2488" s="9">
        <v>1001317399</v>
      </c>
      <c r="B2488" s="63" t="s">
        <v>61</v>
      </c>
      <c r="C2488" s="62" t="s">
        <v>7312</v>
      </c>
      <c r="D2488" t="s">
        <v>63</v>
      </c>
      <c r="E2488" t="s">
        <v>7472</v>
      </c>
      <c r="F2488" s="61">
        <v>37155</v>
      </c>
      <c r="G2488" s="15" t="s">
        <v>73</v>
      </c>
      <c r="H2488" t="s">
        <v>7473</v>
      </c>
      <c r="I2488" s="62" t="s">
        <v>7474</v>
      </c>
      <c r="K2488" s="36" t="s">
        <v>68</v>
      </c>
      <c r="L2488" t="s">
        <v>69</v>
      </c>
      <c r="M2488" s="62" t="s">
        <v>70</v>
      </c>
      <c r="N2488" t="s">
        <v>71</v>
      </c>
      <c r="O2488" t="str">
        <f>IFERROR(IF(Tbla_actores[[#This Row],[codigo_proyecto]]="","",_xlfn.XLOOKUP(Tbla_actores[[#This Row],[codigo_proyecto]],Proyectos!$A:$A,Proyectos!$C:$C)),"")</f>
        <v>NULOS</v>
      </c>
    </row>
    <row r="2489" spans="1:15">
      <c r="A2489" s="10">
        <v>1000274418</v>
      </c>
      <c r="B2489" s="64" t="s">
        <v>61</v>
      </c>
      <c r="C2489" s="62" t="s">
        <v>7312</v>
      </c>
      <c r="D2489" t="s">
        <v>63</v>
      </c>
      <c r="E2489" t="s">
        <v>7475</v>
      </c>
      <c r="F2489" s="61">
        <v>37016</v>
      </c>
      <c r="G2489" s="15" t="s">
        <v>73</v>
      </c>
      <c r="H2489" t="s">
        <v>7476</v>
      </c>
      <c r="I2489" s="62" t="s">
        <v>7477</v>
      </c>
      <c r="K2489" s="36" t="s">
        <v>7284</v>
      </c>
      <c r="L2489" t="s">
        <v>69</v>
      </c>
      <c r="M2489" s="62" t="s">
        <v>70</v>
      </c>
      <c r="N2489" t="s">
        <v>71</v>
      </c>
      <c r="O2489" t="str">
        <f>IFERROR(IF(Tbla_actores[[#This Row],[codigo_proyecto]]="","",_xlfn.XLOOKUP(Tbla_actores[[#This Row],[codigo_proyecto]],Proyectos!$A:$A,Proyectos!$C:$C)),"")</f>
        <v>NULOS</v>
      </c>
    </row>
    <row r="2490" spans="1:15">
      <c r="A2490" s="9">
        <v>1000942239</v>
      </c>
      <c r="B2490" s="63" t="s">
        <v>61</v>
      </c>
      <c r="C2490" s="62" t="s">
        <v>7312</v>
      </c>
      <c r="D2490" t="s">
        <v>63</v>
      </c>
      <c r="E2490" t="s">
        <v>7478</v>
      </c>
      <c r="F2490" s="61">
        <v>38009</v>
      </c>
      <c r="G2490" s="15" t="s">
        <v>73</v>
      </c>
      <c r="H2490" t="s">
        <v>7479</v>
      </c>
      <c r="I2490" s="62" t="s">
        <v>7480</v>
      </c>
      <c r="K2490" s="36" t="s">
        <v>7284</v>
      </c>
      <c r="L2490" t="s">
        <v>69</v>
      </c>
      <c r="M2490" s="62" t="s">
        <v>70</v>
      </c>
      <c r="N2490" t="s">
        <v>71</v>
      </c>
      <c r="O2490" t="str">
        <f>IFERROR(IF(Tbla_actores[[#This Row],[codigo_proyecto]]="","",_xlfn.XLOOKUP(Tbla_actores[[#This Row],[codigo_proyecto]],Proyectos!$A:$A,Proyectos!$C:$C)),"")</f>
        <v>NULOS</v>
      </c>
    </row>
    <row r="2491" spans="1:15">
      <c r="A2491" s="10">
        <v>1000943873</v>
      </c>
      <c r="B2491" s="64" t="s">
        <v>61</v>
      </c>
      <c r="C2491" s="62" t="s">
        <v>7312</v>
      </c>
      <c r="D2491" t="s">
        <v>63</v>
      </c>
      <c r="E2491" t="s">
        <v>7481</v>
      </c>
      <c r="F2491" s="61">
        <v>37494</v>
      </c>
      <c r="G2491" s="15" t="s">
        <v>73</v>
      </c>
      <c r="H2491" t="s">
        <v>7482</v>
      </c>
      <c r="I2491" s="62" t="s">
        <v>7483</v>
      </c>
      <c r="K2491" s="36" t="s">
        <v>495</v>
      </c>
      <c r="L2491" t="s">
        <v>69</v>
      </c>
      <c r="M2491" s="62" t="s">
        <v>70</v>
      </c>
      <c r="N2491" t="s">
        <v>71</v>
      </c>
      <c r="O2491" t="str">
        <f>IFERROR(IF(Tbla_actores[[#This Row],[codigo_proyecto]]="","",_xlfn.XLOOKUP(Tbla_actores[[#This Row],[codigo_proyecto]],Proyectos!$A:$A,Proyectos!$C:$C)),"")</f>
        <v>NULOS</v>
      </c>
    </row>
    <row r="2492" spans="1:15">
      <c r="A2492" s="9">
        <v>1047502177</v>
      </c>
      <c r="B2492" s="63" t="s">
        <v>61</v>
      </c>
      <c r="C2492" s="62" t="s">
        <v>7312</v>
      </c>
      <c r="D2492" t="s">
        <v>63</v>
      </c>
      <c r="E2492" t="s">
        <v>7484</v>
      </c>
      <c r="F2492" s="61">
        <v>35926</v>
      </c>
      <c r="G2492" s="15" t="s">
        <v>73</v>
      </c>
      <c r="H2492" t="s">
        <v>7485</v>
      </c>
      <c r="I2492" s="62" t="s">
        <v>7486</v>
      </c>
      <c r="K2492" s="36" t="s">
        <v>495</v>
      </c>
      <c r="L2492" t="s">
        <v>69</v>
      </c>
      <c r="M2492" s="62" t="s">
        <v>70</v>
      </c>
      <c r="N2492" t="s">
        <v>71</v>
      </c>
      <c r="O2492" t="str">
        <f>IFERROR(IF(Tbla_actores[[#This Row],[codigo_proyecto]]="","",_xlfn.XLOOKUP(Tbla_actores[[#This Row],[codigo_proyecto]],Proyectos!$A:$A,Proyectos!$C:$C)),"")</f>
        <v>NULOS</v>
      </c>
    </row>
    <row r="2493" spans="1:15">
      <c r="A2493" s="10">
        <v>1000219021</v>
      </c>
      <c r="B2493" s="64" t="s">
        <v>61</v>
      </c>
      <c r="C2493" s="62" t="s">
        <v>7312</v>
      </c>
      <c r="D2493" t="s">
        <v>63</v>
      </c>
      <c r="E2493" t="s">
        <v>7487</v>
      </c>
      <c r="F2493" s="61">
        <v>37575</v>
      </c>
      <c r="G2493" s="15" t="s">
        <v>73</v>
      </c>
      <c r="H2493" t="s">
        <v>7488</v>
      </c>
      <c r="I2493" s="62" t="s">
        <v>7489</v>
      </c>
      <c r="K2493" s="36" t="s">
        <v>495</v>
      </c>
      <c r="L2493" t="s">
        <v>69</v>
      </c>
      <c r="M2493" s="62" t="s">
        <v>70</v>
      </c>
      <c r="N2493" t="s">
        <v>71</v>
      </c>
      <c r="O2493" t="str">
        <f>IFERROR(IF(Tbla_actores[[#This Row],[codigo_proyecto]]="","",_xlfn.XLOOKUP(Tbla_actores[[#This Row],[codigo_proyecto]],Proyectos!$A:$A,Proyectos!$C:$C)),"")</f>
        <v>NULOS</v>
      </c>
    </row>
    <row r="2494" spans="1:15">
      <c r="A2494" s="9">
        <v>1005891942</v>
      </c>
      <c r="B2494" s="63" t="s">
        <v>61</v>
      </c>
      <c r="C2494" s="62" t="s">
        <v>7312</v>
      </c>
      <c r="D2494" t="s">
        <v>63</v>
      </c>
      <c r="E2494" t="s">
        <v>7490</v>
      </c>
      <c r="F2494" s="61">
        <v>37609</v>
      </c>
      <c r="G2494" s="15" t="s">
        <v>73</v>
      </c>
      <c r="H2494" t="s">
        <v>7491</v>
      </c>
      <c r="I2494" s="62" t="s">
        <v>7492</v>
      </c>
      <c r="K2494" s="36" t="s">
        <v>169</v>
      </c>
      <c r="L2494" t="s">
        <v>69</v>
      </c>
      <c r="M2494" s="62" t="s">
        <v>170</v>
      </c>
      <c r="N2494" t="s">
        <v>71</v>
      </c>
      <c r="O2494" t="str">
        <f>IFERROR(IF(Tbla_actores[[#This Row],[codigo_proyecto]]="","",_xlfn.XLOOKUP(Tbla_actores[[#This Row],[codigo_proyecto]],Proyectos!$A:$A,Proyectos!$C:$C)),"")</f>
        <v>NULOS</v>
      </c>
    </row>
    <row r="2495" spans="1:15">
      <c r="A2495" s="10">
        <v>1193469781</v>
      </c>
      <c r="B2495" s="64" t="s">
        <v>61</v>
      </c>
      <c r="C2495" s="62" t="s">
        <v>7312</v>
      </c>
      <c r="D2495" t="s">
        <v>63</v>
      </c>
      <c r="E2495" t="s">
        <v>7493</v>
      </c>
      <c r="F2495" s="61">
        <v>37204</v>
      </c>
      <c r="G2495" s="15" t="s">
        <v>73</v>
      </c>
      <c r="H2495" t="s">
        <v>7494</v>
      </c>
      <c r="I2495" s="62" t="s">
        <v>7495</v>
      </c>
      <c r="K2495" s="36" t="s">
        <v>495</v>
      </c>
      <c r="L2495" t="s">
        <v>69</v>
      </c>
      <c r="M2495" s="62" t="s">
        <v>70</v>
      </c>
      <c r="N2495" t="s">
        <v>71</v>
      </c>
      <c r="O2495" t="str">
        <f>IFERROR(IF(Tbla_actores[[#This Row],[codigo_proyecto]]="","",_xlfn.XLOOKUP(Tbla_actores[[#This Row],[codigo_proyecto]],Proyectos!$A:$A,Proyectos!$C:$C)),"")</f>
        <v>NULOS</v>
      </c>
    </row>
    <row r="2496" spans="1:15">
      <c r="A2496" s="9">
        <v>1003952584</v>
      </c>
      <c r="B2496" s="63" t="s">
        <v>61</v>
      </c>
      <c r="C2496" s="62" t="s">
        <v>7312</v>
      </c>
      <c r="D2496" t="s">
        <v>63</v>
      </c>
      <c r="E2496" t="s">
        <v>7496</v>
      </c>
      <c r="F2496" s="61">
        <v>37680</v>
      </c>
      <c r="G2496" s="15" t="s">
        <v>73</v>
      </c>
      <c r="H2496" t="s">
        <v>7497</v>
      </c>
      <c r="I2496" s="62" t="s">
        <v>7498</v>
      </c>
      <c r="K2496" s="36" t="s">
        <v>169</v>
      </c>
      <c r="L2496" t="s">
        <v>69</v>
      </c>
      <c r="M2496" s="62" t="s">
        <v>170</v>
      </c>
      <c r="N2496" t="s">
        <v>71</v>
      </c>
      <c r="O2496" t="str">
        <f>IFERROR(IF(Tbla_actores[[#This Row],[codigo_proyecto]]="","",_xlfn.XLOOKUP(Tbla_actores[[#This Row],[codigo_proyecto]],Proyectos!$A:$A,Proyectos!$C:$C)),"")</f>
        <v>NULOS</v>
      </c>
    </row>
    <row r="2497" spans="1:15">
      <c r="A2497" s="10">
        <v>1018514855</v>
      </c>
      <c r="B2497" s="64" t="s">
        <v>61</v>
      </c>
      <c r="C2497" s="62" t="s">
        <v>7312</v>
      </c>
      <c r="D2497" t="s">
        <v>63</v>
      </c>
      <c r="E2497" t="s">
        <v>7499</v>
      </c>
      <c r="F2497" s="61">
        <v>36510</v>
      </c>
      <c r="G2497" s="15" t="s">
        <v>73</v>
      </c>
      <c r="H2497" t="s">
        <v>7500</v>
      </c>
      <c r="I2497" s="62" t="s">
        <v>7501</v>
      </c>
      <c r="K2497" s="36" t="s">
        <v>169</v>
      </c>
      <c r="L2497" t="s">
        <v>69</v>
      </c>
      <c r="M2497" s="62" t="s">
        <v>170</v>
      </c>
      <c r="N2497" t="s">
        <v>71</v>
      </c>
      <c r="O2497" t="str">
        <f>IFERROR(IF(Tbla_actores[[#This Row],[codigo_proyecto]]="","",_xlfn.XLOOKUP(Tbla_actores[[#This Row],[codigo_proyecto]],Proyectos!$A:$A,Proyectos!$C:$C)),"")</f>
        <v>NULOS</v>
      </c>
    </row>
    <row r="2498" spans="1:15">
      <c r="A2498" s="9">
        <v>1007401694</v>
      </c>
      <c r="B2498" s="63" t="s">
        <v>61</v>
      </c>
      <c r="C2498" s="62" t="s">
        <v>7312</v>
      </c>
      <c r="D2498" t="s">
        <v>63</v>
      </c>
      <c r="E2498" t="s">
        <v>7502</v>
      </c>
      <c r="F2498" s="61">
        <v>37172</v>
      </c>
      <c r="G2498" s="15" t="s">
        <v>65</v>
      </c>
      <c r="H2498" t="s">
        <v>7503</v>
      </c>
      <c r="I2498" s="62" t="s">
        <v>7504</v>
      </c>
      <c r="K2498" s="36" t="s">
        <v>169</v>
      </c>
      <c r="L2498" t="s">
        <v>69</v>
      </c>
      <c r="M2498" s="62" t="s">
        <v>170</v>
      </c>
      <c r="N2498" t="s">
        <v>71</v>
      </c>
      <c r="O2498" t="str">
        <f>IFERROR(IF(Tbla_actores[[#This Row],[codigo_proyecto]]="","",_xlfn.XLOOKUP(Tbla_actores[[#This Row],[codigo_proyecto]],Proyectos!$A:$A,Proyectos!$C:$C)),"")</f>
        <v>NULOS</v>
      </c>
    </row>
    <row r="2499" spans="1:15">
      <c r="A2499" s="10">
        <v>1000707079</v>
      </c>
      <c r="B2499" s="64" t="s">
        <v>61</v>
      </c>
      <c r="C2499" s="62" t="s">
        <v>7312</v>
      </c>
      <c r="D2499" t="s">
        <v>63</v>
      </c>
      <c r="E2499" t="s">
        <v>7505</v>
      </c>
      <c r="F2499" s="61">
        <v>37501</v>
      </c>
      <c r="G2499" s="15" t="s">
        <v>65</v>
      </c>
      <c r="H2499" t="s">
        <v>7506</v>
      </c>
      <c r="I2499" s="62" t="s">
        <v>7507</v>
      </c>
      <c r="K2499" s="36" t="s">
        <v>169</v>
      </c>
      <c r="L2499" t="s">
        <v>69</v>
      </c>
      <c r="M2499" s="62" t="s">
        <v>170</v>
      </c>
      <c r="N2499" t="s">
        <v>71</v>
      </c>
      <c r="O2499" t="str">
        <f>IFERROR(IF(Tbla_actores[[#This Row],[codigo_proyecto]]="","",_xlfn.XLOOKUP(Tbla_actores[[#This Row],[codigo_proyecto]],Proyectos!$A:$A,Proyectos!$C:$C)),"")</f>
        <v>NULOS</v>
      </c>
    </row>
    <row r="2500" spans="1:15">
      <c r="A2500" s="9">
        <v>1007557997</v>
      </c>
      <c r="B2500" s="63" t="s">
        <v>61</v>
      </c>
      <c r="C2500" s="62" t="s">
        <v>7312</v>
      </c>
      <c r="D2500" t="s">
        <v>63</v>
      </c>
      <c r="E2500" t="s">
        <v>7508</v>
      </c>
      <c r="F2500" s="61">
        <v>37565</v>
      </c>
      <c r="G2500" s="15" t="s">
        <v>65</v>
      </c>
      <c r="H2500" t="s">
        <v>7509</v>
      </c>
      <c r="I2500" s="62" t="s">
        <v>7510</v>
      </c>
      <c r="K2500" s="36" t="s">
        <v>169</v>
      </c>
      <c r="L2500" t="s">
        <v>69</v>
      </c>
      <c r="M2500" s="62" t="s">
        <v>170</v>
      </c>
      <c r="N2500" t="s">
        <v>71</v>
      </c>
      <c r="O2500" t="str">
        <f>IFERROR(IF(Tbla_actores[[#This Row],[codigo_proyecto]]="","",_xlfn.XLOOKUP(Tbla_actores[[#This Row],[codigo_proyecto]],Proyectos!$A:$A,Proyectos!$C:$C)),"")</f>
        <v>NULOS</v>
      </c>
    </row>
    <row r="2501" spans="1:15">
      <c r="A2501" s="10">
        <v>1000270895</v>
      </c>
      <c r="B2501" s="64" t="s">
        <v>61</v>
      </c>
      <c r="C2501" s="62" t="s">
        <v>7312</v>
      </c>
      <c r="D2501" t="s">
        <v>63</v>
      </c>
      <c r="E2501" t="s">
        <v>7511</v>
      </c>
      <c r="F2501" s="61">
        <v>37876</v>
      </c>
      <c r="G2501" s="15" t="s">
        <v>65</v>
      </c>
      <c r="H2501" t="s">
        <v>7512</v>
      </c>
      <c r="I2501" s="62" t="s">
        <v>7513</v>
      </c>
      <c r="K2501" s="36" t="s">
        <v>169</v>
      </c>
      <c r="L2501" t="s">
        <v>69</v>
      </c>
      <c r="M2501" s="62" t="s">
        <v>170</v>
      </c>
      <c r="N2501" t="s">
        <v>71</v>
      </c>
      <c r="O2501" t="str">
        <f>IFERROR(IF(Tbla_actores[[#This Row],[codigo_proyecto]]="","",_xlfn.XLOOKUP(Tbla_actores[[#This Row],[codigo_proyecto]],Proyectos!$A:$A,Proyectos!$C:$C)),"")</f>
        <v>NULOS</v>
      </c>
    </row>
    <row r="2502" spans="1:15">
      <c r="A2502" s="9">
        <v>1001091719</v>
      </c>
      <c r="B2502" s="63" t="s">
        <v>61</v>
      </c>
      <c r="C2502" s="62" t="s">
        <v>7312</v>
      </c>
      <c r="D2502" t="s">
        <v>63</v>
      </c>
      <c r="E2502" t="s">
        <v>7514</v>
      </c>
      <c r="F2502" s="61">
        <v>37394</v>
      </c>
      <c r="G2502" s="15" t="s">
        <v>73</v>
      </c>
      <c r="H2502" t="s">
        <v>7515</v>
      </c>
      <c r="I2502" s="62" t="s">
        <v>7516</v>
      </c>
      <c r="K2502" s="36" t="s">
        <v>68</v>
      </c>
      <c r="L2502" t="s">
        <v>69</v>
      </c>
      <c r="M2502" s="62" t="s">
        <v>70</v>
      </c>
      <c r="N2502" t="s">
        <v>71</v>
      </c>
      <c r="O2502" t="str">
        <f>IFERROR(IF(Tbla_actores[[#This Row],[codigo_proyecto]]="","",_xlfn.XLOOKUP(Tbla_actores[[#This Row],[codigo_proyecto]],Proyectos!$A:$A,Proyectos!$C:$C)),"")</f>
        <v>NULOS</v>
      </c>
    </row>
    <row r="2503" spans="1:15">
      <c r="A2503" s="10">
        <v>1001078043</v>
      </c>
      <c r="B2503" s="64" t="s">
        <v>61</v>
      </c>
      <c r="C2503" s="62" t="s">
        <v>7312</v>
      </c>
      <c r="D2503" t="s">
        <v>63</v>
      </c>
      <c r="E2503" t="s">
        <v>7517</v>
      </c>
      <c r="F2503" s="61">
        <v>37873</v>
      </c>
      <c r="G2503" s="15" t="s">
        <v>73</v>
      </c>
      <c r="H2503" t="s">
        <v>7518</v>
      </c>
      <c r="I2503" s="62" t="s">
        <v>7519</v>
      </c>
      <c r="K2503" s="36" t="s">
        <v>169</v>
      </c>
      <c r="L2503" t="s">
        <v>69</v>
      </c>
      <c r="M2503" s="62" t="s">
        <v>170</v>
      </c>
      <c r="N2503" t="s">
        <v>71</v>
      </c>
      <c r="O2503" t="str">
        <f>IFERROR(IF(Tbla_actores[[#This Row],[codigo_proyecto]]="","",_xlfn.XLOOKUP(Tbla_actores[[#This Row],[codigo_proyecto]],Proyectos!$A:$A,Proyectos!$C:$C)),"")</f>
        <v>NULOS</v>
      </c>
    </row>
    <row r="2504" spans="1:15">
      <c r="A2504" s="9">
        <v>1034276039</v>
      </c>
      <c r="B2504" s="63" t="s">
        <v>61</v>
      </c>
      <c r="C2504" s="62" t="s">
        <v>7312</v>
      </c>
      <c r="D2504" t="s">
        <v>63</v>
      </c>
      <c r="E2504" t="s">
        <v>7520</v>
      </c>
      <c r="F2504" s="61">
        <v>37734</v>
      </c>
      <c r="G2504" s="15" t="s">
        <v>65</v>
      </c>
      <c r="H2504" t="s">
        <v>7521</v>
      </c>
      <c r="I2504" s="62" t="s">
        <v>7522</v>
      </c>
      <c r="K2504" s="36" t="s">
        <v>169</v>
      </c>
      <c r="L2504" t="s">
        <v>69</v>
      </c>
      <c r="M2504" s="62" t="s">
        <v>170</v>
      </c>
      <c r="N2504" t="s">
        <v>71</v>
      </c>
      <c r="O2504" t="str">
        <f>IFERROR(IF(Tbla_actores[[#This Row],[codigo_proyecto]]="","",_xlfn.XLOOKUP(Tbla_actores[[#This Row],[codigo_proyecto]],Proyectos!$A:$A,Proyectos!$C:$C)),"")</f>
        <v>NULOS</v>
      </c>
    </row>
    <row r="2505" spans="1:15">
      <c r="A2505" s="10">
        <v>1002632884</v>
      </c>
      <c r="B2505" s="64" t="s">
        <v>61</v>
      </c>
      <c r="C2505" s="62" t="s">
        <v>7312</v>
      </c>
      <c r="D2505" t="s">
        <v>63</v>
      </c>
      <c r="E2505" t="s">
        <v>7523</v>
      </c>
      <c r="F2505" s="61">
        <v>37848</v>
      </c>
      <c r="G2505" s="15" t="s">
        <v>73</v>
      </c>
      <c r="H2505" t="s">
        <v>7524</v>
      </c>
      <c r="I2505" s="62" t="s">
        <v>7525</v>
      </c>
      <c r="K2505" s="36" t="s">
        <v>169</v>
      </c>
      <c r="L2505" t="s">
        <v>69</v>
      </c>
      <c r="M2505" s="62" t="s">
        <v>170</v>
      </c>
      <c r="N2505" t="s">
        <v>71</v>
      </c>
      <c r="O2505" t="str">
        <f>IFERROR(IF(Tbla_actores[[#This Row],[codigo_proyecto]]="","",_xlfn.XLOOKUP(Tbla_actores[[#This Row],[codigo_proyecto]],Proyectos!$A:$A,Proyectos!$C:$C)),"")</f>
        <v>NULOS</v>
      </c>
    </row>
    <row r="2506" spans="1:15">
      <c r="A2506" s="9">
        <v>1005258975</v>
      </c>
      <c r="B2506" s="63" t="s">
        <v>61</v>
      </c>
      <c r="C2506" s="62" t="s">
        <v>7312</v>
      </c>
      <c r="D2506" t="s">
        <v>63</v>
      </c>
      <c r="E2506" t="s">
        <v>7526</v>
      </c>
      <c r="F2506" s="61">
        <v>37679</v>
      </c>
      <c r="G2506" s="15" t="s">
        <v>65</v>
      </c>
      <c r="H2506" t="s">
        <v>7527</v>
      </c>
      <c r="I2506" s="62" t="s">
        <v>7528</v>
      </c>
      <c r="K2506" s="36" t="s">
        <v>169</v>
      </c>
      <c r="L2506" t="s">
        <v>69</v>
      </c>
      <c r="M2506" s="62" t="s">
        <v>170</v>
      </c>
      <c r="N2506" t="s">
        <v>71</v>
      </c>
      <c r="O2506" t="str">
        <f>IFERROR(IF(Tbla_actores[[#This Row],[codigo_proyecto]]="","",_xlfn.XLOOKUP(Tbla_actores[[#This Row],[codigo_proyecto]],Proyectos!$A:$A,Proyectos!$C:$C)),"")</f>
        <v>NULOS</v>
      </c>
    </row>
    <row r="2507" spans="1:15">
      <c r="A2507" s="10">
        <v>1000518920</v>
      </c>
      <c r="B2507" s="64" t="s">
        <v>61</v>
      </c>
      <c r="C2507" s="62" t="s">
        <v>7312</v>
      </c>
      <c r="D2507" t="s">
        <v>63</v>
      </c>
      <c r="E2507" t="s">
        <v>7529</v>
      </c>
      <c r="F2507" s="61">
        <v>37498</v>
      </c>
      <c r="G2507" s="15" t="s">
        <v>65</v>
      </c>
      <c r="H2507" t="s">
        <v>7530</v>
      </c>
      <c r="I2507" s="62" t="s">
        <v>7531</v>
      </c>
      <c r="K2507" s="36" t="s">
        <v>68</v>
      </c>
      <c r="L2507" t="s">
        <v>69</v>
      </c>
      <c r="M2507" s="62" t="s">
        <v>70</v>
      </c>
      <c r="N2507" t="s">
        <v>71</v>
      </c>
      <c r="O2507" t="str">
        <f>IFERROR(IF(Tbla_actores[[#This Row],[codigo_proyecto]]="","",_xlfn.XLOOKUP(Tbla_actores[[#This Row],[codigo_proyecto]],Proyectos!$A:$A,Proyectos!$C:$C)),"")</f>
        <v>NULOS</v>
      </c>
    </row>
    <row r="2508" spans="1:15">
      <c r="A2508" s="9">
        <v>1007106988</v>
      </c>
      <c r="B2508" s="63" t="s">
        <v>61</v>
      </c>
      <c r="C2508" s="62" t="s">
        <v>7312</v>
      </c>
      <c r="D2508" t="s">
        <v>63</v>
      </c>
      <c r="E2508" t="s">
        <v>7532</v>
      </c>
      <c r="F2508" s="61">
        <v>37775</v>
      </c>
      <c r="G2508" s="15" t="s">
        <v>73</v>
      </c>
      <c r="H2508" t="s">
        <v>7533</v>
      </c>
      <c r="I2508" s="62" t="s">
        <v>7534</v>
      </c>
      <c r="K2508" s="36" t="s">
        <v>1489</v>
      </c>
      <c r="L2508" t="s">
        <v>69</v>
      </c>
      <c r="M2508" s="62" t="s">
        <v>70</v>
      </c>
      <c r="N2508" t="s">
        <v>71</v>
      </c>
      <c r="O2508" t="str">
        <f>IFERROR(IF(Tbla_actores[[#This Row],[codigo_proyecto]]="","",_xlfn.XLOOKUP(Tbla_actores[[#This Row],[codigo_proyecto]],Proyectos!$A:$A,Proyectos!$C:$C)),"")</f>
        <v>NULOS</v>
      </c>
    </row>
    <row r="2509" spans="1:15">
      <c r="A2509" s="10">
        <v>1000612970</v>
      </c>
      <c r="B2509" s="64" t="s">
        <v>61</v>
      </c>
      <c r="C2509" s="62" t="s">
        <v>7312</v>
      </c>
      <c r="D2509" t="s">
        <v>63</v>
      </c>
      <c r="E2509" t="s">
        <v>7535</v>
      </c>
      <c r="F2509" s="61">
        <v>37411</v>
      </c>
      <c r="G2509" s="15" t="s">
        <v>65</v>
      </c>
      <c r="H2509" t="s">
        <v>7536</v>
      </c>
      <c r="I2509" s="62" t="s">
        <v>7537</v>
      </c>
      <c r="K2509" s="36" t="s">
        <v>1489</v>
      </c>
      <c r="L2509" t="s">
        <v>69</v>
      </c>
      <c r="M2509" s="62" t="s">
        <v>70</v>
      </c>
      <c r="N2509" t="s">
        <v>71</v>
      </c>
      <c r="O2509" t="str">
        <f>IFERROR(IF(Tbla_actores[[#This Row],[codigo_proyecto]]="","",_xlfn.XLOOKUP(Tbla_actores[[#This Row],[codigo_proyecto]],Proyectos!$A:$A,Proyectos!$C:$C)),"")</f>
        <v>NULOS</v>
      </c>
    </row>
    <row r="2510" spans="1:15">
      <c r="A2510" s="9">
        <v>1193580284</v>
      </c>
      <c r="B2510" s="63" t="s">
        <v>61</v>
      </c>
      <c r="C2510" s="62" t="s">
        <v>7312</v>
      </c>
      <c r="D2510" t="s">
        <v>63</v>
      </c>
      <c r="E2510" t="s">
        <v>7538</v>
      </c>
      <c r="F2510" s="61">
        <v>37914</v>
      </c>
      <c r="G2510" s="15" t="s">
        <v>65</v>
      </c>
      <c r="H2510" t="s">
        <v>7539</v>
      </c>
      <c r="I2510" s="62" t="s">
        <v>7540</v>
      </c>
      <c r="K2510" s="36" t="s">
        <v>169</v>
      </c>
      <c r="L2510" t="s">
        <v>69</v>
      </c>
      <c r="M2510" s="62" t="s">
        <v>170</v>
      </c>
      <c r="N2510" t="s">
        <v>71</v>
      </c>
      <c r="O2510" t="str">
        <f>IFERROR(IF(Tbla_actores[[#This Row],[codigo_proyecto]]="","",_xlfn.XLOOKUP(Tbla_actores[[#This Row],[codigo_proyecto]],Proyectos!$A:$A,Proyectos!$C:$C)),"")</f>
        <v>NULOS</v>
      </c>
    </row>
    <row r="2511" spans="1:15">
      <c r="A2511" s="10">
        <v>1005160840</v>
      </c>
      <c r="B2511" s="64" t="s">
        <v>61</v>
      </c>
      <c r="C2511" s="62" t="s">
        <v>7312</v>
      </c>
      <c r="D2511" t="s">
        <v>63</v>
      </c>
      <c r="E2511" t="s">
        <v>7541</v>
      </c>
      <c r="F2511" s="61">
        <v>37875</v>
      </c>
      <c r="G2511" s="15" t="s">
        <v>65</v>
      </c>
      <c r="H2511" t="s">
        <v>7542</v>
      </c>
      <c r="I2511" s="62" t="s">
        <v>7543</v>
      </c>
      <c r="K2511" s="36" t="s">
        <v>169</v>
      </c>
      <c r="L2511" t="s">
        <v>69</v>
      </c>
      <c r="M2511" s="62" t="s">
        <v>170</v>
      </c>
      <c r="N2511" t="s">
        <v>71</v>
      </c>
      <c r="O2511" t="str">
        <f>IFERROR(IF(Tbla_actores[[#This Row],[codigo_proyecto]]="","",_xlfn.XLOOKUP(Tbla_actores[[#This Row],[codigo_proyecto]],Proyectos!$A:$A,Proyectos!$C:$C)),"")</f>
        <v>NULOS</v>
      </c>
    </row>
    <row r="2512" spans="1:15">
      <c r="A2512" s="9">
        <v>1000119785</v>
      </c>
      <c r="B2512" s="63" t="s">
        <v>61</v>
      </c>
      <c r="C2512" s="62" t="s">
        <v>7312</v>
      </c>
      <c r="D2512" t="s">
        <v>63</v>
      </c>
      <c r="E2512" t="s">
        <v>7544</v>
      </c>
      <c r="F2512" s="61">
        <v>37000</v>
      </c>
      <c r="G2512" s="15" t="s">
        <v>73</v>
      </c>
      <c r="H2512" t="s">
        <v>7545</v>
      </c>
      <c r="I2512" s="62" t="s">
        <v>7546</v>
      </c>
      <c r="K2512" s="36" t="s">
        <v>1489</v>
      </c>
      <c r="L2512" t="s">
        <v>69</v>
      </c>
      <c r="M2512" s="62" t="s">
        <v>70</v>
      </c>
      <c r="N2512" t="s">
        <v>71</v>
      </c>
      <c r="O2512" t="str">
        <f>IFERROR(IF(Tbla_actores[[#This Row],[codigo_proyecto]]="","",_xlfn.XLOOKUP(Tbla_actores[[#This Row],[codigo_proyecto]],Proyectos!$A:$A,Proyectos!$C:$C)),"")</f>
        <v>NULOS</v>
      </c>
    </row>
    <row r="2513" spans="1:15">
      <c r="A2513" s="10">
        <v>1000273370</v>
      </c>
      <c r="B2513" s="64" t="s">
        <v>61</v>
      </c>
      <c r="C2513" s="62" t="s">
        <v>7312</v>
      </c>
      <c r="D2513" t="s">
        <v>63</v>
      </c>
      <c r="E2513" t="s">
        <v>7547</v>
      </c>
      <c r="F2513" s="61">
        <v>37618</v>
      </c>
      <c r="G2513" s="15" t="s">
        <v>73</v>
      </c>
      <c r="H2513" t="s">
        <v>7548</v>
      </c>
      <c r="I2513" s="62" t="s">
        <v>7549</v>
      </c>
      <c r="K2513" s="36" t="s">
        <v>169</v>
      </c>
      <c r="L2513" t="s">
        <v>69</v>
      </c>
      <c r="M2513" s="62" t="s">
        <v>170</v>
      </c>
      <c r="N2513" t="s">
        <v>71</v>
      </c>
      <c r="O2513" t="str">
        <f>IFERROR(IF(Tbla_actores[[#This Row],[codigo_proyecto]]="","",_xlfn.XLOOKUP(Tbla_actores[[#This Row],[codigo_proyecto]],Proyectos!$A:$A,Proyectos!$C:$C)),"")</f>
        <v>NULOS</v>
      </c>
    </row>
    <row r="2514" spans="1:15">
      <c r="A2514" s="9">
        <v>1007787619</v>
      </c>
      <c r="B2514" s="63" t="s">
        <v>61</v>
      </c>
      <c r="C2514" s="62" t="s">
        <v>7312</v>
      </c>
      <c r="D2514" t="s">
        <v>63</v>
      </c>
      <c r="E2514" t="s">
        <v>7550</v>
      </c>
      <c r="F2514" s="61">
        <v>36949</v>
      </c>
      <c r="G2514" s="15" t="s">
        <v>73</v>
      </c>
      <c r="H2514" t="s">
        <v>7551</v>
      </c>
      <c r="I2514" s="62" t="s">
        <v>7552</v>
      </c>
      <c r="K2514" s="36" t="s">
        <v>169</v>
      </c>
      <c r="L2514" t="s">
        <v>69</v>
      </c>
      <c r="M2514" s="62" t="s">
        <v>170</v>
      </c>
      <c r="N2514" t="s">
        <v>71</v>
      </c>
      <c r="O2514" t="str">
        <f>IFERROR(IF(Tbla_actores[[#This Row],[codigo_proyecto]]="","",_xlfn.XLOOKUP(Tbla_actores[[#This Row],[codigo_proyecto]],Proyectos!$A:$A,Proyectos!$C:$C)),"")</f>
        <v>NULOS</v>
      </c>
    </row>
    <row r="2515" spans="1:15">
      <c r="A2515" s="10">
        <v>1006533239</v>
      </c>
      <c r="B2515" s="64" t="s">
        <v>61</v>
      </c>
      <c r="C2515" s="62" t="s">
        <v>7312</v>
      </c>
      <c r="D2515" t="s">
        <v>63</v>
      </c>
      <c r="E2515" t="s">
        <v>7553</v>
      </c>
      <c r="F2515" s="61">
        <v>36552</v>
      </c>
      <c r="G2515" s="15" t="s">
        <v>73</v>
      </c>
      <c r="H2515" t="s">
        <v>7554</v>
      </c>
      <c r="I2515" s="62" t="s">
        <v>7555</v>
      </c>
      <c r="K2515" s="36" t="s">
        <v>1489</v>
      </c>
      <c r="L2515" t="s">
        <v>69</v>
      </c>
      <c r="M2515" s="62" t="s">
        <v>70</v>
      </c>
      <c r="N2515" t="s">
        <v>71</v>
      </c>
      <c r="O2515" t="str">
        <f>IFERROR(IF(Tbla_actores[[#This Row],[codigo_proyecto]]="","",_xlfn.XLOOKUP(Tbla_actores[[#This Row],[codigo_proyecto]],Proyectos!$A:$A,Proyectos!$C:$C)),"")</f>
        <v>NULOS</v>
      </c>
    </row>
    <row r="2516" spans="1:15">
      <c r="A2516" s="9">
        <v>1007599797</v>
      </c>
      <c r="B2516" s="63" t="s">
        <v>61</v>
      </c>
      <c r="C2516" s="62" t="s">
        <v>7312</v>
      </c>
      <c r="D2516" t="s">
        <v>63</v>
      </c>
      <c r="E2516" t="s">
        <v>7556</v>
      </c>
      <c r="F2516" s="61">
        <v>37657</v>
      </c>
      <c r="G2516" s="15" t="s">
        <v>65</v>
      </c>
      <c r="H2516" t="s">
        <v>7557</v>
      </c>
      <c r="I2516" s="62" t="s">
        <v>7558</v>
      </c>
      <c r="K2516" s="36" t="s">
        <v>169</v>
      </c>
      <c r="L2516" t="s">
        <v>69</v>
      </c>
      <c r="M2516" s="62" t="s">
        <v>170</v>
      </c>
      <c r="N2516" t="s">
        <v>71</v>
      </c>
      <c r="O2516" t="str">
        <f>IFERROR(IF(Tbla_actores[[#This Row],[codigo_proyecto]]="","",_xlfn.XLOOKUP(Tbla_actores[[#This Row],[codigo_proyecto]],Proyectos!$A:$A,Proyectos!$C:$C)),"")</f>
        <v>NULOS</v>
      </c>
    </row>
    <row r="2517" spans="1:15">
      <c r="A2517" s="10">
        <v>1000255558</v>
      </c>
      <c r="B2517" s="64" t="s">
        <v>61</v>
      </c>
      <c r="C2517" s="62" t="s">
        <v>7312</v>
      </c>
      <c r="D2517" t="s">
        <v>63</v>
      </c>
      <c r="E2517" t="s">
        <v>7559</v>
      </c>
      <c r="F2517" s="61">
        <v>37510</v>
      </c>
      <c r="G2517" s="15" t="s">
        <v>73</v>
      </c>
      <c r="H2517" t="s">
        <v>7560</v>
      </c>
      <c r="I2517" s="62" t="s">
        <v>7561</v>
      </c>
      <c r="K2517" s="36" t="s">
        <v>68</v>
      </c>
      <c r="L2517" t="s">
        <v>69</v>
      </c>
      <c r="M2517" s="62" t="s">
        <v>70</v>
      </c>
      <c r="N2517" t="s">
        <v>71</v>
      </c>
      <c r="O2517" t="str">
        <f>IFERROR(IF(Tbla_actores[[#This Row],[codigo_proyecto]]="","",_xlfn.XLOOKUP(Tbla_actores[[#This Row],[codigo_proyecto]],Proyectos!$A:$A,Proyectos!$C:$C)),"")</f>
        <v>NULOS</v>
      </c>
    </row>
    <row r="2518" spans="1:15">
      <c r="A2518" s="9">
        <v>1000613194</v>
      </c>
      <c r="B2518" s="63" t="s">
        <v>61</v>
      </c>
      <c r="C2518" s="62" t="s">
        <v>7312</v>
      </c>
      <c r="D2518" t="s">
        <v>63</v>
      </c>
      <c r="E2518" t="s">
        <v>7562</v>
      </c>
      <c r="F2518" s="61">
        <v>37520</v>
      </c>
      <c r="G2518" s="15" t="s">
        <v>73</v>
      </c>
      <c r="H2518" t="s">
        <v>7563</v>
      </c>
      <c r="I2518" s="62" t="s">
        <v>7564</v>
      </c>
      <c r="K2518" s="36" t="s">
        <v>68</v>
      </c>
      <c r="L2518" t="s">
        <v>69</v>
      </c>
      <c r="M2518" s="62" t="s">
        <v>70</v>
      </c>
      <c r="N2518" t="s">
        <v>71</v>
      </c>
      <c r="O2518" t="str">
        <f>IFERROR(IF(Tbla_actores[[#This Row],[codigo_proyecto]]="","",_xlfn.XLOOKUP(Tbla_actores[[#This Row],[codigo_proyecto]],Proyectos!$A:$A,Proyectos!$C:$C)),"")</f>
        <v>NULOS</v>
      </c>
    </row>
    <row r="2519" spans="1:15">
      <c r="A2519" s="10">
        <v>1000627632</v>
      </c>
      <c r="B2519" s="64" t="s">
        <v>61</v>
      </c>
      <c r="C2519" s="62" t="s">
        <v>7312</v>
      </c>
      <c r="D2519" t="s">
        <v>63</v>
      </c>
      <c r="E2519" t="s">
        <v>7565</v>
      </c>
      <c r="F2519" s="61">
        <v>37584</v>
      </c>
      <c r="G2519" s="15" t="s">
        <v>73</v>
      </c>
      <c r="H2519" t="s">
        <v>7566</v>
      </c>
      <c r="I2519" s="62" t="s">
        <v>7567</v>
      </c>
      <c r="K2519" s="36" t="s">
        <v>1489</v>
      </c>
      <c r="L2519" t="s">
        <v>69</v>
      </c>
      <c r="M2519" s="62" t="s">
        <v>70</v>
      </c>
      <c r="N2519" t="s">
        <v>71</v>
      </c>
      <c r="O2519" t="str">
        <f>IFERROR(IF(Tbla_actores[[#This Row],[codigo_proyecto]]="","",_xlfn.XLOOKUP(Tbla_actores[[#This Row],[codigo_proyecto]],Proyectos!$A:$A,Proyectos!$C:$C)),"")</f>
        <v>NULOS</v>
      </c>
    </row>
    <row r="2520" spans="1:15">
      <c r="A2520" s="9">
        <v>1001114902</v>
      </c>
      <c r="B2520" s="63" t="s">
        <v>61</v>
      </c>
      <c r="C2520" s="62" t="s">
        <v>7312</v>
      </c>
      <c r="D2520" t="s">
        <v>63</v>
      </c>
      <c r="E2520" t="s">
        <v>7568</v>
      </c>
      <c r="F2520" s="61">
        <v>36624</v>
      </c>
      <c r="G2520" s="15" t="s">
        <v>73</v>
      </c>
      <c r="H2520" t="s">
        <v>7569</v>
      </c>
      <c r="I2520" s="62" t="s">
        <v>7570</v>
      </c>
      <c r="K2520" s="36" t="s">
        <v>1489</v>
      </c>
      <c r="L2520" t="s">
        <v>69</v>
      </c>
      <c r="M2520" s="62" t="s">
        <v>70</v>
      </c>
      <c r="N2520" t="s">
        <v>71</v>
      </c>
      <c r="O2520" t="str">
        <f>IFERROR(IF(Tbla_actores[[#This Row],[codigo_proyecto]]="","",_xlfn.XLOOKUP(Tbla_actores[[#This Row],[codigo_proyecto]],Proyectos!$A:$A,Proyectos!$C:$C)),"")</f>
        <v>NULOS</v>
      </c>
    </row>
    <row r="2521" spans="1:15">
      <c r="A2521" s="10">
        <v>1001091662</v>
      </c>
      <c r="B2521" s="64" t="s">
        <v>61</v>
      </c>
      <c r="C2521" s="62" t="s">
        <v>7312</v>
      </c>
      <c r="D2521" t="s">
        <v>63</v>
      </c>
      <c r="E2521" t="s">
        <v>7571</v>
      </c>
      <c r="F2521" s="61">
        <v>37068</v>
      </c>
      <c r="G2521" s="15" t="s">
        <v>73</v>
      </c>
      <c r="H2521" t="s">
        <v>7572</v>
      </c>
      <c r="I2521" s="62" t="s">
        <v>7573</v>
      </c>
      <c r="K2521" s="36" t="s">
        <v>169</v>
      </c>
      <c r="L2521" t="s">
        <v>69</v>
      </c>
      <c r="M2521" s="62" t="s">
        <v>170</v>
      </c>
      <c r="N2521" t="s">
        <v>71</v>
      </c>
      <c r="O2521" t="str">
        <f>IFERROR(IF(Tbla_actores[[#This Row],[codigo_proyecto]]="","",_xlfn.XLOOKUP(Tbla_actores[[#This Row],[codigo_proyecto]],Proyectos!$A:$A,Proyectos!$C:$C)),"")</f>
        <v>NULOS</v>
      </c>
    </row>
    <row r="2522" spans="1:15">
      <c r="A2522" s="9">
        <v>1007103743</v>
      </c>
      <c r="B2522" s="63" t="s">
        <v>61</v>
      </c>
      <c r="C2522" s="62" t="s">
        <v>7312</v>
      </c>
      <c r="D2522" t="s">
        <v>63</v>
      </c>
      <c r="E2522" t="s">
        <v>7574</v>
      </c>
      <c r="F2522" s="61">
        <v>37893</v>
      </c>
      <c r="G2522" s="15" t="s">
        <v>65</v>
      </c>
      <c r="H2522" t="s">
        <v>7575</v>
      </c>
      <c r="I2522" s="62" t="s">
        <v>7576</v>
      </c>
      <c r="K2522" s="36" t="s">
        <v>169</v>
      </c>
      <c r="L2522" t="s">
        <v>69</v>
      </c>
      <c r="M2522" s="62" t="s">
        <v>170</v>
      </c>
      <c r="N2522" t="s">
        <v>71</v>
      </c>
      <c r="O2522" t="str">
        <f>IFERROR(IF(Tbla_actores[[#This Row],[codigo_proyecto]]="","",_xlfn.XLOOKUP(Tbla_actores[[#This Row],[codigo_proyecto]],Proyectos!$A:$A,Proyectos!$C:$C)),"")</f>
        <v>NULOS</v>
      </c>
    </row>
    <row r="2523" spans="1:15">
      <c r="A2523" s="10">
        <v>1000288109</v>
      </c>
      <c r="B2523" s="64" t="s">
        <v>61</v>
      </c>
      <c r="C2523" s="62" t="s">
        <v>7312</v>
      </c>
      <c r="D2523" t="s">
        <v>63</v>
      </c>
      <c r="E2523" t="s">
        <v>7577</v>
      </c>
      <c r="F2523" s="61">
        <v>37778</v>
      </c>
      <c r="G2523" s="15" t="s">
        <v>65</v>
      </c>
      <c r="H2523" t="s">
        <v>7578</v>
      </c>
      <c r="I2523" s="62" t="s">
        <v>7579</v>
      </c>
      <c r="K2523" s="36" t="s">
        <v>169</v>
      </c>
      <c r="L2523" t="s">
        <v>69</v>
      </c>
      <c r="M2523" s="62" t="s">
        <v>170</v>
      </c>
      <c r="N2523" t="s">
        <v>71</v>
      </c>
      <c r="O2523" t="str">
        <f>IFERROR(IF(Tbla_actores[[#This Row],[codigo_proyecto]]="","",_xlfn.XLOOKUP(Tbla_actores[[#This Row],[codigo_proyecto]],Proyectos!$A:$A,Proyectos!$C:$C)),"")</f>
        <v>NULOS</v>
      </c>
    </row>
    <row r="2524" spans="1:15">
      <c r="A2524" s="9">
        <v>1023082071</v>
      </c>
      <c r="B2524" s="63" t="s">
        <v>61</v>
      </c>
      <c r="C2524" s="62" t="s">
        <v>7312</v>
      </c>
      <c r="D2524" t="s">
        <v>63</v>
      </c>
      <c r="E2524" t="s">
        <v>7580</v>
      </c>
      <c r="F2524" s="61">
        <v>37974</v>
      </c>
      <c r="G2524" s="15" t="s">
        <v>73</v>
      </c>
      <c r="H2524" t="s">
        <v>7581</v>
      </c>
      <c r="I2524" s="62" t="s">
        <v>7582</v>
      </c>
      <c r="K2524" s="36" t="s">
        <v>169</v>
      </c>
      <c r="L2524" t="s">
        <v>69</v>
      </c>
      <c r="M2524" s="62" t="s">
        <v>170</v>
      </c>
      <c r="N2524" t="s">
        <v>71</v>
      </c>
      <c r="O2524" t="str">
        <f>IFERROR(IF(Tbla_actores[[#This Row],[codigo_proyecto]]="","",_xlfn.XLOOKUP(Tbla_actores[[#This Row],[codigo_proyecto]],Proyectos!$A:$A,Proyectos!$C:$C)),"")</f>
        <v>NULOS</v>
      </c>
    </row>
    <row r="2525" spans="1:15">
      <c r="A2525" s="10">
        <v>1010041702</v>
      </c>
      <c r="B2525" s="64" t="s">
        <v>61</v>
      </c>
      <c r="C2525" s="62" t="s">
        <v>7312</v>
      </c>
      <c r="D2525" t="s">
        <v>63</v>
      </c>
      <c r="E2525" t="s">
        <v>7583</v>
      </c>
      <c r="F2525" s="61">
        <v>37519</v>
      </c>
      <c r="G2525" s="15" t="s">
        <v>73</v>
      </c>
      <c r="H2525" t="s">
        <v>7584</v>
      </c>
      <c r="I2525" s="62" t="s">
        <v>7585</v>
      </c>
      <c r="K2525" s="36" t="s">
        <v>169</v>
      </c>
      <c r="L2525" t="s">
        <v>69</v>
      </c>
      <c r="M2525" s="62" t="s">
        <v>170</v>
      </c>
      <c r="N2525" t="s">
        <v>71</v>
      </c>
      <c r="O2525" t="str">
        <f>IFERROR(IF(Tbla_actores[[#This Row],[codigo_proyecto]]="","",_xlfn.XLOOKUP(Tbla_actores[[#This Row],[codigo_proyecto]],Proyectos!$A:$A,Proyectos!$C:$C)),"")</f>
        <v>NULOS</v>
      </c>
    </row>
    <row r="2526" spans="1:15">
      <c r="A2526" s="9">
        <v>1000808911</v>
      </c>
      <c r="B2526" s="63" t="s">
        <v>61</v>
      </c>
      <c r="C2526" s="62" t="s">
        <v>7312</v>
      </c>
      <c r="D2526" t="s">
        <v>63</v>
      </c>
      <c r="E2526" t="s">
        <v>7586</v>
      </c>
      <c r="F2526" s="61">
        <v>37687</v>
      </c>
      <c r="G2526" s="15" t="s">
        <v>65</v>
      </c>
      <c r="H2526" t="s">
        <v>7587</v>
      </c>
      <c r="I2526" s="62" t="s">
        <v>7588</v>
      </c>
      <c r="K2526" s="36" t="s">
        <v>169</v>
      </c>
      <c r="L2526" t="s">
        <v>69</v>
      </c>
      <c r="M2526" s="62" t="s">
        <v>170</v>
      </c>
      <c r="N2526" t="s">
        <v>71</v>
      </c>
      <c r="O2526" t="str">
        <f>IFERROR(IF(Tbla_actores[[#This Row],[codigo_proyecto]]="","",_xlfn.XLOOKUP(Tbla_actores[[#This Row],[codigo_proyecto]],Proyectos!$A:$A,Proyectos!$C:$C)),"")</f>
        <v>NULOS</v>
      </c>
    </row>
    <row r="2527" spans="1:15">
      <c r="A2527" s="10">
        <v>1000951271</v>
      </c>
      <c r="B2527" s="64" t="s">
        <v>61</v>
      </c>
      <c r="C2527" s="62" t="s">
        <v>7312</v>
      </c>
      <c r="D2527" t="s">
        <v>63</v>
      </c>
      <c r="E2527" t="s">
        <v>7589</v>
      </c>
      <c r="F2527" s="61">
        <v>37638</v>
      </c>
      <c r="G2527" s="15" t="s">
        <v>73</v>
      </c>
      <c r="H2527" t="s">
        <v>7590</v>
      </c>
      <c r="I2527" s="62" t="s">
        <v>7591</v>
      </c>
      <c r="K2527" s="36" t="s">
        <v>169</v>
      </c>
      <c r="L2527" t="s">
        <v>69</v>
      </c>
      <c r="M2527" s="62" t="s">
        <v>170</v>
      </c>
      <c r="N2527" t="s">
        <v>71</v>
      </c>
      <c r="O2527" t="str">
        <f>IFERROR(IF(Tbla_actores[[#This Row],[codigo_proyecto]]="","",_xlfn.XLOOKUP(Tbla_actores[[#This Row],[codigo_proyecto]],Proyectos!$A:$A,Proyectos!$C:$C)),"")</f>
        <v>NULOS</v>
      </c>
    </row>
    <row r="2528" spans="1:15">
      <c r="A2528" s="9">
        <v>1000612581</v>
      </c>
      <c r="B2528" s="63" t="s">
        <v>61</v>
      </c>
      <c r="C2528" s="62" t="s">
        <v>7312</v>
      </c>
      <c r="D2528" t="s">
        <v>63</v>
      </c>
      <c r="E2528" t="s">
        <v>7592</v>
      </c>
      <c r="F2528" s="61">
        <v>37834</v>
      </c>
      <c r="G2528" s="15" t="s">
        <v>65</v>
      </c>
      <c r="H2528" t="s">
        <v>7593</v>
      </c>
      <c r="I2528" s="62" t="s">
        <v>7594</v>
      </c>
      <c r="K2528" s="36" t="s">
        <v>169</v>
      </c>
      <c r="L2528" t="s">
        <v>69</v>
      </c>
      <c r="M2528" s="62" t="s">
        <v>170</v>
      </c>
      <c r="N2528" t="s">
        <v>71</v>
      </c>
      <c r="O2528" t="str">
        <f>IFERROR(IF(Tbla_actores[[#This Row],[codigo_proyecto]]="","",_xlfn.XLOOKUP(Tbla_actores[[#This Row],[codigo_proyecto]],Proyectos!$A:$A,Proyectos!$C:$C)),"")</f>
        <v>NULOS</v>
      </c>
    </row>
    <row r="2529" spans="1:15">
      <c r="A2529" s="10">
        <v>1005061564</v>
      </c>
      <c r="B2529" s="64" t="s">
        <v>61</v>
      </c>
      <c r="C2529" s="62" t="s">
        <v>7312</v>
      </c>
      <c r="D2529" t="s">
        <v>63</v>
      </c>
      <c r="E2529" t="s">
        <v>7595</v>
      </c>
      <c r="F2529" s="61">
        <v>37687</v>
      </c>
      <c r="G2529" s="15" t="s">
        <v>73</v>
      </c>
      <c r="H2529" t="s">
        <v>7596</v>
      </c>
      <c r="I2529" s="62" t="s">
        <v>7597</v>
      </c>
      <c r="K2529" s="36" t="s">
        <v>169</v>
      </c>
      <c r="L2529" t="s">
        <v>69</v>
      </c>
      <c r="M2529" s="62" t="s">
        <v>170</v>
      </c>
      <c r="N2529" t="s">
        <v>71</v>
      </c>
      <c r="O2529" t="str">
        <f>IFERROR(IF(Tbla_actores[[#This Row],[codigo_proyecto]]="","",_xlfn.XLOOKUP(Tbla_actores[[#This Row],[codigo_proyecto]],Proyectos!$A:$A,Proyectos!$C:$C)),"")</f>
        <v>NULOS</v>
      </c>
    </row>
    <row r="2530" spans="1:15">
      <c r="A2530" s="9">
        <v>99364821</v>
      </c>
      <c r="B2530" s="63" t="s">
        <v>61</v>
      </c>
      <c r="C2530" s="62" t="s">
        <v>7312</v>
      </c>
      <c r="D2530" t="s">
        <v>63</v>
      </c>
      <c r="E2530" t="s">
        <v>7598</v>
      </c>
      <c r="F2530" s="61" t="s">
        <v>1433</v>
      </c>
      <c r="G2530" s="15" t="s">
        <v>1433</v>
      </c>
      <c r="H2530" t="s">
        <v>1433</v>
      </c>
      <c r="I2530" s="62" t="s">
        <v>1433</v>
      </c>
      <c r="K2530" s="36" t="s">
        <v>169</v>
      </c>
      <c r="L2530" t="s">
        <v>69</v>
      </c>
      <c r="M2530" s="62" t="s">
        <v>2558</v>
      </c>
      <c r="N2530" t="s">
        <v>71</v>
      </c>
      <c r="O2530" t="str">
        <f>IFERROR(IF(Tbla_actores[[#This Row],[codigo_proyecto]]="","",_xlfn.XLOOKUP(Tbla_actores[[#This Row],[codigo_proyecto]],Proyectos!$A:$A,Proyectos!$C:$C)),"")</f>
        <v>NULOS</v>
      </c>
    </row>
    <row r="2531" spans="1:15">
      <c r="A2531" s="10">
        <v>1000988521</v>
      </c>
      <c r="B2531" s="64" t="s">
        <v>61</v>
      </c>
      <c r="C2531" s="62" t="s">
        <v>7312</v>
      </c>
      <c r="D2531" t="s">
        <v>63</v>
      </c>
      <c r="E2531" t="s">
        <v>7599</v>
      </c>
      <c r="F2531" s="61">
        <v>37300</v>
      </c>
      <c r="G2531" s="15" t="s">
        <v>65</v>
      </c>
      <c r="H2531" t="s">
        <v>7600</v>
      </c>
      <c r="I2531" s="62" t="s">
        <v>7601</v>
      </c>
      <c r="K2531" s="36" t="s">
        <v>68</v>
      </c>
      <c r="L2531" t="s">
        <v>69</v>
      </c>
      <c r="M2531" s="62" t="s">
        <v>70</v>
      </c>
      <c r="N2531" t="s">
        <v>71</v>
      </c>
      <c r="O2531" t="str">
        <f>IFERROR(IF(Tbla_actores[[#This Row],[codigo_proyecto]]="","",_xlfn.XLOOKUP(Tbla_actores[[#This Row],[codigo_proyecto]],Proyectos!$A:$A,Proyectos!$C:$C)),"")</f>
        <v>NULOS</v>
      </c>
    </row>
    <row r="2532" spans="1:15">
      <c r="A2532" s="9">
        <v>1000794470</v>
      </c>
      <c r="B2532" s="63" t="s">
        <v>61</v>
      </c>
      <c r="C2532" s="62" t="s">
        <v>7312</v>
      </c>
      <c r="D2532" t="s">
        <v>63</v>
      </c>
      <c r="E2532" t="s">
        <v>7602</v>
      </c>
      <c r="F2532" s="61">
        <v>37622</v>
      </c>
      <c r="G2532" s="15" t="s">
        <v>73</v>
      </c>
      <c r="H2532" t="s">
        <v>7603</v>
      </c>
      <c r="I2532" s="62" t="s">
        <v>7604</v>
      </c>
      <c r="K2532" s="36" t="s">
        <v>169</v>
      </c>
      <c r="L2532" t="s">
        <v>69</v>
      </c>
      <c r="M2532" s="62" t="s">
        <v>170</v>
      </c>
      <c r="N2532" t="s">
        <v>71</v>
      </c>
      <c r="O2532" t="str">
        <f>IFERROR(IF(Tbla_actores[[#This Row],[codigo_proyecto]]="","",_xlfn.XLOOKUP(Tbla_actores[[#This Row],[codigo_proyecto]],Proyectos!$A:$A,Proyectos!$C:$C)),"")</f>
        <v>NULOS</v>
      </c>
    </row>
    <row r="2533" spans="1:15">
      <c r="A2533" s="10">
        <v>1056120241</v>
      </c>
      <c r="B2533" s="64" t="s">
        <v>61</v>
      </c>
      <c r="C2533" s="62" t="s">
        <v>7312</v>
      </c>
      <c r="D2533" t="s">
        <v>63</v>
      </c>
      <c r="E2533" t="s">
        <v>7605</v>
      </c>
      <c r="F2533" s="61">
        <v>38014</v>
      </c>
      <c r="G2533" s="15" t="s">
        <v>73</v>
      </c>
      <c r="H2533" t="s">
        <v>7606</v>
      </c>
      <c r="I2533" s="62" t="s">
        <v>7607</v>
      </c>
      <c r="K2533" s="36" t="s">
        <v>169</v>
      </c>
      <c r="L2533" t="s">
        <v>69</v>
      </c>
      <c r="M2533" s="62" t="s">
        <v>170</v>
      </c>
      <c r="N2533" t="s">
        <v>71</v>
      </c>
      <c r="O2533" t="str">
        <f>IFERROR(IF(Tbla_actores[[#This Row],[codigo_proyecto]]="","",_xlfn.XLOOKUP(Tbla_actores[[#This Row],[codigo_proyecto]],Proyectos!$A:$A,Proyectos!$C:$C)),"")</f>
        <v>NULOS</v>
      </c>
    </row>
    <row r="2534" spans="1:15">
      <c r="A2534" s="9">
        <v>1127938045</v>
      </c>
      <c r="B2534" s="63" t="s">
        <v>61</v>
      </c>
      <c r="C2534" s="62" t="s">
        <v>7312</v>
      </c>
      <c r="D2534" t="s">
        <v>63</v>
      </c>
      <c r="E2534" t="s">
        <v>7608</v>
      </c>
      <c r="F2534" s="61">
        <v>37516</v>
      </c>
      <c r="G2534" s="15" t="s">
        <v>65</v>
      </c>
      <c r="H2534" t="s">
        <v>7609</v>
      </c>
      <c r="I2534" s="62" t="s">
        <v>7610</v>
      </c>
      <c r="K2534" s="36" t="s">
        <v>169</v>
      </c>
      <c r="L2534" t="s">
        <v>69</v>
      </c>
      <c r="M2534" s="62" t="s">
        <v>170</v>
      </c>
      <c r="N2534" t="s">
        <v>71</v>
      </c>
      <c r="O2534" t="str">
        <f>IFERROR(IF(Tbla_actores[[#This Row],[codigo_proyecto]]="","",_xlfn.XLOOKUP(Tbla_actores[[#This Row],[codigo_proyecto]],Proyectos!$A:$A,Proyectos!$C:$C)),"")</f>
        <v>NULOS</v>
      </c>
    </row>
    <row r="2535" spans="1:15">
      <c r="A2535" s="10">
        <v>1000365095</v>
      </c>
      <c r="B2535" s="64" t="s">
        <v>61</v>
      </c>
      <c r="C2535" s="62" t="s">
        <v>7312</v>
      </c>
      <c r="D2535" t="s">
        <v>63</v>
      </c>
      <c r="E2535" t="s">
        <v>7611</v>
      </c>
      <c r="F2535" s="61">
        <v>37687</v>
      </c>
      <c r="G2535" s="15" t="s">
        <v>73</v>
      </c>
      <c r="H2535" t="s">
        <v>7612</v>
      </c>
      <c r="I2535" s="62" t="s">
        <v>7613</v>
      </c>
      <c r="K2535" s="36" t="s">
        <v>169</v>
      </c>
      <c r="L2535" t="s">
        <v>69</v>
      </c>
      <c r="M2535" s="62" t="s">
        <v>170</v>
      </c>
      <c r="N2535" t="s">
        <v>71</v>
      </c>
      <c r="O2535" t="str">
        <f>IFERROR(IF(Tbla_actores[[#This Row],[codigo_proyecto]]="","",_xlfn.XLOOKUP(Tbla_actores[[#This Row],[codigo_proyecto]],Proyectos!$A:$A,Proyectos!$C:$C)),"")</f>
        <v>NULOS</v>
      </c>
    </row>
    <row r="2536" spans="1:15">
      <c r="A2536" s="9">
        <v>1016109446</v>
      </c>
      <c r="B2536" s="63" t="s">
        <v>61</v>
      </c>
      <c r="C2536" s="62" t="s">
        <v>7312</v>
      </c>
      <c r="D2536" t="s">
        <v>63</v>
      </c>
      <c r="E2536" t="s">
        <v>7614</v>
      </c>
      <c r="F2536" s="61">
        <v>36249</v>
      </c>
      <c r="G2536" s="15" t="s">
        <v>73</v>
      </c>
      <c r="H2536" t="s">
        <v>7615</v>
      </c>
      <c r="I2536" s="62" t="s">
        <v>7616</v>
      </c>
      <c r="K2536" s="36" t="s">
        <v>169</v>
      </c>
      <c r="L2536" t="s">
        <v>69</v>
      </c>
      <c r="M2536" s="62" t="s">
        <v>170</v>
      </c>
      <c r="N2536" t="s">
        <v>71</v>
      </c>
      <c r="O2536" t="str">
        <f>IFERROR(IF(Tbla_actores[[#This Row],[codigo_proyecto]]="","",_xlfn.XLOOKUP(Tbla_actores[[#This Row],[codigo_proyecto]],Proyectos!$A:$A,Proyectos!$C:$C)),"")</f>
        <v>NULOS</v>
      </c>
    </row>
    <row r="2537" spans="1:15">
      <c r="A2537" s="10">
        <v>1001330239</v>
      </c>
      <c r="B2537" s="64" t="s">
        <v>61</v>
      </c>
      <c r="C2537" s="62" t="s">
        <v>7312</v>
      </c>
      <c r="D2537" t="s">
        <v>63</v>
      </c>
      <c r="E2537" t="s">
        <v>7617</v>
      </c>
      <c r="F2537" s="61">
        <v>37568</v>
      </c>
      <c r="G2537" s="15" t="s">
        <v>65</v>
      </c>
      <c r="H2537" t="s">
        <v>7618</v>
      </c>
      <c r="I2537" s="62" t="s">
        <v>7619</v>
      </c>
      <c r="K2537" s="36" t="s">
        <v>169</v>
      </c>
      <c r="L2537" t="s">
        <v>69</v>
      </c>
      <c r="M2537" s="62" t="s">
        <v>170</v>
      </c>
      <c r="N2537" t="s">
        <v>71</v>
      </c>
      <c r="O2537" t="str">
        <f>IFERROR(IF(Tbla_actores[[#This Row],[codigo_proyecto]]="","",_xlfn.XLOOKUP(Tbla_actores[[#This Row],[codigo_proyecto]],Proyectos!$A:$A,Proyectos!$C:$C)),"")</f>
        <v>NULOS</v>
      </c>
    </row>
    <row r="2538" spans="1:15">
      <c r="A2538" s="9">
        <v>1034656040</v>
      </c>
      <c r="B2538" s="63" t="s">
        <v>61</v>
      </c>
      <c r="C2538" s="62" t="s">
        <v>7312</v>
      </c>
      <c r="D2538" t="s">
        <v>63</v>
      </c>
      <c r="E2538" t="s">
        <v>7620</v>
      </c>
      <c r="F2538" s="61">
        <v>37959</v>
      </c>
      <c r="G2538" s="15" t="s">
        <v>73</v>
      </c>
      <c r="H2538" t="s">
        <v>7621</v>
      </c>
      <c r="I2538" s="62" t="s">
        <v>7622</v>
      </c>
      <c r="K2538" s="36" t="s">
        <v>169</v>
      </c>
      <c r="L2538" t="s">
        <v>69</v>
      </c>
      <c r="M2538" s="62" t="s">
        <v>170</v>
      </c>
      <c r="N2538" t="s">
        <v>71</v>
      </c>
      <c r="O2538" t="str">
        <f>IFERROR(IF(Tbla_actores[[#This Row],[codigo_proyecto]]="","",_xlfn.XLOOKUP(Tbla_actores[[#This Row],[codigo_proyecto]],Proyectos!$A:$A,Proyectos!$C:$C)),"")</f>
        <v>NULOS</v>
      </c>
    </row>
    <row r="2539" spans="1:15">
      <c r="A2539" s="10">
        <v>1000365939</v>
      </c>
      <c r="B2539" s="64" t="s">
        <v>61</v>
      </c>
      <c r="C2539" s="62" t="s">
        <v>7312</v>
      </c>
      <c r="D2539" t="s">
        <v>63</v>
      </c>
      <c r="E2539" t="s">
        <v>7623</v>
      </c>
      <c r="F2539" s="61">
        <v>37827</v>
      </c>
      <c r="G2539" s="15" t="s">
        <v>65</v>
      </c>
      <c r="H2539" t="s">
        <v>7624</v>
      </c>
      <c r="I2539" s="62" t="s">
        <v>7625</v>
      </c>
      <c r="K2539" s="36" t="s">
        <v>169</v>
      </c>
      <c r="L2539" t="s">
        <v>69</v>
      </c>
      <c r="M2539" s="62" t="s">
        <v>170</v>
      </c>
      <c r="N2539" t="s">
        <v>71</v>
      </c>
      <c r="O2539" t="str">
        <f>IFERROR(IF(Tbla_actores[[#This Row],[codigo_proyecto]]="","",_xlfn.XLOOKUP(Tbla_actores[[#This Row],[codigo_proyecto]],Proyectos!$A:$A,Proyectos!$C:$C)),"")</f>
        <v>NULOS</v>
      </c>
    </row>
    <row r="2540" spans="1:15">
      <c r="A2540" s="9">
        <v>1001219452</v>
      </c>
      <c r="B2540" s="63" t="s">
        <v>61</v>
      </c>
      <c r="C2540" s="62" t="s">
        <v>7312</v>
      </c>
      <c r="D2540" t="s">
        <v>63</v>
      </c>
      <c r="E2540" t="s">
        <v>7626</v>
      </c>
      <c r="F2540" s="61">
        <v>37681</v>
      </c>
      <c r="G2540" s="15" t="s">
        <v>65</v>
      </c>
      <c r="H2540" t="s">
        <v>7627</v>
      </c>
      <c r="I2540" s="62" t="s">
        <v>7628</v>
      </c>
      <c r="K2540" s="36" t="s">
        <v>169</v>
      </c>
      <c r="L2540" t="s">
        <v>69</v>
      </c>
      <c r="M2540" s="62" t="s">
        <v>170</v>
      </c>
      <c r="N2540" t="s">
        <v>71</v>
      </c>
      <c r="O2540" t="str">
        <f>IFERROR(IF(Tbla_actores[[#This Row],[codigo_proyecto]]="","",_xlfn.XLOOKUP(Tbla_actores[[#This Row],[codigo_proyecto]],Proyectos!$A:$A,Proyectos!$C:$C)),"")</f>
        <v>NULOS</v>
      </c>
    </row>
    <row r="2541" spans="1:15">
      <c r="A2541" s="10">
        <v>1000256465</v>
      </c>
      <c r="B2541" s="64" t="s">
        <v>61</v>
      </c>
      <c r="C2541" s="62" t="s">
        <v>7312</v>
      </c>
      <c r="D2541" t="s">
        <v>63</v>
      </c>
      <c r="E2541" t="s">
        <v>7629</v>
      </c>
      <c r="F2541" s="61">
        <v>37850</v>
      </c>
      <c r="G2541" s="15" t="s">
        <v>65</v>
      </c>
      <c r="H2541" t="s">
        <v>7630</v>
      </c>
      <c r="I2541" s="62" t="s">
        <v>7631</v>
      </c>
      <c r="K2541" s="36" t="s">
        <v>169</v>
      </c>
      <c r="L2541" t="s">
        <v>69</v>
      </c>
      <c r="M2541" s="62" t="s">
        <v>170</v>
      </c>
      <c r="N2541" t="s">
        <v>71</v>
      </c>
      <c r="O2541" t="str">
        <f>IFERROR(IF(Tbla_actores[[#This Row],[codigo_proyecto]]="","",_xlfn.XLOOKUP(Tbla_actores[[#This Row],[codigo_proyecto]],Proyectos!$A:$A,Proyectos!$C:$C)),"")</f>
        <v>NULOS</v>
      </c>
    </row>
    <row r="2542" spans="1:15">
      <c r="A2542" s="9">
        <v>1000796566</v>
      </c>
      <c r="B2542" s="63" t="s">
        <v>61</v>
      </c>
      <c r="C2542" s="62" t="s">
        <v>7312</v>
      </c>
      <c r="D2542" t="s">
        <v>63</v>
      </c>
      <c r="E2542" t="s">
        <v>7632</v>
      </c>
      <c r="F2542" s="61">
        <v>37821</v>
      </c>
      <c r="G2542" s="15" t="s">
        <v>65</v>
      </c>
      <c r="H2542" t="s">
        <v>7633</v>
      </c>
      <c r="I2542" s="62" t="s">
        <v>7634</v>
      </c>
      <c r="K2542" s="36" t="s">
        <v>169</v>
      </c>
      <c r="L2542" t="s">
        <v>69</v>
      </c>
      <c r="M2542" s="62" t="s">
        <v>170</v>
      </c>
      <c r="N2542" t="s">
        <v>71</v>
      </c>
      <c r="O2542" t="str">
        <f>IFERROR(IF(Tbla_actores[[#This Row],[codigo_proyecto]]="","",_xlfn.XLOOKUP(Tbla_actores[[#This Row],[codigo_proyecto]],Proyectos!$A:$A,Proyectos!$C:$C)),"")</f>
        <v>NULOS</v>
      </c>
    </row>
    <row r="2543" spans="1:15">
      <c r="A2543" s="10">
        <v>1001192350</v>
      </c>
      <c r="B2543" s="64" t="s">
        <v>61</v>
      </c>
      <c r="C2543" s="62" t="s">
        <v>7312</v>
      </c>
      <c r="D2543" t="s">
        <v>63</v>
      </c>
      <c r="E2543" t="s">
        <v>7635</v>
      </c>
      <c r="F2543" s="61">
        <v>37518</v>
      </c>
      <c r="G2543" s="15" t="s">
        <v>65</v>
      </c>
      <c r="H2543" t="s">
        <v>7636</v>
      </c>
      <c r="I2543" s="62" t="s">
        <v>7637</v>
      </c>
      <c r="K2543" s="36" t="s">
        <v>169</v>
      </c>
      <c r="L2543" t="s">
        <v>69</v>
      </c>
      <c r="M2543" s="62" t="s">
        <v>170</v>
      </c>
      <c r="N2543" t="s">
        <v>71</v>
      </c>
      <c r="O2543" t="str">
        <f>IFERROR(IF(Tbla_actores[[#This Row],[codigo_proyecto]]="","",_xlfn.XLOOKUP(Tbla_actores[[#This Row],[codigo_proyecto]],Proyectos!$A:$A,Proyectos!$C:$C)),"")</f>
        <v>NULOS</v>
      </c>
    </row>
    <row r="2544" spans="1:15">
      <c r="A2544" s="9">
        <v>1094044488</v>
      </c>
      <c r="B2544" s="63" t="s">
        <v>61</v>
      </c>
      <c r="C2544" s="62" t="s">
        <v>7312</v>
      </c>
      <c r="D2544" t="s">
        <v>63</v>
      </c>
      <c r="E2544" t="s">
        <v>7638</v>
      </c>
      <c r="F2544" s="61">
        <v>38015</v>
      </c>
      <c r="G2544" s="15" t="s">
        <v>65</v>
      </c>
      <c r="H2544" t="s">
        <v>7639</v>
      </c>
      <c r="I2544" s="62" t="s">
        <v>7640</v>
      </c>
      <c r="K2544" s="36" t="s">
        <v>169</v>
      </c>
      <c r="L2544" t="s">
        <v>69</v>
      </c>
      <c r="M2544" s="62" t="s">
        <v>170</v>
      </c>
      <c r="N2544" t="s">
        <v>71</v>
      </c>
      <c r="O2544" t="str">
        <f>IFERROR(IF(Tbla_actores[[#This Row],[codigo_proyecto]]="","",_xlfn.XLOOKUP(Tbla_actores[[#This Row],[codigo_proyecto]],Proyectos!$A:$A,Proyectos!$C:$C)),"")</f>
        <v>NULOS</v>
      </c>
    </row>
    <row r="2545" spans="1:15">
      <c r="A2545" s="10">
        <v>1002330342</v>
      </c>
      <c r="B2545" s="64" t="s">
        <v>61</v>
      </c>
      <c r="C2545" s="62" t="s">
        <v>7312</v>
      </c>
      <c r="D2545" t="s">
        <v>63</v>
      </c>
      <c r="E2545" t="s">
        <v>7641</v>
      </c>
      <c r="F2545" s="61">
        <v>37446</v>
      </c>
      <c r="G2545" s="15" t="s">
        <v>65</v>
      </c>
      <c r="H2545" t="s">
        <v>7642</v>
      </c>
      <c r="I2545" s="62" t="s">
        <v>7643</v>
      </c>
      <c r="K2545" s="36" t="s">
        <v>169</v>
      </c>
      <c r="L2545" t="s">
        <v>69</v>
      </c>
      <c r="M2545" s="62" t="s">
        <v>170</v>
      </c>
      <c r="N2545" t="s">
        <v>71</v>
      </c>
      <c r="O2545" t="str">
        <f>IFERROR(IF(Tbla_actores[[#This Row],[codigo_proyecto]]="","",_xlfn.XLOOKUP(Tbla_actores[[#This Row],[codigo_proyecto]],Proyectos!$A:$A,Proyectos!$C:$C)),"")</f>
        <v>NULOS</v>
      </c>
    </row>
    <row r="2546" spans="1:15">
      <c r="A2546" s="9">
        <v>1000941729</v>
      </c>
      <c r="B2546" s="63" t="s">
        <v>61</v>
      </c>
      <c r="C2546" s="62" t="s">
        <v>7312</v>
      </c>
      <c r="D2546" t="s">
        <v>63</v>
      </c>
      <c r="E2546" t="s">
        <v>7644</v>
      </c>
      <c r="F2546" s="61">
        <v>37577</v>
      </c>
      <c r="G2546" s="15" t="s">
        <v>73</v>
      </c>
      <c r="H2546" t="s">
        <v>7645</v>
      </c>
      <c r="I2546" s="62" t="s">
        <v>7646</v>
      </c>
      <c r="K2546" s="36" t="s">
        <v>169</v>
      </c>
      <c r="L2546" t="s">
        <v>69</v>
      </c>
      <c r="M2546" s="62" t="s">
        <v>170</v>
      </c>
      <c r="N2546" t="s">
        <v>71</v>
      </c>
      <c r="O2546" t="str">
        <f>IFERROR(IF(Tbla_actores[[#This Row],[codigo_proyecto]]="","",_xlfn.XLOOKUP(Tbla_actores[[#This Row],[codigo_proyecto]],Proyectos!$A:$A,Proyectos!$C:$C)),"")</f>
        <v>NULOS</v>
      </c>
    </row>
    <row r="2547" spans="1:15">
      <c r="A2547" s="10">
        <v>1014293374</v>
      </c>
      <c r="B2547" s="64" t="s">
        <v>61</v>
      </c>
      <c r="C2547" s="62" t="s">
        <v>7312</v>
      </c>
      <c r="D2547" t="s">
        <v>63</v>
      </c>
      <c r="E2547" t="s">
        <v>7647</v>
      </c>
      <c r="F2547" s="61">
        <v>35737</v>
      </c>
      <c r="G2547" s="15" t="s">
        <v>73</v>
      </c>
      <c r="H2547" t="s">
        <v>7648</v>
      </c>
      <c r="I2547" s="62" t="s">
        <v>7649</v>
      </c>
      <c r="K2547" s="36" t="s">
        <v>169</v>
      </c>
      <c r="L2547" t="s">
        <v>69</v>
      </c>
      <c r="M2547" s="62" t="s">
        <v>170</v>
      </c>
      <c r="N2547" t="s">
        <v>71</v>
      </c>
      <c r="O2547" t="str">
        <f>IFERROR(IF(Tbla_actores[[#This Row],[codigo_proyecto]]="","",_xlfn.XLOOKUP(Tbla_actores[[#This Row],[codigo_proyecto]],Proyectos!$A:$A,Proyectos!$C:$C)),"")</f>
        <v>NULOS</v>
      </c>
    </row>
    <row r="2548" spans="1:15">
      <c r="A2548" s="9">
        <v>1001299153</v>
      </c>
      <c r="B2548" s="63" t="s">
        <v>61</v>
      </c>
      <c r="C2548" s="62" t="s">
        <v>7312</v>
      </c>
      <c r="D2548" t="s">
        <v>63</v>
      </c>
      <c r="E2548" t="s">
        <v>7650</v>
      </c>
      <c r="F2548" s="61">
        <v>37549</v>
      </c>
      <c r="G2548" s="15" t="s">
        <v>73</v>
      </c>
      <c r="H2548" t="s">
        <v>7651</v>
      </c>
      <c r="I2548" s="62" t="s">
        <v>7652</v>
      </c>
      <c r="K2548" s="36" t="s">
        <v>169</v>
      </c>
      <c r="L2548" t="s">
        <v>69</v>
      </c>
      <c r="M2548" s="62" t="s">
        <v>170</v>
      </c>
      <c r="N2548" t="s">
        <v>71</v>
      </c>
      <c r="O2548" t="str">
        <f>IFERROR(IF(Tbla_actores[[#This Row],[codigo_proyecto]]="","",_xlfn.XLOOKUP(Tbla_actores[[#This Row],[codigo_proyecto]],Proyectos!$A:$A,Proyectos!$C:$C)),"")</f>
        <v>NULOS</v>
      </c>
    </row>
    <row r="2549" spans="1:15">
      <c r="A2549" s="10">
        <v>1000612766</v>
      </c>
      <c r="B2549" s="64" t="s">
        <v>61</v>
      </c>
      <c r="C2549" s="62" t="s">
        <v>7312</v>
      </c>
      <c r="D2549" t="s">
        <v>63</v>
      </c>
      <c r="E2549" t="s">
        <v>7653</v>
      </c>
      <c r="F2549" s="61">
        <v>37432</v>
      </c>
      <c r="G2549" s="15" t="s">
        <v>65</v>
      </c>
      <c r="H2549" t="s">
        <v>7654</v>
      </c>
      <c r="I2549" s="62" t="s">
        <v>7655</v>
      </c>
      <c r="K2549" s="36" t="s">
        <v>169</v>
      </c>
      <c r="L2549" t="s">
        <v>69</v>
      </c>
      <c r="M2549" s="62" t="s">
        <v>170</v>
      </c>
      <c r="N2549" t="s">
        <v>71</v>
      </c>
      <c r="O2549" t="str">
        <f>IFERROR(IF(Tbla_actores[[#This Row],[codigo_proyecto]]="","",_xlfn.XLOOKUP(Tbla_actores[[#This Row],[codigo_proyecto]],Proyectos!$A:$A,Proyectos!$C:$C)),"")</f>
        <v>NULOS</v>
      </c>
    </row>
    <row r="2550" spans="1:15">
      <c r="A2550" s="9">
        <v>1005321143</v>
      </c>
      <c r="B2550" s="63" t="s">
        <v>61</v>
      </c>
      <c r="C2550" s="62" t="s">
        <v>7312</v>
      </c>
      <c r="D2550" t="s">
        <v>63</v>
      </c>
      <c r="E2550" t="s">
        <v>7656</v>
      </c>
      <c r="F2550" s="61">
        <v>36615</v>
      </c>
      <c r="G2550" s="15" t="s">
        <v>73</v>
      </c>
      <c r="H2550" t="s">
        <v>7657</v>
      </c>
      <c r="I2550" s="62" t="s">
        <v>7658</v>
      </c>
      <c r="K2550" s="36" t="s">
        <v>1489</v>
      </c>
      <c r="L2550" t="s">
        <v>69</v>
      </c>
      <c r="M2550" s="62" t="s">
        <v>70</v>
      </c>
      <c r="N2550" t="s">
        <v>71</v>
      </c>
      <c r="O2550" t="str">
        <f>IFERROR(IF(Tbla_actores[[#This Row],[codigo_proyecto]]="","",_xlfn.XLOOKUP(Tbla_actores[[#This Row],[codigo_proyecto]],Proyectos!$A:$A,Proyectos!$C:$C)),"")</f>
        <v>NULOS</v>
      </c>
    </row>
    <row r="2551" spans="1:15">
      <c r="A2551" s="10">
        <v>1121720876</v>
      </c>
      <c r="B2551" s="64" t="s">
        <v>61</v>
      </c>
      <c r="C2551" s="62" t="s">
        <v>7312</v>
      </c>
      <c r="D2551" t="s">
        <v>63</v>
      </c>
      <c r="E2551" t="s">
        <v>7659</v>
      </c>
      <c r="F2551" s="61">
        <v>36366</v>
      </c>
      <c r="G2551" s="15" t="s">
        <v>73</v>
      </c>
      <c r="H2551" t="s">
        <v>7660</v>
      </c>
      <c r="I2551" s="62" t="s">
        <v>7661</v>
      </c>
      <c r="K2551" s="36" t="s">
        <v>1489</v>
      </c>
      <c r="L2551" t="s">
        <v>69</v>
      </c>
      <c r="M2551" s="62" t="s">
        <v>70</v>
      </c>
      <c r="N2551" t="s">
        <v>71</v>
      </c>
      <c r="O2551" t="str">
        <f>IFERROR(IF(Tbla_actores[[#This Row],[codigo_proyecto]]="","",_xlfn.XLOOKUP(Tbla_actores[[#This Row],[codigo_proyecto]],Proyectos!$A:$A,Proyectos!$C:$C)),"")</f>
        <v>NULOS</v>
      </c>
    </row>
    <row r="2552" spans="1:15">
      <c r="A2552" s="9">
        <v>1000953345</v>
      </c>
      <c r="B2552" s="63" t="s">
        <v>61</v>
      </c>
      <c r="C2552" s="62" t="s">
        <v>7312</v>
      </c>
      <c r="D2552" t="s">
        <v>63</v>
      </c>
      <c r="E2552" t="s">
        <v>7662</v>
      </c>
      <c r="F2552" s="61">
        <v>37485</v>
      </c>
      <c r="G2552" s="15" t="s">
        <v>73</v>
      </c>
      <c r="H2552" t="s">
        <v>7663</v>
      </c>
      <c r="I2552" s="62" t="s">
        <v>7664</v>
      </c>
      <c r="K2552" s="36" t="s">
        <v>1489</v>
      </c>
      <c r="L2552" t="s">
        <v>69</v>
      </c>
      <c r="M2552" s="62" t="s">
        <v>70</v>
      </c>
      <c r="N2552" t="s">
        <v>71</v>
      </c>
      <c r="O2552" t="str">
        <f>IFERROR(IF(Tbla_actores[[#This Row],[codigo_proyecto]]="","",_xlfn.XLOOKUP(Tbla_actores[[#This Row],[codigo_proyecto]],Proyectos!$A:$A,Proyectos!$C:$C)),"")</f>
        <v>NULOS</v>
      </c>
    </row>
    <row r="2553" spans="1:15">
      <c r="A2553" s="10">
        <v>1000697381</v>
      </c>
      <c r="B2553" s="64" t="s">
        <v>61</v>
      </c>
      <c r="C2553" s="62" t="s">
        <v>7312</v>
      </c>
      <c r="D2553" t="s">
        <v>63</v>
      </c>
      <c r="E2553" t="s">
        <v>7665</v>
      </c>
      <c r="F2553" s="61">
        <v>37068</v>
      </c>
      <c r="G2553" s="15" t="s">
        <v>73</v>
      </c>
      <c r="H2553" t="s">
        <v>7666</v>
      </c>
      <c r="I2553" s="62" t="s">
        <v>7667</v>
      </c>
      <c r="K2553" s="36" t="s">
        <v>1489</v>
      </c>
      <c r="L2553" t="s">
        <v>69</v>
      </c>
      <c r="M2553" s="62" t="s">
        <v>70</v>
      </c>
      <c r="N2553" t="s">
        <v>71</v>
      </c>
      <c r="O2553" t="str">
        <f>IFERROR(IF(Tbla_actores[[#This Row],[codigo_proyecto]]="","",_xlfn.XLOOKUP(Tbla_actores[[#This Row],[codigo_proyecto]],Proyectos!$A:$A,Proyectos!$C:$C)),"")</f>
        <v>NULOS</v>
      </c>
    </row>
    <row r="2554" spans="1:15">
      <c r="A2554" s="9">
        <v>1192789199</v>
      </c>
      <c r="B2554" s="63" t="s">
        <v>61</v>
      </c>
      <c r="C2554" s="62" t="s">
        <v>7312</v>
      </c>
      <c r="D2554" t="s">
        <v>63</v>
      </c>
      <c r="E2554" t="s">
        <v>7668</v>
      </c>
      <c r="F2554" s="61">
        <v>36792</v>
      </c>
      <c r="G2554" s="15" t="s">
        <v>73</v>
      </c>
      <c r="H2554" t="s">
        <v>7669</v>
      </c>
      <c r="I2554" s="62" t="s">
        <v>7670</v>
      </c>
      <c r="K2554" s="36" t="s">
        <v>7671</v>
      </c>
      <c r="L2554" t="s">
        <v>69</v>
      </c>
      <c r="M2554" s="62" t="s">
        <v>70</v>
      </c>
      <c r="N2554" t="s">
        <v>71</v>
      </c>
      <c r="O2554" t="str">
        <f>IFERROR(IF(Tbla_actores[[#This Row],[codigo_proyecto]]="","",_xlfn.XLOOKUP(Tbla_actores[[#This Row],[codigo_proyecto]],Proyectos!$A:$A,Proyectos!$C:$C)),"")</f>
        <v>NULOS</v>
      </c>
    </row>
    <row r="2555" spans="1:15">
      <c r="A2555" s="10">
        <v>1002330302</v>
      </c>
      <c r="B2555" s="64" t="s">
        <v>61</v>
      </c>
      <c r="C2555" s="62" t="s">
        <v>7312</v>
      </c>
      <c r="D2555" t="s">
        <v>63</v>
      </c>
      <c r="E2555" t="s">
        <v>7672</v>
      </c>
      <c r="F2555" s="61">
        <v>37874</v>
      </c>
      <c r="G2555" s="15" t="s">
        <v>65</v>
      </c>
      <c r="H2555" t="s">
        <v>7673</v>
      </c>
      <c r="I2555" s="62" t="s">
        <v>7674</v>
      </c>
      <c r="K2555" s="36" t="s">
        <v>169</v>
      </c>
      <c r="L2555" t="s">
        <v>69</v>
      </c>
      <c r="M2555" s="62" t="s">
        <v>170</v>
      </c>
      <c r="N2555" t="s">
        <v>71</v>
      </c>
      <c r="O2555" t="str">
        <f>IFERROR(IF(Tbla_actores[[#This Row],[codigo_proyecto]]="","",_xlfn.XLOOKUP(Tbla_actores[[#This Row],[codigo_proyecto]],Proyectos!$A:$A,Proyectos!$C:$C)),"")</f>
        <v>NULOS</v>
      </c>
    </row>
    <row r="2556" spans="1:15">
      <c r="A2556" s="9">
        <v>1000223183</v>
      </c>
      <c r="B2556" s="63" t="s">
        <v>61</v>
      </c>
      <c r="C2556" s="62" t="s">
        <v>7312</v>
      </c>
      <c r="D2556" t="s">
        <v>63</v>
      </c>
      <c r="E2556" t="s">
        <v>7675</v>
      </c>
      <c r="F2556" s="61">
        <v>37862</v>
      </c>
      <c r="G2556" s="15" t="s">
        <v>65</v>
      </c>
      <c r="H2556" t="s">
        <v>7676</v>
      </c>
      <c r="I2556" s="62" t="s">
        <v>7677</v>
      </c>
      <c r="K2556" s="36" t="s">
        <v>6427</v>
      </c>
      <c r="L2556" t="s">
        <v>69</v>
      </c>
      <c r="M2556" s="62" t="s">
        <v>70</v>
      </c>
      <c r="N2556" t="s">
        <v>71</v>
      </c>
      <c r="O2556" t="str">
        <f>IFERROR(IF(Tbla_actores[[#This Row],[codigo_proyecto]]="","",_xlfn.XLOOKUP(Tbla_actores[[#This Row],[codigo_proyecto]],Proyectos!$A:$A,Proyectos!$C:$C)),"")</f>
        <v>NULOS</v>
      </c>
    </row>
    <row r="2557" spans="1:15">
      <c r="A2557" s="10">
        <v>1192898741</v>
      </c>
      <c r="B2557" s="64" t="s">
        <v>61</v>
      </c>
      <c r="C2557" s="62" t="s">
        <v>7312</v>
      </c>
      <c r="D2557" t="s">
        <v>63</v>
      </c>
      <c r="E2557" t="s">
        <v>7678</v>
      </c>
      <c r="F2557" s="61">
        <v>36854</v>
      </c>
      <c r="G2557" s="15" t="s">
        <v>73</v>
      </c>
      <c r="H2557" t="s">
        <v>7679</v>
      </c>
      <c r="I2557" s="62" t="s">
        <v>7680</v>
      </c>
      <c r="K2557" s="36" t="s">
        <v>68</v>
      </c>
      <c r="L2557" t="s">
        <v>69</v>
      </c>
      <c r="M2557" s="62" t="s">
        <v>70</v>
      </c>
      <c r="N2557" t="s">
        <v>71</v>
      </c>
      <c r="O2557" t="str">
        <f>IFERROR(IF(Tbla_actores[[#This Row],[codigo_proyecto]]="","",_xlfn.XLOOKUP(Tbla_actores[[#This Row],[codigo_proyecto]],Proyectos!$A:$A,Proyectos!$C:$C)),"")</f>
        <v>NULOS</v>
      </c>
    </row>
    <row r="2558" spans="1:15">
      <c r="A2558" s="9">
        <v>1032508456</v>
      </c>
      <c r="B2558" s="63" t="s">
        <v>61</v>
      </c>
      <c r="C2558" s="62" t="s">
        <v>7312</v>
      </c>
      <c r="D2558" t="s">
        <v>63</v>
      </c>
      <c r="E2558" t="s">
        <v>7681</v>
      </c>
      <c r="F2558" s="61">
        <v>36483</v>
      </c>
      <c r="G2558" s="15" t="s">
        <v>73</v>
      </c>
      <c r="H2558" t="s">
        <v>7682</v>
      </c>
      <c r="I2558" s="62" t="s">
        <v>7683</v>
      </c>
      <c r="K2558" s="36" t="s">
        <v>169</v>
      </c>
      <c r="L2558" t="s">
        <v>69</v>
      </c>
      <c r="M2558" s="62" t="s">
        <v>170</v>
      </c>
      <c r="N2558" t="s">
        <v>71</v>
      </c>
      <c r="O2558" t="str">
        <f>IFERROR(IF(Tbla_actores[[#This Row],[codigo_proyecto]]="","",_xlfn.XLOOKUP(Tbla_actores[[#This Row],[codigo_proyecto]],Proyectos!$A:$A,Proyectos!$C:$C)),"")</f>
        <v>NULOS</v>
      </c>
    </row>
    <row r="2559" spans="1:15">
      <c r="A2559" s="10">
        <v>1002760326</v>
      </c>
      <c r="B2559" s="64" t="s">
        <v>61</v>
      </c>
      <c r="C2559" s="62" t="s">
        <v>7312</v>
      </c>
      <c r="D2559" t="s">
        <v>63</v>
      </c>
      <c r="E2559" t="s">
        <v>7684</v>
      </c>
      <c r="F2559" s="61">
        <v>37896</v>
      </c>
      <c r="G2559" s="15" t="s">
        <v>65</v>
      </c>
      <c r="H2559" t="s">
        <v>7685</v>
      </c>
      <c r="I2559" s="62" t="s">
        <v>7686</v>
      </c>
      <c r="K2559" s="36" t="s">
        <v>6427</v>
      </c>
      <c r="L2559" t="s">
        <v>69</v>
      </c>
      <c r="M2559" s="62" t="s">
        <v>70</v>
      </c>
      <c r="N2559" t="s">
        <v>71</v>
      </c>
      <c r="O2559" t="str">
        <f>IFERROR(IF(Tbla_actores[[#This Row],[codigo_proyecto]]="","",_xlfn.XLOOKUP(Tbla_actores[[#This Row],[codigo_proyecto]],Proyectos!$A:$A,Proyectos!$C:$C)),"")</f>
        <v>NULOS</v>
      </c>
    </row>
    <row r="2560" spans="1:15">
      <c r="A2560" s="9">
        <v>1011320309</v>
      </c>
      <c r="B2560" s="63" t="s">
        <v>61</v>
      </c>
      <c r="C2560" s="62" t="s">
        <v>7312</v>
      </c>
      <c r="D2560" t="s">
        <v>63</v>
      </c>
      <c r="E2560" t="s">
        <v>7687</v>
      </c>
      <c r="F2560" s="61">
        <v>38078</v>
      </c>
      <c r="G2560" s="15" t="s">
        <v>73</v>
      </c>
      <c r="H2560" t="s">
        <v>7688</v>
      </c>
      <c r="I2560" s="62" t="s">
        <v>7689</v>
      </c>
      <c r="K2560" s="36" t="s">
        <v>169</v>
      </c>
      <c r="L2560" t="s">
        <v>69</v>
      </c>
      <c r="M2560" s="62" t="s">
        <v>170</v>
      </c>
      <c r="N2560" t="s">
        <v>71</v>
      </c>
      <c r="O2560" t="str">
        <f>IFERROR(IF(Tbla_actores[[#This Row],[codigo_proyecto]]="","",_xlfn.XLOOKUP(Tbla_actores[[#This Row],[codigo_proyecto]],Proyectos!$A:$A,Proyectos!$C:$C)),"")</f>
        <v>NULOS</v>
      </c>
    </row>
    <row r="2561" spans="1:15">
      <c r="A2561" s="10">
        <v>1005281409</v>
      </c>
      <c r="B2561" s="64" t="s">
        <v>61</v>
      </c>
      <c r="C2561" s="62" t="s">
        <v>7312</v>
      </c>
      <c r="D2561" t="s">
        <v>63</v>
      </c>
      <c r="E2561" t="s">
        <v>7690</v>
      </c>
      <c r="F2561" s="61">
        <v>37820</v>
      </c>
      <c r="G2561" s="15" t="s">
        <v>73</v>
      </c>
      <c r="H2561" t="s">
        <v>7691</v>
      </c>
      <c r="I2561" s="62" t="s">
        <v>7692</v>
      </c>
      <c r="K2561" s="36" t="s">
        <v>7284</v>
      </c>
      <c r="L2561" t="s">
        <v>69</v>
      </c>
      <c r="M2561" s="62" t="s">
        <v>70</v>
      </c>
      <c r="N2561" t="s">
        <v>71</v>
      </c>
      <c r="O2561" t="str">
        <f>IFERROR(IF(Tbla_actores[[#This Row],[codigo_proyecto]]="","",_xlfn.XLOOKUP(Tbla_actores[[#This Row],[codigo_proyecto]],Proyectos!$A:$A,Proyectos!$C:$C)),"")</f>
        <v>NULOS</v>
      </c>
    </row>
    <row r="2562" spans="1:15">
      <c r="A2562" s="9">
        <v>1006795451</v>
      </c>
      <c r="B2562" s="63" t="s">
        <v>61</v>
      </c>
      <c r="C2562" s="62" t="s">
        <v>7312</v>
      </c>
      <c r="D2562" t="s">
        <v>63</v>
      </c>
      <c r="E2562" t="s">
        <v>7693</v>
      </c>
      <c r="F2562" s="61">
        <v>37092</v>
      </c>
      <c r="G2562" s="15" t="s">
        <v>65</v>
      </c>
      <c r="H2562" t="s">
        <v>7694</v>
      </c>
      <c r="I2562" s="62" t="s">
        <v>7695</v>
      </c>
      <c r="K2562" s="36" t="s">
        <v>68</v>
      </c>
      <c r="L2562" t="s">
        <v>69</v>
      </c>
      <c r="M2562" s="62" t="s">
        <v>70</v>
      </c>
      <c r="N2562" t="s">
        <v>71</v>
      </c>
      <c r="O2562" t="str">
        <f>IFERROR(IF(Tbla_actores[[#This Row],[codigo_proyecto]]="","",_xlfn.XLOOKUP(Tbla_actores[[#This Row],[codigo_proyecto]],Proyectos!$A:$A,Proyectos!$C:$C)),"")</f>
        <v>NULOS</v>
      </c>
    </row>
    <row r="2563" spans="1:15">
      <c r="A2563" s="10">
        <v>1000503492</v>
      </c>
      <c r="B2563" s="64" t="s">
        <v>61</v>
      </c>
      <c r="C2563" s="62" t="s">
        <v>7312</v>
      </c>
      <c r="D2563" t="s">
        <v>63</v>
      </c>
      <c r="E2563" t="s">
        <v>7696</v>
      </c>
      <c r="F2563" s="61">
        <v>37139</v>
      </c>
      <c r="G2563" s="15" t="s">
        <v>65</v>
      </c>
      <c r="H2563" t="s">
        <v>7697</v>
      </c>
      <c r="I2563" s="62" t="s">
        <v>7698</v>
      </c>
      <c r="K2563" s="36" t="s">
        <v>68</v>
      </c>
      <c r="L2563" t="s">
        <v>69</v>
      </c>
      <c r="M2563" s="62" t="s">
        <v>70</v>
      </c>
      <c r="N2563" t="s">
        <v>71</v>
      </c>
      <c r="O2563" t="str">
        <f>IFERROR(IF(Tbla_actores[[#This Row],[codigo_proyecto]]="","",_xlfn.XLOOKUP(Tbla_actores[[#This Row],[codigo_proyecto]],Proyectos!$A:$A,Proyectos!$C:$C)),"")</f>
        <v>NULOS</v>
      </c>
    </row>
    <row r="2564" spans="1:15">
      <c r="A2564" s="9">
        <v>1001299949</v>
      </c>
      <c r="B2564" s="63" t="s">
        <v>61</v>
      </c>
      <c r="C2564" s="62" t="s">
        <v>7312</v>
      </c>
      <c r="D2564" t="s">
        <v>63</v>
      </c>
      <c r="E2564" t="s">
        <v>7699</v>
      </c>
      <c r="F2564" s="61">
        <v>37447</v>
      </c>
      <c r="G2564" s="15" t="s">
        <v>73</v>
      </c>
      <c r="H2564" t="s">
        <v>7700</v>
      </c>
      <c r="I2564" s="62" t="s">
        <v>7701</v>
      </c>
      <c r="K2564" s="36" t="s">
        <v>169</v>
      </c>
      <c r="L2564" t="s">
        <v>69</v>
      </c>
      <c r="M2564" s="62" t="s">
        <v>170</v>
      </c>
      <c r="N2564" t="s">
        <v>71</v>
      </c>
      <c r="O2564" t="str">
        <f>IFERROR(IF(Tbla_actores[[#This Row],[codigo_proyecto]]="","",_xlfn.XLOOKUP(Tbla_actores[[#This Row],[codigo_proyecto]],Proyectos!$A:$A,Proyectos!$C:$C)),"")</f>
        <v>NULOS</v>
      </c>
    </row>
    <row r="2565" spans="1:15">
      <c r="A2565" s="10">
        <v>1000065261</v>
      </c>
      <c r="B2565" s="64" t="s">
        <v>61</v>
      </c>
      <c r="C2565" s="62" t="s">
        <v>7312</v>
      </c>
      <c r="D2565" t="s">
        <v>63</v>
      </c>
      <c r="E2565" t="s">
        <v>7702</v>
      </c>
      <c r="F2565" s="61">
        <v>37506</v>
      </c>
      <c r="G2565" s="15" t="s">
        <v>65</v>
      </c>
      <c r="H2565" t="s">
        <v>7703</v>
      </c>
      <c r="I2565" s="62" t="s">
        <v>7704</v>
      </c>
      <c r="K2565" s="36" t="s">
        <v>169</v>
      </c>
      <c r="L2565" t="s">
        <v>69</v>
      </c>
      <c r="M2565" s="62" t="s">
        <v>170</v>
      </c>
      <c r="N2565" t="s">
        <v>71</v>
      </c>
      <c r="O2565" t="str">
        <f>IFERROR(IF(Tbla_actores[[#This Row],[codigo_proyecto]]="","",_xlfn.XLOOKUP(Tbla_actores[[#This Row],[codigo_proyecto]],Proyectos!$A:$A,Proyectos!$C:$C)),"")</f>
        <v>NULOS</v>
      </c>
    </row>
    <row r="2566" spans="1:15">
      <c r="A2566" s="9">
        <v>1001193213</v>
      </c>
      <c r="B2566" s="63" t="s">
        <v>61</v>
      </c>
      <c r="C2566" s="62" t="s">
        <v>7312</v>
      </c>
      <c r="D2566" t="s">
        <v>63</v>
      </c>
      <c r="E2566" t="s">
        <v>7705</v>
      </c>
      <c r="F2566" s="61">
        <v>37863</v>
      </c>
      <c r="G2566" s="15" t="s">
        <v>65</v>
      </c>
      <c r="H2566" t="s">
        <v>7706</v>
      </c>
      <c r="I2566" s="62" t="s">
        <v>7707</v>
      </c>
      <c r="K2566" s="36" t="s">
        <v>169</v>
      </c>
      <c r="L2566" t="s">
        <v>69</v>
      </c>
      <c r="M2566" s="62" t="s">
        <v>170</v>
      </c>
      <c r="N2566" t="s">
        <v>71</v>
      </c>
      <c r="O2566" t="str">
        <f>IFERROR(IF(Tbla_actores[[#This Row],[codigo_proyecto]]="","",_xlfn.XLOOKUP(Tbla_actores[[#This Row],[codigo_proyecto]],Proyectos!$A:$A,Proyectos!$C:$C)),"")</f>
        <v>NULOS</v>
      </c>
    </row>
    <row r="2567" spans="1:15">
      <c r="A2567" s="10">
        <v>1030522666</v>
      </c>
      <c r="B2567" s="64" t="s">
        <v>61</v>
      </c>
      <c r="C2567" s="62" t="s">
        <v>7312</v>
      </c>
      <c r="D2567" t="s">
        <v>63</v>
      </c>
      <c r="E2567" t="s">
        <v>7708</v>
      </c>
      <c r="F2567" s="61">
        <v>38079</v>
      </c>
      <c r="G2567" s="15" t="s">
        <v>73</v>
      </c>
      <c r="H2567" t="s">
        <v>7709</v>
      </c>
      <c r="I2567" s="62" t="s">
        <v>7710</v>
      </c>
      <c r="K2567" s="36" t="s">
        <v>169</v>
      </c>
      <c r="L2567" t="s">
        <v>69</v>
      </c>
      <c r="M2567" s="62" t="s">
        <v>170</v>
      </c>
      <c r="N2567" t="s">
        <v>71</v>
      </c>
      <c r="O2567" t="str">
        <f>IFERROR(IF(Tbla_actores[[#This Row],[codigo_proyecto]]="","",_xlfn.XLOOKUP(Tbla_actores[[#This Row],[codigo_proyecto]],Proyectos!$A:$A,Proyectos!$C:$C)),"")</f>
        <v>NULOS</v>
      </c>
    </row>
    <row r="2568" spans="1:15">
      <c r="A2568" s="9">
        <v>1007655081</v>
      </c>
      <c r="B2568" s="63" t="s">
        <v>61</v>
      </c>
      <c r="C2568" s="62" t="s">
        <v>7312</v>
      </c>
      <c r="D2568" t="s">
        <v>63</v>
      </c>
      <c r="E2568" t="s">
        <v>7711</v>
      </c>
      <c r="F2568" s="61">
        <v>36749</v>
      </c>
      <c r="G2568" s="15" t="s">
        <v>73</v>
      </c>
      <c r="H2568" t="s">
        <v>7712</v>
      </c>
      <c r="I2568" s="62" t="s">
        <v>7713</v>
      </c>
      <c r="K2568" s="36" t="s">
        <v>169</v>
      </c>
      <c r="L2568" t="s">
        <v>69</v>
      </c>
      <c r="M2568" s="62" t="s">
        <v>170</v>
      </c>
      <c r="N2568" t="s">
        <v>71</v>
      </c>
      <c r="O2568" t="str">
        <f>IFERROR(IF(Tbla_actores[[#This Row],[codigo_proyecto]]="","",_xlfn.XLOOKUP(Tbla_actores[[#This Row],[codigo_proyecto]],Proyectos!$A:$A,Proyectos!$C:$C)),"")</f>
        <v>NULOS</v>
      </c>
    </row>
    <row r="2569" spans="1:15">
      <c r="A2569" s="10">
        <v>1026307986</v>
      </c>
      <c r="B2569" s="64" t="s">
        <v>61</v>
      </c>
      <c r="C2569" s="62" t="s">
        <v>7312</v>
      </c>
      <c r="D2569" t="s">
        <v>63</v>
      </c>
      <c r="E2569" t="s">
        <v>7714</v>
      </c>
      <c r="F2569" s="61">
        <v>36531</v>
      </c>
      <c r="G2569" s="15" t="s">
        <v>73</v>
      </c>
      <c r="H2569" t="s">
        <v>7715</v>
      </c>
      <c r="I2569" s="62" t="s">
        <v>7716</v>
      </c>
      <c r="K2569" s="36" t="s">
        <v>495</v>
      </c>
      <c r="L2569" t="s">
        <v>69</v>
      </c>
      <c r="M2569" s="62" t="s">
        <v>70</v>
      </c>
      <c r="N2569" t="s">
        <v>71</v>
      </c>
      <c r="O2569" t="str">
        <f>IFERROR(IF(Tbla_actores[[#This Row],[codigo_proyecto]]="","",_xlfn.XLOOKUP(Tbla_actores[[#This Row],[codigo_proyecto]],Proyectos!$A:$A,Proyectos!$C:$C)),"")</f>
        <v>NULOS</v>
      </c>
    </row>
    <row r="2570" spans="1:15">
      <c r="A2570" s="9">
        <v>1010144259</v>
      </c>
      <c r="B2570" s="63" t="s">
        <v>61</v>
      </c>
      <c r="C2570" s="62" t="s">
        <v>7312</v>
      </c>
      <c r="D2570" t="s">
        <v>63</v>
      </c>
      <c r="E2570" t="s">
        <v>7717</v>
      </c>
      <c r="F2570" s="61">
        <v>36896</v>
      </c>
      <c r="G2570" s="15" t="s">
        <v>73</v>
      </c>
      <c r="H2570" t="s">
        <v>7718</v>
      </c>
      <c r="I2570" s="62" t="s">
        <v>7719</v>
      </c>
      <c r="K2570" s="36" t="s">
        <v>495</v>
      </c>
      <c r="L2570" t="s">
        <v>69</v>
      </c>
      <c r="M2570" s="62" t="s">
        <v>70</v>
      </c>
      <c r="N2570" t="s">
        <v>71</v>
      </c>
      <c r="O2570" t="str">
        <f>IFERROR(IF(Tbla_actores[[#This Row],[codigo_proyecto]]="","",_xlfn.XLOOKUP(Tbla_actores[[#This Row],[codigo_proyecto]],Proyectos!$A:$A,Proyectos!$C:$C)),"")</f>
        <v>NULOS</v>
      </c>
    </row>
    <row r="2571" spans="1:15">
      <c r="A2571" s="10">
        <v>1000063687</v>
      </c>
      <c r="B2571" s="64" t="s">
        <v>61</v>
      </c>
      <c r="C2571" s="62" t="s">
        <v>7312</v>
      </c>
      <c r="D2571" t="s">
        <v>63</v>
      </c>
      <c r="E2571" t="s">
        <v>7720</v>
      </c>
      <c r="F2571" s="61">
        <v>36869</v>
      </c>
      <c r="G2571" s="15" t="s">
        <v>73</v>
      </c>
      <c r="H2571" t="s">
        <v>7721</v>
      </c>
      <c r="I2571" s="62" t="s">
        <v>7722</v>
      </c>
      <c r="K2571" s="36" t="s">
        <v>495</v>
      </c>
      <c r="L2571" t="s">
        <v>69</v>
      </c>
      <c r="M2571" s="62" t="s">
        <v>70</v>
      </c>
      <c r="N2571" t="s">
        <v>71</v>
      </c>
      <c r="O2571" t="str">
        <f>IFERROR(IF(Tbla_actores[[#This Row],[codigo_proyecto]]="","",_xlfn.XLOOKUP(Tbla_actores[[#This Row],[codigo_proyecto]],Proyectos!$A:$A,Proyectos!$C:$C)),"")</f>
        <v>NULOS</v>
      </c>
    </row>
    <row r="2572" spans="1:15">
      <c r="A2572" s="9">
        <v>1007395355</v>
      </c>
      <c r="B2572" s="63" t="s">
        <v>61</v>
      </c>
      <c r="C2572" s="62" t="s">
        <v>7312</v>
      </c>
      <c r="D2572" t="s">
        <v>63</v>
      </c>
      <c r="E2572" t="s">
        <v>7723</v>
      </c>
      <c r="F2572" s="61">
        <v>36850</v>
      </c>
      <c r="G2572" s="15" t="s">
        <v>73</v>
      </c>
      <c r="H2572" t="s">
        <v>7724</v>
      </c>
      <c r="I2572" s="62" t="s">
        <v>7725</v>
      </c>
      <c r="K2572" s="36" t="s">
        <v>495</v>
      </c>
      <c r="L2572" t="s">
        <v>69</v>
      </c>
      <c r="M2572" s="62" t="s">
        <v>70</v>
      </c>
      <c r="N2572" t="s">
        <v>71</v>
      </c>
      <c r="O2572" t="str">
        <f>IFERROR(IF(Tbla_actores[[#This Row],[codigo_proyecto]]="","",_xlfn.XLOOKUP(Tbla_actores[[#This Row],[codigo_proyecto]],Proyectos!$A:$A,Proyectos!$C:$C)),"")</f>
        <v>NULOS</v>
      </c>
    </row>
    <row r="2573" spans="1:15">
      <c r="A2573" s="10">
        <v>1000473745</v>
      </c>
      <c r="B2573" s="64" t="s">
        <v>61</v>
      </c>
      <c r="C2573" s="62" t="s">
        <v>7312</v>
      </c>
      <c r="D2573" t="s">
        <v>63</v>
      </c>
      <c r="E2573" t="s">
        <v>7726</v>
      </c>
      <c r="F2573" s="61">
        <v>37002</v>
      </c>
      <c r="G2573" s="15" t="s">
        <v>73</v>
      </c>
      <c r="H2573" t="s">
        <v>7727</v>
      </c>
      <c r="I2573" s="62" t="s">
        <v>7728</v>
      </c>
      <c r="K2573" s="36" t="s">
        <v>495</v>
      </c>
      <c r="L2573" t="s">
        <v>69</v>
      </c>
      <c r="M2573" s="62" t="s">
        <v>70</v>
      </c>
      <c r="N2573" t="s">
        <v>71</v>
      </c>
      <c r="O2573" t="str">
        <f>IFERROR(IF(Tbla_actores[[#This Row],[codigo_proyecto]]="","",_xlfn.XLOOKUP(Tbla_actores[[#This Row],[codigo_proyecto]],Proyectos!$A:$A,Proyectos!$C:$C)),"")</f>
        <v>NULOS</v>
      </c>
    </row>
    <row r="2574" spans="1:15">
      <c r="A2574" s="9">
        <v>1007530132</v>
      </c>
      <c r="B2574" s="63" t="s">
        <v>61</v>
      </c>
      <c r="C2574" s="62" t="s">
        <v>7312</v>
      </c>
      <c r="D2574" t="s">
        <v>63</v>
      </c>
      <c r="E2574" t="s">
        <v>7729</v>
      </c>
      <c r="F2574" s="61">
        <v>37434</v>
      </c>
      <c r="G2574" s="15" t="s">
        <v>73</v>
      </c>
      <c r="H2574" t="s">
        <v>7730</v>
      </c>
      <c r="I2574" s="62" t="s">
        <v>7731</v>
      </c>
      <c r="K2574" s="36" t="s">
        <v>495</v>
      </c>
      <c r="L2574" t="s">
        <v>69</v>
      </c>
      <c r="M2574" s="62" t="s">
        <v>70</v>
      </c>
      <c r="N2574" t="s">
        <v>71</v>
      </c>
      <c r="O2574" t="str">
        <f>IFERROR(IF(Tbla_actores[[#This Row],[codigo_proyecto]]="","",_xlfn.XLOOKUP(Tbla_actores[[#This Row],[codigo_proyecto]],Proyectos!$A:$A,Proyectos!$C:$C)),"")</f>
        <v>NULOS</v>
      </c>
    </row>
    <row r="2575" spans="1:15">
      <c r="A2575" s="10">
        <v>1015482537</v>
      </c>
      <c r="B2575" s="64" t="s">
        <v>61</v>
      </c>
      <c r="C2575" s="62" t="s">
        <v>7312</v>
      </c>
      <c r="D2575" t="s">
        <v>63</v>
      </c>
      <c r="E2575" t="s">
        <v>7732</v>
      </c>
      <c r="F2575" s="61">
        <v>36376</v>
      </c>
      <c r="G2575" s="15" t="s">
        <v>73</v>
      </c>
      <c r="H2575" t="s">
        <v>7733</v>
      </c>
      <c r="I2575" s="62" t="s">
        <v>7734</v>
      </c>
      <c r="K2575" s="36" t="s">
        <v>495</v>
      </c>
      <c r="L2575" t="s">
        <v>69</v>
      </c>
      <c r="M2575" s="62" t="s">
        <v>70</v>
      </c>
      <c r="N2575" t="s">
        <v>71</v>
      </c>
      <c r="O2575" t="str">
        <f>IFERROR(IF(Tbla_actores[[#This Row],[codigo_proyecto]]="","",_xlfn.XLOOKUP(Tbla_actores[[#This Row],[codigo_proyecto]],Proyectos!$A:$A,Proyectos!$C:$C)),"")</f>
        <v>NULOS</v>
      </c>
    </row>
    <row r="2576" spans="1:15">
      <c r="A2576" s="9">
        <v>1000159063</v>
      </c>
      <c r="B2576" s="63" t="s">
        <v>61</v>
      </c>
      <c r="C2576" s="62" t="s">
        <v>7312</v>
      </c>
      <c r="D2576" t="s">
        <v>63</v>
      </c>
      <c r="E2576" t="s">
        <v>7735</v>
      </c>
      <c r="F2576" s="61">
        <v>36973</v>
      </c>
      <c r="G2576" s="15" t="s">
        <v>65</v>
      </c>
      <c r="H2576" t="s">
        <v>7736</v>
      </c>
      <c r="I2576" s="62" t="s">
        <v>7737</v>
      </c>
      <c r="K2576" s="36" t="s">
        <v>495</v>
      </c>
      <c r="L2576" t="s">
        <v>69</v>
      </c>
      <c r="M2576" s="62" t="s">
        <v>70</v>
      </c>
      <c r="N2576" t="s">
        <v>71</v>
      </c>
      <c r="O2576" t="str">
        <f>IFERROR(IF(Tbla_actores[[#This Row],[codigo_proyecto]]="","",_xlfn.XLOOKUP(Tbla_actores[[#This Row],[codigo_proyecto]],Proyectos!$A:$A,Proyectos!$C:$C)),"")</f>
        <v>NULOS</v>
      </c>
    </row>
    <row r="2577" spans="1:15">
      <c r="A2577" s="10">
        <v>1000185091</v>
      </c>
      <c r="B2577" s="64" t="s">
        <v>61</v>
      </c>
      <c r="C2577" s="62" t="s">
        <v>7312</v>
      </c>
      <c r="D2577" t="s">
        <v>63</v>
      </c>
      <c r="E2577" t="s">
        <v>7738</v>
      </c>
      <c r="F2577" s="61">
        <v>36933</v>
      </c>
      <c r="G2577" s="15" t="s">
        <v>73</v>
      </c>
      <c r="H2577" t="s">
        <v>7739</v>
      </c>
      <c r="I2577" s="62" t="s">
        <v>7740</v>
      </c>
      <c r="K2577" s="36" t="s">
        <v>495</v>
      </c>
      <c r="L2577" t="s">
        <v>69</v>
      </c>
      <c r="M2577" s="62" t="s">
        <v>70</v>
      </c>
      <c r="N2577" t="s">
        <v>71</v>
      </c>
      <c r="O2577" t="str">
        <f>IFERROR(IF(Tbla_actores[[#This Row],[codigo_proyecto]]="","",_xlfn.XLOOKUP(Tbla_actores[[#This Row],[codigo_proyecto]],Proyectos!$A:$A,Proyectos!$C:$C)),"")</f>
        <v>NULOS</v>
      </c>
    </row>
    <row r="2578" spans="1:15">
      <c r="A2578" s="9">
        <v>1007788960</v>
      </c>
      <c r="B2578" s="63" t="s">
        <v>61</v>
      </c>
      <c r="C2578" s="62" t="s">
        <v>7312</v>
      </c>
      <c r="D2578" t="s">
        <v>63</v>
      </c>
      <c r="E2578" t="s">
        <v>7741</v>
      </c>
      <c r="F2578" s="61">
        <v>36942</v>
      </c>
      <c r="G2578" s="15" t="s">
        <v>65</v>
      </c>
      <c r="H2578" t="s">
        <v>7742</v>
      </c>
      <c r="I2578" s="62" t="s">
        <v>7743</v>
      </c>
      <c r="K2578" s="36" t="s">
        <v>495</v>
      </c>
      <c r="L2578" t="s">
        <v>69</v>
      </c>
      <c r="M2578" s="62" t="s">
        <v>70</v>
      </c>
      <c r="N2578" t="s">
        <v>71</v>
      </c>
      <c r="O2578" t="str">
        <f>IFERROR(IF(Tbla_actores[[#This Row],[codigo_proyecto]]="","",_xlfn.XLOOKUP(Tbla_actores[[#This Row],[codigo_proyecto]],Proyectos!$A:$A,Proyectos!$C:$C)),"")</f>
        <v>NULOS</v>
      </c>
    </row>
    <row r="2579" spans="1:15">
      <c r="A2579" s="10">
        <v>1001971544</v>
      </c>
      <c r="B2579" s="64" t="s">
        <v>61</v>
      </c>
      <c r="C2579" s="62" t="s">
        <v>7312</v>
      </c>
      <c r="D2579" t="s">
        <v>63</v>
      </c>
      <c r="E2579" t="s">
        <v>7744</v>
      </c>
      <c r="F2579" s="61">
        <v>37090</v>
      </c>
      <c r="G2579" s="15" t="s">
        <v>73</v>
      </c>
      <c r="H2579" t="s">
        <v>7745</v>
      </c>
      <c r="I2579" s="62" t="s">
        <v>7746</v>
      </c>
      <c r="K2579" s="36" t="s">
        <v>495</v>
      </c>
      <c r="L2579" t="s">
        <v>69</v>
      </c>
      <c r="M2579" s="62" t="s">
        <v>70</v>
      </c>
      <c r="N2579" t="s">
        <v>71</v>
      </c>
      <c r="O2579" t="str">
        <f>IFERROR(IF(Tbla_actores[[#This Row],[codigo_proyecto]]="","",_xlfn.XLOOKUP(Tbla_actores[[#This Row],[codigo_proyecto]],Proyectos!$A:$A,Proyectos!$C:$C)),"")</f>
        <v>NULOS</v>
      </c>
    </row>
    <row r="2580" spans="1:15">
      <c r="A2580" s="9">
        <v>1010067593</v>
      </c>
      <c r="B2580" s="63" t="s">
        <v>61</v>
      </c>
      <c r="C2580" s="62" t="s">
        <v>7312</v>
      </c>
      <c r="D2580" t="s">
        <v>63</v>
      </c>
      <c r="E2580" t="s">
        <v>7747</v>
      </c>
      <c r="F2580" s="61">
        <v>36793</v>
      </c>
      <c r="G2580" s="15" t="s">
        <v>73</v>
      </c>
      <c r="H2580" t="s">
        <v>7748</v>
      </c>
      <c r="I2580" s="62" t="s">
        <v>7749</v>
      </c>
      <c r="K2580" s="36" t="s">
        <v>495</v>
      </c>
      <c r="L2580" t="s">
        <v>69</v>
      </c>
      <c r="M2580" s="62" t="s">
        <v>70</v>
      </c>
      <c r="N2580" t="s">
        <v>71</v>
      </c>
      <c r="O2580" t="str">
        <f>IFERROR(IF(Tbla_actores[[#This Row],[codigo_proyecto]]="","",_xlfn.XLOOKUP(Tbla_actores[[#This Row],[codigo_proyecto]],Proyectos!$A:$A,Proyectos!$C:$C)),"")</f>
        <v>NULOS</v>
      </c>
    </row>
    <row r="2581" spans="1:15">
      <c r="A2581" s="10">
        <v>1003540728</v>
      </c>
      <c r="B2581" s="64" t="s">
        <v>61</v>
      </c>
      <c r="C2581" s="62" t="s">
        <v>7312</v>
      </c>
      <c r="D2581" t="s">
        <v>63</v>
      </c>
      <c r="E2581" t="s">
        <v>7750</v>
      </c>
      <c r="F2581" s="61">
        <v>37725</v>
      </c>
      <c r="G2581" s="15" t="s">
        <v>65</v>
      </c>
      <c r="H2581" t="s">
        <v>7751</v>
      </c>
      <c r="I2581" s="62" t="s">
        <v>7752</v>
      </c>
      <c r="K2581" s="36" t="s">
        <v>495</v>
      </c>
      <c r="L2581" t="s">
        <v>69</v>
      </c>
      <c r="M2581" s="62" t="s">
        <v>70</v>
      </c>
      <c r="N2581" t="s">
        <v>71</v>
      </c>
      <c r="O2581" t="str">
        <f>IFERROR(IF(Tbla_actores[[#This Row],[codigo_proyecto]]="","",_xlfn.XLOOKUP(Tbla_actores[[#This Row],[codigo_proyecto]],Proyectos!$A:$A,Proyectos!$C:$C)),"")</f>
        <v>NULOS</v>
      </c>
    </row>
    <row r="2582" spans="1:15">
      <c r="A2582" s="9">
        <v>1000591751</v>
      </c>
      <c r="B2582" s="63" t="s">
        <v>61</v>
      </c>
      <c r="C2582" s="62" t="s">
        <v>7312</v>
      </c>
      <c r="D2582" t="s">
        <v>63</v>
      </c>
      <c r="E2582" t="s">
        <v>7753</v>
      </c>
      <c r="F2582" s="61">
        <v>37287</v>
      </c>
      <c r="G2582" s="15" t="s">
        <v>73</v>
      </c>
      <c r="H2582" t="s">
        <v>7754</v>
      </c>
      <c r="I2582" s="62" t="s">
        <v>7755</v>
      </c>
      <c r="K2582" s="36" t="s">
        <v>495</v>
      </c>
      <c r="L2582" t="s">
        <v>69</v>
      </c>
      <c r="M2582" s="62" t="s">
        <v>70</v>
      </c>
      <c r="N2582" t="s">
        <v>71</v>
      </c>
      <c r="O2582" t="str">
        <f>IFERROR(IF(Tbla_actores[[#This Row],[codigo_proyecto]]="","",_xlfn.XLOOKUP(Tbla_actores[[#This Row],[codigo_proyecto]],Proyectos!$A:$A,Proyectos!$C:$C)),"")</f>
        <v>NULOS</v>
      </c>
    </row>
    <row r="2583" spans="1:15">
      <c r="A2583" s="10">
        <v>1019602206</v>
      </c>
      <c r="B2583" s="64" t="s">
        <v>61</v>
      </c>
      <c r="C2583" s="62" t="s">
        <v>7312</v>
      </c>
      <c r="D2583" t="s">
        <v>63</v>
      </c>
      <c r="E2583" t="s">
        <v>7756</v>
      </c>
      <c r="F2583" s="61">
        <v>37999</v>
      </c>
      <c r="G2583" s="15" t="s">
        <v>65</v>
      </c>
      <c r="H2583" t="s">
        <v>7757</v>
      </c>
      <c r="I2583" s="62" t="s">
        <v>7758</v>
      </c>
      <c r="K2583" s="36" t="s">
        <v>169</v>
      </c>
      <c r="L2583" t="s">
        <v>69</v>
      </c>
      <c r="M2583" s="62" t="s">
        <v>170</v>
      </c>
      <c r="N2583" t="s">
        <v>71</v>
      </c>
      <c r="O2583" t="str">
        <f>IFERROR(IF(Tbla_actores[[#This Row],[codigo_proyecto]]="","",_xlfn.XLOOKUP(Tbla_actores[[#This Row],[codigo_proyecto]],Proyectos!$A:$A,Proyectos!$C:$C)),"")</f>
        <v>NULOS</v>
      </c>
    </row>
    <row r="2584" spans="1:15">
      <c r="A2584" s="9">
        <v>1011080274</v>
      </c>
      <c r="B2584" s="63" t="s">
        <v>61</v>
      </c>
      <c r="C2584" s="62" t="s">
        <v>7312</v>
      </c>
      <c r="D2584" t="s">
        <v>63</v>
      </c>
      <c r="E2584" t="s">
        <v>7759</v>
      </c>
      <c r="F2584" s="61">
        <v>38094</v>
      </c>
      <c r="G2584" s="15" t="s">
        <v>73</v>
      </c>
      <c r="H2584" t="s">
        <v>7760</v>
      </c>
      <c r="I2584" s="62" t="s">
        <v>7761</v>
      </c>
      <c r="K2584" s="36" t="s">
        <v>169</v>
      </c>
      <c r="L2584" t="s">
        <v>69</v>
      </c>
      <c r="M2584" s="62" t="s">
        <v>170</v>
      </c>
      <c r="N2584" t="s">
        <v>71</v>
      </c>
      <c r="O2584" t="str">
        <f>IFERROR(IF(Tbla_actores[[#This Row],[codigo_proyecto]]="","",_xlfn.XLOOKUP(Tbla_actores[[#This Row],[codigo_proyecto]],Proyectos!$A:$A,Proyectos!$C:$C)),"")</f>
        <v>NULOS</v>
      </c>
    </row>
    <row r="2585" spans="1:15">
      <c r="A2585" s="10">
        <v>1003315435</v>
      </c>
      <c r="B2585" s="64" t="s">
        <v>61</v>
      </c>
      <c r="C2585" s="62" t="s">
        <v>7312</v>
      </c>
      <c r="D2585" t="s">
        <v>63</v>
      </c>
      <c r="E2585" t="s">
        <v>7762</v>
      </c>
      <c r="F2585" s="61">
        <v>37781</v>
      </c>
      <c r="G2585" s="15" t="s">
        <v>65</v>
      </c>
      <c r="H2585" t="s">
        <v>7763</v>
      </c>
      <c r="I2585" s="62" t="s">
        <v>7764</v>
      </c>
      <c r="K2585" s="36" t="s">
        <v>169</v>
      </c>
      <c r="L2585" t="s">
        <v>69</v>
      </c>
      <c r="M2585" s="62" t="s">
        <v>170</v>
      </c>
      <c r="N2585" t="s">
        <v>71</v>
      </c>
      <c r="O2585" t="str">
        <f>IFERROR(IF(Tbla_actores[[#This Row],[codigo_proyecto]]="","",_xlfn.XLOOKUP(Tbla_actores[[#This Row],[codigo_proyecto]],Proyectos!$A:$A,Proyectos!$C:$C)),"")</f>
        <v>NULOS</v>
      </c>
    </row>
    <row r="2586" spans="1:15">
      <c r="A2586" s="9">
        <v>1033683780</v>
      </c>
      <c r="B2586" s="63" t="s">
        <v>61</v>
      </c>
      <c r="C2586" s="62" t="s">
        <v>7312</v>
      </c>
      <c r="D2586" t="s">
        <v>63</v>
      </c>
      <c r="E2586" t="s">
        <v>7765</v>
      </c>
      <c r="F2586" s="61">
        <v>38218</v>
      </c>
      <c r="G2586" s="15" t="s">
        <v>65</v>
      </c>
      <c r="H2586" t="s">
        <v>7766</v>
      </c>
      <c r="I2586" s="62" t="s">
        <v>7767</v>
      </c>
      <c r="K2586" s="36" t="s">
        <v>169</v>
      </c>
      <c r="L2586" t="s">
        <v>69</v>
      </c>
      <c r="M2586" s="62" t="s">
        <v>170</v>
      </c>
      <c r="N2586" t="s">
        <v>71</v>
      </c>
      <c r="O2586" t="str">
        <f>IFERROR(IF(Tbla_actores[[#This Row],[codigo_proyecto]]="","",_xlfn.XLOOKUP(Tbla_actores[[#This Row],[codigo_proyecto]],Proyectos!$A:$A,Proyectos!$C:$C)),"")</f>
        <v>NULOS</v>
      </c>
    </row>
    <row r="2587" spans="1:15">
      <c r="A2587" s="10">
        <v>1000137379</v>
      </c>
      <c r="B2587" s="64" t="s">
        <v>61</v>
      </c>
      <c r="C2587" s="62" t="s">
        <v>7312</v>
      </c>
      <c r="D2587" t="s">
        <v>63</v>
      </c>
      <c r="E2587" t="s">
        <v>7768</v>
      </c>
      <c r="F2587" s="61">
        <v>36770</v>
      </c>
      <c r="G2587" s="15" t="s">
        <v>73</v>
      </c>
      <c r="H2587" t="s">
        <v>7769</v>
      </c>
      <c r="I2587" s="62" t="s">
        <v>7770</v>
      </c>
      <c r="K2587" s="36" t="s">
        <v>68</v>
      </c>
      <c r="L2587" t="s">
        <v>69</v>
      </c>
      <c r="M2587" s="62" t="s">
        <v>70</v>
      </c>
      <c r="N2587" t="s">
        <v>71</v>
      </c>
      <c r="O2587" t="str">
        <f>IFERROR(IF(Tbla_actores[[#This Row],[codigo_proyecto]]="","",_xlfn.XLOOKUP(Tbla_actores[[#This Row],[codigo_proyecto]],Proyectos!$A:$A,Proyectos!$C:$C)),"")</f>
        <v>NULOS</v>
      </c>
    </row>
    <row r="2588" spans="1:15">
      <c r="A2588" s="9">
        <v>1007678869</v>
      </c>
      <c r="B2588" s="63" t="s">
        <v>61</v>
      </c>
      <c r="C2588" s="62" t="s">
        <v>7312</v>
      </c>
      <c r="D2588" t="s">
        <v>63</v>
      </c>
      <c r="E2588" t="s">
        <v>7771</v>
      </c>
      <c r="F2588" s="61">
        <v>37112</v>
      </c>
      <c r="G2588" s="15" t="s">
        <v>73</v>
      </c>
      <c r="H2588" t="s">
        <v>7772</v>
      </c>
      <c r="I2588" s="62" t="s">
        <v>7773</v>
      </c>
      <c r="K2588" s="36" t="s">
        <v>68</v>
      </c>
      <c r="L2588" t="s">
        <v>69</v>
      </c>
      <c r="M2588" s="62" t="s">
        <v>70</v>
      </c>
      <c r="N2588" t="s">
        <v>71</v>
      </c>
      <c r="O2588" t="str">
        <f>IFERROR(IF(Tbla_actores[[#This Row],[codigo_proyecto]]="","",_xlfn.XLOOKUP(Tbla_actores[[#This Row],[codigo_proyecto]],Proyectos!$A:$A,Proyectos!$C:$C)),"")</f>
        <v>NULOS</v>
      </c>
    </row>
    <row r="2589" spans="1:15">
      <c r="A2589" s="10">
        <v>1020833395</v>
      </c>
      <c r="B2589" s="64" t="s">
        <v>61</v>
      </c>
      <c r="C2589" s="62" t="s">
        <v>7312</v>
      </c>
      <c r="D2589" t="s">
        <v>63</v>
      </c>
      <c r="E2589" t="s">
        <v>7774</v>
      </c>
      <c r="F2589" s="61">
        <v>35906</v>
      </c>
      <c r="G2589" s="15" t="s">
        <v>73</v>
      </c>
      <c r="H2589" t="s">
        <v>7775</v>
      </c>
      <c r="I2589" s="62" t="s">
        <v>7776</v>
      </c>
      <c r="K2589" s="36" t="s">
        <v>169</v>
      </c>
      <c r="L2589" t="s">
        <v>69</v>
      </c>
      <c r="M2589" s="62" t="s">
        <v>170</v>
      </c>
      <c r="N2589" t="s">
        <v>71</v>
      </c>
      <c r="O2589" t="str">
        <f>IFERROR(IF(Tbla_actores[[#This Row],[codigo_proyecto]]="","",_xlfn.XLOOKUP(Tbla_actores[[#This Row],[codigo_proyecto]],Proyectos!$A:$A,Proyectos!$C:$C)),"")</f>
        <v>NULOS</v>
      </c>
    </row>
    <row r="2590" spans="1:15">
      <c r="A2590" s="9">
        <v>1000951639</v>
      </c>
      <c r="B2590" s="63" t="s">
        <v>61</v>
      </c>
      <c r="C2590" s="62" t="s">
        <v>7312</v>
      </c>
      <c r="D2590" t="s">
        <v>63</v>
      </c>
      <c r="E2590" t="s">
        <v>7777</v>
      </c>
      <c r="F2590" s="61">
        <v>37923</v>
      </c>
      <c r="G2590" s="15" t="s">
        <v>73</v>
      </c>
      <c r="H2590" t="s">
        <v>7778</v>
      </c>
      <c r="I2590" s="62" t="s">
        <v>7779</v>
      </c>
      <c r="K2590" s="36" t="s">
        <v>169</v>
      </c>
      <c r="L2590" t="s">
        <v>69</v>
      </c>
      <c r="M2590" s="62" t="s">
        <v>170</v>
      </c>
      <c r="N2590" t="s">
        <v>71</v>
      </c>
      <c r="O2590" t="str">
        <f>IFERROR(IF(Tbla_actores[[#This Row],[codigo_proyecto]]="","",_xlfn.XLOOKUP(Tbla_actores[[#This Row],[codigo_proyecto]],Proyectos!$A:$A,Proyectos!$C:$C)),"")</f>
        <v>NULOS</v>
      </c>
    </row>
    <row r="2591" spans="1:15">
      <c r="A2591" s="10">
        <v>1001348447</v>
      </c>
      <c r="B2591" s="64" t="s">
        <v>61</v>
      </c>
      <c r="C2591" s="62" t="s">
        <v>7312</v>
      </c>
      <c r="D2591" t="s">
        <v>63</v>
      </c>
      <c r="E2591" t="s">
        <v>7780</v>
      </c>
      <c r="F2591" s="61">
        <v>37766</v>
      </c>
      <c r="G2591" s="15" t="s">
        <v>73</v>
      </c>
      <c r="H2591" t="s">
        <v>7781</v>
      </c>
      <c r="I2591" s="62" t="s">
        <v>7782</v>
      </c>
      <c r="K2591" s="36" t="s">
        <v>169</v>
      </c>
      <c r="L2591" t="s">
        <v>69</v>
      </c>
      <c r="M2591" s="62" t="s">
        <v>170</v>
      </c>
      <c r="N2591" t="s">
        <v>71</v>
      </c>
      <c r="O2591" t="str">
        <f>IFERROR(IF(Tbla_actores[[#This Row],[codigo_proyecto]]="","",_xlfn.XLOOKUP(Tbla_actores[[#This Row],[codigo_proyecto]],Proyectos!$A:$A,Proyectos!$C:$C)),"")</f>
        <v>NULOS</v>
      </c>
    </row>
    <row r="2592" spans="1:15">
      <c r="A2592" s="9">
        <v>1007401560</v>
      </c>
      <c r="B2592" s="63" t="s">
        <v>61</v>
      </c>
      <c r="C2592" s="62" t="s">
        <v>7312</v>
      </c>
      <c r="D2592" t="s">
        <v>63</v>
      </c>
      <c r="E2592" t="s">
        <v>7783</v>
      </c>
      <c r="F2592" s="61">
        <v>37880</v>
      </c>
      <c r="G2592" s="15" t="s">
        <v>73</v>
      </c>
      <c r="H2592" t="s">
        <v>7784</v>
      </c>
      <c r="I2592" s="62" t="s">
        <v>7785</v>
      </c>
      <c r="K2592" s="36" t="s">
        <v>169</v>
      </c>
      <c r="L2592" t="s">
        <v>69</v>
      </c>
      <c r="M2592" s="62" t="s">
        <v>170</v>
      </c>
      <c r="N2592" t="s">
        <v>71</v>
      </c>
      <c r="O2592" t="str">
        <f>IFERROR(IF(Tbla_actores[[#This Row],[codigo_proyecto]]="","",_xlfn.XLOOKUP(Tbla_actores[[#This Row],[codigo_proyecto]],Proyectos!$A:$A,Proyectos!$C:$C)),"")</f>
        <v>NULOS</v>
      </c>
    </row>
    <row r="2593" spans="1:15">
      <c r="A2593" s="10">
        <v>1000180205</v>
      </c>
      <c r="B2593" s="64" t="s">
        <v>61</v>
      </c>
      <c r="C2593" s="62" t="s">
        <v>7312</v>
      </c>
      <c r="D2593" t="s">
        <v>63</v>
      </c>
      <c r="E2593" t="s">
        <v>7786</v>
      </c>
      <c r="F2593" s="61">
        <v>37674</v>
      </c>
      <c r="G2593" s="15" t="s">
        <v>73</v>
      </c>
      <c r="H2593" t="s">
        <v>7787</v>
      </c>
      <c r="I2593" s="62" t="s">
        <v>7788</v>
      </c>
      <c r="K2593" s="36" t="s">
        <v>169</v>
      </c>
      <c r="L2593" t="s">
        <v>69</v>
      </c>
      <c r="M2593" s="62" t="s">
        <v>170</v>
      </c>
      <c r="N2593" t="s">
        <v>71</v>
      </c>
      <c r="O2593" t="str">
        <f>IFERROR(IF(Tbla_actores[[#This Row],[codigo_proyecto]]="","",_xlfn.XLOOKUP(Tbla_actores[[#This Row],[codigo_proyecto]],Proyectos!$A:$A,Proyectos!$C:$C)),"")</f>
        <v>NULOS</v>
      </c>
    </row>
    <row r="2594" spans="1:15">
      <c r="A2594" s="9">
        <v>1000063948</v>
      </c>
      <c r="B2594" s="63" t="s">
        <v>61</v>
      </c>
      <c r="C2594" s="62" t="s">
        <v>7312</v>
      </c>
      <c r="D2594" t="s">
        <v>63</v>
      </c>
      <c r="E2594" t="s">
        <v>7789</v>
      </c>
      <c r="F2594" s="61">
        <v>37088</v>
      </c>
      <c r="G2594" s="15" t="s">
        <v>73</v>
      </c>
      <c r="H2594" t="s">
        <v>7790</v>
      </c>
      <c r="I2594" s="62" t="s">
        <v>7791</v>
      </c>
      <c r="K2594" s="36" t="s">
        <v>169</v>
      </c>
      <c r="L2594" t="s">
        <v>69</v>
      </c>
      <c r="M2594" s="62" t="s">
        <v>170</v>
      </c>
      <c r="N2594" t="s">
        <v>71</v>
      </c>
      <c r="O2594" t="str">
        <f>IFERROR(IF(Tbla_actores[[#This Row],[codigo_proyecto]]="","",_xlfn.XLOOKUP(Tbla_actores[[#This Row],[codigo_proyecto]],Proyectos!$A:$A,Proyectos!$C:$C)),"")</f>
        <v>NULOS</v>
      </c>
    </row>
    <row r="2595" spans="1:15">
      <c r="A2595" s="10">
        <v>1007423720</v>
      </c>
      <c r="B2595" s="64" t="s">
        <v>61</v>
      </c>
      <c r="C2595" s="62" t="s">
        <v>7312</v>
      </c>
      <c r="D2595" t="s">
        <v>63</v>
      </c>
      <c r="E2595" t="s">
        <v>7792</v>
      </c>
      <c r="F2595" s="61">
        <v>37533</v>
      </c>
      <c r="G2595" s="15" t="s">
        <v>65</v>
      </c>
      <c r="H2595" t="s">
        <v>7793</v>
      </c>
      <c r="I2595" s="62" t="s">
        <v>7794</v>
      </c>
      <c r="K2595" s="36" t="s">
        <v>169</v>
      </c>
      <c r="L2595" t="s">
        <v>69</v>
      </c>
      <c r="M2595" s="62" t="s">
        <v>170</v>
      </c>
      <c r="N2595" t="s">
        <v>71</v>
      </c>
      <c r="O2595" t="str">
        <f>IFERROR(IF(Tbla_actores[[#This Row],[codigo_proyecto]]="","",_xlfn.XLOOKUP(Tbla_actores[[#This Row],[codigo_proyecto]],Proyectos!$A:$A,Proyectos!$C:$C)),"")</f>
        <v>NULOS</v>
      </c>
    </row>
    <row r="2596" spans="1:15">
      <c r="A2596" s="9">
        <v>1004924920</v>
      </c>
      <c r="B2596" s="63" t="s">
        <v>61</v>
      </c>
      <c r="C2596" s="62" t="s">
        <v>7312</v>
      </c>
      <c r="D2596" t="s">
        <v>63</v>
      </c>
      <c r="E2596" t="s">
        <v>7795</v>
      </c>
      <c r="F2596" s="61">
        <v>37534</v>
      </c>
      <c r="G2596" s="15" t="s">
        <v>73</v>
      </c>
      <c r="H2596" t="s">
        <v>7796</v>
      </c>
      <c r="I2596" s="62" t="s">
        <v>7797</v>
      </c>
      <c r="K2596" s="36" t="s">
        <v>68</v>
      </c>
      <c r="L2596" t="s">
        <v>69</v>
      </c>
      <c r="M2596" s="62" t="s">
        <v>70</v>
      </c>
      <c r="N2596" t="s">
        <v>71</v>
      </c>
      <c r="O2596" t="str">
        <f>IFERROR(IF(Tbla_actores[[#This Row],[codigo_proyecto]]="","",_xlfn.XLOOKUP(Tbla_actores[[#This Row],[codigo_proyecto]],Proyectos!$A:$A,Proyectos!$C:$C)),"")</f>
        <v>NULOS</v>
      </c>
    </row>
    <row r="2597" spans="1:15">
      <c r="A2597" s="10">
        <v>1000150542</v>
      </c>
      <c r="B2597" s="64" t="s">
        <v>61</v>
      </c>
      <c r="C2597" s="62" t="s">
        <v>7312</v>
      </c>
      <c r="D2597" t="s">
        <v>63</v>
      </c>
      <c r="E2597" t="s">
        <v>7798</v>
      </c>
      <c r="F2597" s="61">
        <v>37552</v>
      </c>
      <c r="G2597" s="15" t="s">
        <v>73</v>
      </c>
      <c r="H2597" t="s">
        <v>7799</v>
      </c>
      <c r="I2597" s="62" t="s">
        <v>7800</v>
      </c>
      <c r="K2597" s="36" t="s">
        <v>169</v>
      </c>
      <c r="L2597" t="s">
        <v>69</v>
      </c>
      <c r="M2597" s="62" t="s">
        <v>170</v>
      </c>
      <c r="N2597" t="s">
        <v>71</v>
      </c>
      <c r="O2597" t="str">
        <f>IFERROR(IF(Tbla_actores[[#This Row],[codigo_proyecto]]="","",_xlfn.XLOOKUP(Tbla_actores[[#This Row],[codigo_proyecto]],Proyectos!$A:$A,Proyectos!$C:$C)),"")</f>
        <v>NULOS</v>
      </c>
    </row>
    <row r="2598" spans="1:15">
      <c r="A2598" s="9">
        <v>1000411866</v>
      </c>
      <c r="B2598" s="63" t="s">
        <v>61</v>
      </c>
      <c r="C2598" s="62" t="s">
        <v>7312</v>
      </c>
      <c r="D2598" t="s">
        <v>63</v>
      </c>
      <c r="E2598" t="s">
        <v>7801</v>
      </c>
      <c r="F2598" s="61">
        <v>37205</v>
      </c>
      <c r="G2598" s="15" t="s">
        <v>65</v>
      </c>
      <c r="H2598" t="s">
        <v>7802</v>
      </c>
      <c r="I2598" s="62" t="s">
        <v>7803</v>
      </c>
      <c r="K2598" s="36" t="s">
        <v>169</v>
      </c>
      <c r="L2598" t="s">
        <v>69</v>
      </c>
      <c r="M2598" s="62" t="s">
        <v>170</v>
      </c>
      <c r="N2598" t="s">
        <v>71</v>
      </c>
      <c r="O2598" t="str">
        <f>IFERROR(IF(Tbla_actores[[#This Row],[codigo_proyecto]]="","",_xlfn.XLOOKUP(Tbla_actores[[#This Row],[codigo_proyecto]],Proyectos!$A:$A,Proyectos!$C:$C)),"")</f>
        <v>NULOS</v>
      </c>
    </row>
    <row r="2599" spans="1:15">
      <c r="A2599" s="10">
        <v>1193520085</v>
      </c>
      <c r="B2599" s="64" t="s">
        <v>61</v>
      </c>
      <c r="C2599" s="62" t="s">
        <v>7312</v>
      </c>
      <c r="D2599" t="s">
        <v>63</v>
      </c>
      <c r="E2599" t="s">
        <v>7804</v>
      </c>
      <c r="F2599" s="61">
        <v>37564</v>
      </c>
      <c r="G2599" s="15" t="s">
        <v>65</v>
      </c>
      <c r="H2599" t="s">
        <v>7805</v>
      </c>
      <c r="I2599" s="62" t="s">
        <v>7806</v>
      </c>
      <c r="K2599" s="36" t="s">
        <v>68</v>
      </c>
      <c r="L2599" t="s">
        <v>69</v>
      </c>
      <c r="M2599" s="62" t="s">
        <v>70</v>
      </c>
      <c r="N2599" t="s">
        <v>71</v>
      </c>
      <c r="O2599" t="str">
        <f>IFERROR(IF(Tbla_actores[[#This Row],[codigo_proyecto]]="","",_xlfn.XLOOKUP(Tbla_actores[[#This Row],[codigo_proyecto]],Proyectos!$A:$A,Proyectos!$C:$C)),"")</f>
        <v>NULOS</v>
      </c>
    </row>
    <row r="2600" spans="1:15">
      <c r="A2600" s="9">
        <v>1000150197</v>
      </c>
      <c r="B2600" s="63" t="s">
        <v>61</v>
      </c>
      <c r="C2600" s="62" t="s">
        <v>7312</v>
      </c>
      <c r="D2600" t="s">
        <v>63</v>
      </c>
      <c r="E2600" t="s">
        <v>7807</v>
      </c>
      <c r="F2600" s="61">
        <v>37436</v>
      </c>
      <c r="G2600" s="15" t="s">
        <v>65</v>
      </c>
      <c r="H2600" t="s">
        <v>7808</v>
      </c>
      <c r="I2600" s="62" t="s">
        <v>7809</v>
      </c>
      <c r="K2600" s="36" t="s">
        <v>68</v>
      </c>
      <c r="L2600" t="s">
        <v>69</v>
      </c>
      <c r="M2600" s="62" t="s">
        <v>70</v>
      </c>
      <c r="N2600" t="s">
        <v>71</v>
      </c>
      <c r="O2600" t="str">
        <f>IFERROR(IF(Tbla_actores[[#This Row],[codigo_proyecto]]="","",_xlfn.XLOOKUP(Tbla_actores[[#This Row],[codigo_proyecto]],Proyectos!$A:$A,Proyectos!$C:$C)),"")</f>
        <v>NULOS</v>
      </c>
    </row>
    <row r="2601" spans="1:15">
      <c r="A2601" s="10">
        <v>1007029964</v>
      </c>
      <c r="B2601" s="64" t="s">
        <v>61</v>
      </c>
      <c r="C2601" s="62" t="s">
        <v>7312</v>
      </c>
      <c r="D2601" t="s">
        <v>63</v>
      </c>
      <c r="E2601" t="s">
        <v>7810</v>
      </c>
      <c r="F2601" s="61">
        <v>37191</v>
      </c>
      <c r="G2601" s="15" t="s">
        <v>73</v>
      </c>
      <c r="H2601" t="s">
        <v>7811</v>
      </c>
      <c r="I2601" s="62" t="s">
        <v>7812</v>
      </c>
      <c r="K2601" s="36" t="s">
        <v>68</v>
      </c>
      <c r="L2601" t="s">
        <v>69</v>
      </c>
      <c r="M2601" s="62" t="s">
        <v>70</v>
      </c>
      <c r="N2601" t="s">
        <v>71</v>
      </c>
      <c r="O2601" t="str">
        <f>IFERROR(IF(Tbla_actores[[#This Row],[codigo_proyecto]]="","",_xlfn.XLOOKUP(Tbla_actores[[#This Row],[codigo_proyecto]],Proyectos!$A:$A,Proyectos!$C:$C)),"")</f>
        <v>NULOS</v>
      </c>
    </row>
    <row r="2602" spans="1:15">
      <c r="A2602" s="9">
        <v>1000697926</v>
      </c>
      <c r="B2602" s="63" t="s">
        <v>61</v>
      </c>
      <c r="C2602" s="62" t="s">
        <v>7312</v>
      </c>
      <c r="D2602" t="s">
        <v>63</v>
      </c>
      <c r="E2602" t="s">
        <v>7813</v>
      </c>
      <c r="F2602" s="61">
        <v>37177</v>
      </c>
      <c r="G2602" s="15" t="s">
        <v>65</v>
      </c>
      <c r="H2602" t="s">
        <v>7814</v>
      </c>
      <c r="I2602" s="62" t="s">
        <v>7815</v>
      </c>
      <c r="K2602" s="36" t="s">
        <v>68</v>
      </c>
      <c r="L2602" t="s">
        <v>69</v>
      </c>
      <c r="M2602" s="62" t="s">
        <v>70</v>
      </c>
      <c r="N2602" t="s">
        <v>71</v>
      </c>
      <c r="O2602" t="str">
        <f>IFERROR(IF(Tbla_actores[[#This Row],[codigo_proyecto]]="","",_xlfn.XLOOKUP(Tbla_actores[[#This Row],[codigo_proyecto]],Proyectos!$A:$A,Proyectos!$C:$C)),"")</f>
        <v>NULOS</v>
      </c>
    </row>
    <row r="2603" spans="1:15">
      <c r="A2603" s="10">
        <v>1032508651</v>
      </c>
      <c r="B2603" s="64" t="s">
        <v>61</v>
      </c>
      <c r="C2603" s="62" t="s">
        <v>7312</v>
      </c>
      <c r="D2603" t="s">
        <v>63</v>
      </c>
      <c r="E2603" t="s">
        <v>7816</v>
      </c>
      <c r="F2603" s="61">
        <v>36516</v>
      </c>
      <c r="G2603" s="15" t="s">
        <v>73</v>
      </c>
      <c r="H2603" t="s">
        <v>7817</v>
      </c>
      <c r="I2603" s="62" t="s">
        <v>7818</v>
      </c>
      <c r="K2603" s="36" t="s">
        <v>169</v>
      </c>
      <c r="L2603" t="s">
        <v>69</v>
      </c>
      <c r="M2603" s="62" t="s">
        <v>170</v>
      </c>
      <c r="N2603" t="s">
        <v>71</v>
      </c>
      <c r="O2603" t="str">
        <f>IFERROR(IF(Tbla_actores[[#This Row],[codigo_proyecto]]="","",_xlfn.XLOOKUP(Tbla_actores[[#This Row],[codigo_proyecto]],Proyectos!$A:$A,Proyectos!$C:$C)),"")</f>
        <v>NULOS</v>
      </c>
    </row>
    <row r="2604" spans="1:15">
      <c r="A2604" s="9">
        <v>1007388604</v>
      </c>
      <c r="B2604" s="63" t="s">
        <v>61</v>
      </c>
      <c r="C2604" s="62" t="s">
        <v>7312</v>
      </c>
      <c r="D2604" t="s">
        <v>63</v>
      </c>
      <c r="E2604" t="s">
        <v>7819</v>
      </c>
      <c r="F2604" s="61">
        <v>36830</v>
      </c>
      <c r="G2604" s="15" t="s">
        <v>73</v>
      </c>
      <c r="H2604" t="s">
        <v>7820</v>
      </c>
      <c r="I2604" s="62" t="s">
        <v>7821</v>
      </c>
      <c r="K2604" s="36" t="s">
        <v>169</v>
      </c>
      <c r="L2604" t="s">
        <v>69</v>
      </c>
      <c r="M2604" s="62" t="s">
        <v>170</v>
      </c>
      <c r="N2604" t="s">
        <v>71</v>
      </c>
      <c r="O2604" t="str">
        <f>IFERROR(IF(Tbla_actores[[#This Row],[codigo_proyecto]]="","",_xlfn.XLOOKUP(Tbla_actores[[#This Row],[codigo_proyecto]],Proyectos!$A:$A,Proyectos!$C:$C)),"")</f>
        <v>NULOS</v>
      </c>
    </row>
    <row r="2605" spans="1:15">
      <c r="A2605" s="10">
        <v>1018499314</v>
      </c>
      <c r="B2605" s="64" t="s">
        <v>61</v>
      </c>
      <c r="C2605" s="62" t="s">
        <v>7312</v>
      </c>
      <c r="D2605" t="s">
        <v>63</v>
      </c>
      <c r="E2605" t="s">
        <v>7822</v>
      </c>
      <c r="F2605" s="61">
        <v>35755</v>
      </c>
      <c r="G2605" s="15" t="s">
        <v>73</v>
      </c>
      <c r="H2605" t="s">
        <v>7823</v>
      </c>
      <c r="I2605" s="62" t="s">
        <v>7824</v>
      </c>
      <c r="K2605" s="36" t="s">
        <v>169</v>
      </c>
      <c r="L2605" t="s">
        <v>69</v>
      </c>
      <c r="M2605" s="62" t="s">
        <v>170</v>
      </c>
      <c r="N2605" t="s">
        <v>71</v>
      </c>
      <c r="O2605" t="str">
        <f>IFERROR(IF(Tbla_actores[[#This Row],[codigo_proyecto]]="","",_xlfn.XLOOKUP(Tbla_actores[[#This Row],[codigo_proyecto]],Proyectos!$A:$A,Proyectos!$C:$C)),"")</f>
        <v>NULOS</v>
      </c>
    </row>
    <row r="2606" spans="1:15">
      <c r="A2606" s="9">
        <v>1001298913</v>
      </c>
      <c r="B2606" s="63" t="s">
        <v>61</v>
      </c>
      <c r="C2606" s="62" t="s">
        <v>7312</v>
      </c>
      <c r="D2606" t="s">
        <v>63</v>
      </c>
      <c r="E2606" t="s">
        <v>7825</v>
      </c>
      <c r="F2606" s="61">
        <v>37368</v>
      </c>
      <c r="G2606" s="15" t="s">
        <v>65</v>
      </c>
      <c r="H2606" t="s">
        <v>7826</v>
      </c>
      <c r="I2606" s="62" t="s">
        <v>7827</v>
      </c>
      <c r="K2606" s="36" t="s">
        <v>495</v>
      </c>
      <c r="L2606" t="s">
        <v>69</v>
      </c>
      <c r="M2606" s="62" t="s">
        <v>70</v>
      </c>
      <c r="N2606" t="s">
        <v>71</v>
      </c>
      <c r="O2606" t="str">
        <f>IFERROR(IF(Tbla_actores[[#This Row],[codigo_proyecto]]="","",_xlfn.XLOOKUP(Tbla_actores[[#This Row],[codigo_proyecto]],Proyectos!$A:$A,Proyectos!$C:$C)),"")</f>
        <v>NULOS</v>
      </c>
    </row>
    <row r="2607" spans="1:15">
      <c r="A2607" s="10">
        <v>1000286717</v>
      </c>
      <c r="B2607" s="64" t="s">
        <v>61</v>
      </c>
      <c r="C2607" s="62" t="s">
        <v>7312</v>
      </c>
      <c r="D2607" t="s">
        <v>63</v>
      </c>
      <c r="E2607" t="s">
        <v>7828</v>
      </c>
      <c r="F2607" s="61">
        <v>37392</v>
      </c>
      <c r="G2607" s="15" t="s">
        <v>73</v>
      </c>
      <c r="H2607" t="s">
        <v>7829</v>
      </c>
      <c r="I2607" s="62" t="s">
        <v>7830</v>
      </c>
      <c r="K2607" s="36" t="s">
        <v>495</v>
      </c>
      <c r="L2607" t="s">
        <v>69</v>
      </c>
      <c r="M2607" s="62" t="s">
        <v>70</v>
      </c>
      <c r="N2607" t="s">
        <v>71</v>
      </c>
      <c r="O2607" t="str">
        <f>IFERROR(IF(Tbla_actores[[#This Row],[codigo_proyecto]]="","",_xlfn.XLOOKUP(Tbla_actores[[#This Row],[codigo_proyecto]],Proyectos!$A:$A,Proyectos!$C:$C)),"")</f>
        <v>NULOS</v>
      </c>
    </row>
    <row r="2608" spans="1:15">
      <c r="A2608" s="9">
        <v>1000019805</v>
      </c>
      <c r="B2608" s="63" t="s">
        <v>61</v>
      </c>
      <c r="C2608" s="62" t="s">
        <v>7312</v>
      </c>
      <c r="D2608" t="s">
        <v>63</v>
      </c>
      <c r="E2608" t="s">
        <v>7831</v>
      </c>
      <c r="F2608" s="61">
        <v>37468</v>
      </c>
      <c r="G2608" s="15" t="s">
        <v>73</v>
      </c>
      <c r="H2608" t="s">
        <v>7832</v>
      </c>
      <c r="I2608" s="62" t="s">
        <v>7833</v>
      </c>
      <c r="K2608" s="36" t="s">
        <v>169</v>
      </c>
      <c r="L2608" t="s">
        <v>69</v>
      </c>
      <c r="M2608" s="62" t="s">
        <v>170</v>
      </c>
      <c r="N2608" t="s">
        <v>71</v>
      </c>
      <c r="O2608" t="str">
        <f>IFERROR(IF(Tbla_actores[[#This Row],[codigo_proyecto]]="","",_xlfn.XLOOKUP(Tbla_actores[[#This Row],[codigo_proyecto]],Proyectos!$A:$A,Proyectos!$C:$C)),"")</f>
        <v>NULOS</v>
      </c>
    </row>
    <row r="2609" spans="1:15">
      <c r="A2609" s="10">
        <v>1032488346</v>
      </c>
      <c r="B2609" s="64" t="s">
        <v>61</v>
      </c>
      <c r="C2609" s="62" t="s">
        <v>7312</v>
      </c>
      <c r="D2609" t="s">
        <v>63</v>
      </c>
      <c r="E2609" t="s">
        <v>7834</v>
      </c>
      <c r="F2609" s="61">
        <v>35412</v>
      </c>
      <c r="G2609" s="15" t="s">
        <v>73</v>
      </c>
      <c r="H2609" t="s">
        <v>7835</v>
      </c>
      <c r="I2609" s="62" t="s">
        <v>7836</v>
      </c>
      <c r="K2609" s="36" t="s">
        <v>169</v>
      </c>
      <c r="L2609" t="s">
        <v>69</v>
      </c>
      <c r="M2609" s="62" t="s">
        <v>170</v>
      </c>
      <c r="N2609" t="s">
        <v>71</v>
      </c>
      <c r="O2609" t="str">
        <f>IFERROR(IF(Tbla_actores[[#This Row],[codigo_proyecto]]="","",_xlfn.XLOOKUP(Tbla_actores[[#This Row],[codigo_proyecto]],Proyectos!$A:$A,Proyectos!$C:$C)),"")</f>
        <v>NULOS</v>
      </c>
    </row>
    <row r="2610" spans="1:15">
      <c r="A2610" s="9">
        <v>1000288710</v>
      </c>
      <c r="B2610" s="63" t="s">
        <v>61</v>
      </c>
      <c r="C2610" s="62" t="s">
        <v>7312</v>
      </c>
      <c r="D2610" t="s">
        <v>63</v>
      </c>
      <c r="E2610" t="s">
        <v>7837</v>
      </c>
      <c r="F2610" s="61">
        <v>37098</v>
      </c>
      <c r="G2610" s="15" t="s">
        <v>73</v>
      </c>
      <c r="H2610" t="s">
        <v>7838</v>
      </c>
      <c r="I2610" s="62" t="s">
        <v>7839</v>
      </c>
      <c r="K2610" s="36" t="s">
        <v>169</v>
      </c>
      <c r="L2610" t="s">
        <v>69</v>
      </c>
      <c r="M2610" s="62" t="s">
        <v>170</v>
      </c>
      <c r="N2610" t="s">
        <v>71</v>
      </c>
      <c r="O2610" t="str">
        <f>IFERROR(IF(Tbla_actores[[#This Row],[codigo_proyecto]]="","",_xlfn.XLOOKUP(Tbla_actores[[#This Row],[codigo_proyecto]],Proyectos!$A:$A,Proyectos!$C:$C)),"")</f>
        <v>NULOS</v>
      </c>
    </row>
    <row r="2611" spans="1:15">
      <c r="A2611" s="10">
        <v>1098807942</v>
      </c>
      <c r="B2611" s="64" t="s">
        <v>61</v>
      </c>
      <c r="C2611" s="62" t="s">
        <v>7312</v>
      </c>
      <c r="D2611" t="s">
        <v>63</v>
      </c>
      <c r="E2611" t="s">
        <v>7840</v>
      </c>
      <c r="F2611" s="61">
        <v>35725</v>
      </c>
      <c r="G2611" s="15" t="s">
        <v>73</v>
      </c>
      <c r="H2611" t="s">
        <v>7841</v>
      </c>
      <c r="I2611" s="62" t="s">
        <v>7842</v>
      </c>
      <c r="K2611" s="36" t="s">
        <v>169</v>
      </c>
      <c r="L2611" t="s">
        <v>69</v>
      </c>
      <c r="M2611" s="62" t="s">
        <v>170</v>
      </c>
      <c r="N2611" t="s">
        <v>71</v>
      </c>
      <c r="O2611" t="str">
        <f>IFERROR(IF(Tbla_actores[[#This Row],[codigo_proyecto]]="","",_xlfn.XLOOKUP(Tbla_actores[[#This Row],[codigo_proyecto]],Proyectos!$A:$A,Proyectos!$C:$C)),"")</f>
        <v>NULOS</v>
      </c>
    </row>
    <row r="2612" spans="1:15">
      <c r="A2612" s="9">
        <v>1010118387</v>
      </c>
      <c r="B2612" s="63" t="s">
        <v>61</v>
      </c>
      <c r="C2612" s="62" t="s">
        <v>7312</v>
      </c>
      <c r="D2612" t="s">
        <v>63</v>
      </c>
      <c r="E2612" t="s">
        <v>7843</v>
      </c>
      <c r="F2612" s="61">
        <v>36826</v>
      </c>
      <c r="G2612" s="15" t="s">
        <v>73</v>
      </c>
      <c r="H2612" t="s">
        <v>7844</v>
      </c>
      <c r="I2612" s="62" t="s">
        <v>7845</v>
      </c>
      <c r="K2612" s="36" t="s">
        <v>169</v>
      </c>
      <c r="L2612" t="s">
        <v>69</v>
      </c>
      <c r="M2612" s="62" t="s">
        <v>170</v>
      </c>
      <c r="N2612" t="s">
        <v>71</v>
      </c>
      <c r="O2612" t="str">
        <f>IFERROR(IF(Tbla_actores[[#This Row],[codigo_proyecto]]="","",_xlfn.XLOOKUP(Tbla_actores[[#This Row],[codigo_proyecto]],Proyectos!$A:$A,Proyectos!$C:$C)),"")</f>
        <v>NULOS</v>
      </c>
    </row>
    <row r="2613" spans="1:15">
      <c r="A2613" s="10">
        <v>1001942268</v>
      </c>
      <c r="B2613" s="64" t="s">
        <v>61</v>
      </c>
      <c r="C2613" s="62" t="s">
        <v>7312</v>
      </c>
      <c r="D2613" t="s">
        <v>63</v>
      </c>
      <c r="E2613" t="s">
        <v>7846</v>
      </c>
      <c r="F2613" s="61">
        <v>37149</v>
      </c>
      <c r="G2613" s="15" t="s">
        <v>65</v>
      </c>
      <c r="H2613" t="s">
        <v>7847</v>
      </c>
      <c r="I2613" s="62" t="s">
        <v>7848</v>
      </c>
      <c r="K2613" s="36" t="s">
        <v>169</v>
      </c>
      <c r="L2613" t="s">
        <v>69</v>
      </c>
      <c r="M2613" s="62" t="s">
        <v>170</v>
      </c>
      <c r="N2613" t="s">
        <v>71</v>
      </c>
      <c r="O2613" t="str">
        <f>IFERROR(IF(Tbla_actores[[#This Row],[codigo_proyecto]]="","",_xlfn.XLOOKUP(Tbla_actores[[#This Row],[codigo_proyecto]],Proyectos!$A:$A,Proyectos!$C:$C)),"")</f>
        <v>NULOS</v>
      </c>
    </row>
    <row r="2614" spans="1:15">
      <c r="A2614" s="9">
        <v>1002819591</v>
      </c>
      <c r="B2614" s="63" t="s">
        <v>61</v>
      </c>
      <c r="C2614" s="62" t="s">
        <v>7312</v>
      </c>
      <c r="D2614" t="s">
        <v>63</v>
      </c>
      <c r="E2614" t="s">
        <v>7849</v>
      </c>
      <c r="F2614" s="61">
        <v>37314</v>
      </c>
      <c r="G2614" s="15" t="s">
        <v>73</v>
      </c>
      <c r="H2614" t="s">
        <v>7850</v>
      </c>
      <c r="I2614" s="62" t="s">
        <v>7851</v>
      </c>
      <c r="K2614" s="36" t="s">
        <v>495</v>
      </c>
      <c r="L2614" t="s">
        <v>69</v>
      </c>
      <c r="M2614" s="62" t="s">
        <v>70</v>
      </c>
      <c r="N2614" t="s">
        <v>71</v>
      </c>
      <c r="O2614" t="str">
        <f>IFERROR(IF(Tbla_actores[[#This Row],[codigo_proyecto]]="","",_xlfn.XLOOKUP(Tbla_actores[[#This Row],[codigo_proyecto]],Proyectos!$A:$A,Proyectos!$C:$C)),"")</f>
        <v>NULOS</v>
      </c>
    </row>
    <row r="2615" spans="1:15">
      <c r="A2615" s="10">
        <v>1000505357</v>
      </c>
      <c r="B2615" s="64" t="s">
        <v>61</v>
      </c>
      <c r="C2615" s="62" t="s">
        <v>7312</v>
      </c>
      <c r="D2615" t="s">
        <v>63</v>
      </c>
      <c r="E2615" t="s">
        <v>7852</v>
      </c>
      <c r="F2615" s="61">
        <v>36555</v>
      </c>
      <c r="G2615" s="15" t="s">
        <v>73</v>
      </c>
      <c r="H2615" t="s">
        <v>7853</v>
      </c>
      <c r="I2615" s="62" t="s">
        <v>7854</v>
      </c>
      <c r="K2615" s="36" t="s">
        <v>495</v>
      </c>
      <c r="L2615" t="s">
        <v>69</v>
      </c>
      <c r="M2615" s="62" t="s">
        <v>70</v>
      </c>
      <c r="N2615" t="s">
        <v>71</v>
      </c>
      <c r="O2615" t="str">
        <f>IFERROR(IF(Tbla_actores[[#This Row],[codigo_proyecto]]="","",_xlfn.XLOOKUP(Tbla_actores[[#This Row],[codigo_proyecto]],Proyectos!$A:$A,Proyectos!$C:$C)),"")</f>
        <v>NULOS</v>
      </c>
    </row>
    <row r="2616" spans="1:15">
      <c r="A2616" s="9">
        <v>1019148732</v>
      </c>
      <c r="B2616" s="63" t="s">
        <v>61</v>
      </c>
      <c r="C2616" s="62" t="s">
        <v>7312</v>
      </c>
      <c r="D2616" t="s">
        <v>63</v>
      </c>
      <c r="E2616" t="s">
        <v>7855</v>
      </c>
      <c r="F2616" s="61">
        <v>36268</v>
      </c>
      <c r="G2616" s="15" t="s">
        <v>73</v>
      </c>
      <c r="H2616" t="s">
        <v>7856</v>
      </c>
      <c r="I2616" s="62" t="s">
        <v>7857</v>
      </c>
      <c r="K2616" s="36" t="s">
        <v>68</v>
      </c>
      <c r="L2616" t="s">
        <v>69</v>
      </c>
      <c r="M2616" s="62" t="s">
        <v>70</v>
      </c>
      <c r="N2616" t="s">
        <v>71</v>
      </c>
      <c r="O2616" t="str">
        <f>IFERROR(IF(Tbla_actores[[#This Row],[codigo_proyecto]]="","",_xlfn.XLOOKUP(Tbla_actores[[#This Row],[codigo_proyecto]],Proyectos!$A:$A,Proyectos!$C:$C)),"")</f>
        <v>NULOS</v>
      </c>
    </row>
    <row r="2617" spans="1:15">
      <c r="A2617" s="10">
        <v>1034396799</v>
      </c>
      <c r="B2617" s="64" t="s">
        <v>61</v>
      </c>
      <c r="C2617" s="62" t="s">
        <v>7312</v>
      </c>
      <c r="D2617" t="s">
        <v>63</v>
      </c>
      <c r="E2617" t="s">
        <v>7858</v>
      </c>
      <c r="F2617" s="61">
        <v>38116</v>
      </c>
      <c r="G2617" s="15" t="s">
        <v>65</v>
      </c>
      <c r="H2617" t="s">
        <v>7859</v>
      </c>
      <c r="I2617" s="62" t="s">
        <v>7860</v>
      </c>
      <c r="K2617" s="36" t="s">
        <v>169</v>
      </c>
      <c r="L2617" t="s">
        <v>69</v>
      </c>
      <c r="M2617" s="62" t="s">
        <v>170</v>
      </c>
      <c r="N2617" t="s">
        <v>71</v>
      </c>
      <c r="O2617" t="str">
        <f>IFERROR(IF(Tbla_actores[[#This Row],[codigo_proyecto]]="","",_xlfn.XLOOKUP(Tbla_actores[[#This Row],[codigo_proyecto]],Proyectos!$A:$A,Proyectos!$C:$C)),"")</f>
        <v>NULOS</v>
      </c>
    </row>
    <row r="2618" spans="1:15">
      <c r="A2618" s="9">
        <v>1014976492</v>
      </c>
      <c r="B2618" s="63" t="s">
        <v>61</v>
      </c>
      <c r="C2618" s="62" t="s">
        <v>7312</v>
      </c>
      <c r="D2618" t="s">
        <v>63</v>
      </c>
      <c r="E2618" t="s">
        <v>7861</v>
      </c>
      <c r="F2618" s="61">
        <v>38036</v>
      </c>
      <c r="G2618" s="15" t="s">
        <v>65</v>
      </c>
      <c r="H2618" t="s">
        <v>7862</v>
      </c>
      <c r="I2618" s="62" t="s">
        <v>7863</v>
      </c>
      <c r="K2618" s="36" t="s">
        <v>169</v>
      </c>
      <c r="L2618" t="s">
        <v>69</v>
      </c>
      <c r="M2618" s="62" t="s">
        <v>170</v>
      </c>
      <c r="N2618" t="s">
        <v>71</v>
      </c>
      <c r="O2618" t="str">
        <f>IFERROR(IF(Tbla_actores[[#This Row],[codigo_proyecto]]="","",_xlfn.XLOOKUP(Tbla_actores[[#This Row],[codigo_proyecto]],Proyectos!$A:$A,Proyectos!$C:$C)),"")</f>
        <v>NULOS</v>
      </c>
    </row>
    <row r="2619" spans="1:15">
      <c r="A2619" s="10">
        <v>1027280313</v>
      </c>
      <c r="B2619" s="64" t="s">
        <v>61</v>
      </c>
      <c r="C2619" s="62" t="s">
        <v>7312</v>
      </c>
      <c r="D2619" t="s">
        <v>63</v>
      </c>
      <c r="E2619" t="s">
        <v>7864</v>
      </c>
      <c r="F2619" s="61">
        <v>38038</v>
      </c>
      <c r="G2619" s="15" t="s">
        <v>73</v>
      </c>
      <c r="H2619" t="s">
        <v>7865</v>
      </c>
      <c r="I2619" s="62" t="s">
        <v>7866</v>
      </c>
      <c r="K2619" s="36" t="s">
        <v>169</v>
      </c>
      <c r="L2619" t="s">
        <v>69</v>
      </c>
      <c r="M2619" s="62" t="s">
        <v>170</v>
      </c>
      <c r="N2619" t="s">
        <v>71</v>
      </c>
      <c r="O2619" t="str">
        <f>IFERROR(IF(Tbla_actores[[#This Row],[codigo_proyecto]]="","",_xlfn.XLOOKUP(Tbla_actores[[#This Row],[codigo_proyecto]],Proyectos!$A:$A,Proyectos!$C:$C)),"")</f>
        <v>NULOS</v>
      </c>
    </row>
    <row r="2620" spans="1:15">
      <c r="A2620" s="9">
        <v>1052404974</v>
      </c>
      <c r="B2620" s="63" t="s">
        <v>61</v>
      </c>
      <c r="C2620" s="62" t="s">
        <v>7312</v>
      </c>
      <c r="D2620" t="s">
        <v>63</v>
      </c>
      <c r="E2620" t="s">
        <v>7867</v>
      </c>
      <c r="F2620" s="61">
        <v>34911</v>
      </c>
      <c r="G2620" s="15" t="s">
        <v>73</v>
      </c>
      <c r="H2620" t="s">
        <v>7868</v>
      </c>
      <c r="I2620" s="62" t="s">
        <v>7869</v>
      </c>
      <c r="K2620" s="36" t="s">
        <v>495</v>
      </c>
      <c r="L2620" t="s">
        <v>69</v>
      </c>
      <c r="M2620" s="62" t="s">
        <v>70</v>
      </c>
      <c r="N2620" t="s">
        <v>71</v>
      </c>
      <c r="O2620" t="str">
        <f>IFERROR(IF(Tbla_actores[[#This Row],[codigo_proyecto]]="","",_xlfn.XLOOKUP(Tbla_actores[[#This Row],[codigo_proyecto]],Proyectos!$A:$A,Proyectos!$C:$C)),"")</f>
        <v>NULOS</v>
      </c>
    </row>
    <row r="2621" spans="1:15">
      <c r="A2621" s="10">
        <v>1007652260</v>
      </c>
      <c r="B2621" s="64" t="s">
        <v>61</v>
      </c>
      <c r="C2621" s="62" t="s">
        <v>7312</v>
      </c>
      <c r="D2621" t="s">
        <v>63</v>
      </c>
      <c r="E2621" t="s">
        <v>7870</v>
      </c>
      <c r="F2621" s="61">
        <v>37148</v>
      </c>
      <c r="G2621" s="15" t="s">
        <v>73</v>
      </c>
      <c r="H2621" t="s">
        <v>7871</v>
      </c>
      <c r="I2621" s="62" t="s">
        <v>7872</v>
      </c>
      <c r="K2621" s="36" t="s">
        <v>169</v>
      </c>
      <c r="L2621" t="s">
        <v>69</v>
      </c>
      <c r="M2621" s="62" t="s">
        <v>170</v>
      </c>
      <c r="N2621" t="s">
        <v>71</v>
      </c>
      <c r="O2621" t="str">
        <f>IFERROR(IF(Tbla_actores[[#This Row],[codigo_proyecto]]="","",_xlfn.XLOOKUP(Tbla_actores[[#This Row],[codigo_proyecto]],Proyectos!$A:$A,Proyectos!$C:$C)),"")</f>
        <v>NULOS</v>
      </c>
    </row>
    <row r="2622" spans="1:15">
      <c r="A2622" s="9">
        <v>1000940260</v>
      </c>
      <c r="B2622" s="63" t="s">
        <v>61</v>
      </c>
      <c r="C2622" s="62" t="s">
        <v>7312</v>
      </c>
      <c r="D2622" t="s">
        <v>63</v>
      </c>
      <c r="E2622" t="s">
        <v>7873</v>
      </c>
      <c r="F2622" s="61">
        <v>36061</v>
      </c>
      <c r="G2622" s="15" t="s">
        <v>73</v>
      </c>
      <c r="H2622" t="s">
        <v>7874</v>
      </c>
      <c r="I2622" s="62" t="s">
        <v>7875</v>
      </c>
      <c r="K2622" s="36" t="s">
        <v>495</v>
      </c>
      <c r="L2622" t="s">
        <v>69</v>
      </c>
      <c r="M2622" s="62" t="s">
        <v>70</v>
      </c>
      <c r="N2622" t="s">
        <v>71</v>
      </c>
      <c r="O2622" t="str">
        <f>IFERROR(IF(Tbla_actores[[#This Row],[codigo_proyecto]]="","",_xlfn.XLOOKUP(Tbla_actores[[#This Row],[codigo_proyecto]],Proyectos!$A:$A,Proyectos!$C:$C)),"")</f>
        <v>NULOS</v>
      </c>
    </row>
    <row r="2623" spans="1:15">
      <c r="A2623" s="10">
        <v>1000036768</v>
      </c>
      <c r="B2623" s="64" t="s">
        <v>61</v>
      </c>
      <c r="C2623" s="62" t="s">
        <v>7312</v>
      </c>
      <c r="D2623" t="s">
        <v>63</v>
      </c>
      <c r="E2623" t="s">
        <v>7876</v>
      </c>
      <c r="F2623" s="61">
        <v>37935</v>
      </c>
      <c r="G2623" s="15" t="s">
        <v>73</v>
      </c>
      <c r="H2623" t="s">
        <v>7877</v>
      </c>
      <c r="I2623" s="62" t="s">
        <v>7878</v>
      </c>
      <c r="K2623" s="36" t="s">
        <v>169</v>
      </c>
      <c r="L2623" t="s">
        <v>69</v>
      </c>
      <c r="M2623" s="62" t="s">
        <v>170</v>
      </c>
      <c r="N2623" t="s">
        <v>71</v>
      </c>
      <c r="O2623" t="str">
        <f>IFERROR(IF(Tbla_actores[[#This Row],[codigo_proyecto]]="","",_xlfn.XLOOKUP(Tbla_actores[[#This Row],[codigo_proyecto]],Proyectos!$A:$A,Proyectos!$C:$C)),"")</f>
        <v>NULOS</v>
      </c>
    </row>
    <row r="2624" spans="1:15">
      <c r="A2624" s="9">
        <v>1001296368</v>
      </c>
      <c r="B2624" s="63" t="s">
        <v>61</v>
      </c>
      <c r="C2624" s="62" t="s">
        <v>7312</v>
      </c>
      <c r="D2624" t="s">
        <v>63</v>
      </c>
      <c r="E2624" t="s">
        <v>7879</v>
      </c>
      <c r="F2624" s="61">
        <v>37452</v>
      </c>
      <c r="G2624" s="15" t="s">
        <v>73</v>
      </c>
      <c r="H2624" t="s">
        <v>7880</v>
      </c>
      <c r="I2624" s="62" t="s">
        <v>7881</v>
      </c>
      <c r="K2624" s="36" t="s">
        <v>169</v>
      </c>
      <c r="L2624" t="s">
        <v>69</v>
      </c>
      <c r="M2624" s="62" t="s">
        <v>170</v>
      </c>
      <c r="N2624" t="s">
        <v>71</v>
      </c>
      <c r="O2624" t="str">
        <f>IFERROR(IF(Tbla_actores[[#This Row],[codigo_proyecto]]="","",_xlfn.XLOOKUP(Tbla_actores[[#This Row],[codigo_proyecto]],Proyectos!$A:$A,Proyectos!$C:$C)),"")</f>
        <v>NULOS</v>
      </c>
    </row>
    <row r="2625" spans="1:15">
      <c r="A2625" s="10">
        <v>1000034265</v>
      </c>
      <c r="B2625" s="64" t="s">
        <v>61</v>
      </c>
      <c r="C2625" s="62" t="s">
        <v>7312</v>
      </c>
      <c r="D2625" t="s">
        <v>63</v>
      </c>
      <c r="E2625" t="s">
        <v>7882</v>
      </c>
      <c r="F2625" s="61">
        <v>37442</v>
      </c>
      <c r="G2625" s="15" t="s">
        <v>73</v>
      </c>
      <c r="H2625" t="s">
        <v>7883</v>
      </c>
      <c r="I2625" s="62" t="s">
        <v>7884</v>
      </c>
      <c r="K2625" s="36" t="s">
        <v>169</v>
      </c>
      <c r="L2625" t="s">
        <v>69</v>
      </c>
      <c r="M2625" s="62" t="s">
        <v>170</v>
      </c>
      <c r="N2625" t="s">
        <v>71</v>
      </c>
      <c r="O2625" t="str">
        <f>IFERROR(IF(Tbla_actores[[#This Row],[codigo_proyecto]]="","",_xlfn.XLOOKUP(Tbla_actores[[#This Row],[codigo_proyecto]],Proyectos!$A:$A,Proyectos!$C:$C)),"")</f>
        <v>NULOS</v>
      </c>
    </row>
    <row r="2626" spans="1:15">
      <c r="A2626" s="9">
        <v>1015473152</v>
      </c>
      <c r="B2626" s="63" t="s">
        <v>61</v>
      </c>
      <c r="C2626" s="62" t="s">
        <v>7312</v>
      </c>
      <c r="D2626" t="s">
        <v>63</v>
      </c>
      <c r="E2626" t="s">
        <v>7885</v>
      </c>
      <c r="F2626" s="61">
        <v>35814</v>
      </c>
      <c r="G2626" s="15" t="s">
        <v>73</v>
      </c>
      <c r="H2626" t="s">
        <v>7886</v>
      </c>
      <c r="I2626" s="62" t="s">
        <v>7887</v>
      </c>
      <c r="K2626" s="36" t="s">
        <v>169</v>
      </c>
      <c r="L2626" t="s">
        <v>69</v>
      </c>
      <c r="M2626" s="62" t="s">
        <v>170</v>
      </c>
      <c r="N2626" t="s">
        <v>71</v>
      </c>
      <c r="O2626" t="str">
        <f>IFERROR(IF(Tbla_actores[[#This Row],[codigo_proyecto]]="","",_xlfn.XLOOKUP(Tbla_actores[[#This Row],[codigo_proyecto]],Proyectos!$A:$A,Proyectos!$C:$C)),"")</f>
        <v>NULOS</v>
      </c>
    </row>
    <row r="2627" spans="1:15">
      <c r="A2627" s="10">
        <v>1006147872</v>
      </c>
      <c r="B2627" s="64" t="s">
        <v>61</v>
      </c>
      <c r="C2627" s="62" t="s">
        <v>7312</v>
      </c>
      <c r="D2627" t="s">
        <v>63</v>
      </c>
      <c r="E2627" t="s">
        <v>7888</v>
      </c>
      <c r="F2627" s="61">
        <v>37302</v>
      </c>
      <c r="G2627" s="15" t="s">
        <v>73</v>
      </c>
      <c r="H2627" t="s">
        <v>7889</v>
      </c>
      <c r="I2627" s="62" t="s">
        <v>7890</v>
      </c>
      <c r="K2627" s="36" t="s">
        <v>169</v>
      </c>
      <c r="L2627" t="s">
        <v>69</v>
      </c>
      <c r="M2627" s="62" t="s">
        <v>170</v>
      </c>
      <c r="N2627" t="s">
        <v>71</v>
      </c>
      <c r="O2627" t="str">
        <f>IFERROR(IF(Tbla_actores[[#This Row],[codigo_proyecto]]="","",_xlfn.XLOOKUP(Tbla_actores[[#This Row],[codigo_proyecto]],Proyectos!$A:$A,Proyectos!$C:$C)),"")</f>
        <v>NULOS</v>
      </c>
    </row>
    <row r="2628" spans="1:15">
      <c r="A2628" s="9">
        <v>1000461275</v>
      </c>
      <c r="B2628" s="63" t="s">
        <v>61</v>
      </c>
      <c r="C2628" s="62" t="s">
        <v>7312</v>
      </c>
      <c r="D2628" t="s">
        <v>63</v>
      </c>
      <c r="E2628" t="s">
        <v>7891</v>
      </c>
      <c r="F2628" s="61">
        <v>37618</v>
      </c>
      <c r="G2628" s="15" t="s">
        <v>65</v>
      </c>
      <c r="H2628" t="s">
        <v>7892</v>
      </c>
      <c r="I2628" s="62" t="s">
        <v>7893</v>
      </c>
      <c r="K2628" s="36" t="s">
        <v>169</v>
      </c>
      <c r="L2628" t="s">
        <v>69</v>
      </c>
      <c r="M2628" s="62" t="s">
        <v>170</v>
      </c>
      <c r="N2628" t="s">
        <v>71</v>
      </c>
      <c r="O2628" t="str">
        <f>IFERROR(IF(Tbla_actores[[#This Row],[codigo_proyecto]]="","",_xlfn.XLOOKUP(Tbla_actores[[#This Row],[codigo_proyecto]],Proyectos!$A:$A,Proyectos!$C:$C)),"")</f>
        <v>NULOS</v>
      </c>
    </row>
    <row r="2629" spans="1:15">
      <c r="A2629" s="10">
        <v>1005851505</v>
      </c>
      <c r="B2629" s="64" t="s">
        <v>61</v>
      </c>
      <c r="C2629" s="62" t="s">
        <v>7312</v>
      </c>
      <c r="D2629" t="s">
        <v>63</v>
      </c>
      <c r="E2629" t="s">
        <v>7894</v>
      </c>
      <c r="F2629" s="61">
        <v>37173</v>
      </c>
      <c r="G2629" s="15" t="s">
        <v>73</v>
      </c>
      <c r="H2629" t="s">
        <v>7895</v>
      </c>
      <c r="I2629" s="62" t="s">
        <v>7896</v>
      </c>
      <c r="K2629" s="36" t="s">
        <v>68</v>
      </c>
      <c r="L2629" t="s">
        <v>69</v>
      </c>
      <c r="M2629" s="62" t="s">
        <v>70</v>
      </c>
      <c r="N2629" t="s">
        <v>71</v>
      </c>
      <c r="O2629" t="str">
        <f>IFERROR(IF(Tbla_actores[[#This Row],[codigo_proyecto]]="","",_xlfn.XLOOKUP(Tbla_actores[[#This Row],[codigo_proyecto]],Proyectos!$A:$A,Proyectos!$C:$C)),"")</f>
        <v>NULOS</v>
      </c>
    </row>
    <row r="2630" spans="1:15">
      <c r="A2630" s="9">
        <v>174839271</v>
      </c>
      <c r="B2630" s="63" t="s">
        <v>61</v>
      </c>
      <c r="C2630" s="62" t="s">
        <v>7312</v>
      </c>
      <c r="D2630" t="s">
        <v>63</v>
      </c>
      <c r="E2630" t="s">
        <v>7897</v>
      </c>
      <c r="F2630" s="61">
        <v>37145</v>
      </c>
      <c r="G2630" s="15" t="s">
        <v>73</v>
      </c>
      <c r="H2630" t="s">
        <v>7898</v>
      </c>
      <c r="I2630" s="62" t="s">
        <v>7899</v>
      </c>
      <c r="K2630" s="36" t="s">
        <v>169</v>
      </c>
      <c r="L2630" t="s">
        <v>69</v>
      </c>
      <c r="M2630" s="62" t="s">
        <v>170</v>
      </c>
      <c r="N2630" t="s">
        <v>71</v>
      </c>
      <c r="O2630" t="str">
        <f>IFERROR(IF(Tbla_actores[[#This Row],[codigo_proyecto]]="","",_xlfn.XLOOKUP(Tbla_actores[[#This Row],[codigo_proyecto]],Proyectos!$A:$A,Proyectos!$C:$C)),"")</f>
        <v>NULOS</v>
      </c>
    </row>
    <row r="2631" spans="1:15">
      <c r="A2631" s="10">
        <v>1032937018</v>
      </c>
      <c r="B2631" s="64" t="s">
        <v>61</v>
      </c>
      <c r="C2631" s="62" t="s">
        <v>7900</v>
      </c>
      <c r="D2631" t="s">
        <v>63</v>
      </c>
      <c r="E2631" t="s">
        <v>7901</v>
      </c>
      <c r="F2631" s="61">
        <v>38144</v>
      </c>
      <c r="G2631" s="15" t="s">
        <v>65</v>
      </c>
      <c r="H2631" t="s">
        <v>7902</v>
      </c>
      <c r="I2631" s="62" t="s">
        <v>7903</v>
      </c>
      <c r="K2631" s="36" t="s">
        <v>169</v>
      </c>
      <c r="L2631" t="s">
        <v>69</v>
      </c>
      <c r="M2631" s="62" t="s">
        <v>170</v>
      </c>
      <c r="N2631" t="s">
        <v>71</v>
      </c>
      <c r="O2631" t="str">
        <f>IFERROR(IF(Tbla_actores[[#This Row],[codigo_proyecto]]="","",_xlfn.XLOOKUP(Tbla_actores[[#This Row],[codigo_proyecto]],Proyectos!$A:$A,Proyectos!$C:$C)),"")</f>
        <v>NULOS</v>
      </c>
    </row>
    <row r="2632" spans="1:15">
      <c r="A2632" s="9">
        <v>1234639729</v>
      </c>
      <c r="B2632" s="63" t="s">
        <v>61</v>
      </c>
      <c r="C2632" s="62" t="s">
        <v>7900</v>
      </c>
      <c r="D2632" t="s">
        <v>63</v>
      </c>
      <c r="E2632" t="s">
        <v>7904</v>
      </c>
      <c r="F2632" s="61">
        <v>35724</v>
      </c>
      <c r="G2632" s="15" t="s">
        <v>73</v>
      </c>
      <c r="H2632" t="s">
        <v>7038</v>
      </c>
      <c r="I2632" s="62" t="s">
        <v>7039</v>
      </c>
      <c r="K2632" s="36" t="s">
        <v>169</v>
      </c>
      <c r="L2632" t="s">
        <v>69</v>
      </c>
      <c r="M2632" s="62" t="s">
        <v>170</v>
      </c>
      <c r="N2632" t="s">
        <v>71</v>
      </c>
      <c r="O2632" t="str">
        <f>IFERROR(IF(Tbla_actores[[#This Row],[codigo_proyecto]]="","",_xlfn.XLOOKUP(Tbla_actores[[#This Row],[codigo_proyecto]],Proyectos!$A:$A,Proyectos!$C:$C)),"")</f>
        <v>NULOS</v>
      </c>
    </row>
    <row r="2633" spans="1:15">
      <c r="A2633" s="10">
        <v>1001048586</v>
      </c>
      <c r="B2633" s="64" t="s">
        <v>61</v>
      </c>
      <c r="C2633" s="62" t="s">
        <v>7900</v>
      </c>
      <c r="D2633" t="s">
        <v>63</v>
      </c>
      <c r="E2633" t="s">
        <v>7905</v>
      </c>
      <c r="F2633" s="61">
        <v>37554</v>
      </c>
      <c r="G2633" s="15" t="s">
        <v>73</v>
      </c>
      <c r="H2633" t="s">
        <v>7906</v>
      </c>
      <c r="I2633" s="62" t="s">
        <v>7907</v>
      </c>
      <c r="K2633" s="36" t="s">
        <v>6427</v>
      </c>
      <c r="L2633" t="s">
        <v>69</v>
      </c>
      <c r="M2633" s="62" t="s">
        <v>70</v>
      </c>
      <c r="N2633" t="s">
        <v>71</v>
      </c>
      <c r="O2633" t="str">
        <f>IFERROR(IF(Tbla_actores[[#This Row],[codigo_proyecto]]="","",_xlfn.XLOOKUP(Tbla_actores[[#This Row],[codigo_proyecto]],Proyectos!$A:$A,Proyectos!$C:$C)),"")</f>
        <v>NULOS</v>
      </c>
    </row>
    <row r="2634" spans="1:15">
      <c r="A2634" s="9">
        <v>1001192048</v>
      </c>
      <c r="B2634" s="63" t="s">
        <v>61</v>
      </c>
      <c r="C2634" s="62" t="s">
        <v>7900</v>
      </c>
      <c r="D2634" t="s">
        <v>63</v>
      </c>
      <c r="E2634" t="s">
        <v>7908</v>
      </c>
      <c r="F2634" s="61">
        <v>37603</v>
      </c>
      <c r="G2634" s="15" t="s">
        <v>65</v>
      </c>
      <c r="H2634" t="s">
        <v>7909</v>
      </c>
      <c r="I2634" s="62" t="s">
        <v>7910</v>
      </c>
      <c r="K2634" s="36" t="s">
        <v>169</v>
      </c>
      <c r="L2634" t="s">
        <v>69</v>
      </c>
      <c r="M2634" s="62" t="s">
        <v>170</v>
      </c>
      <c r="N2634" t="s">
        <v>71</v>
      </c>
      <c r="O2634" t="str">
        <f>IFERROR(IF(Tbla_actores[[#This Row],[codigo_proyecto]]="","",_xlfn.XLOOKUP(Tbla_actores[[#This Row],[codigo_proyecto]],Proyectos!$A:$A,Proyectos!$C:$C)),"")</f>
        <v>NULOS</v>
      </c>
    </row>
    <row r="2635" spans="1:15">
      <c r="A2635" s="10">
        <v>1000714034</v>
      </c>
      <c r="B2635" s="64" t="s">
        <v>61</v>
      </c>
      <c r="C2635" s="62" t="s">
        <v>7900</v>
      </c>
      <c r="D2635" t="s">
        <v>63</v>
      </c>
      <c r="E2635" t="s">
        <v>7911</v>
      </c>
      <c r="F2635" s="61">
        <v>37231</v>
      </c>
      <c r="G2635" s="15" t="s">
        <v>65</v>
      </c>
      <c r="H2635" t="s">
        <v>7912</v>
      </c>
      <c r="I2635" s="62" t="s">
        <v>7913</v>
      </c>
      <c r="K2635" s="36" t="s">
        <v>1489</v>
      </c>
      <c r="L2635" t="s">
        <v>69</v>
      </c>
      <c r="M2635" s="62" t="s">
        <v>70</v>
      </c>
      <c r="N2635" t="s">
        <v>71</v>
      </c>
      <c r="O2635" t="str">
        <f>IFERROR(IF(Tbla_actores[[#This Row],[codigo_proyecto]]="","",_xlfn.XLOOKUP(Tbla_actores[[#This Row],[codigo_proyecto]],Proyectos!$A:$A,Proyectos!$C:$C)),"")</f>
        <v>NULOS</v>
      </c>
    </row>
    <row r="2636" spans="1:15">
      <c r="A2636" s="9">
        <v>1000521538</v>
      </c>
      <c r="B2636" s="63" t="s">
        <v>61</v>
      </c>
      <c r="C2636" s="62" t="s">
        <v>7900</v>
      </c>
      <c r="D2636" t="s">
        <v>63</v>
      </c>
      <c r="E2636" t="s">
        <v>7914</v>
      </c>
      <c r="F2636" s="61">
        <v>37053</v>
      </c>
      <c r="G2636" s="15" t="s">
        <v>73</v>
      </c>
      <c r="H2636" t="s">
        <v>7915</v>
      </c>
      <c r="I2636" s="62" t="s">
        <v>7916</v>
      </c>
      <c r="K2636" s="36" t="s">
        <v>1489</v>
      </c>
      <c r="L2636" t="s">
        <v>69</v>
      </c>
      <c r="M2636" s="62" t="s">
        <v>70</v>
      </c>
      <c r="N2636" t="s">
        <v>71</v>
      </c>
      <c r="O2636" t="str">
        <f>IFERROR(IF(Tbla_actores[[#This Row],[codigo_proyecto]]="","",_xlfn.XLOOKUP(Tbla_actores[[#This Row],[codigo_proyecto]],Proyectos!$A:$A,Proyectos!$C:$C)),"")</f>
        <v>NULOS</v>
      </c>
    </row>
    <row r="2637" spans="1:15">
      <c r="A2637" s="10">
        <v>1000397758</v>
      </c>
      <c r="B2637" s="64" t="s">
        <v>61</v>
      </c>
      <c r="C2637" s="62" t="s">
        <v>7900</v>
      </c>
      <c r="D2637" t="s">
        <v>63</v>
      </c>
      <c r="E2637" t="s">
        <v>7917</v>
      </c>
      <c r="F2637" s="61">
        <v>36917</v>
      </c>
      <c r="G2637" s="15" t="s">
        <v>73</v>
      </c>
      <c r="H2637" t="s">
        <v>7918</v>
      </c>
      <c r="I2637" s="62" t="s">
        <v>7919</v>
      </c>
      <c r="K2637" s="36" t="s">
        <v>1489</v>
      </c>
      <c r="L2637" t="s">
        <v>69</v>
      </c>
      <c r="M2637" s="62" t="s">
        <v>70</v>
      </c>
      <c r="N2637" t="s">
        <v>71</v>
      </c>
      <c r="O2637" t="str">
        <f>IFERROR(IF(Tbla_actores[[#This Row],[codigo_proyecto]]="","",_xlfn.XLOOKUP(Tbla_actores[[#This Row],[codigo_proyecto]],Proyectos!$A:$A,Proyectos!$C:$C)),"")</f>
        <v>NULOS</v>
      </c>
    </row>
    <row r="2638" spans="1:15">
      <c r="A2638" s="9">
        <v>1002524683</v>
      </c>
      <c r="B2638" s="63" t="s">
        <v>61</v>
      </c>
      <c r="C2638" s="62" t="s">
        <v>7900</v>
      </c>
      <c r="D2638" t="s">
        <v>63</v>
      </c>
      <c r="E2638" t="s">
        <v>7920</v>
      </c>
      <c r="F2638" s="61">
        <v>37628</v>
      </c>
      <c r="G2638" s="15" t="s">
        <v>65</v>
      </c>
      <c r="H2638" t="s">
        <v>7921</v>
      </c>
      <c r="I2638" s="62" t="s">
        <v>7922</v>
      </c>
      <c r="K2638" s="36" t="s">
        <v>495</v>
      </c>
      <c r="L2638" t="s">
        <v>69</v>
      </c>
      <c r="M2638" s="62" t="s">
        <v>70</v>
      </c>
      <c r="N2638" t="s">
        <v>71</v>
      </c>
      <c r="O2638" t="str">
        <f>IFERROR(IF(Tbla_actores[[#This Row],[codigo_proyecto]]="","",_xlfn.XLOOKUP(Tbla_actores[[#This Row],[codigo_proyecto]],Proyectos!$A:$A,Proyectos!$C:$C)),"")</f>
        <v>NULOS</v>
      </c>
    </row>
    <row r="2639" spans="1:15">
      <c r="A2639" s="10">
        <v>1000794932</v>
      </c>
      <c r="B2639" s="64" t="s">
        <v>61</v>
      </c>
      <c r="C2639" s="62" t="s">
        <v>7900</v>
      </c>
      <c r="D2639" t="s">
        <v>63</v>
      </c>
      <c r="E2639" t="s">
        <v>7923</v>
      </c>
      <c r="F2639" s="61">
        <v>37559</v>
      </c>
      <c r="G2639" s="15" t="s">
        <v>73</v>
      </c>
      <c r="H2639" t="s">
        <v>7924</v>
      </c>
      <c r="I2639" s="62" t="s">
        <v>7925</v>
      </c>
      <c r="K2639" s="36" t="s">
        <v>495</v>
      </c>
      <c r="L2639" t="s">
        <v>69</v>
      </c>
      <c r="M2639" s="62" t="s">
        <v>70</v>
      </c>
      <c r="N2639" t="s">
        <v>71</v>
      </c>
      <c r="O2639" t="str">
        <f>IFERROR(IF(Tbla_actores[[#This Row],[codigo_proyecto]]="","",_xlfn.XLOOKUP(Tbla_actores[[#This Row],[codigo_proyecto]],Proyectos!$A:$A,Proyectos!$C:$C)),"")</f>
        <v>NULOS</v>
      </c>
    </row>
    <row r="2640" spans="1:15">
      <c r="A2640" s="9">
        <v>1047507292</v>
      </c>
      <c r="B2640" s="63" t="s">
        <v>61</v>
      </c>
      <c r="C2640" s="62" t="s">
        <v>7900</v>
      </c>
      <c r="D2640" t="s">
        <v>63</v>
      </c>
      <c r="E2640" t="s">
        <v>7926</v>
      </c>
      <c r="F2640" s="61">
        <v>36214</v>
      </c>
      <c r="G2640" s="15" t="s">
        <v>73</v>
      </c>
      <c r="H2640" t="s">
        <v>7927</v>
      </c>
      <c r="I2640" s="62" t="s">
        <v>7928</v>
      </c>
      <c r="K2640" s="36" t="s">
        <v>495</v>
      </c>
      <c r="L2640" t="s">
        <v>69</v>
      </c>
      <c r="M2640" s="62" t="s">
        <v>70</v>
      </c>
      <c r="N2640" t="s">
        <v>71</v>
      </c>
      <c r="O2640" t="str">
        <f>IFERROR(IF(Tbla_actores[[#This Row],[codigo_proyecto]]="","",_xlfn.XLOOKUP(Tbla_actores[[#This Row],[codigo_proyecto]],Proyectos!$A:$A,Proyectos!$C:$C)),"")</f>
        <v>NULOS</v>
      </c>
    </row>
    <row r="2641" spans="1:15">
      <c r="A2641" s="10">
        <v>1123430094</v>
      </c>
      <c r="B2641" s="64" t="s">
        <v>61</v>
      </c>
      <c r="C2641" s="62" t="s">
        <v>7900</v>
      </c>
      <c r="D2641" t="s">
        <v>63</v>
      </c>
      <c r="E2641" t="s">
        <v>7929</v>
      </c>
      <c r="F2641" s="61">
        <v>37961</v>
      </c>
      <c r="G2641" s="15" t="s">
        <v>73</v>
      </c>
      <c r="H2641" t="s">
        <v>7930</v>
      </c>
      <c r="I2641" s="62" t="s">
        <v>7931</v>
      </c>
      <c r="K2641" s="36" t="s">
        <v>495</v>
      </c>
      <c r="L2641" t="s">
        <v>69</v>
      </c>
      <c r="M2641" s="62" t="s">
        <v>70</v>
      </c>
      <c r="N2641" t="s">
        <v>71</v>
      </c>
      <c r="O2641" t="str">
        <f>IFERROR(IF(Tbla_actores[[#This Row],[codigo_proyecto]]="","",_xlfn.XLOOKUP(Tbla_actores[[#This Row],[codigo_proyecto]],Proyectos!$A:$A,Proyectos!$C:$C)),"")</f>
        <v>NULOS</v>
      </c>
    </row>
    <row r="2642" spans="1:15">
      <c r="A2642" s="9">
        <v>1001186890</v>
      </c>
      <c r="B2642" s="63" t="s">
        <v>61</v>
      </c>
      <c r="C2642" s="62" t="s">
        <v>7900</v>
      </c>
      <c r="D2642" t="s">
        <v>63</v>
      </c>
      <c r="E2642" t="s">
        <v>7932</v>
      </c>
      <c r="F2642" s="61">
        <v>37866</v>
      </c>
      <c r="G2642" s="15" t="s">
        <v>73</v>
      </c>
      <c r="H2642" t="s">
        <v>7933</v>
      </c>
      <c r="I2642" s="62" t="s">
        <v>7934</v>
      </c>
      <c r="K2642" s="36" t="s">
        <v>495</v>
      </c>
      <c r="L2642" t="s">
        <v>69</v>
      </c>
      <c r="M2642" s="62" t="s">
        <v>70</v>
      </c>
      <c r="N2642" t="s">
        <v>71</v>
      </c>
      <c r="O2642" t="str">
        <f>IFERROR(IF(Tbla_actores[[#This Row],[codigo_proyecto]]="","",_xlfn.XLOOKUP(Tbla_actores[[#This Row],[codigo_proyecto]],Proyectos!$A:$A,Proyectos!$C:$C)),"")</f>
        <v>NULOS</v>
      </c>
    </row>
    <row r="2643" spans="1:15">
      <c r="A2643" s="10">
        <v>1006502942</v>
      </c>
      <c r="B2643" s="64" t="s">
        <v>61</v>
      </c>
      <c r="C2643" s="62" t="s">
        <v>7900</v>
      </c>
      <c r="D2643" t="s">
        <v>63</v>
      </c>
      <c r="E2643" t="s">
        <v>7935</v>
      </c>
      <c r="F2643" s="61">
        <v>36987</v>
      </c>
      <c r="G2643" s="15" t="s">
        <v>65</v>
      </c>
      <c r="H2643" t="s">
        <v>7936</v>
      </c>
      <c r="I2643" s="62" t="s">
        <v>7937</v>
      </c>
      <c r="K2643" s="36" t="s">
        <v>495</v>
      </c>
      <c r="L2643" t="s">
        <v>69</v>
      </c>
      <c r="M2643" s="62" t="s">
        <v>70</v>
      </c>
      <c r="N2643" t="s">
        <v>71</v>
      </c>
      <c r="O2643" t="str">
        <f>IFERROR(IF(Tbla_actores[[#This Row],[codigo_proyecto]]="","",_xlfn.XLOOKUP(Tbla_actores[[#This Row],[codigo_proyecto]],Proyectos!$A:$A,Proyectos!$C:$C)),"")</f>
        <v>NULOS</v>
      </c>
    </row>
    <row r="2644" spans="1:15">
      <c r="A2644" s="9">
        <v>1001360874</v>
      </c>
      <c r="B2644" s="63" t="s">
        <v>61</v>
      </c>
      <c r="C2644" s="62" t="s">
        <v>7900</v>
      </c>
      <c r="D2644" t="s">
        <v>63</v>
      </c>
      <c r="E2644" t="s">
        <v>7938</v>
      </c>
      <c r="F2644" s="61">
        <v>37789</v>
      </c>
      <c r="G2644" s="15" t="s">
        <v>65</v>
      </c>
      <c r="H2644" t="s">
        <v>7939</v>
      </c>
      <c r="I2644" s="62" t="s">
        <v>7940</v>
      </c>
      <c r="K2644" s="36" t="s">
        <v>495</v>
      </c>
      <c r="L2644" t="s">
        <v>69</v>
      </c>
      <c r="M2644" s="62" t="s">
        <v>70</v>
      </c>
      <c r="N2644" t="s">
        <v>71</v>
      </c>
      <c r="O2644" t="str">
        <f>IFERROR(IF(Tbla_actores[[#This Row],[codigo_proyecto]]="","",_xlfn.XLOOKUP(Tbla_actores[[#This Row],[codigo_proyecto]],Proyectos!$A:$A,Proyectos!$C:$C)),"")</f>
        <v>NULOS</v>
      </c>
    </row>
    <row r="2645" spans="1:15">
      <c r="A2645" s="10">
        <v>1002329270</v>
      </c>
      <c r="B2645" s="64" t="s">
        <v>61</v>
      </c>
      <c r="C2645" s="62" t="s">
        <v>7900</v>
      </c>
      <c r="D2645" t="s">
        <v>63</v>
      </c>
      <c r="E2645" t="s">
        <v>7941</v>
      </c>
      <c r="F2645" s="61">
        <v>37912</v>
      </c>
      <c r="G2645" s="15" t="s">
        <v>73</v>
      </c>
      <c r="H2645" t="s">
        <v>7942</v>
      </c>
      <c r="I2645" s="62" t="s">
        <v>7943</v>
      </c>
      <c r="K2645" s="36" t="s">
        <v>495</v>
      </c>
      <c r="L2645" t="s">
        <v>69</v>
      </c>
      <c r="M2645" s="62" t="s">
        <v>70</v>
      </c>
      <c r="N2645" t="s">
        <v>71</v>
      </c>
      <c r="O2645" t="str">
        <f>IFERROR(IF(Tbla_actores[[#This Row],[codigo_proyecto]]="","",_xlfn.XLOOKUP(Tbla_actores[[#This Row],[codigo_proyecto]],Proyectos!$A:$A,Proyectos!$C:$C)),"")</f>
        <v>NULOS</v>
      </c>
    </row>
    <row r="2646" spans="1:15">
      <c r="A2646" s="9">
        <v>1000258070</v>
      </c>
      <c r="B2646" s="63" t="s">
        <v>61</v>
      </c>
      <c r="C2646" s="62" t="s">
        <v>7900</v>
      </c>
      <c r="D2646" t="s">
        <v>63</v>
      </c>
      <c r="E2646" t="s">
        <v>7944</v>
      </c>
      <c r="F2646" s="61">
        <v>36974</v>
      </c>
      <c r="G2646" s="15" t="s">
        <v>65</v>
      </c>
      <c r="H2646" t="s">
        <v>7945</v>
      </c>
      <c r="I2646" s="62" t="s">
        <v>7946</v>
      </c>
      <c r="K2646" s="36" t="s">
        <v>495</v>
      </c>
      <c r="L2646" t="s">
        <v>69</v>
      </c>
      <c r="M2646" s="62" t="s">
        <v>70</v>
      </c>
      <c r="N2646" t="s">
        <v>71</v>
      </c>
      <c r="O2646" t="str">
        <f>IFERROR(IF(Tbla_actores[[#This Row],[codigo_proyecto]]="","",_xlfn.XLOOKUP(Tbla_actores[[#This Row],[codigo_proyecto]],Proyectos!$A:$A,Proyectos!$C:$C)),"")</f>
        <v>NULOS</v>
      </c>
    </row>
    <row r="2647" spans="1:15">
      <c r="A2647" s="10">
        <v>1067963787</v>
      </c>
      <c r="B2647" s="64" t="s">
        <v>61</v>
      </c>
      <c r="C2647" s="62" t="s">
        <v>7900</v>
      </c>
      <c r="D2647" t="s">
        <v>63</v>
      </c>
      <c r="E2647" t="s">
        <v>7947</v>
      </c>
      <c r="F2647" s="61">
        <v>36174</v>
      </c>
      <c r="G2647" s="15" t="s">
        <v>73</v>
      </c>
      <c r="H2647" t="s">
        <v>7948</v>
      </c>
      <c r="I2647" s="62" t="s">
        <v>7949</v>
      </c>
      <c r="K2647" s="36" t="s">
        <v>495</v>
      </c>
      <c r="L2647" t="s">
        <v>69</v>
      </c>
      <c r="M2647" s="62" t="s">
        <v>70</v>
      </c>
      <c r="N2647" t="s">
        <v>71</v>
      </c>
      <c r="O2647" t="str">
        <f>IFERROR(IF(Tbla_actores[[#This Row],[codigo_proyecto]]="","",_xlfn.XLOOKUP(Tbla_actores[[#This Row],[codigo_proyecto]],Proyectos!$A:$A,Proyectos!$C:$C)),"")</f>
        <v>NULOS</v>
      </c>
    </row>
    <row r="2648" spans="1:15">
      <c r="A2648" s="9">
        <v>1192751749</v>
      </c>
      <c r="B2648" s="63" t="s">
        <v>61</v>
      </c>
      <c r="C2648" s="62" t="s">
        <v>7900</v>
      </c>
      <c r="D2648" t="s">
        <v>63</v>
      </c>
      <c r="E2648" t="s">
        <v>7950</v>
      </c>
      <c r="F2648" s="61">
        <v>37883</v>
      </c>
      <c r="G2648" s="15" t="s">
        <v>65</v>
      </c>
      <c r="H2648" t="s">
        <v>7951</v>
      </c>
      <c r="I2648" s="62" t="s">
        <v>7952</v>
      </c>
      <c r="K2648" s="36" t="s">
        <v>495</v>
      </c>
      <c r="L2648" t="s">
        <v>69</v>
      </c>
      <c r="M2648" s="62" t="s">
        <v>70</v>
      </c>
      <c r="N2648" t="s">
        <v>71</v>
      </c>
      <c r="O2648" t="str">
        <f>IFERROR(IF(Tbla_actores[[#This Row],[codigo_proyecto]]="","",_xlfn.XLOOKUP(Tbla_actores[[#This Row],[codigo_proyecto]],Proyectos!$A:$A,Proyectos!$C:$C)),"")</f>
        <v>NULOS</v>
      </c>
    </row>
    <row r="2649" spans="1:15">
      <c r="A2649" s="10">
        <v>1078676</v>
      </c>
      <c r="B2649" s="64" t="s">
        <v>61</v>
      </c>
      <c r="C2649" s="62" t="s">
        <v>7900</v>
      </c>
      <c r="D2649" t="s">
        <v>63</v>
      </c>
      <c r="E2649" t="s">
        <v>7953</v>
      </c>
      <c r="F2649" s="61">
        <v>36968</v>
      </c>
      <c r="G2649" s="15" t="s">
        <v>73</v>
      </c>
      <c r="H2649" t="s">
        <v>7954</v>
      </c>
      <c r="I2649" s="62" t="s">
        <v>7955</v>
      </c>
      <c r="K2649" s="36" t="s">
        <v>495</v>
      </c>
      <c r="L2649" t="s">
        <v>69</v>
      </c>
      <c r="M2649" s="62" t="s">
        <v>70</v>
      </c>
      <c r="N2649" t="s">
        <v>71</v>
      </c>
      <c r="O2649" t="str">
        <f>IFERROR(IF(Tbla_actores[[#This Row],[codigo_proyecto]]="","",_xlfn.XLOOKUP(Tbla_actores[[#This Row],[codigo_proyecto]],Proyectos!$A:$A,Proyectos!$C:$C)),"")</f>
        <v>NULOS</v>
      </c>
    </row>
    <row r="2650" spans="1:15">
      <c r="A2650" s="9">
        <v>1010005518</v>
      </c>
      <c r="B2650" s="63" t="s">
        <v>61</v>
      </c>
      <c r="C2650" s="62" t="s">
        <v>7900</v>
      </c>
      <c r="D2650" t="s">
        <v>63</v>
      </c>
      <c r="E2650" t="s">
        <v>7956</v>
      </c>
      <c r="F2650" s="61">
        <v>37953</v>
      </c>
      <c r="G2650" s="15" t="s">
        <v>73</v>
      </c>
      <c r="H2650" t="s">
        <v>7957</v>
      </c>
      <c r="I2650" s="62" t="s">
        <v>7958</v>
      </c>
      <c r="K2650" s="36" t="s">
        <v>68</v>
      </c>
      <c r="L2650" t="s">
        <v>69</v>
      </c>
      <c r="M2650" s="62" t="s">
        <v>70</v>
      </c>
      <c r="N2650" t="s">
        <v>71</v>
      </c>
      <c r="O2650" t="str">
        <f>IFERROR(IF(Tbla_actores[[#This Row],[codigo_proyecto]]="","",_xlfn.XLOOKUP(Tbla_actores[[#This Row],[codigo_proyecto]],Proyectos!$A:$A,Proyectos!$C:$C)),"")</f>
        <v>NULOS</v>
      </c>
    </row>
    <row r="2651" spans="1:15">
      <c r="A2651" s="10">
        <v>1000708793</v>
      </c>
      <c r="B2651" s="64" t="s">
        <v>61</v>
      </c>
      <c r="C2651" s="62" t="s">
        <v>7900</v>
      </c>
      <c r="D2651" t="s">
        <v>63</v>
      </c>
      <c r="E2651" t="s">
        <v>7959</v>
      </c>
      <c r="F2651" s="61">
        <v>37916</v>
      </c>
      <c r="G2651" s="15" t="s">
        <v>73</v>
      </c>
      <c r="H2651" t="s">
        <v>7960</v>
      </c>
      <c r="I2651" s="62" t="s">
        <v>7961</v>
      </c>
      <c r="K2651" s="36" t="s">
        <v>68</v>
      </c>
      <c r="L2651" t="s">
        <v>69</v>
      </c>
      <c r="M2651" s="62" t="s">
        <v>70</v>
      </c>
      <c r="N2651" t="s">
        <v>71</v>
      </c>
      <c r="O2651" t="str">
        <f>IFERROR(IF(Tbla_actores[[#This Row],[codigo_proyecto]]="","",_xlfn.XLOOKUP(Tbla_actores[[#This Row],[codigo_proyecto]],Proyectos!$A:$A,Proyectos!$C:$C)),"")</f>
        <v>NULOS</v>
      </c>
    </row>
    <row r="2652" spans="1:15">
      <c r="A2652" s="9">
        <v>1012316639</v>
      </c>
      <c r="B2652" s="63" t="s">
        <v>61</v>
      </c>
      <c r="C2652" s="62" t="s">
        <v>7900</v>
      </c>
      <c r="D2652" t="s">
        <v>63</v>
      </c>
      <c r="E2652" t="s">
        <v>7962</v>
      </c>
      <c r="F2652" s="61">
        <v>37952</v>
      </c>
      <c r="G2652" s="15" t="s">
        <v>73</v>
      </c>
      <c r="H2652" t="s">
        <v>7963</v>
      </c>
      <c r="I2652" s="62" t="s">
        <v>7964</v>
      </c>
      <c r="K2652" s="36" t="s">
        <v>68</v>
      </c>
      <c r="L2652" t="s">
        <v>69</v>
      </c>
      <c r="M2652" s="62" t="s">
        <v>70</v>
      </c>
      <c r="N2652" t="s">
        <v>71</v>
      </c>
      <c r="O2652" t="str">
        <f>IFERROR(IF(Tbla_actores[[#This Row],[codigo_proyecto]]="","",_xlfn.XLOOKUP(Tbla_actores[[#This Row],[codigo_proyecto]],Proyectos!$A:$A,Proyectos!$C:$C)),"")</f>
        <v>NULOS</v>
      </c>
    </row>
    <row r="2653" spans="1:15">
      <c r="A2653" s="10">
        <v>1000286135</v>
      </c>
      <c r="B2653" s="64" t="s">
        <v>61</v>
      </c>
      <c r="C2653" s="62" t="s">
        <v>7900</v>
      </c>
      <c r="D2653" t="s">
        <v>63</v>
      </c>
      <c r="E2653" t="s">
        <v>7965</v>
      </c>
      <c r="F2653" s="61">
        <v>36823</v>
      </c>
      <c r="G2653" s="15" t="s">
        <v>73</v>
      </c>
      <c r="H2653" t="s">
        <v>7966</v>
      </c>
      <c r="I2653" s="62" t="s">
        <v>7967</v>
      </c>
      <c r="K2653" s="36" t="s">
        <v>68</v>
      </c>
      <c r="L2653" t="s">
        <v>69</v>
      </c>
      <c r="M2653" s="62" t="s">
        <v>70</v>
      </c>
      <c r="N2653" t="s">
        <v>71</v>
      </c>
      <c r="O2653" t="str">
        <f>IFERROR(IF(Tbla_actores[[#This Row],[codigo_proyecto]]="","",_xlfn.XLOOKUP(Tbla_actores[[#This Row],[codigo_proyecto]],Proyectos!$A:$A,Proyectos!$C:$C)),"")</f>
        <v>NULOS</v>
      </c>
    </row>
    <row r="2654" spans="1:15">
      <c r="A2654" s="9">
        <v>1031175346</v>
      </c>
      <c r="B2654" s="63" t="s">
        <v>61</v>
      </c>
      <c r="C2654" s="62" t="s">
        <v>7900</v>
      </c>
      <c r="D2654" t="s">
        <v>63</v>
      </c>
      <c r="E2654" t="s">
        <v>7968</v>
      </c>
      <c r="F2654" s="61">
        <v>35948</v>
      </c>
      <c r="G2654" s="15" t="s">
        <v>73</v>
      </c>
      <c r="H2654" t="s">
        <v>7969</v>
      </c>
      <c r="I2654" s="62" t="s">
        <v>7970</v>
      </c>
      <c r="K2654" s="36" t="s">
        <v>68</v>
      </c>
      <c r="L2654" t="s">
        <v>69</v>
      </c>
      <c r="M2654" s="62" t="s">
        <v>70</v>
      </c>
      <c r="N2654" t="s">
        <v>71</v>
      </c>
      <c r="O2654" t="str">
        <f>IFERROR(IF(Tbla_actores[[#This Row],[codigo_proyecto]]="","",_xlfn.XLOOKUP(Tbla_actores[[#This Row],[codigo_proyecto]],Proyectos!$A:$A,Proyectos!$C:$C)),"")</f>
        <v>NULOS</v>
      </c>
    </row>
    <row r="2655" spans="1:15">
      <c r="A2655" s="10">
        <v>1000228019</v>
      </c>
      <c r="B2655" s="64" t="s">
        <v>61</v>
      </c>
      <c r="C2655" s="62" t="s">
        <v>7900</v>
      </c>
      <c r="D2655" t="s">
        <v>63</v>
      </c>
      <c r="E2655" t="s">
        <v>7971</v>
      </c>
      <c r="F2655" s="61">
        <v>37596</v>
      </c>
      <c r="G2655" s="15" t="s">
        <v>73</v>
      </c>
      <c r="H2655" t="s">
        <v>7972</v>
      </c>
      <c r="I2655" s="62" t="s">
        <v>7973</v>
      </c>
      <c r="K2655" s="36" t="s">
        <v>68</v>
      </c>
      <c r="L2655" t="s">
        <v>69</v>
      </c>
      <c r="M2655" s="62" t="s">
        <v>70</v>
      </c>
      <c r="N2655" t="s">
        <v>71</v>
      </c>
      <c r="O2655" t="str">
        <f>IFERROR(IF(Tbla_actores[[#This Row],[codigo_proyecto]]="","",_xlfn.XLOOKUP(Tbla_actores[[#This Row],[codigo_proyecto]],Proyectos!$A:$A,Proyectos!$C:$C)),"")</f>
        <v>NULOS</v>
      </c>
    </row>
    <row r="2656" spans="1:15">
      <c r="A2656" s="9">
        <v>1003235152</v>
      </c>
      <c r="B2656" s="63" t="s">
        <v>61</v>
      </c>
      <c r="C2656" s="62" t="s">
        <v>7900</v>
      </c>
      <c r="D2656" t="s">
        <v>63</v>
      </c>
      <c r="E2656" t="s">
        <v>7974</v>
      </c>
      <c r="F2656" s="61">
        <v>37426</v>
      </c>
      <c r="G2656" s="15" t="s">
        <v>73</v>
      </c>
      <c r="H2656" t="s">
        <v>7975</v>
      </c>
      <c r="I2656" s="62" t="s">
        <v>7976</v>
      </c>
      <c r="K2656" s="36" t="s">
        <v>68</v>
      </c>
      <c r="L2656" t="s">
        <v>69</v>
      </c>
      <c r="M2656" s="62" t="s">
        <v>70</v>
      </c>
      <c r="N2656" t="s">
        <v>71</v>
      </c>
      <c r="O2656" t="str">
        <f>IFERROR(IF(Tbla_actores[[#This Row],[codigo_proyecto]]="","",_xlfn.XLOOKUP(Tbla_actores[[#This Row],[codigo_proyecto]],Proyectos!$A:$A,Proyectos!$C:$C)),"")</f>
        <v>NULOS</v>
      </c>
    </row>
    <row r="2657" spans="1:15">
      <c r="A2657" s="10">
        <v>1001192136</v>
      </c>
      <c r="B2657" s="64" t="s">
        <v>61</v>
      </c>
      <c r="C2657" s="62" t="s">
        <v>7900</v>
      </c>
      <c r="D2657" t="s">
        <v>63</v>
      </c>
      <c r="E2657" t="s">
        <v>7977</v>
      </c>
      <c r="F2657" s="61">
        <v>37637</v>
      </c>
      <c r="G2657" s="15" t="s">
        <v>73</v>
      </c>
      <c r="H2657" t="s">
        <v>7978</v>
      </c>
      <c r="I2657" s="62" t="s">
        <v>7979</v>
      </c>
      <c r="K2657" s="36" t="s">
        <v>68</v>
      </c>
      <c r="L2657" t="s">
        <v>69</v>
      </c>
      <c r="M2657" s="62" t="s">
        <v>70</v>
      </c>
      <c r="N2657" t="s">
        <v>71</v>
      </c>
      <c r="O2657" t="str">
        <f>IFERROR(IF(Tbla_actores[[#This Row],[codigo_proyecto]]="","",_xlfn.XLOOKUP(Tbla_actores[[#This Row],[codigo_proyecto]],Proyectos!$A:$A,Proyectos!$C:$C)),"")</f>
        <v>NULOS</v>
      </c>
    </row>
    <row r="2658" spans="1:15">
      <c r="A2658" s="9">
        <v>1107514282</v>
      </c>
      <c r="B2658" s="63" t="s">
        <v>61</v>
      </c>
      <c r="C2658" s="62" t="s">
        <v>7900</v>
      </c>
      <c r="D2658" t="s">
        <v>63</v>
      </c>
      <c r="E2658" t="s">
        <v>7980</v>
      </c>
      <c r="F2658" s="61">
        <v>35801</v>
      </c>
      <c r="G2658" s="15" t="s">
        <v>73</v>
      </c>
      <c r="H2658" t="s">
        <v>7981</v>
      </c>
      <c r="I2658" s="62" t="s">
        <v>7982</v>
      </c>
      <c r="K2658" s="36" t="s">
        <v>68</v>
      </c>
      <c r="L2658" t="s">
        <v>69</v>
      </c>
      <c r="M2658" s="62" t="s">
        <v>70</v>
      </c>
      <c r="N2658" t="s">
        <v>71</v>
      </c>
      <c r="O2658" t="str">
        <f>IFERROR(IF(Tbla_actores[[#This Row],[codigo_proyecto]]="","",_xlfn.XLOOKUP(Tbla_actores[[#This Row],[codigo_proyecto]],Proyectos!$A:$A,Proyectos!$C:$C)),"")</f>
        <v>NULOS</v>
      </c>
    </row>
    <row r="2659" spans="1:15">
      <c r="A2659" s="10">
        <v>1001058265</v>
      </c>
      <c r="B2659" s="64" t="s">
        <v>61</v>
      </c>
      <c r="C2659" s="62" t="s">
        <v>7900</v>
      </c>
      <c r="D2659" t="s">
        <v>63</v>
      </c>
      <c r="E2659" t="s">
        <v>7983</v>
      </c>
      <c r="F2659" s="61">
        <v>37154</v>
      </c>
      <c r="G2659" s="15" t="s">
        <v>65</v>
      </c>
      <c r="H2659" t="s">
        <v>7984</v>
      </c>
      <c r="I2659" s="62" t="s">
        <v>7985</v>
      </c>
      <c r="K2659" s="36" t="s">
        <v>68</v>
      </c>
      <c r="L2659" t="s">
        <v>69</v>
      </c>
      <c r="M2659" s="62" t="s">
        <v>70</v>
      </c>
      <c r="N2659" t="s">
        <v>71</v>
      </c>
      <c r="O2659" t="str">
        <f>IFERROR(IF(Tbla_actores[[#This Row],[codigo_proyecto]]="","",_xlfn.XLOOKUP(Tbla_actores[[#This Row],[codigo_proyecto]],Proyectos!$A:$A,Proyectos!$C:$C)),"")</f>
        <v>NULOS</v>
      </c>
    </row>
    <row r="2660" spans="1:15">
      <c r="A2660" s="9">
        <v>1000940406</v>
      </c>
      <c r="B2660" s="63" t="s">
        <v>61</v>
      </c>
      <c r="C2660" s="62" t="s">
        <v>7900</v>
      </c>
      <c r="D2660" t="s">
        <v>63</v>
      </c>
      <c r="E2660" t="s">
        <v>7986</v>
      </c>
      <c r="F2660" s="61">
        <v>37160</v>
      </c>
      <c r="G2660" s="15" t="s">
        <v>65</v>
      </c>
      <c r="H2660" t="s">
        <v>7987</v>
      </c>
      <c r="I2660" s="62" t="s">
        <v>7988</v>
      </c>
      <c r="K2660" s="36" t="s">
        <v>6427</v>
      </c>
      <c r="L2660" t="s">
        <v>69</v>
      </c>
      <c r="M2660" s="62" t="s">
        <v>70</v>
      </c>
      <c r="N2660" t="s">
        <v>71</v>
      </c>
      <c r="O2660" t="str">
        <f>IFERROR(IF(Tbla_actores[[#This Row],[codigo_proyecto]]="","",_xlfn.XLOOKUP(Tbla_actores[[#This Row],[codigo_proyecto]],Proyectos!$A:$A,Proyectos!$C:$C)),"")</f>
        <v>NULOS</v>
      </c>
    </row>
    <row r="2661" spans="1:15">
      <c r="A2661" s="10">
        <v>1000593671</v>
      </c>
      <c r="B2661" s="64" t="s">
        <v>61</v>
      </c>
      <c r="C2661" s="62" t="s">
        <v>7900</v>
      </c>
      <c r="D2661" t="s">
        <v>63</v>
      </c>
      <c r="E2661" t="s">
        <v>7989</v>
      </c>
      <c r="F2661" s="61">
        <v>37561</v>
      </c>
      <c r="G2661" s="15" t="s">
        <v>73</v>
      </c>
      <c r="H2661" t="s">
        <v>7990</v>
      </c>
      <c r="I2661" s="62" t="s">
        <v>7991</v>
      </c>
      <c r="K2661" s="36" t="s">
        <v>7671</v>
      </c>
      <c r="L2661" t="s">
        <v>69</v>
      </c>
      <c r="M2661" s="62" t="s">
        <v>70</v>
      </c>
      <c r="N2661" t="s">
        <v>71</v>
      </c>
      <c r="O2661" t="str">
        <f>IFERROR(IF(Tbla_actores[[#This Row],[codigo_proyecto]]="","",_xlfn.XLOOKUP(Tbla_actores[[#This Row],[codigo_proyecto]],Proyectos!$A:$A,Proyectos!$C:$C)),"")</f>
        <v>NULOS</v>
      </c>
    </row>
    <row r="2662" spans="1:15">
      <c r="A2662" s="9">
        <v>1007664573</v>
      </c>
      <c r="B2662" s="63" t="s">
        <v>61</v>
      </c>
      <c r="C2662" s="62" t="s">
        <v>7900</v>
      </c>
      <c r="D2662" t="s">
        <v>63</v>
      </c>
      <c r="E2662" t="s">
        <v>7992</v>
      </c>
      <c r="F2662" s="61">
        <v>37026</v>
      </c>
      <c r="G2662" s="15" t="s">
        <v>73</v>
      </c>
      <c r="H2662" t="s">
        <v>7993</v>
      </c>
      <c r="I2662" s="62" t="s">
        <v>7994</v>
      </c>
      <c r="K2662" s="36" t="s">
        <v>68</v>
      </c>
      <c r="L2662" t="s">
        <v>69</v>
      </c>
      <c r="M2662" s="62" t="s">
        <v>70</v>
      </c>
      <c r="N2662" t="s">
        <v>71</v>
      </c>
      <c r="O2662" t="str">
        <f>IFERROR(IF(Tbla_actores[[#This Row],[codigo_proyecto]]="","",_xlfn.XLOOKUP(Tbla_actores[[#This Row],[codigo_proyecto]],Proyectos!$A:$A,Proyectos!$C:$C)),"")</f>
        <v>NULOS</v>
      </c>
    </row>
    <row r="2663" spans="1:15">
      <c r="A2663" s="10">
        <v>1064978173</v>
      </c>
      <c r="B2663" s="64" t="s">
        <v>61</v>
      </c>
      <c r="C2663" s="62" t="s">
        <v>7900</v>
      </c>
      <c r="D2663" t="s">
        <v>63</v>
      </c>
      <c r="E2663" t="s">
        <v>7995</v>
      </c>
      <c r="F2663" s="61">
        <v>38058</v>
      </c>
      <c r="G2663" s="15" t="s">
        <v>73</v>
      </c>
      <c r="H2663" t="s">
        <v>7996</v>
      </c>
      <c r="I2663" s="62" t="s">
        <v>7997</v>
      </c>
      <c r="K2663" s="36" t="s">
        <v>169</v>
      </c>
      <c r="L2663" t="s">
        <v>69</v>
      </c>
      <c r="M2663" s="62" t="s">
        <v>170</v>
      </c>
      <c r="N2663" t="s">
        <v>71</v>
      </c>
      <c r="O2663" t="str">
        <f>IFERROR(IF(Tbla_actores[[#This Row],[codigo_proyecto]]="","",_xlfn.XLOOKUP(Tbla_actores[[#This Row],[codigo_proyecto]],Proyectos!$A:$A,Proyectos!$C:$C)),"")</f>
        <v>NULOS</v>
      </c>
    </row>
    <row r="2664" spans="1:15">
      <c r="A2664" s="9">
        <v>1010960552</v>
      </c>
      <c r="B2664" s="63" t="s">
        <v>61</v>
      </c>
      <c r="C2664" s="62" t="s">
        <v>7900</v>
      </c>
      <c r="D2664" t="s">
        <v>63</v>
      </c>
      <c r="E2664" t="s">
        <v>7998</v>
      </c>
      <c r="F2664" s="61">
        <v>38178</v>
      </c>
      <c r="G2664" s="15" t="s">
        <v>65</v>
      </c>
      <c r="H2664" t="s">
        <v>7999</v>
      </c>
      <c r="I2664" s="62" t="s">
        <v>8000</v>
      </c>
      <c r="K2664" s="36" t="s">
        <v>169</v>
      </c>
      <c r="L2664" t="s">
        <v>69</v>
      </c>
      <c r="M2664" s="62" t="s">
        <v>170</v>
      </c>
      <c r="N2664" t="s">
        <v>71</v>
      </c>
      <c r="O2664" t="str">
        <f>IFERROR(IF(Tbla_actores[[#This Row],[codigo_proyecto]]="","",_xlfn.XLOOKUP(Tbla_actores[[#This Row],[codigo_proyecto]],Proyectos!$A:$A,Proyectos!$C:$C)),"")</f>
        <v>NULOS</v>
      </c>
    </row>
    <row r="2665" spans="1:15">
      <c r="A2665" s="10">
        <v>1001332159</v>
      </c>
      <c r="B2665" s="64" t="s">
        <v>61</v>
      </c>
      <c r="C2665" s="62" t="s">
        <v>7900</v>
      </c>
      <c r="D2665" t="s">
        <v>63</v>
      </c>
      <c r="E2665" t="s">
        <v>8001</v>
      </c>
      <c r="F2665" s="61">
        <v>37052</v>
      </c>
      <c r="G2665" s="15" t="s">
        <v>73</v>
      </c>
      <c r="H2665" t="s">
        <v>8002</v>
      </c>
      <c r="I2665" s="62" t="s">
        <v>8003</v>
      </c>
      <c r="K2665" s="36" t="s">
        <v>169</v>
      </c>
      <c r="L2665" t="s">
        <v>69</v>
      </c>
      <c r="M2665" s="62" t="s">
        <v>170</v>
      </c>
      <c r="N2665" t="s">
        <v>71</v>
      </c>
      <c r="O2665" t="str">
        <f>IFERROR(IF(Tbla_actores[[#This Row],[codigo_proyecto]]="","",_xlfn.XLOOKUP(Tbla_actores[[#This Row],[codigo_proyecto]],Proyectos!$A:$A,Proyectos!$C:$C)),"")</f>
        <v>NULOS</v>
      </c>
    </row>
    <row r="2666" spans="1:15">
      <c r="A2666" s="9">
        <v>1013257799</v>
      </c>
      <c r="B2666" s="63" t="s">
        <v>61</v>
      </c>
      <c r="C2666" s="62" t="s">
        <v>7900</v>
      </c>
      <c r="D2666" t="s">
        <v>63</v>
      </c>
      <c r="E2666" t="s">
        <v>8004</v>
      </c>
      <c r="F2666" s="61">
        <v>38229</v>
      </c>
      <c r="G2666" s="15" t="s">
        <v>65</v>
      </c>
      <c r="H2666" t="s">
        <v>8005</v>
      </c>
      <c r="I2666" s="62" t="s">
        <v>8006</v>
      </c>
      <c r="K2666" s="36" t="s">
        <v>169</v>
      </c>
      <c r="L2666" t="s">
        <v>69</v>
      </c>
      <c r="M2666" s="62" t="s">
        <v>170</v>
      </c>
      <c r="N2666" t="s">
        <v>71</v>
      </c>
      <c r="O2666" t="str">
        <f>IFERROR(IF(Tbla_actores[[#This Row],[codigo_proyecto]]="","",_xlfn.XLOOKUP(Tbla_actores[[#This Row],[codigo_proyecto]],Proyectos!$A:$A,Proyectos!$C:$C)),"")</f>
        <v>NULOS</v>
      </c>
    </row>
    <row r="2667" spans="1:15">
      <c r="A2667" s="10">
        <v>1007812382</v>
      </c>
      <c r="B2667" s="64" t="s">
        <v>61</v>
      </c>
      <c r="C2667" s="62" t="s">
        <v>7900</v>
      </c>
      <c r="D2667" t="s">
        <v>63</v>
      </c>
      <c r="E2667" t="s">
        <v>8007</v>
      </c>
      <c r="F2667" s="61">
        <v>37901</v>
      </c>
      <c r="G2667" s="15" t="s">
        <v>65</v>
      </c>
      <c r="H2667" t="s">
        <v>8008</v>
      </c>
      <c r="I2667" s="62" t="s">
        <v>8009</v>
      </c>
      <c r="K2667" s="36" t="s">
        <v>169</v>
      </c>
      <c r="L2667" t="s">
        <v>69</v>
      </c>
      <c r="M2667" s="62" t="s">
        <v>170</v>
      </c>
      <c r="N2667" t="s">
        <v>71</v>
      </c>
      <c r="O2667" t="str">
        <f>IFERROR(IF(Tbla_actores[[#This Row],[codigo_proyecto]]="","",_xlfn.XLOOKUP(Tbla_actores[[#This Row],[codigo_proyecto]],Proyectos!$A:$A,Proyectos!$C:$C)),"")</f>
        <v>NULOS</v>
      </c>
    </row>
    <row r="2668" spans="1:15">
      <c r="A2668" s="9">
        <v>1032939608</v>
      </c>
      <c r="B2668" s="63" t="s">
        <v>61</v>
      </c>
      <c r="C2668" s="62" t="s">
        <v>7900</v>
      </c>
      <c r="D2668" t="s">
        <v>63</v>
      </c>
      <c r="E2668" t="s">
        <v>8010</v>
      </c>
      <c r="F2668" s="61">
        <v>38880</v>
      </c>
      <c r="G2668" s="15" t="s">
        <v>73</v>
      </c>
      <c r="H2668" t="s">
        <v>8011</v>
      </c>
      <c r="I2668" s="62" t="s">
        <v>8012</v>
      </c>
      <c r="K2668" s="36" t="s">
        <v>68</v>
      </c>
      <c r="L2668" t="s">
        <v>69</v>
      </c>
      <c r="M2668" s="62" t="s">
        <v>70</v>
      </c>
      <c r="N2668" t="s">
        <v>71</v>
      </c>
      <c r="O2668" t="str">
        <f>IFERROR(IF(Tbla_actores[[#This Row],[codigo_proyecto]]="","",_xlfn.XLOOKUP(Tbla_actores[[#This Row],[codigo_proyecto]],Proyectos!$A:$A,Proyectos!$C:$C)),"")</f>
        <v>NULOS</v>
      </c>
    </row>
    <row r="2669" spans="1:15">
      <c r="A2669" s="10">
        <v>1000286942</v>
      </c>
      <c r="B2669" s="64" t="s">
        <v>61</v>
      </c>
      <c r="C2669" s="62" t="s">
        <v>7900</v>
      </c>
      <c r="D2669" t="s">
        <v>63</v>
      </c>
      <c r="E2669" t="s">
        <v>8013</v>
      </c>
      <c r="F2669" s="61">
        <v>37552</v>
      </c>
      <c r="G2669" s="15" t="s">
        <v>65</v>
      </c>
      <c r="H2669" t="s">
        <v>8014</v>
      </c>
      <c r="I2669" s="62" t="s">
        <v>8015</v>
      </c>
      <c r="K2669" s="36" t="s">
        <v>1489</v>
      </c>
      <c r="L2669" t="s">
        <v>69</v>
      </c>
      <c r="M2669" s="62" t="s">
        <v>70</v>
      </c>
      <c r="N2669" t="s">
        <v>71</v>
      </c>
      <c r="O2669" t="str">
        <f>IFERROR(IF(Tbla_actores[[#This Row],[codigo_proyecto]]="","",_xlfn.XLOOKUP(Tbla_actores[[#This Row],[codigo_proyecto]],Proyectos!$A:$A,Proyectos!$C:$C)),"")</f>
        <v>NULOS</v>
      </c>
    </row>
    <row r="2670" spans="1:15">
      <c r="A2670" s="9">
        <v>1000287038</v>
      </c>
      <c r="B2670" s="63" t="s">
        <v>61</v>
      </c>
      <c r="C2670" s="62" t="s">
        <v>7900</v>
      </c>
      <c r="D2670" t="s">
        <v>63</v>
      </c>
      <c r="E2670" t="s">
        <v>8016</v>
      </c>
      <c r="F2670" s="61">
        <v>37542</v>
      </c>
      <c r="G2670" s="15" t="s">
        <v>73</v>
      </c>
      <c r="H2670" t="s">
        <v>8017</v>
      </c>
      <c r="I2670" s="62" t="s">
        <v>8018</v>
      </c>
      <c r="K2670" s="36" t="s">
        <v>7284</v>
      </c>
      <c r="L2670" t="s">
        <v>69</v>
      </c>
      <c r="M2670" s="62" t="s">
        <v>70</v>
      </c>
      <c r="N2670" t="s">
        <v>71</v>
      </c>
      <c r="O2670" t="str">
        <f>IFERROR(IF(Tbla_actores[[#This Row],[codigo_proyecto]]="","",_xlfn.XLOOKUP(Tbla_actores[[#This Row],[codigo_proyecto]],Proyectos!$A:$A,Proyectos!$C:$C)),"")</f>
        <v>NULOS</v>
      </c>
    </row>
    <row r="2671" spans="1:15">
      <c r="A2671" s="10">
        <v>1003823524</v>
      </c>
      <c r="B2671" s="64" t="s">
        <v>61</v>
      </c>
      <c r="C2671" s="62" t="s">
        <v>7900</v>
      </c>
      <c r="D2671" t="s">
        <v>63</v>
      </c>
      <c r="E2671" t="s">
        <v>8019</v>
      </c>
      <c r="F2671" s="61">
        <v>37299</v>
      </c>
      <c r="G2671" s="15" t="s">
        <v>73</v>
      </c>
      <c r="H2671" t="s">
        <v>8020</v>
      </c>
      <c r="I2671" s="62" t="s">
        <v>8021</v>
      </c>
      <c r="K2671" s="36" t="s">
        <v>7284</v>
      </c>
      <c r="L2671" t="s">
        <v>69</v>
      </c>
      <c r="M2671" s="62" t="s">
        <v>70</v>
      </c>
      <c r="N2671" t="s">
        <v>71</v>
      </c>
      <c r="O2671" t="str">
        <f>IFERROR(IF(Tbla_actores[[#This Row],[codigo_proyecto]]="","",_xlfn.XLOOKUP(Tbla_actores[[#This Row],[codigo_proyecto]],Proyectos!$A:$A,Proyectos!$C:$C)),"")</f>
        <v>NULOS</v>
      </c>
    </row>
    <row r="2672" spans="1:15">
      <c r="A2672" s="9">
        <v>1002524752</v>
      </c>
      <c r="B2672" s="63" t="s">
        <v>61</v>
      </c>
      <c r="C2672" s="62" t="s">
        <v>7900</v>
      </c>
      <c r="D2672" t="s">
        <v>63</v>
      </c>
      <c r="E2672" t="s">
        <v>8022</v>
      </c>
      <c r="F2672" s="61">
        <v>37617</v>
      </c>
      <c r="G2672" s="15" t="s">
        <v>65</v>
      </c>
      <c r="H2672" t="s">
        <v>8023</v>
      </c>
      <c r="I2672" s="62" t="s">
        <v>8024</v>
      </c>
      <c r="K2672" s="36" t="s">
        <v>169</v>
      </c>
      <c r="L2672" t="s">
        <v>69</v>
      </c>
      <c r="M2672" s="62" t="s">
        <v>170</v>
      </c>
      <c r="N2672" t="s">
        <v>71</v>
      </c>
      <c r="O2672" t="str">
        <f>IFERROR(IF(Tbla_actores[[#This Row],[codigo_proyecto]]="","",_xlfn.XLOOKUP(Tbla_actores[[#This Row],[codigo_proyecto]],Proyectos!$A:$A,Proyectos!$C:$C)),"")</f>
        <v>NULOS</v>
      </c>
    </row>
    <row r="2673" spans="1:15">
      <c r="A2673" s="10">
        <v>1193072045</v>
      </c>
      <c r="B2673" s="64" t="s">
        <v>61</v>
      </c>
      <c r="C2673" s="62" t="s">
        <v>7900</v>
      </c>
      <c r="D2673" t="s">
        <v>63</v>
      </c>
      <c r="E2673" t="s">
        <v>8025</v>
      </c>
      <c r="F2673" s="61">
        <v>37779</v>
      </c>
      <c r="G2673" s="15" t="s">
        <v>65</v>
      </c>
      <c r="H2673" t="s">
        <v>8026</v>
      </c>
      <c r="I2673" s="62" t="s">
        <v>8027</v>
      </c>
      <c r="K2673" s="36" t="s">
        <v>169</v>
      </c>
      <c r="L2673" t="s">
        <v>69</v>
      </c>
      <c r="M2673" s="62" t="s">
        <v>170</v>
      </c>
      <c r="N2673" t="s">
        <v>71</v>
      </c>
      <c r="O2673" t="str">
        <f>IFERROR(IF(Tbla_actores[[#This Row],[codigo_proyecto]]="","",_xlfn.XLOOKUP(Tbla_actores[[#This Row],[codigo_proyecto]],Proyectos!$A:$A,Proyectos!$C:$C)),"")</f>
        <v>NULOS</v>
      </c>
    </row>
    <row r="2674" spans="1:15">
      <c r="A2674" s="9">
        <v>1002634041</v>
      </c>
      <c r="B2674" s="63" t="s">
        <v>61</v>
      </c>
      <c r="C2674" s="62" t="s">
        <v>7900</v>
      </c>
      <c r="D2674" t="s">
        <v>63</v>
      </c>
      <c r="E2674" t="s">
        <v>8028</v>
      </c>
      <c r="F2674" s="61">
        <v>37240</v>
      </c>
      <c r="G2674" s="15" t="s">
        <v>65</v>
      </c>
      <c r="H2674" t="s">
        <v>8029</v>
      </c>
      <c r="I2674" s="62" t="s">
        <v>8030</v>
      </c>
      <c r="K2674" s="36" t="s">
        <v>169</v>
      </c>
      <c r="L2674" t="s">
        <v>69</v>
      </c>
      <c r="M2674" s="62" t="s">
        <v>170</v>
      </c>
      <c r="N2674" t="s">
        <v>71</v>
      </c>
      <c r="O2674" t="str">
        <f>IFERROR(IF(Tbla_actores[[#This Row],[codigo_proyecto]]="","",_xlfn.XLOOKUP(Tbla_actores[[#This Row],[codigo_proyecto]],Proyectos!$A:$A,Proyectos!$C:$C)),"")</f>
        <v>NULOS</v>
      </c>
    </row>
    <row r="2675" spans="1:15">
      <c r="A2675" s="10">
        <v>1026593820</v>
      </c>
      <c r="B2675" s="64" t="s">
        <v>61</v>
      </c>
      <c r="C2675" s="62" t="s">
        <v>7900</v>
      </c>
      <c r="D2675" t="s">
        <v>63</v>
      </c>
      <c r="E2675" t="s">
        <v>8031</v>
      </c>
      <c r="F2675" s="61">
        <v>35860</v>
      </c>
      <c r="G2675" s="15" t="s">
        <v>73</v>
      </c>
      <c r="H2675" t="s">
        <v>8032</v>
      </c>
      <c r="I2675" s="62" t="s">
        <v>8033</v>
      </c>
      <c r="K2675" s="36" t="s">
        <v>1489</v>
      </c>
      <c r="L2675" t="s">
        <v>69</v>
      </c>
      <c r="M2675" s="62" t="s">
        <v>70</v>
      </c>
      <c r="N2675" t="s">
        <v>71</v>
      </c>
      <c r="O2675" t="str">
        <f>IFERROR(IF(Tbla_actores[[#This Row],[codigo_proyecto]]="","",_xlfn.XLOOKUP(Tbla_actores[[#This Row],[codigo_proyecto]],Proyectos!$A:$A,Proyectos!$C:$C)),"")</f>
        <v>NULOS</v>
      </c>
    </row>
    <row r="2676" spans="1:15">
      <c r="A2676" s="9">
        <v>1192751796</v>
      </c>
      <c r="B2676" s="63" t="s">
        <v>61</v>
      </c>
      <c r="C2676" s="62" t="s">
        <v>7900</v>
      </c>
      <c r="D2676" t="s">
        <v>63</v>
      </c>
      <c r="E2676" t="s">
        <v>8034</v>
      </c>
      <c r="F2676" s="61">
        <v>38010</v>
      </c>
      <c r="G2676" s="15" t="s">
        <v>73</v>
      </c>
      <c r="H2676" t="s">
        <v>8035</v>
      </c>
      <c r="I2676" s="62" t="s">
        <v>8036</v>
      </c>
      <c r="K2676" s="36" t="s">
        <v>169</v>
      </c>
      <c r="L2676" t="s">
        <v>69</v>
      </c>
      <c r="M2676" s="62" t="s">
        <v>170</v>
      </c>
      <c r="N2676" t="s">
        <v>71</v>
      </c>
      <c r="O2676" t="str">
        <f>IFERROR(IF(Tbla_actores[[#This Row],[codigo_proyecto]]="","",_xlfn.XLOOKUP(Tbla_actores[[#This Row],[codigo_proyecto]],Proyectos!$A:$A,Proyectos!$C:$C)),"")</f>
        <v>NULOS</v>
      </c>
    </row>
    <row r="2677" spans="1:15">
      <c r="A2677" s="10">
        <v>1032798636</v>
      </c>
      <c r="B2677" s="64" t="s">
        <v>61</v>
      </c>
      <c r="C2677" s="62" t="s">
        <v>7900</v>
      </c>
      <c r="D2677" t="s">
        <v>63</v>
      </c>
      <c r="E2677" t="s">
        <v>8037</v>
      </c>
      <c r="F2677" s="61">
        <v>38533</v>
      </c>
      <c r="G2677" s="15" t="s">
        <v>65</v>
      </c>
      <c r="H2677" t="s">
        <v>8038</v>
      </c>
      <c r="I2677" s="62" t="s">
        <v>8039</v>
      </c>
      <c r="K2677" s="36" t="s">
        <v>169</v>
      </c>
      <c r="L2677" t="s">
        <v>69</v>
      </c>
      <c r="M2677" s="62" t="s">
        <v>170</v>
      </c>
      <c r="N2677" t="s">
        <v>71</v>
      </c>
      <c r="O2677" t="str">
        <f>IFERROR(IF(Tbla_actores[[#This Row],[codigo_proyecto]]="","",_xlfn.XLOOKUP(Tbla_actores[[#This Row],[codigo_proyecto]],Proyectos!$A:$A,Proyectos!$C:$C)),"")</f>
        <v>NULOS</v>
      </c>
    </row>
    <row r="2678" spans="1:15">
      <c r="A2678" s="9">
        <v>1010010838</v>
      </c>
      <c r="B2678" s="63" t="s">
        <v>61</v>
      </c>
      <c r="C2678" s="62" t="s">
        <v>7900</v>
      </c>
      <c r="D2678" t="s">
        <v>63</v>
      </c>
      <c r="E2678" t="s">
        <v>8040</v>
      </c>
      <c r="F2678" s="61">
        <v>36688</v>
      </c>
      <c r="G2678" s="15" t="s">
        <v>65</v>
      </c>
      <c r="H2678" t="s">
        <v>8041</v>
      </c>
      <c r="I2678" s="62" t="s">
        <v>8042</v>
      </c>
      <c r="K2678" s="36" t="s">
        <v>1489</v>
      </c>
      <c r="L2678" t="s">
        <v>69</v>
      </c>
      <c r="M2678" s="62" t="s">
        <v>70</v>
      </c>
      <c r="N2678" t="s">
        <v>71</v>
      </c>
      <c r="O2678" t="str">
        <f>IFERROR(IF(Tbla_actores[[#This Row],[codigo_proyecto]]="","",_xlfn.XLOOKUP(Tbla_actores[[#This Row],[codigo_proyecto]],Proyectos!$A:$A,Proyectos!$C:$C)),"")</f>
        <v>NULOS</v>
      </c>
    </row>
    <row r="2679" spans="1:15">
      <c r="A2679" s="10">
        <v>1019603936</v>
      </c>
      <c r="B2679" s="64" t="s">
        <v>61</v>
      </c>
      <c r="C2679" s="62" t="s">
        <v>7900</v>
      </c>
      <c r="D2679" t="s">
        <v>63</v>
      </c>
      <c r="E2679" t="s">
        <v>8043</v>
      </c>
      <c r="F2679" s="61">
        <v>38476</v>
      </c>
      <c r="G2679" s="15" t="s">
        <v>65</v>
      </c>
      <c r="H2679" t="s">
        <v>8044</v>
      </c>
      <c r="I2679" s="62" t="s">
        <v>8045</v>
      </c>
      <c r="K2679" s="36" t="s">
        <v>169</v>
      </c>
      <c r="L2679" t="s">
        <v>69</v>
      </c>
      <c r="M2679" s="62" t="s">
        <v>170</v>
      </c>
      <c r="N2679" t="s">
        <v>71</v>
      </c>
      <c r="O2679" t="str">
        <f>IFERROR(IF(Tbla_actores[[#This Row],[codigo_proyecto]]="","",_xlfn.XLOOKUP(Tbla_actores[[#This Row],[codigo_proyecto]],Proyectos!$A:$A,Proyectos!$C:$C)),"")</f>
        <v>NULOS</v>
      </c>
    </row>
    <row r="2680" spans="1:15">
      <c r="A2680" s="9">
        <v>1000718558</v>
      </c>
      <c r="B2680" s="63" t="s">
        <v>61</v>
      </c>
      <c r="C2680" s="62" t="s">
        <v>7900</v>
      </c>
      <c r="D2680" t="s">
        <v>63</v>
      </c>
      <c r="E2680" t="s">
        <v>8046</v>
      </c>
      <c r="F2680" s="61">
        <v>37217</v>
      </c>
      <c r="G2680" s="15" t="s">
        <v>73</v>
      </c>
      <c r="H2680" t="s">
        <v>8047</v>
      </c>
      <c r="I2680" s="62" t="s">
        <v>8048</v>
      </c>
      <c r="K2680" s="36" t="s">
        <v>169</v>
      </c>
      <c r="L2680" t="s">
        <v>69</v>
      </c>
      <c r="M2680" s="62" t="s">
        <v>170</v>
      </c>
      <c r="N2680" t="s">
        <v>71</v>
      </c>
      <c r="O2680" t="str">
        <f>IFERROR(IF(Tbla_actores[[#This Row],[codigo_proyecto]]="","",_xlfn.XLOOKUP(Tbla_actores[[#This Row],[codigo_proyecto]],Proyectos!$A:$A,Proyectos!$C:$C)),"")</f>
        <v>NULOS</v>
      </c>
    </row>
    <row r="2681" spans="1:15">
      <c r="A2681" s="10">
        <v>1000186210</v>
      </c>
      <c r="B2681" s="64" t="s">
        <v>61</v>
      </c>
      <c r="C2681" s="62" t="s">
        <v>7900</v>
      </c>
      <c r="D2681" t="s">
        <v>63</v>
      </c>
      <c r="E2681" t="s">
        <v>8049</v>
      </c>
      <c r="F2681" s="61">
        <v>37617</v>
      </c>
      <c r="G2681" s="15" t="s">
        <v>73</v>
      </c>
      <c r="H2681" t="s">
        <v>8050</v>
      </c>
      <c r="I2681" s="62" t="s">
        <v>8051</v>
      </c>
      <c r="K2681" s="36" t="s">
        <v>68</v>
      </c>
      <c r="L2681" t="s">
        <v>69</v>
      </c>
      <c r="M2681" s="62" t="s">
        <v>70</v>
      </c>
      <c r="N2681" t="s">
        <v>71</v>
      </c>
      <c r="O2681" t="str">
        <f>IFERROR(IF(Tbla_actores[[#This Row],[codigo_proyecto]]="","",_xlfn.XLOOKUP(Tbla_actores[[#This Row],[codigo_proyecto]],Proyectos!$A:$A,Proyectos!$C:$C)),"")</f>
        <v>NULOS</v>
      </c>
    </row>
    <row r="2682" spans="1:15">
      <c r="A2682" s="9">
        <v>1094044024</v>
      </c>
      <c r="B2682" s="63" t="s">
        <v>61</v>
      </c>
      <c r="C2682" s="62" t="s">
        <v>7900</v>
      </c>
      <c r="D2682" t="s">
        <v>63</v>
      </c>
      <c r="E2682" t="s">
        <v>8052</v>
      </c>
      <c r="F2682" s="61">
        <v>37957</v>
      </c>
      <c r="G2682" s="15" t="s">
        <v>65</v>
      </c>
      <c r="H2682" t="s">
        <v>8053</v>
      </c>
      <c r="I2682" s="62" t="s">
        <v>8054</v>
      </c>
      <c r="K2682" s="36" t="s">
        <v>68</v>
      </c>
      <c r="L2682" t="s">
        <v>69</v>
      </c>
      <c r="M2682" s="62" t="s">
        <v>70</v>
      </c>
      <c r="N2682" t="s">
        <v>71</v>
      </c>
      <c r="O2682" t="str">
        <f>IFERROR(IF(Tbla_actores[[#This Row],[codigo_proyecto]]="","",_xlfn.XLOOKUP(Tbla_actores[[#This Row],[codigo_proyecto]],Proyectos!$A:$A,Proyectos!$C:$C)),"")</f>
        <v>NULOS</v>
      </c>
    </row>
    <row r="2683" spans="1:15">
      <c r="A2683" s="10">
        <v>1031646889</v>
      </c>
      <c r="B2683" s="64" t="s">
        <v>61</v>
      </c>
      <c r="C2683" s="62" t="s">
        <v>7900</v>
      </c>
      <c r="D2683" t="s">
        <v>63</v>
      </c>
      <c r="E2683" t="s">
        <v>8055</v>
      </c>
      <c r="F2683" s="61">
        <v>38551</v>
      </c>
      <c r="G2683" s="15" t="s">
        <v>73</v>
      </c>
      <c r="H2683" t="s">
        <v>8056</v>
      </c>
      <c r="I2683" s="62" t="s">
        <v>8057</v>
      </c>
      <c r="K2683" s="36" t="s">
        <v>68</v>
      </c>
      <c r="L2683" t="s">
        <v>69</v>
      </c>
      <c r="M2683" s="62" t="s">
        <v>70</v>
      </c>
      <c r="N2683" t="s">
        <v>71</v>
      </c>
      <c r="O2683" t="str">
        <f>IFERROR(IF(Tbla_actores[[#This Row],[codigo_proyecto]]="","",_xlfn.XLOOKUP(Tbla_actores[[#This Row],[codigo_proyecto]],Proyectos!$A:$A,Proyectos!$C:$C)),"")</f>
        <v>NULOS</v>
      </c>
    </row>
    <row r="2684" spans="1:15">
      <c r="A2684" s="9">
        <v>1031640721</v>
      </c>
      <c r="B2684" s="63" t="s">
        <v>61</v>
      </c>
      <c r="C2684" s="62" t="s">
        <v>7900</v>
      </c>
      <c r="D2684" t="s">
        <v>63</v>
      </c>
      <c r="E2684" t="s">
        <v>8058</v>
      </c>
      <c r="F2684" s="61">
        <v>37997</v>
      </c>
      <c r="G2684" s="15" t="s">
        <v>65</v>
      </c>
      <c r="H2684" t="s">
        <v>8059</v>
      </c>
      <c r="I2684" s="62" t="s">
        <v>8060</v>
      </c>
      <c r="K2684" s="36" t="s">
        <v>6427</v>
      </c>
      <c r="L2684" t="s">
        <v>69</v>
      </c>
      <c r="M2684" s="62" t="s">
        <v>70</v>
      </c>
      <c r="N2684" t="s">
        <v>71</v>
      </c>
      <c r="O2684" t="str">
        <f>IFERROR(IF(Tbla_actores[[#This Row],[codigo_proyecto]]="","",_xlfn.XLOOKUP(Tbla_actores[[#This Row],[codigo_proyecto]],Proyectos!$A:$A,Proyectos!$C:$C)),"")</f>
        <v>NULOS</v>
      </c>
    </row>
    <row r="2685" spans="1:15">
      <c r="A2685" s="10">
        <v>1000364731</v>
      </c>
      <c r="B2685" s="64" t="s">
        <v>61</v>
      </c>
      <c r="C2685" s="62" t="s">
        <v>7900</v>
      </c>
      <c r="D2685" t="s">
        <v>63</v>
      </c>
      <c r="E2685" t="s">
        <v>8061</v>
      </c>
      <c r="F2685" s="61">
        <v>37191</v>
      </c>
      <c r="G2685" s="15" t="s">
        <v>73</v>
      </c>
      <c r="H2685" t="s">
        <v>8062</v>
      </c>
      <c r="I2685" s="62" t="s">
        <v>8063</v>
      </c>
      <c r="K2685" s="36" t="s">
        <v>6427</v>
      </c>
      <c r="L2685" t="s">
        <v>69</v>
      </c>
      <c r="M2685" s="62" t="s">
        <v>70</v>
      </c>
      <c r="N2685" t="s">
        <v>71</v>
      </c>
      <c r="O2685" t="str">
        <f>IFERROR(IF(Tbla_actores[[#This Row],[codigo_proyecto]]="","",_xlfn.XLOOKUP(Tbla_actores[[#This Row],[codigo_proyecto]],Proyectos!$A:$A,Proyectos!$C:$C)),"")</f>
        <v>NULOS</v>
      </c>
    </row>
    <row r="2686" spans="1:15">
      <c r="A2686" s="9">
        <v>1193215807</v>
      </c>
      <c r="B2686" s="63" t="s">
        <v>61</v>
      </c>
      <c r="C2686" s="62" t="s">
        <v>7900</v>
      </c>
      <c r="D2686" t="s">
        <v>63</v>
      </c>
      <c r="E2686" t="s">
        <v>8064</v>
      </c>
      <c r="F2686" s="61">
        <v>37548</v>
      </c>
      <c r="G2686" s="15" t="s">
        <v>73</v>
      </c>
      <c r="H2686" t="s">
        <v>8065</v>
      </c>
      <c r="I2686" s="62" t="s">
        <v>8066</v>
      </c>
      <c r="K2686" s="36" t="s">
        <v>68</v>
      </c>
      <c r="L2686" t="s">
        <v>69</v>
      </c>
      <c r="M2686" s="62" t="s">
        <v>70</v>
      </c>
      <c r="N2686" t="s">
        <v>71</v>
      </c>
      <c r="O2686" t="str">
        <f>IFERROR(IF(Tbla_actores[[#This Row],[codigo_proyecto]]="","",_xlfn.XLOOKUP(Tbla_actores[[#This Row],[codigo_proyecto]],Proyectos!$A:$A,Proyectos!$C:$C)),"")</f>
        <v>NULOS</v>
      </c>
    </row>
    <row r="2687" spans="1:15">
      <c r="A2687" s="10">
        <v>1000806475</v>
      </c>
      <c r="B2687" s="64" t="s">
        <v>61</v>
      </c>
      <c r="C2687" s="62" t="s">
        <v>7900</v>
      </c>
      <c r="D2687" t="s">
        <v>63</v>
      </c>
      <c r="E2687" t="s">
        <v>8067</v>
      </c>
      <c r="F2687" s="61">
        <v>37598</v>
      </c>
      <c r="G2687" s="15" t="s">
        <v>73</v>
      </c>
      <c r="H2687" t="s">
        <v>8068</v>
      </c>
      <c r="I2687" s="62" t="s">
        <v>8069</v>
      </c>
      <c r="K2687" s="36" t="s">
        <v>68</v>
      </c>
      <c r="L2687" t="s">
        <v>69</v>
      </c>
      <c r="M2687" s="62" t="s">
        <v>70</v>
      </c>
      <c r="N2687" t="s">
        <v>71</v>
      </c>
      <c r="O2687" t="str">
        <f>IFERROR(IF(Tbla_actores[[#This Row],[codigo_proyecto]]="","",_xlfn.XLOOKUP(Tbla_actores[[#This Row],[codigo_proyecto]],Proyectos!$A:$A,Proyectos!$C:$C)),"")</f>
        <v>NULOS</v>
      </c>
    </row>
    <row r="2688" spans="1:15">
      <c r="A2688" s="9">
        <v>1000364316</v>
      </c>
      <c r="B2688" s="63" t="s">
        <v>61</v>
      </c>
      <c r="C2688" s="62" t="s">
        <v>7900</v>
      </c>
      <c r="D2688" t="s">
        <v>63</v>
      </c>
      <c r="E2688" t="s">
        <v>8070</v>
      </c>
      <c r="F2688" s="61">
        <v>37488</v>
      </c>
      <c r="G2688" s="15" t="s">
        <v>73</v>
      </c>
      <c r="H2688" t="s">
        <v>8071</v>
      </c>
      <c r="I2688" s="62" t="s">
        <v>8072</v>
      </c>
      <c r="K2688" s="36" t="s">
        <v>68</v>
      </c>
      <c r="L2688" t="s">
        <v>69</v>
      </c>
      <c r="M2688" s="62" t="s">
        <v>70</v>
      </c>
      <c r="N2688" t="s">
        <v>71</v>
      </c>
      <c r="O2688" t="str">
        <f>IFERROR(IF(Tbla_actores[[#This Row],[codigo_proyecto]]="","",_xlfn.XLOOKUP(Tbla_actores[[#This Row],[codigo_proyecto]],Proyectos!$A:$A,Proyectos!$C:$C)),"")</f>
        <v>NULOS</v>
      </c>
    </row>
    <row r="2689" spans="1:15">
      <c r="A2689" s="10">
        <v>1021393121</v>
      </c>
      <c r="B2689" s="64" t="s">
        <v>61</v>
      </c>
      <c r="C2689" s="62" t="s">
        <v>7900</v>
      </c>
      <c r="D2689" t="s">
        <v>63</v>
      </c>
      <c r="E2689" t="s">
        <v>8073</v>
      </c>
      <c r="F2689" s="61">
        <v>38157</v>
      </c>
      <c r="G2689" s="15" t="s">
        <v>65</v>
      </c>
      <c r="H2689" t="s">
        <v>8074</v>
      </c>
      <c r="I2689" s="62" t="s">
        <v>8075</v>
      </c>
      <c r="K2689" s="36" t="s">
        <v>169</v>
      </c>
      <c r="L2689" t="s">
        <v>69</v>
      </c>
      <c r="M2689" s="62" t="s">
        <v>170</v>
      </c>
      <c r="N2689" t="s">
        <v>71</v>
      </c>
      <c r="O2689" t="str">
        <f>IFERROR(IF(Tbla_actores[[#This Row],[codigo_proyecto]]="","",_xlfn.XLOOKUP(Tbla_actores[[#This Row],[codigo_proyecto]],Proyectos!$A:$A,Proyectos!$C:$C)),"")</f>
        <v>NULOS</v>
      </c>
    </row>
    <row r="2690" spans="1:15">
      <c r="A2690" s="9">
        <v>1091965702</v>
      </c>
      <c r="B2690" s="63" t="s">
        <v>61</v>
      </c>
      <c r="C2690" s="62" t="s">
        <v>7900</v>
      </c>
      <c r="D2690" t="s">
        <v>63</v>
      </c>
      <c r="E2690" t="s">
        <v>8076</v>
      </c>
      <c r="F2690" s="61">
        <v>38234</v>
      </c>
      <c r="G2690" s="15" t="s">
        <v>73</v>
      </c>
      <c r="H2690" t="s">
        <v>8077</v>
      </c>
      <c r="I2690" s="62" t="s">
        <v>8078</v>
      </c>
      <c r="K2690" s="36" t="s">
        <v>169</v>
      </c>
      <c r="L2690" t="s">
        <v>69</v>
      </c>
      <c r="M2690" s="62" t="s">
        <v>170</v>
      </c>
      <c r="N2690" t="s">
        <v>71</v>
      </c>
      <c r="O2690" t="str">
        <f>IFERROR(IF(Tbla_actores[[#This Row],[codigo_proyecto]]="","",_xlfn.XLOOKUP(Tbla_actores[[#This Row],[codigo_proyecto]],Proyectos!$A:$A,Proyectos!$C:$C)),"")</f>
        <v>NULOS</v>
      </c>
    </row>
    <row r="2691" spans="1:15">
      <c r="A2691" s="10">
        <v>1001118678</v>
      </c>
      <c r="B2691" s="64" t="s">
        <v>61</v>
      </c>
      <c r="C2691" s="62" t="s">
        <v>7900</v>
      </c>
      <c r="D2691" t="s">
        <v>63</v>
      </c>
      <c r="E2691" t="s">
        <v>8079</v>
      </c>
      <c r="F2691" s="61">
        <v>37798</v>
      </c>
      <c r="G2691" s="15" t="s">
        <v>65</v>
      </c>
      <c r="H2691" t="s">
        <v>7181</v>
      </c>
      <c r="I2691" s="62" t="s">
        <v>7182</v>
      </c>
      <c r="K2691" s="36" t="s">
        <v>169</v>
      </c>
      <c r="L2691" t="s">
        <v>69</v>
      </c>
      <c r="M2691" s="62" t="s">
        <v>170</v>
      </c>
      <c r="N2691" t="s">
        <v>71</v>
      </c>
      <c r="O2691" t="str">
        <f>IFERROR(IF(Tbla_actores[[#This Row],[codigo_proyecto]]="","",_xlfn.XLOOKUP(Tbla_actores[[#This Row],[codigo_proyecto]],Proyectos!$A:$A,Proyectos!$C:$C)),"")</f>
        <v>NULOS</v>
      </c>
    </row>
    <row r="2692" spans="1:15">
      <c r="A2692" s="9">
        <v>1031642887</v>
      </c>
      <c r="B2692" s="63" t="s">
        <v>61</v>
      </c>
      <c r="C2692" s="62" t="s">
        <v>7900</v>
      </c>
      <c r="D2692" t="s">
        <v>63</v>
      </c>
      <c r="E2692" t="s">
        <v>8080</v>
      </c>
      <c r="F2692" s="61">
        <v>38194</v>
      </c>
      <c r="G2692" s="15" t="s">
        <v>65</v>
      </c>
      <c r="H2692" t="s">
        <v>8081</v>
      </c>
      <c r="I2692" s="62" t="s">
        <v>8082</v>
      </c>
      <c r="K2692" s="36" t="s">
        <v>169</v>
      </c>
      <c r="L2692" t="s">
        <v>69</v>
      </c>
      <c r="M2692" s="62" t="s">
        <v>170</v>
      </c>
      <c r="N2692" t="s">
        <v>71</v>
      </c>
      <c r="O2692" t="str">
        <f>IFERROR(IF(Tbla_actores[[#This Row],[codigo_proyecto]]="","",_xlfn.XLOOKUP(Tbla_actores[[#This Row],[codigo_proyecto]],Proyectos!$A:$A,Proyectos!$C:$C)),"")</f>
        <v>NULOS</v>
      </c>
    </row>
    <row r="2693" spans="1:15">
      <c r="A2693" s="10">
        <v>1000373086</v>
      </c>
      <c r="B2693" s="64" t="s">
        <v>61</v>
      </c>
      <c r="C2693" s="62" t="s">
        <v>7900</v>
      </c>
      <c r="D2693" t="s">
        <v>63</v>
      </c>
      <c r="E2693" t="s">
        <v>8083</v>
      </c>
      <c r="F2693" s="61">
        <v>37445</v>
      </c>
      <c r="G2693" s="15" t="s">
        <v>73</v>
      </c>
      <c r="H2693" t="s">
        <v>8084</v>
      </c>
      <c r="I2693" s="62" t="s">
        <v>8085</v>
      </c>
      <c r="K2693" s="36" t="s">
        <v>68</v>
      </c>
      <c r="L2693" t="s">
        <v>69</v>
      </c>
      <c r="M2693" s="62" t="s">
        <v>70</v>
      </c>
      <c r="N2693" t="s">
        <v>71</v>
      </c>
      <c r="O2693" t="str">
        <f>IFERROR(IF(Tbla_actores[[#This Row],[codigo_proyecto]]="","",_xlfn.XLOOKUP(Tbla_actores[[#This Row],[codigo_proyecto]],Proyectos!$A:$A,Proyectos!$C:$C)),"")</f>
        <v>NULOS</v>
      </c>
    </row>
    <row r="2694" spans="1:15">
      <c r="A2694" s="9">
        <v>1019842145</v>
      </c>
      <c r="B2694" s="63" t="s">
        <v>61</v>
      </c>
      <c r="C2694" s="62" t="s">
        <v>7900</v>
      </c>
      <c r="D2694" t="s">
        <v>63</v>
      </c>
      <c r="E2694" t="s">
        <v>8086</v>
      </c>
      <c r="F2694" s="61">
        <v>38077</v>
      </c>
      <c r="G2694" s="15" t="s">
        <v>65</v>
      </c>
      <c r="H2694" t="s">
        <v>8087</v>
      </c>
      <c r="I2694" s="62" t="s">
        <v>8088</v>
      </c>
      <c r="K2694" s="36" t="s">
        <v>68</v>
      </c>
      <c r="L2694" t="s">
        <v>69</v>
      </c>
      <c r="M2694" s="62" t="s">
        <v>70</v>
      </c>
      <c r="N2694" t="s">
        <v>71</v>
      </c>
      <c r="O2694" t="str">
        <f>IFERROR(IF(Tbla_actores[[#This Row],[codigo_proyecto]]="","",_xlfn.XLOOKUP(Tbla_actores[[#This Row],[codigo_proyecto]],Proyectos!$A:$A,Proyectos!$C:$C)),"")</f>
        <v>NULOS</v>
      </c>
    </row>
    <row r="2695" spans="1:15">
      <c r="A2695" s="10">
        <v>1013256008</v>
      </c>
      <c r="B2695" s="64" t="s">
        <v>61</v>
      </c>
      <c r="C2695" s="62" t="s">
        <v>7900</v>
      </c>
      <c r="D2695" t="s">
        <v>63</v>
      </c>
      <c r="E2695" t="s">
        <v>8089</v>
      </c>
      <c r="F2695" s="61">
        <v>37971</v>
      </c>
      <c r="G2695" s="15" t="s">
        <v>65</v>
      </c>
      <c r="H2695" t="s">
        <v>8090</v>
      </c>
      <c r="I2695" s="62" t="s">
        <v>8091</v>
      </c>
      <c r="K2695" s="36" t="s">
        <v>68</v>
      </c>
      <c r="L2695" t="s">
        <v>69</v>
      </c>
      <c r="M2695" s="62" t="s">
        <v>70</v>
      </c>
      <c r="N2695" t="s">
        <v>71</v>
      </c>
      <c r="O2695" t="str">
        <f>IFERROR(IF(Tbla_actores[[#This Row],[codigo_proyecto]]="","",_xlfn.XLOOKUP(Tbla_actores[[#This Row],[codigo_proyecto]],Proyectos!$A:$A,Proyectos!$C:$C)),"")</f>
        <v>NULOS</v>
      </c>
    </row>
    <row r="2696" spans="1:15">
      <c r="A2696" s="9">
        <v>1010004502</v>
      </c>
      <c r="B2696" s="63" t="s">
        <v>61</v>
      </c>
      <c r="C2696" s="62" t="s">
        <v>7900</v>
      </c>
      <c r="D2696" t="s">
        <v>63</v>
      </c>
      <c r="E2696" t="s">
        <v>8092</v>
      </c>
      <c r="F2696" s="61">
        <v>37899</v>
      </c>
      <c r="G2696" s="15" t="s">
        <v>65</v>
      </c>
      <c r="H2696" t="s">
        <v>8093</v>
      </c>
      <c r="I2696" s="62" t="s">
        <v>8094</v>
      </c>
      <c r="K2696" s="36" t="s">
        <v>68</v>
      </c>
      <c r="L2696" t="s">
        <v>69</v>
      </c>
      <c r="M2696" s="62" t="s">
        <v>70</v>
      </c>
      <c r="N2696" t="s">
        <v>71</v>
      </c>
      <c r="O2696" t="str">
        <f>IFERROR(IF(Tbla_actores[[#This Row],[codigo_proyecto]]="","",_xlfn.XLOOKUP(Tbla_actores[[#This Row],[codigo_proyecto]],Proyectos!$A:$A,Proyectos!$C:$C)),"")</f>
        <v>NULOS</v>
      </c>
    </row>
    <row r="2697" spans="1:15">
      <c r="A2697" s="10">
        <v>1193587415</v>
      </c>
      <c r="B2697" s="64" t="s">
        <v>61</v>
      </c>
      <c r="C2697" s="62" t="s">
        <v>7900</v>
      </c>
      <c r="D2697" t="s">
        <v>63</v>
      </c>
      <c r="E2697" t="s">
        <v>8095</v>
      </c>
      <c r="F2697" s="61">
        <v>37697</v>
      </c>
      <c r="G2697" s="15" t="s">
        <v>65</v>
      </c>
      <c r="H2697" t="s">
        <v>8096</v>
      </c>
      <c r="I2697" s="62" t="s">
        <v>8097</v>
      </c>
      <c r="K2697" s="36" t="s">
        <v>68</v>
      </c>
      <c r="L2697" t="s">
        <v>69</v>
      </c>
      <c r="M2697" s="62" t="s">
        <v>70</v>
      </c>
      <c r="N2697" t="s">
        <v>71</v>
      </c>
      <c r="O2697" t="str">
        <f>IFERROR(IF(Tbla_actores[[#This Row],[codigo_proyecto]]="","",_xlfn.XLOOKUP(Tbla_actores[[#This Row],[codigo_proyecto]],Proyectos!$A:$A,Proyectos!$C:$C)),"")</f>
        <v>NULOS</v>
      </c>
    </row>
    <row r="2698" spans="1:15">
      <c r="A2698" s="9">
        <v>1019122197</v>
      </c>
      <c r="B2698" s="63" t="s">
        <v>61</v>
      </c>
      <c r="C2698" s="62" t="s">
        <v>7900</v>
      </c>
      <c r="D2698" t="s">
        <v>63</v>
      </c>
      <c r="E2698" t="s">
        <v>8098</v>
      </c>
      <c r="F2698" s="61">
        <v>35291</v>
      </c>
      <c r="G2698" s="15" t="s">
        <v>73</v>
      </c>
      <c r="H2698" t="s">
        <v>8099</v>
      </c>
      <c r="I2698" s="62" t="s">
        <v>8100</v>
      </c>
      <c r="K2698" s="36" t="s">
        <v>68</v>
      </c>
      <c r="L2698" t="s">
        <v>69</v>
      </c>
      <c r="M2698" s="62" t="s">
        <v>70</v>
      </c>
      <c r="N2698" t="s">
        <v>71</v>
      </c>
      <c r="O2698" t="str">
        <f>IFERROR(IF(Tbla_actores[[#This Row],[codigo_proyecto]]="","",_xlfn.XLOOKUP(Tbla_actores[[#This Row],[codigo_proyecto]],Proyectos!$A:$A,Proyectos!$C:$C)),"")</f>
        <v>NULOS</v>
      </c>
    </row>
    <row r="2699" spans="1:15">
      <c r="A2699" s="10">
        <v>1000462875</v>
      </c>
      <c r="B2699" s="64" t="s">
        <v>61</v>
      </c>
      <c r="C2699" s="62" t="s">
        <v>7900</v>
      </c>
      <c r="D2699" t="s">
        <v>63</v>
      </c>
      <c r="E2699" t="s">
        <v>8101</v>
      </c>
      <c r="F2699" s="61">
        <v>37801</v>
      </c>
      <c r="G2699" s="15" t="s">
        <v>73</v>
      </c>
      <c r="H2699" t="s">
        <v>8102</v>
      </c>
      <c r="I2699" s="62" t="s">
        <v>8103</v>
      </c>
      <c r="K2699" s="36" t="s">
        <v>7284</v>
      </c>
      <c r="L2699" t="s">
        <v>69</v>
      </c>
      <c r="M2699" s="62" t="s">
        <v>70</v>
      </c>
      <c r="N2699" t="s">
        <v>71</v>
      </c>
      <c r="O2699" t="str">
        <f>IFERROR(IF(Tbla_actores[[#This Row],[codigo_proyecto]]="","",_xlfn.XLOOKUP(Tbla_actores[[#This Row],[codigo_proyecto]],Proyectos!$A:$A,Proyectos!$C:$C)),"")</f>
        <v>NULOS</v>
      </c>
    </row>
    <row r="2700" spans="1:15">
      <c r="A2700" s="9">
        <v>1000285937</v>
      </c>
      <c r="B2700" s="63" t="s">
        <v>61</v>
      </c>
      <c r="C2700" s="62" t="s">
        <v>7900</v>
      </c>
      <c r="D2700" t="s">
        <v>63</v>
      </c>
      <c r="E2700" t="s">
        <v>8104</v>
      </c>
      <c r="F2700" s="61">
        <v>37846</v>
      </c>
      <c r="G2700" s="15" t="s">
        <v>65</v>
      </c>
      <c r="H2700" t="s">
        <v>8105</v>
      </c>
      <c r="I2700" s="62" t="s">
        <v>8106</v>
      </c>
      <c r="K2700" s="36" t="s">
        <v>7284</v>
      </c>
      <c r="L2700" t="s">
        <v>69</v>
      </c>
      <c r="M2700" s="62" t="s">
        <v>70</v>
      </c>
      <c r="N2700" t="s">
        <v>71</v>
      </c>
      <c r="O2700" t="str">
        <f>IFERROR(IF(Tbla_actores[[#This Row],[codigo_proyecto]]="","",_xlfn.XLOOKUP(Tbla_actores[[#This Row],[codigo_proyecto]],Proyectos!$A:$A,Proyectos!$C:$C)),"")</f>
        <v>NULOS</v>
      </c>
    </row>
    <row r="2701" spans="1:15">
      <c r="A2701" s="10">
        <v>1010961343</v>
      </c>
      <c r="B2701" s="64" t="s">
        <v>61</v>
      </c>
      <c r="C2701" s="62" t="s">
        <v>7900</v>
      </c>
      <c r="D2701" t="s">
        <v>63</v>
      </c>
      <c r="E2701" t="s">
        <v>8107</v>
      </c>
      <c r="F2701" s="61">
        <v>38421</v>
      </c>
      <c r="G2701" s="15" t="s">
        <v>73</v>
      </c>
      <c r="H2701" t="s">
        <v>8108</v>
      </c>
      <c r="I2701" s="62" t="s">
        <v>8109</v>
      </c>
      <c r="K2701" s="36" t="s">
        <v>6427</v>
      </c>
      <c r="L2701" t="s">
        <v>69</v>
      </c>
      <c r="M2701" s="62" t="s">
        <v>70</v>
      </c>
      <c r="N2701" t="s">
        <v>71</v>
      </c>
      <c r="O2701" t="str">
        <f>IFERROR(IF(Tbla_actores[[#This Row],[codigo_proyecto]]="","",_xlfn.XLOOKUP(Tbla_actores[[#This Row],[codigo_proyecto]],Proyectos!$A:$A,Proyectos!$C:$C)),"")</f>
        <v>NULOS</v>
      </c>
    </row>
    <row r="2702" spans="1:15">
      <c r="A2702" s="9">
        <v>1001217266</v>
      </c>
      <c r="B2702" s="63" t="s">
        <v>61</v>
      </c>
      <c r="C2702" s="62" t="s">
        <v>7900</v>
      </c>
      <c r="D2702" t="s">
        <v>63</v>
      </c>
      <c r="E2702" t="s">
        <v>8110</v>
      </c>
      <c r="F2702" s="61">
        <v>37905</v>
      </c>
      <c r="G2702" s="15" t="s">
        <v>73</v>
      </c>
      <c r="H2702" t="s">
        <v>8111</v>
      </c>
      <c r="I2702" s="62" t="s">
        <v>8112</v>
      </c>
      <c r="K2702" s="36" t="s">
        <v>7284</v>
      </c>
      <c r="L2702" t="s">
        <v>69</v>
      </c>
      <c r="M2702" s="62" t="s">
        <v>70</v>
      </c>
      <c r="N2702" t="s">
        <v>71</v>
      </c>
      <c r="O2702" t="str">
        <f>IFERROR(IF(Tbla_actores[[#This Row],[codigo_proyecto]]="","",_xlfn.XLOOKUP(Tbla_actores[[#This Row],[codigo_proyecto]],Proyectos!$A:$A,Proyectos!$C:$C)),"")</f>
        <v>NULOS</v>
      </c>
    </row>
    <row r="2703" spans="1:15">
      <c r="A2703" s="10">
        <v>1001185673</v>
      </c>
      <c r="B2703" s="64" t="s">
        <v>61</v>
      </c>
      <c r="C2703" s="62" t="s">
        <v>7900</v>
      </c>
      <c r="D2703" t="s">
        <v>63</v>
      </c>
      <c r="E2703" t="s">
        <v>8113</v>
      </c>
      <c r="F2703" s="61">
        <v>37544</v>
      </c>
      <c r="G2703" s="15" t="s">
        <v>73</v>
      </c>
      <c r="H2703" t="s">
        <v>8114</v>
      </c>
      <c r="I2703" s="62" t="s">
        <v>8115</v>
      </c>
      <c r="K2703" s="36" t="s">
        <v>169</v>
      </c>
      <c r="L2703" t="s">
        <v>69</v>
      </c>
      <c r="M2703" s="62" t="s">
        <v>170</v>
      </c>
      <c r="N2703" t="s">
        <v>71</v>
      </c>
      <c r="O2703" t="str">
        <f>IFERROR(IF(Tbla_actores[[#This Row],[codigo_proyecto]]="","",_xlfn.XLOOKUP(Tbla_actores[[#This Row],[codigo_proyecto]],Proyectos!$A:$A,Proyectos!$C:$C)),"")</f>
        <v>NULOS</v>
      </c>
    </row>
    <row r="2704" spans="1:15">
      <c r="A2704" s="9">
        <v>1021512622</v>
      </c>
      <c r="B2704" s="63" t="s">
        <v>61</v>
      </c>
      <c r="C2704" s="62" t="s">
        <v>7900</v>
      </c>
      <c r="D2704" t="s">
        <v>63</v>
      </c>
      <c r="E2704" t="s">
        <v>8116</v>
      </c>
      <c r="F2704" s="61">
        <v>38310</v>
      </c>
      <c r="G2704" s="15" t="s">
        <v>65</v>
      </c>
      <c r="H2704" t="s">
        <v>8117</v>
      </c>
      <c r="I2704" s="62" t="s">
        <v>8118</v>
      </c>
      <c r="K2704" s="36" t="s">
        <v>169</v>
      </c>
      <c r="L2704" t="s">
        <v>69</v>
      </c>
      <c r="M2704" s="62" t="s">
        <v>170</v>
      </c>
      <c r="N2704" t="s">
        <v>71</v>
      </c>
      <c r="O2704" t="str">
        <f>IFERROR(IF(Tbla_actores[[#This Row],[codigo_proyecto]]="","",_xlfn.XLOOKUP(Tbla_actores[[#This Row],[codigo_proyecto]],Proyectos!$A:$A,Proyectos!$C:$C)),"")</f>
        <v>NULOS</v>
      </c>
    </row>
    <row r="2705" spans="1:15">
      <c r="A2705" s="10">
        <v>1014978412</v>
      </c>
      <c r="B2705" s="64" t="s">
        <v>61</v>
      </c>
      <c r="C2705" s="62" t="s">
        <v>7900</v>
      </c>
      <c r="D2705" t="s">
        <v>63</v>
      </c>
      <c r="E2705" t="s">
        <v>8119</v>
      </c>
      <c r="F2705" s="61">
        <v>38446</v>
      </c>
      <c r="G2705" s="15" t="s">
        <v>65</v>
      </c>
      <c r="H2705" t="s">
        <v>8120</v>
      </c>
      <c r="I2705" s="62" t="s">
        <v>8121</v>
      </c>
      <c r="K2705" s="36" t="s">
        <v>169</v>
      </c>
      <c r="L2705" t="s">
        <v>69</v>
      </c>
      <c r="M2705" s="62" t="s">
        <v>170</v>
      </c>
      <c r="N2705" t="s">
        <v>71</v>
      </c>
      <c r="O2705" t="str">
        <f>IFERROR(IF(Tbla_actores[[#This Row],[codigo_proyecto]]="","",_xlfn.XLOOKUP(Tbla_actores[[#This Row],[codigo_proyecto]],Proyectos!$A:$A,Proyectos!$C:$C)),"")</f>
        <v>NULOS</v>
      </c>
    </row>
    <row r="2706" spans="1:15">
      <c r="A2706" s="9">
        <v>1034656124</v>
      </c>
      <c r="B2706" s="63" t="s">
        <v>61</v>
      </c>
      <c r="C2706" s="62" t="s">
        <v>7900</v>
      </c>
      <c r="D2706" t="s">
        <v>63</v>
      </c>
      <c r="E2706" t="s">
        <v>8122</v>
      </c>
      <c r="F2706" s="61">
        <v>37971</v>
      </c>
      <c r="G2706" s="15" t="s">
        <v>73</v>
      </c>
      <c r="H2706" t="s">
        <v>8123</v>
      </c>
      <c r="I2706" s="62" t="s">
        <v>8124</v>
      </c>
      <c r="K2706" s="36" t="s">
        <v>6427</v>
      </c>
      <c r="L2706" t="s">
        <v>69</v>
      </c>
      <c r="M2706" s="62" t="s">
        <v>70</v>
      </c>
      <c r="N2706" t="s">
        <v>71</v>
      </c>
      <c r="O2706" t="str">
        <f>IFERROR(IF(Tbla_actores[[#This Row],[codigo_proyecto]]="","",_xlfn.XLOOKUP(Tbla_actores[[#This Row],[codigo_proyecto]],Proyectos!$A:$A,Proyectos!$C:$C)),"")</f>
        <v>NULOS</v>
      </c>
    </row>
    <row r="2707" spans="1:15">
      <c r="A2707" s="10">
        <v>1032936396</v>
      </c>
      <c r="B2707" s="64" t="s">
        <v>61</v>
      </c>
      <c r="C2707" s="62" t="s">
        <v>7900</v>
      </c>
      <c r="D2707" t="s">
        <v>63</v>
      </c>
      <c r="E2707" t="s">
        <v>8125</v>
      </c>
      <c r="F2707" s="61">
        <v>38021</v>
      </c>
      <c r="G2707" s="15" t="s">
        <v>65</v>
      </c>
      <c r="H2707" t="s">
        <v>8126</v>
      </c>
      <c r="I2707" s="62" t="s">
        <v>8127</v>
      </c>
      <c r="K2707" s="36" t="s">
        <v>6427</v>
      </c>
      <c r="L2707" t="s">
        <v>69</v>
      </c>
      <c r="M2707" s="62" t="s">
        <v>70</v>
      </c>
      <c r="N2707" t="s">
        <v>71</v>
      </c>
      <c r="O2707" t="str">
        <f>IFERROR(IF(Tbla_actores[[#This Row],[codigo_proyecto]]="","",_xlfn.XLOOKUP(Tbla_actores[[#This Row],[codigo_proyecto]],Proyectos!$A:$A,Proyectos!$C:$C)),"")</f>
        <v>NULOS</v>
      </c>
    </row>
    <row r="2708" spans="1:15">
      <c r="A2708" s="9">
        <v>1014737360</v>
      </c>
      <c r="B2708" s="63" t="s">
        <v>61</v>
      </c>
      <c r="C2708" s="62" t="s">
        <v>7900</v>
      </c>
      <c r="D2708" t="s">
        <v>63</v>
      </c>
      <c r="E2708" t="s">
        <v>8128</v>
      </c>
      <c r="F2708" s="61">
        <v>38234</v>
      </c>
      <c r="G2708" s="15" t="s">
        <v>73</v>
      </c>
      <c r="H2708" t="s">
        <v>8129</v>
      </c>
      <c r="I2708" s="62" t="s">
        <v>8130</v>
      </c>
      <c r="K2708" s="36" t="s">
        <v>169</v>
      </c>
      <c r="L2708" t="s">
        <v>69</v>
      </c>
      <c r="M2708" s="62" t="s">
        <v>170</v>
      </c>
      <c r="N2708" t="s">
        <v>71</v>
      </c>
      <c r="O2708" t="str">
        <f>IFERROR(IF(Tbla_actores[[#This Row],[codigo_proyecto]]="","",_xlfn.XLOOKUP(Tbla_actores[[#This Row],[codigo_proyecto]],Proyectos!$A:$A,Proyectos!$C:$C)),"")</f>
        <v>NULOS</v>
      </c>
    </row>
    <row r="2709" spans="1:15">
      <c r="A2709" s="10">
        <v>1000380468</v>
      </c>
      <c r="B2709" s="64" t="s">
        <v>61</v>
      </c>
      <c r="C2709" s="62" t="s">
        <v>7900</v>
      </c>
      <c r="D2709" t="s">
        <v>63</v>
      </c>
      <c r="E2709" t="s">
        <v>8131</v>
      </c>
      <c r="F2709" s="61">
        <v>37894</v>
      </c>
      <c r="G2709" s="15" t="s">
        <v>73</v>
      </c>
      <c r="H2709" t="s">
        <v>8132</v>
      </c>
      <c r="I2709" s="62" t="s">
        <v>8133</v>
      </c>
      <c r="K2709" s="36" t="s">
        <v>169</v>
      </c>
      <c r="L2709" t="s">
        <v>69</v>
      </c>
      <c r="M2709" s="62" t="s">
        <v>170</v>
      </c>
      <c r="N2709" t="s">
        <v>71</v>
      </c>
      <c r="O2709" t="str">
        <f>IFERROR(IF(Tbla_actores[[#This Row],[codigo_proyecto]]="","",_xlfn.XLOOKUP(Tbla_actores[[#This Row],[codigo_proyecto]],Proyectos!$A:$A,Proyectos!$C:$C)),"")</f>
        <v>NULOS</v>
      </c>
    </row>
    <row r="2710" spans="1:15">
      <c r="A2710" s="9">
        <v>1001186103</v>
      </c>
      <c r="B2710" s="63" t="s">
        <v>61</v>
      </c>
      <c r="C2710" s="62" t="s">
        <v>7900</v>
      </c>
      <c r="D2710" t="s">
        <v>63</v>
      </c>
      <c r="E2710" t="s">
        <v>8134</v>
      </c>
      <c r="F2710" s="61">
        <v>37786</v>
      </c>
      <c r="G2710" s="15" t="s">
        <v>65</v>
      </c>
      <c r="H2710" t="s">
        <v>8135</v>
      </c>
      <c r="I2710" s="62" t="s">
        <v>8136</v>
      </c>
      <c r="K2710" s="36" t="s">
        <v>6427</v>
      </c>
      <c r="L2710" t="s">
        <v>69</v>
      </c>
      <c r="M2710" s="62" t="s">
        <v>70</v>
      </c>
      <c r="N2710" t="s">
        <v>71</v>
      </c>
      <c r="O2710" t="str">
        <f>IFERROR(IF(Tbla_actores[[#This Row],[codigo_proyecto]]="","",_xlfn.XLOOKUP(Tbla_actores[[#This Row],[codigo_proyecto]],Proyectos!$A:$A,Proyectos!$C:$C)),"")</f>
        <v>NULOS</v>
      </c>
    </row>
    <row r="2711" spans="1:15">
      <c r="A2711" s="10">
        <v>1127613774</v>
      </c>
      <c r="B2711" s="64" t="s">
        <v>61</v>
      </c>
      <c r="C2711" s="62" t="s">
        <v>7900</v>
      </c>
      <c r="D2711" t="s">
        <v>63</v>
      </c>
      <c r="E2711" t="s">
        <v>8137</v>
      </c>
      <c r="F2711" s="61">
        <v>37944</v>
      </c>
      <c r="G2711" s="15" t="s">
        <v>73</v>
      </c>
      <c r="H2711" t="s">
        <v>8138</v>
      </c>
      <c r="I2711" s="62" t="s">
        <v>8139</v>
      </c>
      <c r="K2711" s="36" t="s">
        <v>68</v>
      </c>
      <c r="L2711" t="s">
        <v>69</v>
      </c>
      <c r="M2711" s="62" t="s">
        <v>70</v>
      </c>
      <c r="N2711" t="s">
        <v>71</v>
      </c>
      <c r="O2711" t="str">
        <f>IFERROR(IF(Tbla_actores[[#This Row],[codigo_proyecto]]="","",_xlfn.XLOOKUP(Tbla_actores[[#This Row],[codigo_proyecto]],Proyectos!$A:$A,Proyectos!$C:$C)),"")</f>
        <v>NULOS</v>
      </c>
    </row>
    <row r="2712" spans="1:15">
      <c r="A2712" s="9">
        <v>1001301315</v>
      </c>
      <c r="B2712" s="63" t="s">
        <v>61</v>
      </c>
      <c r="C2712" s="62" t="s">
        <v>7900</v>
      </c>
      <c r="D2712" t="s">
        <v>63</v>
      </c>
      <c r="E2712" t="s">
        <v>8140</v>
      </c>
      <c r="F2712" s="61">
        <v>37860</v>
      </c>
      <c r="G2712" s="15" t="s">
        <v>73</v>
      </c>
      <c r="H2712" t="s">
        <v>8141</v>
      </c>
      <c r="I2712" s="62" t="s">
        <v>8142</v>
      </c>
      <c r="K2712" s="36" t="s">
        <v>68</v>
      </c>
      <c r="L2712" t="s">
        <v>69</v>
      </c>
      <c r="M2712" s="62" t="s">
        <v>70</v>
      </c>
      <c r="N2712" t="s">
        <v>71</v>
      </c>
      <c r="O2712" t="str">
        <f>IFERROR(IF(Tbla_actores[[#This Row],[codigo_proyecto]]="","",_xlfn.XLOOKUP(Tbla_actores[[#This Row],[codigo_proyecto]],Proyectos!$A:$A,Proyectos!$C:$C)),"")</f>
        <v>NULOS</v>
      </c>
    </row>
    <row r="2713" spans="1:15">
      <c r="A2713" s="10">
        <v>1000944514</v>
      </c>
      <c r="B2713" s="64" t="s">
        <v>61</v>
      </c>
      <c r="C2713" s="62" t="s">
        <v>7900</v>
      </c>
      <c r="D2713" t="s">
        <v>63</v>
      </c>
      <c r="E2713" t="s">
        <v>8143</v>
      </c>
      <c r="F2713" s="61">
        <v>37797</v>
      </c>
      <c r="G2713" s="15" t="s">
        <v>73</v>
      </c>
      <c r="H2713" t="s">
        <v>8144</v>
      </c>
      <c r="I2713" s="62" t="s">
        <v>8145</v>
      </c>
      <c r="K2713" s="36" t="s">
        <v>68</v>
      </c>
      <c r="L2713" t="s">
        <v>69</v>
      </c>
      <c r="M2713" s="62" t="s">
        <v>70</v>
      </c>
      <c r="N2713" t="s">
        <v>71</v>
      </c>
      <c r="O2713" t="str">
        <f>IFERROR(IF(Tbla_actores[[#This Row],[codigo_proyecto]]="","",_xlfn.XLOOKUP(Tbla_actores[[#This Row],[codigo_proyecto]],Proyectos!$A:$A,Proyectos!$C:$C)),"")</f>
        <v>NULOS</v>
      </c>
    </row>
    <row r="2714" spans="1:15">
      <c r="A2714" s="9">
        <v>1000076540</v>
      </c>
      <c r="B2714" s="63" t="s">
        <v>61</v>
      </c>
      <c r="C2714" s="62" t="s">
        <v>7900</v>
      </c>
      <c r="D2714" t="s">
        <v>63</v>
      </c>
      <c r="E2714" t="s">
        <v>8146</v>
      </c>
      <c r="F2714" s="61">
        <v>36771</v>
      </c>
      <c r="G2714" s="15" t="s">
        <v>73</v>
      </c>
      <c r="H2714" t="s">
        <v>8147</v>
      </c>
      <c r="I2714" s="62" t="s">
        <v>8148</v>
      </c>
      <c r="K2714" s="36" t="s">
        <v>68</v>
      </c>
      <c r="L2714" t="s">
        <v>69</v>
      </c>
      <c r="M2714" s="62" t="s">
        <v>70</v>
      </c>
      <c r="N2714" t="s">
        <v>71</v>
      </c>
      <c r="O2714" t="str">
        <f>IFERROR(IF(Tbla_actores[[#This Row],[codigo_proyecto]]="","",_xlfn.XLOOKUP(Tbla_actores[[#This Row],[codigo_proyecto]],Proyectos!$A:$A,Proyectos!$C:$C)),"")</f>
        <v>NULOS</v>
      </c>
    </row>
    <row r="2715" spans="1:15">
      <c r="A2715" s="10">
        <v>1005026015</v>
      </c>
      <c r="B2715" s="64" t="s">
        <v>61</v>
      </c>
      <c r="C2715" s="62" t="s">
        <v>7900</v>
      </c>
      <c r="D2715" t="s">
        <v>63</v>
      </c>
      <c r="E2715" t="s">
        <v>8149</v>
      </c>
      <c r="F2715" s="61">
        <v>37656</v>
      </c>
      <c r="G2715" s="15" t="s">
        <v>73</v>
      </c>
      <c r="H2715" t="s">
        <v>8150</v>
      </c>
      <c r="I2715" s="62" t="s">
        <v>8151</v>
      </c>
      <c r="K2715" s="36" t="s">
        <v>68</v>
      </c>
      <c r="L2715" t="s">
        <v>69</v>
      </c>
      <c r="M2715" s="62" t="s">
        <v>70</v>
      </c>
      <c r="N2715" t="s">
        <v>71</v>
      </c>
      <c r="O2715" t="str">
        <f>IFERROR(IF(Tbla_actores[[#This Row],[codigo_proyecto]]="","",_xlfn.XLOOKUP(Tbla_actores[[#This Row],[codigo_proyecto]],Proyectos!$A:$A,Proyectos!$C:$C)),"")</f>
        <v>NULOS</v>
      </c>
    </row>
    <row r="2716" spans="1:15">
      <c r="A2716" s="9">
        <v>1000285458</v>
      </c>
      <c r="B2716" s="63" t="s">
        <v>61</v>
      </c>
      <c r="C2716" s="62" t="s">
        <v>7900</v>
      </c>
      <c r="D2716" t="s">
        <v>63</v>
      </c>
      <c r="E2716" t="s">
        <v>8152</v>
      </c>
      <c r="F2716" s="61">
        <v>37850</v>
      </c>
      <c r="G2716" s="15" t="s">
        <v>65</v>
      </c>
      <c r="H2716" t="s">
        <v>8153</v>
      </c>
      <c r="I2716" s="62" t="s">
        <v>8154</v>
      </c>
      <c r="K2716" s="36" t="s">
        <v>1489</v>
      </c>
      <c r="L2716" t="s">
        <v>69</v>
      </c>
      <c r="M2716" s="62" t="s">
        <v>70</v>
      </c>
      <c r="N2716" t="s">
        <v>71</v>
      </c>
      <c r="O2716" t="str">
        <f>IFERROR(IF(Tbla_actores[[#This Row],[codigo_proyecto]]="","",_xlfn.XLOOKUP(Tbla_actores[[#This Row],[codigo_proyecto]],Proyectos!$A:$A,Proyectos!$C:$C)),"")</f>
        <v>NULOS</v>
      </c>
    </row>
    <row r="2717" spans="1:15">
      <c r="A2717" s="10">
        <v>1001202768</v>
      </c>
      <c r="B2717" s="64" t="s">
        <v>61</v>
      </c>
      <c r="C2717" s="62" t="s">
        <v>7900</v>
      </c>
      <c r="D2717" t="s">
        <v>63</v>
      </c>
      <c r="E2717" t="s">
        <v>8155</v>
      </c>
      <c r="F2717" s="61">
        <v>37682</v>
      </c>
      <c r="G2717" s="15" t="s">
        <v>73</v>
      </c>
      <c r="H2717" t="s">
        <v>8156</v>
      </c>
      <c r="I2717" s="62" t="s">
        <v>8157</v>
      </c>
      <c r="K2717" s="36" t="s">
        <v>7284</v>
      </c>
      <c r="L2717" t="s">
        <v>69</v>
      </c>
      <c r="M2717" s="62" t="s">
        <v>70</v>
      </c>
      <c r="N2717" t="s">
        <v>71</v>
      </c>
      <c r="O2717" t="str">
        <f>IFERROR(IF(Tbla_actores[[#This Row],[codigo_proyecto]]="","",_xlfn.XLOOKUP(Tbla_actores[[#This Row],[codigo_proyecto]],Proyectos!$A:$A,Proyectos!$C:$C)),"")</f>
        <v>NULOS</v>
      </c>
    </row>
    <row r="2718" spans="1:15">
      <c r="A2718" s="9">
        <v>1001329441</v>
      </c>
      <c r="B2718" s="63" t="s">
        <v>61</v>
      </c>
      <c r="C2718" s="62" t="s">
        <v>7900</v>
      </c>
      <c r="D2718" t="s">
        <v>63</v>
      </c>
      <c r="E2718" t="s">
        <v>8158</v>
      </c>
      <c r="F2718" s="61">
        <v>37940</v>
      </c>
      <c r="G2718" s="15" t="s">
        <v>73</v>
      </c>
      <c r="H2718" t="s">
        <v>8159</v>
      </c>
      <c r="I2718" s="62" t="s">
        <v>8160</v>
      </c>
      <c r="K2718" s="36" t="s">
        <v>68</v>
      </c>
      <c r="L2718" t="s">
        <v>69</v>
      </c>
      <c r="M2718" s="62" t="s">
        <v>70</v>
      </c>
      <c r="N2718" t="s">
        <v>71</v>
      </c>
      <c r="O2718" t="str">
        <f>IFERROR(IF(Tbla_actores[[#This Row],[codigo_proyecto]]="","",_xlfn.XLOOKUP(Tbla_actores[[#This Row],[codigo_proyecto]],Proyectos!$A:$A,Proyectos!$C:$C)),"")</f>
        <v>NULOS</v>
      </c>
    </row>
    <row r="2719" spans="1:15">
      <c r="A2719" s="10">
        <v>1027150391</v>
      </c>
      <c r="B2719" s="64" t="s">
        <v>61</v>
      </c>
      <c r="C2719" s="62" t="s">
        <v>7900</v>
      </c>
      <c r="D2719" t="s">
        <v>63</v>
      </c>
      <c r="E2719" t="s">
        <v>8161</v>
      </c>
      <c r="F2719" s="61">
        <v>38154</v>
      </c>
      <c r="G2719" s="15" t="s">
        <v>73</v>
      </c>
      <c r="H2719" t="s">
        <v>8162</v>
      </c>
      <c r="I2719" s="62" t="s">
        <v>8163</v>
      </c>
      <c r="K2719" s="36" t="s">
        <v>68</v>
      </c>
      <c r="L2719" t="s">
        <v>69</v>
      </c>
      <c r="M2719" s="62" t="s">
        <v>70</v>
      </c>
      <c r="N2719" t="s">
        <v>71</v>
      </c>
      <c r="O2719" t="str">
        <f>IFERROR(IF(Tbla_actores[[#This Row],[codigo_proyecto]]="","",_xlfn.XLOOKUP(Tbla_actores[[#This Row],[codigo_proyecto]],Proyectos!$A:$A,Proyectos!$C:$C)),"")</f>
        <v>NULOS</v>
      </c>
    </row>
    <row r="2720" spans="1:15">
      <c r="A2720" s="9">
        <v>1027280319</v>
      </c>
      <c r="B2720" s="63" t="s">
        <v>61</v>
      </c>
      <c r="C2720" s="62" t="s">
        <v>7900</v>
      </c>
      <c r="D2720" t="s">
        <v>63</v>
      </c>
      <c r="E2720" t="s">
        <v>8164</v>
      </c>
      <c r="F2720" s="61">
        <v>38041</v>
      </c>
      <c r="G2720" s="15" t="s">
        <v>73</v>
      </c>
      <c r="H2720" t="s">
        <v>8165</v>
      </c>
      <c r="I2720" s="62" t="s">
        <v>8166</v>
      </c>
      <c r="K2720" s="36" t="s">
        <v>169</v>
      </c>
      <c r="L2720" t="s">
        <v>69</v>
      </c>
      <c r="M2720" s="62" t="s">
        <v>170</v>
      </c>
      <c r="N2720" t="s">
        <v>71</v>
      </c>
      <c r="O2720" t="str">
        <f>IFERROR(IF(Tbla_actores[[#This Row],[codigo_proyecto]]="","",_xlfn.XLOOKUP(Tbla_actores[[#This Row],[codigo_proyecto]],Proyectos!$A:$A,Proyectos!$C:$C)),"")</f>
        <v>NULOS</v>
      </c>
    </row>
    <row r="2721" spans="1:15">
      <c r="A2721" s="10">
        <v>1023242003</v>
      </c>
      <c r="B2721" s="64" t="s">
        <v>61</v>
      </c>
      <c r="C2721" s="62" t="s">
        <v>7900</v>
      </c>
      <c r="D2721" t="s">
        <v>63</v>
      </c>
      <c r="E2721" t="s">
        <v>8167</v>
      </c>
      <c r="F2721" s="61">
        <v>37956</v>
      </c>
      <c r="G2721" s="15" t="s">
        <v>73</v>
      </c>
      <c r="H2721" t="s">
        <v>8168</v>
      </c>
      <c r="I2721" s="62" t="s">
        <v>8169</v>
      </c>
      <c r="K2721" s="36" t="s">
        <v>68</v>
      </c>
      <c r="L2721" t="s">
        <v>69</v>
      </c>
      <c r="M2721" s="62" t="s">
        <v>70</v>
      </c>
      <c r="N2721" t="s">
        <v>71</v>
      </c>
      <c r="O2721" t="str">
        <f>IFERROR(IF(Tbla_actores[[#This Row],[codigo_proyecto]]="","",_xlfn.XLOOKUP(Tbla_actores[[#This Row],[codigo_proyecto]],Proyectos!$A:$A,Proyectos!$C:$C)),"")</f>
        <v>NULOS</v>
      </c>
    </row>
    <row r="2722" spans="1:15">
      <c r="A2722" s="9">
        <v>1000408838</v>
      </c>
      <c r="B2722" s="63" t="s">
        <v>61</v>
      </c>
      <c r="C2722" s="62" t="s">
        <v>7900</v>
      </c>
      <c r="D2722" t="s">
        <v>63</v>
      </c>
      <c r="E2722" t="s">
        <v>8170</v>
      </c>
      <c r="F2722" s="61">
        <v>36660</v>
      </c>
      <c r="G2722" s="15" t="s">
        <v>73</v>
      </c>
      <c r="H2722" t="s">
        <v>8171</v>
      </c>
      <c r="I2722" s="62" t="s">
        <v>8172</v>
      </c>
      <c r="K2722" s="36" t="s">
        <v>7284</v>
      </c>
      <c r="L2722" t="s">
        <v>69</v>
      </c>
      <c r="M2722" s="62" t="s">
        <v>70</v>
      </c>
      <c r="N2722" t="s">
        <v>71</v>
      </c>
      <c r="O2722" t="str">
        <f>IFERROR(IF(Tbla_actores[[#This Row],[codigo_proyecto]]="","",_xlfn.XLOOKUP(Tbla_actores[[#This Row],[codigo_proyecto]],Proyectos!$A:$A,Proyectos!$C:$C)),"")</f>
        <v>NULOS</v>
      </c>
    </row>
    <row r="2723" spans="1:15">
      <c r="A2723" s="10">
        <v>1032676149</v>
      </c>
      <c r="B2723" s="64" t="s">
        <v>61</v>
      </c>
      <c r="C2723" s="62" t="s">
        <v>7900</v>
      </c>
      <c r="D2723" t="s">
        <v>63</v>
      </c>
      <c r="E2723" t="s">
        <v>8173</v>
      </c>
      <c r="F2723" s="61">
        <v>37958</v>
      </c>
      <c r="G2723" s="15" t="s">
        <v>73</v>
      </c>
      <c r="H2723" t="s">
        <v>8174</v>
      </c>
      <c r="I2723" s="62" t="s">
        <v>8175</v>
      </c>
      <c r="K2723" s="36" t="s">
        <v>68</v>
      </c>
      <c r="L2723" t="s">
        <v>69</v>
      </c>
      <c r="M2723" s="62" t="s">
        <v>70</v>
      </c>
      <c r="N2723" t="s">
        <v>71</v>
      </c>
      <c r="O2723" t="str">
        <f>IFERROR(IF(Tbla_actores[[#This Row],[codigo_proyecto]]="","",_xlfn.XLOOKUP(Tbla_actores[[#This Row],[codigo_proyecto]],Proyectos!$A:$A,Proyectos!$C:$C)),"")</f>
        <v>NULOS</v>
      </c>
    </row>
    <row r="2724" spans="1:15">
      <c r="A2724" s="9">
        <v>1023082183</v>
      </c>
      <c r="B2724" s="63" t="s">
        <v>61</v>
      </c>
      <c r="C2724" s="62" t="s">
        <v>7900</v>
      </c>
      <c r="D2724" t="s">
        <v>63</v>
      </c>
      <c r="E2724" t="s">
        <v>8176</v>
      </c>
      <c r="F2724" s="61">
        <v>38010</v>
      </c>
      <c r="G2724" s="15" t="s">
        <v>73</v>
      </c>
      <c r="H2724" t="s">
        <v>8177</v>
      </c>
      <c r="I2724" s="62" t="s">
        <v>8178</v>
      </c>
      <c r="K2724" s="36" t="s">
        <v>6427</v>
      </c>
      <c r="L2724" t="s">
        <v>69</v>
      </c>
      <c r="M2724" s="62" t="s">
        <v>70</v>
      </c>
      <c r="N2724" t="s">
        <v>71</v>
      </c>
      <c r="O2724" t="str">
        <f>IFERROR(IF(Tbla_actores[[#This Row],[codigo_proyecto]]="","",_xlfn.XLOOKUP(Tbla_actores[[#This Row],[codigo_proyecto]],Proyectos!$A:$A,Proyectos!$C:$C)),"")</f>
        <v>NULOS</v>
      </c>
    </row>
    <row r="2725" spans="1:15">
      <c r="A2725" s="10">
        <v>1007196594</v>
      </c>
      <c r="B2725" s="64" t="s">
        <v>61</v>
      </c>
      <c r="C2725" s="62" t="s">
        <v>7900</v>
      </c>
      <c r="D2725" t="s">
        <v>63</v>
      </c>
      <c r="E2725" t="s">
        <v>3415</v>
      </c>
      <c r="F2725" s="61">
        <v>36879</v>
      </c>
      <c r="G2725" s="15" t="s">
        <v>73</v>
      </c>
      <c r="H2725" t="s">
        <v>3416</v>
      </c>
      <c r="I2725" s="62" t="s">
        <v>3417</v>
      </c>
      <c r="K2725" s="36" t="s">
        <v>169</v>
      </c>
      <c r="L2725" t="s">
        <v>69</v>
      </c>
      <c r="M2725" s="62" t="s">
        <v>70</v>
      </c>
      <c r="N2725" t="s">
        <v>71</v>
      </c>
      <c r="O2725" t="str">
        <f>IFERROR(IF(Tbla_actores[[#This Row],[codigo_proyecto]]="","",_xlfn.XLOOKUP(Tbla_actores[[#This Row],[codigo_proyecto]],Proyectos!$A:$A,Proyectos!$C:$C)),"")</f>
        <v>NULOS</v>
      </c>
    </row>
    <row r="2726" spans="1:15">
      <c r="A2726" s="9">
        <v>1001317363</v>
      </c>
      <c r="B2726" s="63" t="s">
        <v>61</v>
      </c>
      <c r="C2726" s="62" t="s">
        <v>7900</v>
      </c>
      <c r="D2726" t="s">
        <v>63</v>
      </c>
      <c r="E2726" t="s">
        <v>8179</v>
      </c>
      <c r="F2726" s="61">
        <v>37825</v>
      </c>
      <c r="G2726" s="15" t="s">
        <v>73</v>
      </c>
      <c r="H2726" t="s">
        <v>8180</v>
      </c>
      <c r="I2726" s="62" t="s">
        <v>8181</v>
      </c>
      <c r="K2726" s="36" t="s">
        <v>6427</v>
      </c>
      <c r="L2726" t="s">
        <v>69</v>
      </c>
      <c r="M2726" s="62" t="s">
        <v>70</v>
      </c>
      <c r="N2726" t="s">
        <v>71</v>
      </c>
      <c r="O2726" t="str">
        <f>IFERROR(IF(Tbla_actores[[#This Row],[codigo_proyecto]]="","",_xlfn.XLOOKUP(Tbla_actores[[#This Row],[codigo_proyecto]],Proyectos!$A:$A,Proyectos!$C:$C)),"")</f>
        <v>NULOS</v>
      </c>
    </row>
    <row r="2727" spans="1:15">
      <c r="A2727" s="10">
        <v>1235045293</v>
      </c>
      <c r="B2727" s="64" t="s">
        <v>61</v>
      </c>
      <c r="C2727" s="62" t="s">
        <v>7900</v>
      </c>
      <c r="D2727" t="s">
        <v>63</v>
      </c>
      <c r="E2727" t="s">
        <v>8182</v>
      </c>
      <c r="F2727" s="61">
        <v>36390</v>
      </c>
      <c r="G2727" s="15" t="s">
        <v>73</v>
      </c>
      <c r="H2727" t="s">
        <v>8183</v>
      </c>
      <c r="I2727" s="62" t="s">
        <v>8184</v>
      </c>
      <c r="K2727" s="36" t="s">
        <v>68</v>
      </c>
      <c r="L2727" t="s">
        <v>69</v>
      </c>
      <c r="M2727" s="62" t="s">
        <v>70</v>
      </c>
      <c r="N2727" t="s">
        <v>71</v>
      </c>
      <c r="O2727" t="str">
        <f>IFERROR(IF(Tbla_actores[[#This Row],[codigo_proyecto]]="","",_xlfn.XLOOKUP(Tbla_actores[[#This Row],[codigo_proyecto]],Proyectos!$A:$A,Proyectos!$C:$C)),"")</f>
        <v>NULOS</v>
      </c>
    </row>
    <row r="2728" spans="1:15">
      <c r="A2728" s="9">
        <v>1006555472</v>
      </c>
      <c r="B2728" s="63" t="s">
        <v>61</v>
      </c>
      <c r="C2728" s="62" t="s">
        <v>7900</v>
      </c>
      <c r="D2728" t="s">
        <v>63</v>
      </c>
      <c r="E2728" t="s">
        <v>8185</v>
      </c>
      <c r="F2728" s="61">
        <v>37533</v>
      </c>
      <c r="G2728" s="15" t="s">
        <v>65</v>
      </c>
      <c r="H2728" t="s">
        <v>8186</v>
      </c>
      <c r="I2728" s="62" t="s">
        <v>8187</v>
      </c>
      <c r="K2728" s="36" t="s">
        <v>68</v>
      </c>
      <c r="L2728" t="s">
        <v>69</v>
      </c>
      <c r="M2728" s="62" t="s">
        <v>70</v>
      </c>
      <c r="N2728" t="s">
        <v>71</v>
      </c>
      <c r="O2728" t="str">
        <f>IFERROR(IF(Tbla_actores[[#This Row],[codigo_proyecto]]="","",_xlfn.XLOOKUP(Tbla_actores[[#This Row],[codigo_proyecto]],Proyectos!$A:$A,Proyectos!$C:$C)),"")</f>
        <v>NULOS</v>
      </c>
    </row>
    <row r="2729" spans="1:15">
      <c r="A2729" s="10">
        <v>1001094126</v>
      </c>
      <c r="B2729" s="64" t="s">
        <v>61</v>
      </c>
      <c r="C2729" s="62" t="s">
        <v>7900</v>
      </c>
      <c r="D2729" t="s">
        <v>63</v>
      </c>
      <c r="E2729" t="s">
        <v>8188</v>
      </c>
      <c r="F2729" s="61">
        <v>37503</v>
      </c>
      <c r="G2729" s="15" t="s">
        <v>65</v>
      </c>
      <c r="H2729" t="s">
        <v>8189</v>
      </c>
      <c r="I2729" s="62" t="s">
        <v>8190</v>
      </c>
      <c r="K2729" s="36" t="s">
        <v>68</v>
      </c>
      <c r="L2729" t="s">
        <v>69</v>
      </c>
      <c r="M2729" s="62" t="s">
        <v>70</v>
      </c>
      <c r="N2729" t="s">
        <v>71</v>
      </c>
      <c r="O2729" t="str">
        <f>IFERROR(IF(Tbla_actores[[#This Row],[codigo_proyecto]]="","",_xlfn.XLOOKUP(Tbla_actores[[#This Row],[codigo_proyecto]],Proyectos!$A:$A,Proyectos!$C:$C)),"")</f>
        <v>NULOS</v>
      </c>
    </row>
    <row r="2730" spans="1:15">
      <c r="A2730" s="9">
        <v>1000729441</v>
      </c>
      <c r="B2730" s="63" t="s">
        <v>61</v>
      </c>
      <c r="C2730" s="62" t="s">
        <v>7900</v>
      </c>
      <c r="D2730" t="s">
        <v>63</v>
      </c>
      <c r="E2730" t="s">
        <v>8191</v>
      </c>
      <c r="F2730" s="61">
        <v>37386</v>
      </c>
      <c r="G2730" s="15" t="s">
        <v>73</v>
      </c>
      <c r="H2730" t="s">
        <v>8192</v>
      </c>
      <c r="I2730" s="62" t="s">
        <v>8193</v>
      </c>
      <c r="K2730" s="36" t="s">
        <v>68</v>
      </c>
      <c r="L2730" t="s">
        <v>69</v>
      </c>
      <c r="M2730" s="62" t="s">
        <v>70</v>
      </c>
      <c r="N2730" t="s">
        <v>71</v>
      </c>
      <c r="O2730" t="str">
        <f>IFERROR(IF(Tbla_actores[[#This Row],[codigo_proyecto]]="","",_xlfn.XLOOKUP(Tbla_actores[[#This Row],[codigo_proyecto]],Proyectos!$A:$A,Proyectos!$C:$C)),"")</f>
        <v>NULOS</v>
      </c>
    </row>
    <row r="2731" spans="1:15">
      <c r="A2731" s="10">
        <v>1000706814</v>
      </c>
      <c r="B2731" s="64" t="s">
        <v>61</v>
      </c>
      <c r="C2731" s="62" t="s">
        <v>7900</v>
      </c>
      <c r="D2731" t="s">
        <v>63</v>
      </c>
      <c r="E2731" t="s">
        <v>8194</v>
      </c>
      <c r="F2731" s="61">
        <v>37594</v>
      </c>
      <c r="G2731" s="15" t="s">
        <v>65</v>
      </c>
      <c r="H2731" t="s">
        <v>8195</v>
      </c>
      <c r="I2731" s="62" t="s">
        <v>8196</v>
      </c>
      <c r="K2731" s="36" t="s">
        <v>68</v>
      </c>
      <c r="L2731" t="s">
        <v>69</v>
      </c>
      <c r="M2731" s="62" t="s">
        <v>70</v>
      </c>
      <c r="N2731" t="s">
        <v>71</v>
      </c>
      <c r="O2731" t="str">
        <f>IFERROR(IF(Tbla_actores[[#This Row],[codigo_proyecto]]="","",_xlfn.XLOOKUP(Tbla_actores[[#This Row],[codigo_proyecto]],Proyectos!$A:$A,Proyectos!$C:$C)),"")</f>
        <v>NULOS</v>
      </c>
    </row>
    <row r="2732" spans="1:15">
      <c r="A2732" s="9">
        <v>1001066858</v>
      </c>
      <c r="B2732" s="63" t="s">
        <v>61</v>
      </c>
      <c r="C2732" s="62" t="s">
        <v>7900</v>
      </c>
      <c r="D2732" t="s">
        <v>63</v>
      </c>
      <c r="E2732" t="s">
        <v>8197</v>
      </c>
      <c r="F2732" s="61">
        <v>37751</v>
      </c>
      <c r="G2732" s="15" t="s">
        <v>73</v>
      </c>
      <c r="H2732" t="s">
        <v>8198</v>
      </c>
      <c r="I2732" s="62" t="s">
        <v>8199</v>
      </c>
      <c r="K2732" s="36" t="s">
        <v>68</v>
      </c>
      <c r="L2732" t="s">
        <v>69</v>
      </c>
      <c r="M2732" s="62" t="s">
        <v>70</v>
      </c>
      <c r="N2732" t="s">
        <v>71</v>
      </c>
      <c r="O2732" t="str">
        <f>IFERROR(IF(Tbla_actores[[#This Row],[codigo_proyecto]]="","",_xlfn.XLOOKUP(Tbla_actores[[#This Row],[codigo_proyecto]],Proyectos!$A:$A,Proyectos!$C:$C)),"")</f>
        <v>NULOS</v>
      </c>
    </row>
    <row r="2733" spans="1:15">
      <c r="A2733" s="10">
        <v>1027150313</v>
      </c>
      <c r="B2733" s="64" t="s">
        <v>61</v>
      </c>
      <c r="C2733" s="62" t="s">
        <v>7900</v>
      </c>
      <c r="D2733" t="s">
        <v>63</v>
      </c>
      <c r="E2733" t="s">
        <v>8200</v>
      </c>
      <c r="F2733" s="61">
        <v>38118</v>
      </c>
      <c r="G2733" s="15" t="s">
        <v>73</v>
      </c>
      <c r="H2733" t="s">
        <v>8201</v>
      </c>
      <c r="I2733" s="62" t="s">
        <v>8202</v>
      </c>
      <c r="K2733" s="36" t="s">
        <v>68</v>
      </c>
      <c r="L2733" t="s">
        <v>69</v>
      </c>
      <c r="M2733" s="62" t="s">
        <v>70</v>
      </c>
      <c r="N2733" t="s">
        <v>71</v>
      </c>
      <c r="O2733" t="str">
        <f>IFERROR(IF(Tbla_actores[[#This Row],[codigo_proyecto]]="","",_xlfn.XLOOKUP(Tbla_actores[[#This Row],[codigo_proyecto]],Proyectos!$A:$A,Proyectos!$C:$C)),"")</f>
        <v>NULOS</v>
      </c>
    </row>
    <row r="2734" spans="1:15">
      <c r="A2734" s="9">
        <v>1025320026</v>
      </c>
      <c r="B2734" s="63" t="s">
        <v>61</v>
      </c>
      <c r="C2734" s="62" t="s">
        <v>7900</v>
      </c>
      <c r="D2734" t="s">
        <v>63</v>
      </c>
      <c r="E2734" t="s">
        <v>8203</v>
      </c>
      <c r="F2734" s="61">
        <v>37953</v>
      </c>
      <c r="G2734" s="15" t="s">
        <v>65</v>
      </c>
      <c r="H2734" t="s">
        <v>8204</v>
      </c>
      <c r="I2734" s="62" t="s">
        <v>8205</v>
      </c>
      <c r="K2734" s="36" t="s">
        <v>68</v>
      </c>
      <c r="L2734" t="s">
        <v>69</v>
      </c>
      <c r="M2734" s="62" t="s">
        <v>70</v>
      </c>
      <c r="N2734" t="s">
        <v>71</v>
      </c>
      <c r="O2734" t="str">
        <f>IFERROR(IF(Tbla_actores[[#This Row],[codigo_proyecto]]="","",_xlfn.XLOOKUP(Tbla_actores[[#This Row],[codigo_proyecto]],Proyectos!$A:$A,Proyectos!$C:$C)),"")</f>
        <v>NULOS</v>
      </c>
    </row>
    <row r="2735" spans="1:15">
      <c r="A2735" s="10">
        <v>1000612796</v>
      </c>
      <c r="B2735" s="64" t="s">
        <v>61</v>
      </c>
      <c r="C2735" s="62" t="s">
        <v>7900</v>
      </c>
      <c r="D2735" t="s">
        <v>63</v>
      </c>
      <c r="E2735" t="s">
        <v>8206</v>
      </c>
      <c r="F2735" s="61">
        <v>37791</v>
      </c>
      <c r="G2735" s="15" t="s">
        <v>73</v>
      </c>
      <c r="H2735" t="s">
        <v>8207</v>
      </c>
      <c r="I2735" s="62" t="s">
        <v>8208</v>
      </c>
      <c r="K2735" s="36" t="s">
        <v>68</v>
      </c>
      <c r="L2735" t="s">
        <v>69</v>
      </c>
      <c r="M2735" s="62" t="s">
        <v>70</v>
      </c>
      <c r="N2735" t="s">
        <v>71</v>
      </c>
      <c r="O2735" t="str">
        <f>IFERROR(IF(Tbla_actores[[#This Row],[codigo_proyecto]]="","",_xlfn.XLOOKUP(Tbla_actores[[#This Row],[codigo_proyecto]],Proyectos!$A:$A,Proyectos!$C:$C)),"")</f>
        <v>NULOS</v>
      </c>
    </row>
    <row r="2736" spans="1:15">
      <c r="A2736" s="9">
        <v>1001298924</v>
      </c>
      <c r="B2736" s="63" t="s">
        <v>61</v>
      </c>
      <c r="C2736" s="62" t="s">
        <v>7900</v>
      </c>
      <c r="D2736" t="s">
        <v>63</v>
      </c>
      <c r="E2736" t="s">
        <v>8209</v>
      </c>
      <c r="F2736" s="61">
        <v>37385</v>
      </c>
      <c r="G2736" s="15" t="s">
        <v>73</v>
      </c>
      <c r="H2736" t="s">
        <v>8210</v>
      </c>
      <c r="I2736" s="62" t="s">
        <v>8211</v>
      </c>
      <c r="K2736" s="36" t="s">
        <v>68</v>
      </c>
      <c r="L2736" t="s">
        <v>69</v>
      </c>
      <c r="M2736" s="62" t="s">
        <v>70</v>
      </c>
      <c r="N2736" t="s">
        <v>71</v>
      </c>
      <c r="O2736" t="str">
        <f>IFERROR(IF(Tbla_actores[[#This Row],[codigo_proyecto]]="","",_xlfn.XLOOKUP(Tbla_actores[[#This Row],[codigo_proyecto]],Proyectos!$A:$A,Proyectos!$C:$C)),"")</f>
        <v>NULOS</v>
      </c>
    </row>
    <row r="2737" spans="1:15">
      <c r="A2737" s="10">
        <v>1001193576</v>
      </c>
      <c r="B2737" s="64" t="s">
        <v>61</v>
      </c>
      <c r="C2737" s="62" t="s">
        <v>7900</v>
      </c>
      <c r="D2737" t="s">
        <v>63</v>
      </c>
      <c r="E2737" t="s">
        <v>8212</v>
      </c>
      <c r="F2737" s="61">
        <v>37659</v>
      </c>
      <c r="G2737" s="15" t="s">
        <v>73</v>
      </c>
      <c r="H2737" t="s">
        <v>8213</v>
      </c>
      <c r="I2737" s="62" t="s">
        <v>8214</v>
      </c>
      <c r="K2737" s="36" t="s">
        <v>68</v>
      </c>
      <c r="L2737" t="s">
        <v>69</v>
      </c>
      <c r="M2737" s="62" t="s">
        <v>70</v>
      </c>
      <c r="N2737" t="s">
        <v>71</v>
      </c>
      <c r="O2737" t="str">
        <f>IFERROR(IF(Tbla_actores[[#This Row],[codigo_proyecto]]="","",_xlfn.XLOOKUP(Tbla_actores[[#This Row],[codigo_proyecto]],Proyectos!$A:$A,Proyectos!$C:$C)),"")</f>
        <v>NULOS</v>
      </c>
    </row>
    <row r="2738" spans="1:15">
      <c r="A2738" s="9">
        <v>1001344987</v>
      </c>
      <c r="B2738" s="63" t="s">
        <v>61</v>
      </c>
      <c r="C2738" s="62" t="s">
        <v>7900</v>
      </c>
      <c r="D2738" t="s">
        <v>63</v>
      </c>
      <c r="E2738" t="s">
        <v>8215</v>
      </c>
      <c r="F2738" s="61">
        <v>37452</v>
      </c>
      <c r="G2738" s="15" t="s">
        <v>65</v>
      </c>
      <c r="H2738" t="s">
        <v>8216</v>
      </c>
      <c r="I2738" s="62" t="s">
        <v>8217</v>
      </c>
      <c r="K2738" s="36" t="s">
        <v>68</v>
      </c>
      <c r="L2738" t="s">
        <v>69</v>
      </c>
      <c r="M2738" s="62" t="s">
        <v>70</v>
      </c>
      <c r="N2738" t="s">
        <v>71</v>
      </c>
      <c r="O2738" t="str">
        <f>IFERROR(IF(Tbla_actores[[#This Row],[codigo_proyecto]]="","",_xlfn.XLOOKUP(Tbla_actores[[#This Row],[codigo_proyecto]],Proyectos!$A:$A,Proyectos!$C:$C)),"")</f>
        <v>NULOS</v>
      </c>
    </row>
    <row r="2739" spans="1:15">
      <c r="A2739" s="10">
        <v>1006557837</v>
      </c>
      <c r="B2739" s="64" t="s">
        <v>61</v>
      </c>
      <c r="C2739" s="62" t="s">
        <v>7900</v>
      </c>
      <c r="D2739" t="s">
        <v>63</v>
      </c>
      <c r="E2739" t="s">
        <v>8218</v>
      </c>
      <c r="F2739" s="61">
        <v>37911</v>
      </c>
      <c r="G2739" s="15" t="s">
        <v>73</v>
      </c>
      <c r="H2739" t="s">
        <v>8219</v>
      </c>
      <c r="I2739" s="62" t="s">
        <v>8220</v>
      </c>
      <c r="K2739" s="36" t="s">
        <v>68</v>
      </c>
      <c r="L2739" t="s">
        <v>69</v>
      </c>
      <c r="M2739" s="62" t="s">
        <v>70</v>
      </c>
      <c r="N2739" t="s">
        <v>71</v>
      </c>
      <c r="O2739" t="str">
        <f>IFERROR(IF(Tbla_actores[[#This Row],[codigo_proyecto]]="","",_xlfn.XLOOKUP(Tbla_actores[[#This Row],[codigo_proyecto]],Proyectos!$A:$A,Proyectos!$C:$C)),"")</f>
        <v>NULOS</v>
      </c>
    </row>
    <row r="2740" spans="1:15">
      <c r="A2740" s="9">
        <v>1034300384</v>
      </c>
      <c r="B2740" s="63" t="s">
        <v>61</v>
      </c>
      <c r="C2740" s="62" t="s">
        <v>7900</v>
      </c>
      <c r="D2740" t="s">
        <v>63</v>
      </c>
      <c r="E2740" t="s">
        <v>8221</v>
      </c>
      <c r="F2740" s="61">
        <v>37592</v>
      </c>
      <c r="G2740" s="15" t="s">
        <v>73</v>
      </c>
      <c r="H2740" t="s">
        <v>8222</v>
      </c>
      <c r="I2740" s="62" t="s">
        <v>8223</v>
      </c>
      <c r="K2740" s="36" t="s">
        <v>68</v>
      </c>
      <c r="L2740" t="s">
        <v>69</v>
      </c>
      <c r="M2740" s="62" t="s">
        <v>70</v>
      </c>
      <c r="N2740" t="s">
        <v>71</v>
      </c>
      <c r="O2740" t="str">
        <f>IFERROR(IF(Tbla_actores[[#This Row],[codigo_proyecto]]="","",_xlfn.XLOOKUP(Tbla_actores[[#This Row],[codigo_proyecto]],Proyectos!$A:$A,Proyectos!$C:$C)),"")</f>
        <v>NULOS</v>
      </c>
    </row>
    <row r="2741" spans="1:15">
      <c r="A2741" s="10">
        <v>1034276898</v>
      </c>
      <c r="B2741" s="64" t="s">
        <v>61</v>
      </c>
      <c r="C2741" s="62" t="s">
        <v>7900</v>
      </c>
      <c r="D2741" t="s">
        <v>63</v>
      </c>
      <c r="E2741" t="s">
        <v>8224</v>
      </c>
      <c r="F2741" s="61">
        <v>38051</v>
      </c>
      <c r="G2741" s="15" t="s">
        <v>73</v>
      </c>
      <c r="H2741" t="s">
        <v>8225</v>
      </c>
      <c r="I2741" s="62" t="s">
        <v>8226</v>
      </c>
      <c r="K2741" s="36" t="s">
        <v>68</v>
      </c>
      <c r="L2741" t="s">
        <v>69</v>
      </c>
      <c r="M2741" s="62" t="s">
        <v>70</v>
      </c>
      <c r="N2741" t="s">
        <v>71</v>
      </c>
      <c r="O2741" t="str">
        <f>IFERROR(IF(Tbla_actores[[#This Row],[codigo_proyecto]]="","",_xlfn.XLOOKUP(Tbla_actores[[#This Row],[codigo_proyecto]],Proyectos!$A:$A,Proyectos!$C:$C)),"")</f>
        <v>NULOS</v>
      </c>
    </row>
    <row r="2742" spans="1:15">
      <c r="A2742" s="9">
        <v>1001091201</v>
      </c>
      <c r="B2742" s="63" t="s">
        <v>61</v>
      </c>
      <c r="C2742" s="62" t="s">
        <v>7900</v>
      </c>
      <c r="D2742" t="s">
        <v>63</v>
      </c>
      <c r="E2742" t="s">
        <v>8227</v>
      </c>
      <c r="F2742" s="61">
        <v>37490</v>
      </c>
      <c r="G2742" s="15" t="s">
        <v>65</v>
      </c>
      <c r="H2742" t="s">
        <v>8228</v>
      </c>
      <c r="I2742" s="62" t="s">
        <v>8229</v>
      </c>
      <c r="K2742" s="36" t="s">
        <v>68</v>
      </c>
      <c r="L2742" t="s">
        <v>69</v>
      </c>
      <c r="M2742" s="62" t="s">
        <v>70</v>
      </c>
      <c r="N2742" t="s">
        <v>71</v>
      </c>
      <c r="O2742" t="str">
        <f>IFERROR(IF(Tbla_actores[[#This Row],[codigo_proyecto]]="","",_xlfn.XLOOKUP(Tbla_actores[[#This Row],[codigo_proyecto]],Proyectos!$A:$A,Proyectos!$C:$C)),"")</f>
        <v>NULOS</v>
      </c>
    </row>
    <row r="2743" spans="1:15">
      <c r="A2743" s="10">
        <v>1000762227</v>
      </c>
      <c r="B2743" s="64" t="s">
        <v>61</v>
      </c>
      <c r="C2743" s="62" t="s">
        <v>7900</v>
      </c>
      <c r="D2743" t="s">
        <v>63</v>
      </c>
      <c r="E2743" t="s">
        <v>8230</v>
      </c>
      <c r="F2743" s="61">
        <v>37936</v>
      </c>
      <c r="G2743" s="15" t="s">
        <v>73</v>
      </c>
      <c r="H2743" t="s">
        <v>8231</v>
      </c>
      <c r="I2743" s="62" t="s">
        <v>8232</v>
      </c>
      <c r="K2743" s="36" t="s">
        <v>68</v>
      </c>
      <c r="L2743" t="s">
        <v>69</v>
      </c>
      <c r="M2743" s="62" t="s">
        <v>70</v>
      </c>
      <c r="N2743" t="s">
        <v>71</v>
      </c>
      <c r="O2743" t="str">
        <f>IFERROR(IF(Tbla_actores[[#This Row],[codigo_proyecto]]="","",_xlfn.XLOOKUP(Tbla_actores[[#This Row],[codigo_proyecto]],Proyectos!$A:$A,Proyectos!$C:$C)),"")</f>
        <v>NULOS</v>
      </c>
    </row>
    <row r="2744" spans="1:15">
      <c r="A2744" s="9">
        <v>1010025688</v>
      </c>
      <c r="B2744" s="63" t="s">
        <v>61</v>
      </c>
      <c r="C2744" s="62" t="s">
        <v>7900</v>
      </c>
      <c r="D2744" t="s">
        <v>63</v>
      </c>
      <c r="E2744" t="s">
        <v>8233</v>
      </c>
      <c r="F2744" s="61">
        <v>36769</v>
      </c>
      <c r="G2744" s="15" t="s">
        <v>73</v>
      </c>
      <c r="H2744" t="s">
        <v>8234</v>
      </c>
      <c r="I2744" s="62" t="s">
        <v>8235</v>
      </c>
      <c r="K2744" s="36" t="s">
        <v>7284</v>
      </c>
      <c r="L2744" t="s">
        <v>69</v>
      </c>
      <c r="M2744" s="62" t="s">
        <v>70</v>
      </c>
      <c r="N2744" t="s">
        <v>71</v>
      </c>
      <c r="O2744" t="str">
        <f>IFERROR(IF(Tbla_actores[[#This Row],[codigo_proyecto]]="","",_xlfn.XLOOKUP(Tbla_actores[[#This Row],[codigo_proyecto]],Proyectos!$A:$A,Proyectos!$C:$C)),"")</f>
        <v>NULOS</v>
      </c>
    </row>
    <row r="2745" spans="1:15">
      <c r="A2745" s="10">
        <v>1021633226</v>
      </c>
      <c r="B2745" s="64" t="s">
        <v>61</v>
      </c>
      <c r="C2745" s="62" t="s">
        <v>7900</v>
      </c>
      <c r="D2745" t="s">
        <v>63</v>
      </c>
      <c r="E2745" t="s">
        <v>8236</v>
      </c>
      <c r="F2745" s="61">
        <v>38299</v>
      </c>
      <c r="G2745" s="15" t="s">
        <v>73</v>
      </c>
      <c r="H2745" t="s">
        <v>8237</v>
      </c>
      <c r="I2745" s="62" t="s">
        <v>8238</v>
      </c>
      <c r="K2745" s="36" t="s">
        <v>169</v>
      </c>
      <c r="L2745" t="s">
        <v>69</v>
      </c>
      <c r="M2745" s="62" t="s">
        <v>170</v>
      </c>
      <c r="N2745" t="s">
        <v>71</v>
      </c>
      <c r="O2745" t="str">
        <f>IFERROR(IF(Tbla_actores[[#This Row],[codigo_proyecto]]="","",_xlfn.XLOOKUP(Tbla_actores[[#This Row],[codigo_proyecto]],Proyectos!$A:$A,Proyectos!$C:$C)),"")</f>
        <v>NULOS</v>
      </c>
    </row>
    <row r="2746" spans="1:15">
      <c r="A2746" s="9">
        <v>1000461935</v>
      </c>
      <c r="B2746" s="63" t="s">
        <v>61</v>
      </c>
      <c r="C2746" s="62" t="s">
        <v>7900</v>
      </c>
      <c r="D2746" t="s">
        <v>63</v>
      </c>
      <c r="E2746" t="s">
        <v>8239</v>
      </c>
      <c r="F2746" s="61">
        <v>37717</v>
      </c>
      <c r="G2746" s="15" t="s">
        <v>73</v>
      </c>
      <c r="H2746" t="s">
        <v>8240</v>
      </c>
      <c r="I2746" s="62" t="s">
        <v>8241</v>
      </c>
      <c r="K2746" s="36" t="s">
        <v>169</v>
      </c>
      <c r="L2746" t="s">
        <v>69</v>
      </c>
      <c r="M2746" s="62" t="s">
        <v>170</v>
      </c>
      <c r="N2746" t="s">
        <v>71</v>
      </c>
      <c r="O2746" t="str">
        <f>IFERROR(IF(Tbla_actores[[#This Row],[codigo_proyecto]]="","",_xlfn.XLOOKUP(Tbla_actores[[#This Row],[codigo_proyecto]],Proyectos!$A:$A,Proyectos!$C:$C)),"")</f>
        <v>NULOS</v>
      </c>
    </row>
    <row r="2747" spans="1:15">
      <c r="A2747" s="10">
        <v>1025320862</v>
      </c>
      <c r="B2747" s="64" t="s">
        <v>61</v>
      </c>
      <c r="C2747" s="62" t="s">
        <v>7900</v>
      </c>
      <c r="D2747" t="s">
        <v>63</v>
      </c>
      <c r="E2747" t="s">
        <v>8242</v>
      </c>
      <c r="F2747" s="61">
        <v>38229</v>
      </c>
      <c r="G2747" s="15" t="s">
        <v>73</v>
      </c>
      <c r="H2747" t="s">
        <v>8243</v>
      </c>
      <c r="I2747" s="62" t="s">
        <v>8244</v>
      </c>
      <c r="K2747" s="36" t="s">
        <v>169</v>
      </c>
      <c r="L2747" t="s">
        <v>69</v>
      </c>
      <c r="M2747" s="62" t="s">
        <v>170</v>
      </c>
      <c r="N2747" t="s">
        <v>71</v>
      </c>
      <c r="O2747" t="str">
        <f>IFERROR(IF(Tbla_actores[[#This Row],[codigo_proyecto]]="","",_xlfn.XLOOKUP(Tbla_actores[[#This Row],[codigo_proyecto]],Proyectos!$A:$A,Proyectos!$C:$C)),"")</f>
        <v>NULOS</v>
      </c>
    </row>
    <row r="2748" spans="1:15">
      <c r="A2748" s="9">
        <v>1010059022</v>
      </c>
      <c r="B2748" s="63" t="s">
        <v>61</v>
      </c>
      <c r="C2748" s="62" t="s">
        <v>7900</v>
      </c>
      <c r="D2748" t="s">
        <v>63</v>
      </c>
      <c r="E2748" t="s">
        <v>8245</v>
      </c>
      <c r="F2748" s="61">
        <v>36738</v>
      </c>
      <c r="G2748" s="15" t="s">
        <v>65</v>
      </c>
      <c r="H2748" t="s">
        <v>8246</v>
      </c>
      <c r="I2748" s="62" t="s">
        <v>8247</v>
      </c>
      <c r="K2748" s="36" t="s">
        <v>6427</v>
      </c>
      <c r="L2748" t="s">
        <v>69</v>
      </c>
      <c r="M2748" s="62" t="s">
        <v>70</v>
      </c>
      <c r="N2748" t="s">
        <v>71</v>
      </c>
      <c r="O2748" t="str">
        <f>IFERROR(IF(Tbla_actores[[#This Row],[codigo_proyecto]]="","",_xlfn.XLOOKUP(Tbla_actores[[#This Row],[codigo_proyecto]],Proyectos!$A:$A,Proyectos!$C:$C)),"")</f>
        <v>NULOS</v>
      </c>
    </row>
    <row r="2749" spans="1:15">
      <c r="A2749" s="10">
        <v>1000506219</v>
      </c>
      <c r="B2749" s="64" t="s">
        <v>61</v>
      </c>
      <c r="C2749" s="62" t="s">
        <v>7900</v>
      </c>
      <c r="D2749" t="s">
        <v>63</v>
      </c>
      <c r="E2749" t="s">
        <v>8248</v>
      </c>
      <c r="F2749" s="61">
        <v>37691</v>
      </c>
      <c r="G2749" s="15" t="s">
        <v>73</v>
      </c>
      <c r="H2749" t="s">
        <v>8249</v>
      </c>
      <c r="I2749" s="62" t="s">
        <v>8250</v>
      </c>
      <c r="K2749" s="36" t="s">
        <v>495</v>
      </c>
      <c r="L2749" t="s">
        <v>69</v>
      </c>
      <c r="M2749" s="62" t="s">
        <v>70</v>
      </c>
      <c r="N2749" t="s">
        <v>71</v>
      </c>
      <c r="O2749" t="str">
        <f>IFERROR(IF(Tbla_actores[[#This Row],[codigo_proyecto]]="","",_xlfn.XLOOKUP(Tbla_actores[[#This Row],[codigo_proyecto]],Proyectos!$A:$A,Proyectos!$C:$C)),"")</f>
        <v>NULOS</v>
      </c>
    </row>
    <row r="2750" spans="1:15">
      <c r="A2750" s="9">
        <v>1002365549</v>
      </c>
      <c r="B2750" s="63" t="s">
        <v>61</v>
      </c>
      <c r="C2750" s="62" t="s">
        <v>7900</v>
      </c>
      <c r="D2750" t="s">
        <v>63</v>
      </c>
      <c r="E2750" t="s">
        <v>8251</v>
      </c>
      <c r="F2750" s="61">
        <v>37518</v>
      </c>
      <c r="G2750" s="15" t="s">
        <v>65</v>
      </c>
      <c r="H2750" t="s">
        <v>8252</v>
      </c>
      <c r="I2750" s="62" t="s">
        <v>8253</v>
      </c>
      <c r="K2750" s="36" t="s">
        <v>495</v>
      </c>
      <c r="L2750" t="s">
        <v>69</v>
      </c>
      <c r="M2750" s="62" t="s">
        <v>70</v>
      </c>
      <c r="N2750" t="s">
        <v>71</v>
      </c>
      <c r="O2750" t="str">
        <f>IFERROR(IF(Tbla_actores[[#This Row],[codigo_proyecto]]="","",_xlfn.XLOOKUP(Tbla_actores[[#This Row],[codigo_proyecto]],Proyectos!$A:$A,Proyectos!$C:$C)),"")</f>
        <v>NULOS</v>
      </c>
    </row>
    <row r="2751" spans="1:15">
      <c r="A2751" s="10">
        <v>1000685232</v>
      </c>
      <c r="B2751" s="64" t="s">
        <v>61</v>
      </c>
      <c r="C2751" s="62" t="s">
        <v>7900</v>
      </c>
      <c r="D2751" t="s">
        <v>63</v>
      </c>
      <c r="E2751" t="s">
        <v>8254</v>
      </c>
      <c r="F2751" s="61">
        <v>36906</v>
      </c>
      <c r="G2751" s="15" t="s">
        <v>73</v>
      </c>
      <c r="H2751" t="s">
        <v>8255</v>
      </c>
      <c r="I2751" s="62" t="s">
        <v>8256</v>
      </c>
      <c r="K2751" s="36" t="s">
        <v>495</v>
      </c>
      <c r="L2751" t="s">
        <v>69</v>
      </c>
      <c r="M2751" s="62" t="s">
        <v>70</v>
      </c>
      <c r="N2751" t="s">
        <v>71</v>
      </c>
      <c r="O2751" t="str">
        <f>IFERROR(IF(Tbla_actores[[#This Row],[codigo_proyecto]]="","",_xlfn.XLOOKUP(Tbla_actores[[#This Row],[codigo_proyecto]],Proyectos!$A:$A,Proyectos!$C:$C)),"")</f>
        <v>NULOS</v>
      </c>
    </row>
    <row r="2752" spans="1:15">
      <c r="A2752" s="9">
        <v>1193374800</v>
      </c>
      <c r="B2752" s="63" t="s">
        <v>61</v>
      </c>
      <c r="C2752" s="62" t="s">
        <v>7900</v>
      </c>
      <c r="D2752" t="s">
        <v>63</v>
      </c>
      <c r="E2752" t="s">
        <v>8257</v>
      </c>
      <c r="F2752" s="61">
        <v>36688</v>
      </c>
      <c r="G2752" s="15" t="s">
        <v>73</v>
      </c>
      <c r="H2752" t="s">
        <v>8258</v>
      </c>
      <c r="I2752" s="62" t="s">
        <v>8259</v>
      </c>
      <c r="K2752" s="36" t="s">
        <v>495</v>
      </c>
      <c r="L2752" t="s">
        <v>69</v>
      </c>
      <c r="M2752" s="62" t="s">
        <v>70</v>
      </c>
      <c r="N2752" t="s">
        <v>71</v>
      </c>
      <c r="O2752" t="str">
        <f>IFERROR(IF(Tbla_actores[[#This Row],[codigo_proyecto]]="","",_xlfn.XLOOKUP(Tbla_actores[[#This Row],[codigo_proyecto]],Proyectos!$A:$A,Proyectos!$C:$C)),"")</f>
        <v>NULOS</v>
      </c>
    </row>
    <row r="2753" spans="1:15">
      <c r="A2753" s="10">
        <v>1032503159</v>
      </c>
      <c r="B2753" s="64" t="s">
        <v>61</v>
      </c>
      <c r="C2753" s="62" t="s">
        <v>7900</v>
      </c>
      <c r="D2753" t="s">
        <v>63</v>
      </c>
      <c r="E2753" t="s">
        <v>8260</v>
      </c>
      <c r="F2753" s="61">
        <v>36224</v>
      </c>
      <c r="G2753" s="15" t="s">
        <v>73</v>
      </c>
      <c r="H2753" t="s">
        <v>8261</v>
      </c>
      <c r="I2753" s="62" t="s">
        <v>8262</v>
      </c>
      <c r="K2753" s="36" t="s">
        <v>495</v>
      </c>
      <c r="L2753" t="s">
        <v>69</v>
      </c>
      <c r="M2753" s="62" t="s">
        <v>70</v>
      </c>
      <c r="N2753" t="s">
        <v>71</v>
      </c>
      <c r="O2753" t="str">
        <f>IFERROR(IF(Tbla_actores[[#This Row],[codigo_proyecto]]="","",_xlfn.XLOOKUP(Tbla_actores[[#This Row],[codigo_proyecto]],Proyectos!$A:$A,Proyectos!$C:$C)),"")</f>
        <v>NULOS</v>
      </c>
    </row>
    <row r="2754" spans="1:15">
      <c r="A2754" s="9">
        <v>1001118922</v>
      </c>
      <c r="B2754" s="63" t="s">
        <v>61</v>
      </c>
      <c r="C2754" s="62" t="s">
        <v>7900</v>
      </c>
      <c r="D2754" t="s">
        <v>63</v>
      </c>
      <c r="E2754" t="s">
        <v>8263</v>
      </c>
      <c r="F2754" s="61">
        <v>37549</v>
      </c>
      <c r="G2754" s="15" t="s">
        <v>73</v>
      </c>
      <c r="H2754" t="s">
        <v>8264</v>
      </c>
      <c r="I2754" s="62" t="s">
        <v>8265</v>
      </c>
      <c r="K2754" s="36" t="s">
        <v>495</v>
      </c>
      <c r="L2754" t="s">
        <v>69</v>
      </c>
      <c r="M2754" s="62" t="s">
        <v>70</v>
      </c>
      <c r="N2754" t="s">
        <v>71</v>
      </c>
      <c r="O2754" t="str">
        <f>IFERROR(IF(Tbla_actores[[#This Row],[codigo_proyecto]]="","",_xlfn.XLOOKUP(Tbla_actores[[#This Row],[codigo_proyecto]],Proyectos!$A:$A,Proyectos!$C:$C)),"")</f>
        <v>NULOS</v>
      </c>
    </row>
    <row r="2755" spans="1:15">
      <c r="A2755" s="10">
        <v>1006555913</v>
      </c>
      <c r="B2755" s="64" t="s">
        <v>61</v>
      </c>
      <c r="C2755" s="62" t="s">
        <v>7900</v>
      </c>
      <c r="D2755" t="s">
        <v>63</v>
      </c>
      <c r="E2755" t="s">
        <v>8266</v>
      </c>
      <c r="F2755" s="61">
        <v>37694</v>
      </c>
      <c r="G2755" s="15" t="s">
        <v>73</v>
      </c>
      <c r="H2755" t="s">
        <v>8267</v>
      </c>
      <c r="I2755" s="62" t="s">
        <v>8268</v>
      </c>
      <c r="K2755" s="36" t="s">
        <v>495</v>
      </c>
      <c r="L2755" t="s">
        <v>69</v>
      </c>
      <c r="M2755" s="62" t="s">
        <v>70</v>
      </c>
      <c r="N2755" t="s">
        <v>71</v>
      </c>
      <c r="O2755" t="str">
        <f>IFERROR(IF(Tbla_actores[[#This Row],[codigo_proyecto]]="","",_xlfn.XLOOKUP(Tbla_actores[[#This Row],[codigo_proyecto]],Proyectos!$A:$A,Proyectos!$C:$C)),"")</f>
        <v>NULOS</v>
      </c>
    </row>
    <row r="2756" spans="1:15">
      <c r="A2756" s="9">
        <v>1000285365</v>
      </c>
      <c r="B2756" s="63" t="s">
        <v>61</v>
      </c>
      <c r="C2756" s="62" t="s">
        <v>7900</v>
      </c>
      <c r="D2756" t="s">
        <v>63</v>
      </c>
      <c r="E2756" t="s">
        <v>8269</v>
      </c>
      <c r="F2756" s="61">
        <v>37659</v>
      </c>
      <c r="G2756" s="15" t="s">
        <v>65</v>
      </c>
      <c r="H2756" t="s">
        <v>8270</v>
      </c>
      <c r="I2756" s="62" t="s">
        <v>8271</v>
      </c>
      <c r="K2756" s="36" t="s">
        <v>495</v>
      </c>
      <c r="L2756" t="s">
        <v>69</v>
      </c>
      <c r="M2756" s="62" t="s">
        <v>70</v>
      </c>
      <c r="N2756" t="s">
        <v>71</v>
      </c>
      <c r="O2756" t="str">
        <f>IFERROR(IF(Tbla_actores[[#This Row],[codigo_proyecto]]="","",_xlfn.XLOOKUP(Tbla_actores[[#This Row],[codigo_proyecto]],Proyectos!$A:$A,Proyectos!$C:$C)),"")</f>
        <v>NULOS</v>
      </c>
    </row>
    <row r="2757" spans="1:15">
      <c r="A2757" s="10">
        <v>1004234578</v>
      </c>
      <c r="B2757" s="64" t="s">
        <v>61</v>
      </c>
      <c r="C2757" s="62" t="s">
        <v>7900</v>
      </c>
      <c r="D2757" t="s">
        <v>63</v>
      </c>
      <c r="E2757" t="s">
        <v>8272</v>
      </c>
      <c r="F2757" s="61">
        <v>37507</v>
      </c>
      <c r="G2757" s="15" t="s">
        <v>73</v>
      </c>
      <c r="H2757" t="s">
        <v>8273</v>
      </c>
      <c r="I2757" s="62" t="s">
        <v>8274</v>
      </c>
      <c r="K2757" s="36" t="s">
        <v>495</v>
      </c>
      <c r="L2757" t="s">
        <v>69</v>
      </c>
      <c r="M2757" s="62" t="s">
        <v>70</v>
      </c>
      <c r="N2757" t="s">
        <v>71</v>
      </c>
      <c r="O2757" t="str">
        <f>IFERROR(IF(Tbla_actores[[#This Row],[codigo_proyecto]]="","",_xlfn.XLOOKUP(Tbla_actores[[#This Row],[codigo_proyecto]],Proyectos!$A:$A,Proyectos!$C:$C)),"")</f>
        <v>NULOS</v>
      </c>
    </row>
    <row r="2758" spans="1:15">
      <c r="A2758" s="9">
        <v>1004967801</v>
      </c>
      <c r="B2758" s="63" t="s">
        <v>61</v>
      </c>
      <c r="C2758" s="62" t="s">
        <v>7900</v>
      </c>
      <c r="D2758" t="s">
        <v>63</v>
      </c>
      <c r="E2758" t="s">
        <v>8275</v>
      </c>
      <c r="F2758" s="61">
        <v>36776</v>
      </c>
      <c r="G2758" s="15" t="s">
        <v>73</v>
      </c>
      <c r="H2758" t="s">
        <v>8276</v>
      </c>
      <c r="I2758" s="62" t="s">
        <v>8277</v>
      </c>
      <c r="K2758" s="36" t="s">
        <v>495</v>
      </c>
      <c r="L2758" t="s">
        <v>69</v>
      </c>
      <c r="M2758" s="62" t="s">
        <v>70</v>
      </c>
      <c r="N2758" t="s">
        <v>71</v>
      </c>
      <c r="O2758" t="str">
        <f>IFERROR(IF(Tbla_actores[[#This Row],[codigo_proyecto]]="","",_xlfn.XLOOKUP(Tbla_actores[[#This Row],[codigo_proyecto]],Proyectos!$A:$A,Proyectos!$C:$C)),"")</f>
        <v>NULOS</v>
      </c>
    </row>
    <row r="2759" spans="1:15">
      <c r="A2759" s="10">
        <v>1005231439</v>
      </c>
      <c r="B2759" s="64" t="s">
        <v>61</v>
      </c>
      <c r="C2759" s="62" t="s">
        <v>7900</v>
      </c>
      <c r="D2759" t="s">
        <v>63</v>
      </c>
      <c r="E2759" t="s">
        <v>8278</v>
      </c>
      <c r="F2759" s="61">
        <v>37896</v>
      </c>
      <c r="G2759" s="15" t="s">
        <v>65</v>
      </c>
      <c r="H2759" t="s">
        <v>8279</v>
      </c>
      <c r="I2759" s="62" t="s">
        <v>8280</v>
      </c>
      <c r="K2759" s="36" t="s">
        <v>7284</v>
      </c>
      <c r="L2759" t="s">
        <v>69</v>
      </c>
      <c r="M2759" s="62" t="s">
        <v>70</v>
      </c>
      <c r="N2759" t="s">
        <v>71</v>
      </c>
      <c r="O2759" t="str">
        <f>IFERROR(IF(Tbla_actores[[#This Row],[codigo_proyecto]]="","",_xlfn.XLOOKUP(Tbla_actores[[#This Row],[codigo_proyecto]],Proyectos!$A:$A,Proyectos!$C:$C)),"")</f>
        <v>NULOS</v>
      </c>
    </row>
    <row r="2760" spans="1:15">
      <c r="A2760" s="9">
        <v>1000049145</v>
      </c>
      <c r="B2760" s="63" t="s">
        <v>61</v>
      </c>
      <c r="C2760" s="62" t="s">
        <v>7900</v>
      </c>
      <c r="D2760" t="s">
        <v>63</v>
      </c>
      <c r="E2760" t="s">
        <v>8281</v>
      </c>
      <c r="F2760" s="61">
        <v>37239</v>
      </c>
      <c r="G2760" s="15" t="s">
        <v>73</v>
      </c>
      <c r="H2760" t="s">
        <v>8282</v>
      </c>
      <c r="I2760" s="62" t="s">
        <v>8283</v>
      </c>
      <c r="K2760" s="36" t="s">
        <v>68</v>
      </c>
      <c r="L2760" t="s">
        <v>69</v>
      </c>
      <c r="M2760" s="62" t="s">
        <v>70</v>
      </c>
      <c r="N2760" t="s">
        <v>71</v>
      </c>
      <c r="O2760" t="str">
        <f>IFERROR(IF(Tbla_actores[[#This Row],[codigo_proyecto]]="","",_xlfn.XLOOKUP(Tbla_actores[[#This Row],[codigo_proyecto]],Proyectos!$A:$A,Proyectos!$C:$C)),"")</f>
        <v>NULOS</v>
      </c>
    </row>
    <row r="2761" spans="1:15">
      <c r="A2761" s="10">
        <v>1001316475</v>
      </c>
      <c r="B2761" s="64" t="s">
        <v>61</v>
      </c>
      <c r="C2761" s="62" t="s">
        <v>7900</v>
      </c>
      <c r="D2761" t="s">
        <v>63</v>
      </c>
      <c r="E2761" t="s">
        <v>8284</v>
      </c>
      <c r="F2761" s="61">
        <v>37716</v>
      </c>
      <c r="G2761" s="15" t="s">
        <v>73</v>
      </c>
      <c r="H2761" t="s">
        <v>8285</v>
      </c>
      <c r="I2761" s="62" t="s">
        <v>8286</v>
      </c>
      <c r="K2761" s="36" t="s">
        <v>68</v>
      </c>
      <c r="L2761" t="s">
        <v>69</v>
      </c>
      <c r="M2761" s="62" t="s">
        <v>70</v>
      </c>
      <c r="N2761" t="s">
        <v>71</v>
      </c>
      <c r="O2761" t="str">
        <f>IFERROR(IF(Tbla_actores[[#This Row],[codigo_proyecto]]="","",_xlfn.XLOOKUP(Tbla_actores[[#This Row],[codigo_proyecto]],Proyectos!$A:$A,Proyectos!$C:$C)),"")</f>
        <v>NULOS</v>
      </c>
    </row>
    <row r="2762" spans="1:15">
      <c r="A2762" s="9">
        <v>1000149191</v>
      </c>
      <c r="B2762" s="63" t="s">
        <v>61</v>
      </c>
      <c r="C2762" s="62" t="s">
        <v>7900</v>
      </c>
      <c r="D2762" t="s">
        <v>63</v>
      </c>
      <c r="E2762" t="s">
        <v>8287</v>
      </c>
      <c r="F2762" s="61">
        <v>37128</v>
      </c>
      <c r="G2762" s="15" t="s">
        <v>73</v>
      </c>
      <c r="H2762" t="s">
        <v>8288</v>
      </c>
      <c r="I2762" s="62" t="s">
        <v>8289</v>
      </c>
      <c r="K2762" s="36" t="s">
        <v>7284</v>
      </c>
      <c r="L2762" t="s">
        <v>69</v>
      </c>
      <c r="M2762" s="62" t="s">
        <v>70</v>
      </c>
      <c r="N2762" t="s">
        <v>71</v>
      </c>
      <c r="O2762" t="str">
        <f>IFERROR(IF(Tbla_actores[[#This Row],[codigo_proyecto]]="","",_xlfn.XLOOKUP(Tbla_actores[[#This Row],[codigo_proyecto]],Proyectos!$A:$A,Proyectos!$C:$C)),"")</f>
        <v>NULOS</v>
      </c>
    </row>
    <row r="2763" spans="1:15">
      <c r="A2763" s="10">
        <v>1011320000</v>
      </c>
      <c r="B2763" s="64" t="s">
        <v>61</v>
      </c>
      <c r="C2763" s="62" t="s">
        <v>7900</v>
      </c>
      <c r="D2763" t="s">
        <v>63</v>
      </c>
      <c r="E2763" t="s">
        <v>8290</v>
      </c>
      <c r="F2763" s="61">
        <v>37929</v>
      </c>
      <c r="G2763" s="15" t="s">
        <v>65</v>
      </c>
      <c r="H2763" t="s">
        <v>8291</v>
      </c>
      <c r="I2763" s="62" t="s">
        <v>8292</v>
      </c>
      <c r="K2763" s="36" t="s">
        <v>169</v>
      </c>
      <c r="L2763" t="s">
        <v>69</v>
      </c>
      <c r="M2763" s="62" t="s">
        <v>170</v>
      </c>
      <c r="N2763" t="s">
        <v>71</v>
      </c>
      <c r="O2763" t="str">
        <f>IFERROR(IF(Tbla_actores[[#This Row],[codigo_proyecto]]="","",_xlfn.XLOOKUP(Tbla_actores[[#This Row],[codigo_proyecto]],Proyectos!$A:$A,Proyectos!$C:$C)),"")</f>
        <v>NULOS</v>
      </c>
    </row>
    <row r="2764" spans="1:15">
      <c r="A2764" s="9">
        <v>1065563549</v>
      </c>
      <c r="B2764" s="63" t="s">
        <v>61</v>
      </c>
      <c r="C2764" s="62" t="s">
        <v>7900</v>
      </c>
      <c r="D2764" t="s">
        <v>63</v>
      </c>
      <c r="E2764" t="s">
        <v>8293</v>
      </c>
      <c r="F2764" s="61">
        <v>37958</v>
      </c>
      <c r="G2764" s="15" t="s">
        <v>73</v>
      </c>
      <c r="H2764" t="s">
        <v>8294</v>
      </c>
      <c r="I2764" s="62" t="s">
        <v>8295</v>
      </c>
      <c r="K2764" s="36" t="s">
        <v>169</v>
      </c>
      <c r="L2764" t="s">
        <v>69</v>
      </c>
      <c r="M2764" s="62" t="s">
        <v>170</v>
      </c>
      <c r="N2764" t="s">
        <v>71</v>
      </c>
      <c r="O2764" t="str">
        <f>IFERROR(IF(Tbla_actores[[#This Row],[codigo_proyecto]]="","",_xlfn.XLOOKUP(Tbla_actores[[#This Row],[codigo_proyecto]],Proyectos!$A:$A,Proyectos!$C:$C)),"")</f>
        <v>NULOS</v>
      </c>
    </row>
    <row r="2765" spans="1:15">
      <c r="A2765" s="10">
        <v>1050090018</v>
      </c>
      <c r="B2765" s="64" t="s">
        <v>61</v>
      </c>
      <c r="C2765" s="62" t="s">
        <v>7900</v>
      </c>
      <c r="D2765" t="s">
        <v>63</v>
      </c>
      <c r="E2765" t="s">
        <v>8296</v>
      </c>
      <c r="F2765" s="61">
        <v>38206</v>
      </c>
      <c r="G2765" s="15" t="s">
        <v>73</v>
      </c>
      <c r="H2765" t="s">
        <v>8297</v>
      </c>
      <c r="I2765" s="62" t="s">
        <v>8298</v>
      </c>
      <c r="K2765" s="36" t="s">
        <v>1489</v>
      </c>
      <c r="L2765" t="s">
        <v>69</v>
      </c>
      <c r="M2765" s="62" t="s">
        <v>70</v>
      </c>
      <c r="N2765" t="s">
        <v>71</v>
      </c>
      <c r="O2765" t="str">
        <f>IFERROR(IF(Tbla_actores[[#This Row],[codigo_proyecto]]="","",_xlfn.XLOOKUP(Tbla_actores[[#This Row],[codigo_proyecto]],Proyectos!$A:$A,Proyectos!$C:$C)),"")</f>
        <v>NULOS</v>
      </c>
    </row>
    <row r="2766" spans="1:15">
      <c r="A2766" s="9">
        <v>1000697372</v>
      </c>
      <c r="B2766" s="63" t="s">
        <v>61</v>
      </c>
      <c r="C2766" s="62" t="s">
        <v>7900</v>
      </c>
      <c r="D2766" t="s">
        <v>63</v>
      </c>
      <c r="E2766" t="s">
        <v>8299</v>
      </c>
      <c r="F2766" s="61">
        <v>37454</v>
      </c>
      <c r="G2766" s="15" t="s">
        <v>73</v>
      </c>
      <c r="H2766" t="s">
        <v>8300</v>
      </c>
      <c r="I2766" s="62" t="s">
        <v>8301</v>
      </c>
      <c r="K2766" s="36" t="s">
        <v>68</v>
      </c>
      <c r="L2766" t="s">
        <v>69</v>
      </c>
      <c r="M2766" s="62" t="s">
        <v>70</v>
      </c>
      <c r="N2766" t="s">
        <v>71</v>
      </c>
      <c r="O2766" t="str">
        <f>IFERROR(IF(Tbla_actores[[#This Row],[codigo_proyecto]]="","",_xlfn.XLOOKUP(Tbla_actores[[#This Row],[codigo_proyecto]],Proyectos!$A:$A,Proyectos!$C:$C)),"")</f>
        <v>NULOS</v>
      </c>
    </row>
    <row r="2767" spans="1:15">
      <c r="A2767" s="10">
        <v>1032507246</v>
      </c>
      <c r="B2767" s="64" t="s">
        <v>61</v>
      </c>
      <c r="C2767" s="62" t="s">
        <v>7900</v>
      </c>
      <c r="D2767" t="s">
        <v>63</v>
      </c>
      <c r="E2767" t="s">
        <v>8302</v>
      </c>
      <c r="F2767" s="61">
        <v>36444</v>
      </c>
      <c r="G2767" s="15" t="s">
        <v>73</v>
      </c>
      <c r="H2767" t="s">
        <v>8303</v>
      </c>
      <c r="I2767" s="62" t="s">
        <v>8304</v>
      </c>
      <c r="K2767" s="36" t="s">
        <v>68</v>
      </c>
      <c r="L2767" t="s">
        <v>69</v>
      </c>
      <c r="M2767" s="62" t="s">
        <v>70</v>
      </c>
      <c r="N2767" t="s">
        <v>71</v>
      </c>
      <c r="O2767" t="str">
        <f>IFERROR(IF(Tbla_actores[[#This Row],[codigo_proyecto]]="","",_xlfn.XLOOKUP(Tbla_actores[[#This Row],[codigo_proyecto]],Proyectos!$A:$A,Proyectos!$C:$C)),"")</f>
        <v>NULOS</v>
      </c>
    </row>
    <row r="2768" spans="1:15">
      <c r="A2768" s="9">
        <v>1034776515</v>
      </c>
      <c r="B2768" s="63" t="s">
        <v>61</v>
      </c>
      <c r="C2768" s="62" t="s">
        <v>7900</v>
      </c>
      <c r="D2768" t="s">
        <v>63</v>
      </c>
      <c r="E2768" t="s">
        <v>8305</v>
      </c>
      <c r="F2768" s="61">
        <v>38064</v>
      </c>
      <c r="G2768" s="15" t="s">
        <v>65</v>
      </c>
      <c r="H2768" t="s">
        <v>8306</v>
      </c>
      <c r="I2768" s="62" t="s">
        <v>8307</v>
      </c>
      <c r="K2768" s="36" t="s">
        <v>169</v>
      </c>
      <c r="L2768" t="s">
        <v>69</v>
      </c>
      <c r="M2768" s="62" t="s">
        <v>170</v>
      </c>
      <c r="N2768" t="s">
        <v>71</v>
      </c>
      <c r="O2768" t="str">
        <f>IFERROR(IF(Tbla_actores[[#This Row],[codigo_proyecto]]="","",_xlfn.XLOOKUP(Tbla_actores[[#This Row],[codigo_proyecto]],Proyectos!$A:$A,Proyectos!$C:$C)),"")</f>
        <v>NULOS</v>
      </c>
    </row>
    <row r="2769" spans="1:15">
      <c r="A2769" s="10">
        <v>1000149605</v>
      </c>
      <c r="B2769" s="64" t="s">
        <v>61</v>
      </c>
      <c r="C2769" s="62" t="s">
        <v>7900</v>
      </c>
      <c r="D2769" t="s">
        <v>63</v>
      </c>
      <c r="E2769" t="s">
        <v>8308</v>
      </c>
      <c r="F2769" s="61">
        <v>37136</v>
      </c>
      <c r="G2769" s="15" t="s">
        <v>73</v>
      </c>
      <c r="H2769" t="s">
        <v>8309</v>
      </c>
      <c r="I2769" s="62" t="s">
        <v>8310</v>
      </c>
      <c r="K2769" s="36" t="s">
        <v>68</v>
      </c>
      <c r="L2769" t="s">
        <v>69</v>
      </c>
      <c r="M2769" s="62" t="s">
        <v>70</v>
      </c>
      <c r="N2769" t="s">
        <v>71</v>
      </c>
      <c r="O2769" t="str">
        <f>IFERROR(IF(Tbla_actores[[#This Row],[codigo_proyecto]]="","",_xlfn.XLOOKUP(Tbla_actores[[#This Row],[codigo_proyecto]],Proyectos!$A:$A,Proyectos!$C:$C)),"")</f>
        <v>NULOS</v>
      </c>
    </row>
    <row r="2770" spans="1:15">
      <c r="A2770" s="9">
        <v>1000382483</v>
      </c>
      <c r="B2770" s="63" t="s">
        <v>61</v>
      </c>
      <c r="C2770" s="62" t="s">
        <v>7900</v>
      </c>
      <c r="D2770" t="s">
        <v>63</v>
      </c>
      <c r="E2770" t="s">
        <v>8311</v>
      </c>
      <c r="F2770" s="61">
        <v>37857</v>
      </c>
      <c r="G2770" s="15" t="s">
        <v>65</v>
      </c>
      <c r="H2770" t="s">
        <v>8312</v>
      </c>
      <c r="I2770" s="62" t="s">
        <v>8313</v>
      </c>
      <c r="K2770" s="36" t="s">
        <v>169</v>
      </c>
      <c r="L2770" t="s">
        <v>69</v>
      </c>
      <c r="M2770" s="62" t="s">
        <v>170</v>
      </c>
      <c r="N2770" t="s">
        <v>71</v>
      </c>
      <c r="O2770" t="str">
        <f>IFERROR(IF(Tbla_actores[[#This Row],[codigo_proyecto]]="","",_xlfn.XLOOKUP(Tbla_actores[[#This Row],[codigo_proyecto]],Proyectos!$A:$A,Proyectos!$C:$C)),"")</f>
        <v>NULOS</v>
      </c>
    </row>
    <row r="2771" spans="1:15">
      <c r="A2771" s="10">
        <v>1001328881</v>
      </c>
      <c r="B2771" s="64" t="s">
        <v>61</v>
      </c>
      <c r="C2771" s="62" t="s">
        <v>7900</v>
      </c>
      <c r="D2771" t="s">
        <v>63</v>
      </c>
      <c r="E2771" t="s">
        <v>8314</v>
      </c>
      <c r="F2771" s="61">
        <v>37282</v>
      </c>
      <c r="G2771" s="15" t="s">
        <v>73</v>
      </c>
      <c r="H2771" t="s">
        <v>8315</v>
      </c>
      <c r="I2771" s="62" t="s">
        <v>8316</v>
      </c>
      <c r="K2771" s="36" t="s">
        <v>68</v>
      </c>
      <c r="L2771" t="s">
        <v>69</v>
      </c>
      <c r="M2771" s="62" t="s">
        <v>70</v>
      </c>
      <c r="N2771" t="s">
        <v>71</v>
      </c>
      <c r="O2771" t="str">
        <f>IFERROR(IF(Tbla_actores[[#This Row],[codigo_proyecto]]="","",_xlfn.XLOOKUP(Tbla_actores[[#This Row],[codigo_proyecto]],Proyectos!$A:$A,Proyectos!$C:$C)),"")</f>
        <v>NULOS</v>
      </c>
    </row>
    <row r="2772" spans="1:15">
      <c r="A2772" s="9">
        <v>1016943839</v>
      </c>
      <c r="B2772" s="63" t="s">
        <v>61</v>
      </c>
      <c r="C2772" s="62" t="s">
        <v>7900</v>
      </c>
      <c r="D2772" t="s">
        <v>63</v>
      </c>
      <c r="E2772" t="s">
        <v>8317</v>
      </c>
      <c r="F2772" s="61">
        <v>38134</v>
      </c>
      <c r="G2772" s="15" t="s">
        <v>73</v>
      </c>
      <c r="H2772" t="s">
        <v>8318</v>
      </c>
      <c r="I2772" s="62" t="s">
        <v>8319</v>
      </c>
      <c r="K2772" s="36" t="s">
        <v>6427</v>
      </c>
      <c r="L2772" t="s">
        <v>69</v>
      </c>
      <c r="M2772" s="62" t="s">
        <v>70</v>
      </c>
      <c r="N2772" t="s">
        <v>71</v>
      </c>
      <c r="O2772" t="str">
        <f>IFERROR(IF(Tbla_actores[[#This Row],[codigo_proyecto]]="","",_xlfn.XLOOKUP(Tbla_actores[[#This Row],[codigo_proyecto]],Proyectos!$A:$A,Proyectos!$C:$C)),"")</f>
        <v>NULOS</v>
      </c>
    </row>
    <row r="2773" spans="1:15">
      <c r="A2773" s="10">
        <v>1005240448</v>
      </c>
      <c r="B2773" s="64" t="s">
        <v>61</v>
      </c>
      <c r="C2773" s="62" t="s">
        <v>7900</v>
      </c>
      <c r="D2773" t="s">
        <v>63</v>
      </c>
      <c r="E2773" t="s">
        <v>8320</v>
      </c>
      <c r="F2773" s="61">
        <v>37663</v>
      </c>
      <c r="G2773" s="15" t="s">
        <v>65</v>
      </c>
      <c r="H2773" t="s">
        <v>8321</v>
      </c>
      <c r="I2773" s="62" t="s">
        <v>8322</v>
      </c>
      <c r="K2773" s="36" t="s">
        <v>68</v>
      </c>
      <c r="L2773" t="s">
        <v>69</v>
      </c>
      <c r="M2773" s="62" t="s">
        <v>70</v>
      </c>
      <c r="N2773" t="s">
        <v>71</v>
      </c>
      <c r="O2773" t="str">
        <f>IFERROR(IF(Tbla_actores[[#This Row],[codigo_proyecto]]="","",_xlfn.XLOOKUP(Tbla_actores[[#This Row],[codigo_proyecto]],Proyectos!$A:$A,Proyectos!$C:$C)),"")</f>
        <v>NULOS</v>
      </c>
    </row>
    <row r="2774" spans="1:15">
      <c r="A2774" s="9">
        <v>1003000471</v>
      </c>
      <c r="B2774" s="63" t="s">
        <v>61</v>
      </c>
      <c r="C2774" s="62" t="s">
        <v>7900</v>
      </c>
      <c r="D2774" t="s">
        <v>63</v>
      </c>
      <c r="E2774" t="s">
        <v>8323</v>
      </c>
      <c r="F2774" s="61">
        <v>37434</v>
      </c>
      <c r="G2774" s="15" t="s">
        <v>73</v>
      </c>
      <c r="H2774" t="s">
        <v>8324</v>
      </c>
      <c r="I2774" s="62" t="s">
        <v>8325</v>
      </c>
      <c r="K2774" s="36" t="s">
        <v>68</v>
      </c>
      <c r="L2774" t="s">
        <v>69</v>
      </c>
      <c r="M2774" s="62" t="s">
        <v>70</v>
      </c>
      <c r="N2774" t="s">
        <v>71</v>
      </c>
      <c r="O2774" t="str">
        <f>IFERROR(IF(Tbla_actores[[#This Row],[codigo_proyecto]]="","",_xlfn.XLOOKUP(Tbla_actores[[#This Row],[codigo_proyecto]],Proyectos!$A:$A,Proyectos!$C:$C)),"")</f>
        <v>NULOS</v>
      </c>
    </row>
    <row r="2775" spans="1:15">
      <c r="A2775" s="10">
        <v>1000273274</v>
      </c>
      <c r="B2775" s="64" t="s">
        <v>61</v>
      </c>
      <c r="C2775" s="62" t="s">
        <v>7900</v>
      </c>
      <c r="D2775" t="s">
        <v>63</v>
      </c>
      <c r="E2775" t="s">
        <v>8326</v>
      </c>
      <c r="F2775" s="61">
        <v>37540</v>
      </c>
      <c r="G2775" s="15" t="s">
        <v>73</v>
      </c>
      <c r="H2775" t="s">
        <v>8327</v>
      </c>
      <c r="I2775" s="62" t="s">
        <v>8328</v>
      </c>
      <c r="K2775" s="36" t="s">
        <v>68</v>
      </c>
      <c r="L2775" t="s">
        <v>69</v>
      </c>
      <c r="M2775" s="62" t="s">
        <v>70</v>
      </c>
      <c r="N2775" t="s">
        <v>71</v>
      </c>
      <c r="O2775" t="str">
        <f>IFERROR(IF(Tbla_actores[[#This Row],[codigo_proyecto]]="","",_xlfn.XLOOKUP(Tbla_actores[[#This Row],[codigo_proyecto]],Proyectos!$A:$A,Proyectos!$C:$C)),"")</f>
        <v>NULOS</v>
      </c>
    </row>
    <row r="2776" spans="1:15">
      <c r="A2776" s="9">
        <v>1000806474</v>
      </c>
      <c r="B2776" s="63" t="s">
        <v>61</v>
      </c>
      <c r="C2776" s="62" t="s">
        <v>7900</v>
      </c>
      <c r="D2776" t="s">
        <v>63</v>
      </c>
      <c r="E2776" t="s">
        <v>8329</v>
      </c>
      <c r="F2776" s="61">
        <v>37598</v>
      </c>
      <c r="G2776" s="15" t="s">
        <v>73</v>
      </c>
      <c r="H2776" t="s">
        <v>8330</v>
      </c>
      <c r="I2776" s="62" t="s">
        <v>8331</v>
      </c>
      <c r="K2776" s="36" t="s">
        <v>68</v>
      </c>
      <c r="L2776" t="s">
        <v>69</v>
      </c>
      <c r="M2776" s="62" t="s">
        <v>70</v>
      </c>
      <c r="N2776" t="s">
        <v>71</v>
      </c>
      <c r="O2776" t="str">
        <f>IFERROR(IF(Tbla_actores[[#This Row],[codigo_proyecto]]="","",_xlfn.XLOOKUP(Tbla_actores[[#This Row],[codigo_proyecto]],Proyectos!$A:$A,Proyectos!$C:$C)),"")</f>
        <v>NULOS</v>
      </c>
    </row>
    <row r="2777" spans="1:15">
      <c r="A2777" s="10">
        <v>1002241198</v>
      </c>
      <c r="B2777" s="64" t="s">
        <v>61</v>
      </c>
      <c r="C2777" s="62" t="s">
        <v>7900</v>
      </c>
      <c r="D2777" t="s">
        <v>63</v>
      </c>
      <c r="E2777" t="s">
        <v>8332</v>
      </c>
      <c r="F2777" s="61">
        <v>37596</v>
      </c>
      <c r="G2777" s="15" t="s">
        <v>73</v>
      </c>
      <c r="H2777" t="s">
        <v>8333</v>
      </c>
      <c r="I2777" s="62" t="s">
        <v>8334</v>
      </c>
      <c r="K2777" s="36" t="s">
        <v>7284</v>
      </c>
      <c r="L2777" t="s">
        <v>69</v>
      </c>
      <c r="M2777" s="62" t="s">
        <v>70</v>
      </c>
      <c r="N2777" t="s">
        <v>71</v>
      </c>
      <c r="O2777" t="str">
        <f>IFERROR(IF(Tbla_actores[[#This Row],[codigo_proyecto]]="","",_xlfn.XLOOKUP(Tbla_actores[[#This Row],[codigo_proyecto]],Proyectos!$A:$A,Proyectos!$C:$C)),"")</f>
        <v>NULOS</v>
      </c>
    </row>
    <row r="2778" spans="1:15">
      <c r="A2778" s="9">
        <v>1000594245</v>
      </c>
      <c r="B2778" s="63" t="s">
        <v>61</v>
      </c>
      <c r="C2778" s="62" t="s">
        <v>7900</v>
      </c>
      <c r="D2778" t="s">
        <v>63</v>
      </c>
      <c r="E2778" t="s">
        <v>8335</v>
      </c>
      <c r="F2778" s="61">
        <v>37685</v>
      </c>
      <c r="G2778" s="15" t="s">
        <v>65</v>
      </c>
      <c r="H2778" t="s">
        <v>8336</v>
      </c>
      <c r="I2778" s="62" t="s">
        <v>8337</v>
      </c>
      <c r="K2778" s="36" t="s">
        <v>68</v>
      </c>
      <c r="L2778" t="s">
        <v>69</v>
      </c>
      <c r="M2778" s="62" t="s">
        <v>70</v>
      </c>
      <c r="N2778" t="s">
        <v>71</v>
      </c>
      <c r="O2778" t="str">
        <f>IFERROR(IF(Tbla_actores[[#This Row],[codigo_proyecto]]="","",_xlfn.XLOOKUP(Tbla_actores[[#This Row],[codigo_proyecto]],Proyectos!$A:$A,Proyectos!$C:$C)),"")</f>
        <v>NULOS</v>
      </c>
    </row>
    <row r="2779" spans="1:15">
      <c r="A2779" s="10">
        <v>1031421217</v>
      </c>
      <c r="B2779" s="64" t="s">
        <v>61</v>
      </c>
      <c r="C2779" s="62" t="s">
        <v>7900</v>
      </c>
      <c r="D2779" t="s">
        <v>63</v>
      </c>
      <c r="E2779" t="s">
        <v>8338</v>
      </c>
      <c r="F2779" s="61">
        <v>38446</v>
      </c>
      <c r="G2779" s="15" t="s">
        <v>65</v>
      </c>
      <c r="H2779" t="s">
        <v>8339</v>
      </c>
      <c r="I2779" s="62" t="s">
        <v>8340</v>
      </c>
      <c r="K2779" s="36" t="s">
        <v>169</v>
      </c>
      <c r="L2779" t="s">
        <v>69</v>
      </c>
      <c r="M2779" s="62" t="s">
        <v>170</v>
      </c>
      <c r="N2779" t="s">
        <v>71</v>
      </c>
      <c r="O2779" t="str">
        <f>IFERROR(IF(Tbla_actores[[#This Row],[codigo_proyecto]]="","",_xlfn.XLOOKUP(Tbla_actores[[#This Row],[codigo_proyecto]],Proyectos!$A:$A,Proyectos!$C:$C)),"")</f>
        <v>NULOS</v>
      </c>
    </row>
    <row r="2780" spans="1:15">
      <c r="A2780" s="9">
        <v>1001091041</v>
      </c>
      <c r="B2780" s="63" t="s">
        <v>61</v>
      </c>
      <c r="C2780" s="62" t="s">
        <v>7900</v>
      </c>
      <c r="D2780" t="s">
        <v>63</v>
      </c>
      <c r="E2780" t="s">
        <v>8341</v>
      </c>
      <c r="F2780" s="61">
        <v>37674</v>
      </c>
      <c r="G2780" s="15" t="s">
        <v>65</v>
      </c>
      <c r="H2780" t="s">
        <v>8342</v>
      </c>
      <c r="I2780" s="62" t="s">
        <v>8343</v>
      </c>
      <c r="K2780" s="36" t="s">
        <v>1489</v>
      </c>
      <c r="L2780" t="s">
        <v>69</v>
      </c>
      <c r="M2780" s="62" t="s">
        <v>70</v>
      </c>
      <c r="N2780" t="s">
        <v>71</v>
      </c>
      <c r="O2780" t="str">
        <f>IFERROR(IF(Tbla_actores[[#This Row],[codigo_proyecto]]="","",_xlfn.XLOOKUP(Tbla_actores[[#This Row],[codigo_proyecto]],Proyectos!$A:$A,Proyectos!$C:$C)),"")</f>
        <v>NULOS</v>
      </c>
    </row>
    <row r="2781" spans="1:15">
      <c r="A2781" s="10">
        <v>1019148732</v>
      </c>
      <c r="B2781" s="64" t="s">
        <v>61</v>
      </c>
      <c r="C2781" s="62" t="s">
        <v>7900</v>
      </c>
      <c r="D2781" t="s">
        <v>63</v>
      </c>
      <c r="E2781" t="s">
        <v>7855</v>
      </c>
      <c r="F2781" s="61">
        <v>36268</v>
      </c>
      <c r="G2781" s="15" t="s">
        <v>73</v>
      </c>
      <c r="H2781" t="s">
        <v>7856</v>
      </c>
      <c r="I2781" s="62" t="s">
        <v>7857</v>
      </c>
      <c r="K2781" s="36" t="s">
        <v>68</v>
      </c>
      <c r="L2781" t="s">
        <v>69</v>
      </c>
      <c r="M2781" s="62" t="s">
        <v>70</v>
      </c>
      <c r="N2781" t="s">
        <v>71</v>
      </c>
      <c r="O2781" t="str">
        <f>IFERROR(IF(Tbla_actores[[#This Row],[codigo_proyecto]]="","",_xlfn.XLOOKUP(Tbla_actores[[#This Row],[codigo_proyecto]],Proyectos!$A:$A,Proyectos!$C:$C)),"")</f>
        <v>NULOS</v>
      </c>
    </row>
    <row r="2782" spans="1:15">
      <c r="A2782" s="9">
        <v>1013576324</v>
      </c>
      <c r="B2782" s="63" t="s">
        <v>61</v>
      </c>
      <c r="C2782" s="62" t="s">
        <v>7900</v>
      </c>
      <c r="D2782" t="s">
        <v>63</v>
      </c>
      <c r="E2782" t="s">
        <v>8344</v>
      </c>
      <c r="F2782" s="61">
        <v>37985</v>
      </c>
      <c r="G2782" s="15" t="s">
        <v>73</v>
      </c>
      <c r="H2782" t="s">
        <v>8345</v>
      </c>
      <c r="I2782" s="62" t="s">
        <v>8346</v>
      </c>
      <c r="K2782" s="36" t="s">
        <v>68</v>
      </c>
      <c r="L2782" t="s">
        <v>69</v>
      </c>
      <c r="M2782" s="62" t="s">
        <v>70</v>
      </c>
      <c r="N2782" t="s">
        <v>71</v>
      </c>
      <c r="O2782" t="str">
        <f>IFERROR(IF(Tbla_actores[[#This Row],[codigo_proyecto]]="","",_xlfn.XLOOKUP(Tbla_actores[[#This Row],[codigo_proyecto]],Proyectos!$A:$A,Proyectos!$C:$C)),"")</f>
        <v>NULOS</v>
      </c>
    </row>
    <row r="2783" spans="1:15">
      <c r="A2783" s="10">
        <v>1001343694</v>
      </c>
      <c r="B2783" s="64" t="s">
        <v>61</v>
      </c>
      <c r="C2783" s="62" t="s">
        <v>7900</v>
      </c>
      <c r="D2783" t="s">
        <v>63</v>
      </c>
      <c r="E2783" t="s">
        <v>8347</v>
      </c>
      <c r="F2783" s="61">
        <v>37284</v>
      </c>
      <c r="G2783" s="15" t="s">
        <v>73</v>
      </c>
      <c r="H2783" t="s">
        <v>8348</v>
      </c>
      <c r="I2783" s="62" t="s">
        <v>8349</v>
      </c>
      <c r="K2783" s="36" t="s">
        <v>1489</v>
      </c>
      <c r="L2783" t="s">
        <v>69</v>
      </c>
      <c r="M2783" s="62" t="s">
        <v>70</v>
      </c>
      <c r="N2783" t="s">
        <v>71</v>
      </c>
      <c r="O2783" t="str">
        <f>IFERROR(IF(Tbla_actores[[#This Row],[codigo_proyecto]]="","",_xlfn.XLOOKUP(Tbla_actores[[#This Row],[codigo_proyecto]],Proyectos!$A:$A,Proyectos!$C:$C)),"")</f>
        <v>NULOS</v>
      </c>
    </row>
    <row r="2784" spans="1:15">
      <c r="A2784" s="9">
        <v>1014305739</v>
      </c>
      <c r="B2784" s="63" t="s">
        <v>61</v>
      </c>
      <c r="C2784" s="62" t="s">
        <v>7900</v>
      </c>
      <c r="D2784" t="s">
        <v>63</v>
      </c>
      <c r="E2784" t="s">
        <v>8350</v>
      </c>
      <c r="F2784" s="61">
        <v>36305</v>
      </c>
      <c r="G2784" s="15" t="s">
        <v>73</v>
      </c>
      <c r="H2784" t="s">
        <v>8351</v>
      </c>
      <c r="I2784" s="62" t="s">
        <v>8352</v>
      </c>
      <c r="K2784" s="36" t="s">
        <v>68</v>
      </c>
      <c r="L2784" t="s">
        <v>69</v>
      </c>
      <c r="M2784" s="62" t="s">
        <v>70</v>
      </c>
      <c r="N2784" t="s">
        <v>71</v>
      </c>
      <c r="O2784" t="str">
        <f>IFERROR(IF(Tbla_actores[[#This Row],[codigo_proyecto]]="","",_xlfn.XLOOKUP(Tbla_actores[[#This Row],[codigo_proyecto]],Proyectos!$A:$A,Proyectos!$C:$C)),"")</f>
        <v>NULOS</v>
      </c>
    </row>
    <row r="2785" spans="1:15">
      <c r="A2785" s="10">
        <v>1021632413</v>
      </c>
      <c r="B2785" s="64" t="s">
        <v>61</v>
      </c>
      <c r="C2785" s="62" t="s">
        <v>7900</v>
      </c>
      <c r="D2785" t="s">
        <v>63</v>
      </c>
      <c r="E2785" t="s">
        <v>8353</v>
      </c>
      <c r="F2785" s="61">
        <v>38107</v>
      </c>
      <c r="G2785" s="15" t="s">
        <v>73</v>
      </c>
      <c r="H2785" t="s">
        <v>8354</v>
      </c>
      <c r="I2785" s="62" t="s">
        <v>8355</v>
      </c>
      <c r="K2785" s="36" t="s">
        <v>68</v>
      </c>
      <c r="L2785" t="s">
        <v>69</v>
      </c>
      <c r="M2785" s="62" t="s">
        <v>70</v>
      </c>
      <c r="N2785" t="s">
        <v>71</v>
      </c>
      <c r="O2785" t="str">
        <f>IFERROR(IF(Tbla_actores[[#This Row],[codigo_proyecto]]="","",_xlfn.XLOOKUP(Tbla_actores[[#This Row],[codigo_proyecto]],Proyectos!$A:$A,Proyectos!$C:$C)),"")</f>
        <v>NULOS</v>
      </c>
    </row>
    <row r="2786" spans="1:15">
      <c r="A2786" s="9">
        <v>1025643053</v>
      </c>
      <c r="B2786" s="63" t="s">
        <v>61</v>
      </c>
      <c r="C2786" s="62" t="s">
        <v>7900</v>
      </c>
      <c r="D2786" t="s">
        <v>63</v>
      </c>
      <c r="E2786" t="s">
        <v>8356</v>
      </c>
      <c r="F2786" s="61">
        <v>38315</v>
      </c>
      <c r="G2786" s="15" t="s">
        <v>73</v>
      </c>
      <c r="H2786" t="s">
        <v>8357</v>
      </c>
      <c r="I2786" s="62" t="s">
        <v>8358</v>
      </c>
      <c r="K2786" s="36" t="s">
        <v>169</v>
      </c>
      <c r="L2786" t="s">
        <v>69</v>
      </c>
      <c r="M2786" s="62" t="s">
        <v>170</v>
      </c>
      <c r="N2786" t="s">
        <v>71</v>
      </c>
      <c r="O2786" t="str">
        <f>IFERROR(IF(Tbla_actores[[#This Row],[codigo_proyecto]]="","",_xlfn.XLOOKUP(Tbla_actores[[#This Row],[codigo_proyecto]],Proyectos!$A:$A,Proyectos!$C:$C)),"")</f>
        <v>NULOS</v>
      </c>
    </row>
    <row r="2787" spans="1:15">
      <c r="A2787" s="10">
        <v>1000236288</v>
      </c>
      <c r="B2787" s="64" t="s">
        <v>61</v>
      </c>
      <c r="C2787" s="62" t="s">
        <v>7900</v>
      </c>
      <c r="D2787" t="s">
        <v>63</v>
      </c>
      <c r="E2787" t="s">
        <v>8359</v>
      </c>
      <c r="F2787" s="61">
        <v>37222</v>
      </c>
      <c r="G2787" s="15" t="s">
        <v>73</v>
      </c>
      <c r="H2787" t="s">
        <v>8360</v>
      </c>
      <c r="I2787" s="62" t="s">
        <v>8361</v>
      </c>
      <c r="K2787" s="36" t="s">
        <v>1489</v>
      </c>
      <c r="L2787" t="s">
        <v>69</v>
      </c>
      <c r="M2787" s="62" t="s">
        <v>70</v>
      </c>
      <c r="N2787" t="s">
        <v>71</v>
      </c>
      <c r="O2787" t="str">
        <f>IFERROR(IF(Tbla_actores[[#This Row],[codigo_proyecto]]="","",_xlfn.XLOOKUP(Tbla_actores[[#This Row],[codigo_proyecto]],Proyectos!$A:$A,Proyectos!$C:$C)),"")</f>
        <v>NULOS</v>
      </c>
    </row>
    <row r="2788" spans="1:15">
      <c r="A2788" s="9">
        <v>1000494713</v>
      </c>
      <c r="B2788" s="63" t="s">
        <v>61</v>
      </c>
      <c r="C2788" s="62" t="s">
        <v>7900</v>
      </c>
      <c r="D2788" t="s">
        <v>63</v>
      </c>
      <c r="E2788" t="s">
        <v>8362</v>
      </c>
      <c r="F2788" s="61">
        <v>37140</v>
      </c>
      <c r="G2788" s="15" t="s">
        <v>73</v>
      </c>
      <c r="H2788" t="s">
        <v>8363</v>
      </c>
      <c r="I2788" s="62" t="s">
        <v>8364</v>
      </c>
      <c r="K2788" s="36" t="s">
        <v>68</v>
      </c>
      <c r="L2788" t="s">
        <v>69</v>
      </c>
      <c r="M2788" s="62" t="s">
        <v>70</v>
      </c>
      <c r="N2788" t="s">
        <v>71</v>
      </c>
      <c r="O2788" t="str">
        <f>IFERROR(IF(Tbla_actores[[#This Row],[codigo_proyecto]]="","",_xlfn.XLOOKUP(Tbla_actores[[#This Row],[codigo_proyecto]],Proyectos!$A:$A,Proyectos!$C:$C)),"")</f>
        <v>NULOS</v>
      </c>
    </row>
    <row r="2789" spans="1:15">
      <c r="A2789" s="10">
        <v>1054543048</v>
      </c>
      <c r="B2789" s="64" t="s">
        <v>61</v>
      </c>
      <c r="C2789" s="62" t="s">
        <v>7900</v>
      </c>
      <c r="D2789" t="s">
        <v>63</v>
      </c>
      <c r="E2789" t="s">
        <v>8365</v>
      </c>
      <c r="F2789" s="61">
        <v>38489</v>
      </c>
      <c r="G2789" s="15" t="s">
        <v>73</v>
      </c>
      <c r="H2789" t="s">
        <v>8366</v>
      </c>
      <c r="I2789" s="62" t="s">
        <v>8367</v>
      </c>
      <c r="K2789" s="36" t="s">
        <v>68</v>
      </c>
      <c r="L2789" t="s">
        <v>69</v>
      </c>
      <c r="M2789" s="62" t="s">
        <v>70</v>
      </c>
      <c r="N2789" t="s">
        <v>71</v>
      </c>
      <c r="O2789" t="str">
        <f>IFERROR(IF(Tbla_actores[[#This Row],[codigo_proyecto]]="","",_xlfn.XLOOKUP(Tbla_actores[[#This Row],[codigo_proyecto]],Proyectos!$A:$A,Proyectos!$C:$C)),"")</f>
        <v>NULOS</v>
      </c>
    </row>
    <row r="2790" spans="1:15">
      <c r="A2790" s="9">
        <v>1193423560</v>
      </c>
      <c r="B2790" s="63" t="s">
        <v>61</v>
      </c>
      <c r="C2790" s="62" t="s">
        <v>7900</v>
      </c>
      <c r="D2790" t="s">
        <v>63</v>
      </c>
      <c r="E2790" t="s">
        <v>8368</v>
      </c>
      <c r="F2790" s="61">
        <v>37082</v>
      </c>
      <c r="G2790" s="15" t="s">
        <v>73</v>
      </c>
      <c r="H2790" t="s">
        <v>8369</v>
      </c>
      <c r="I2790" s="62" t="s">
        <v>8370</v>
      </c>
      <c r="K2790" s="36" t="s">
        <v>1489</v>
      </c>
      <c r="L2790" t="s">
        <v>69</v>
      </c>
      <c r="M2790" s="62" t="s">
        <v>70</v>
      </c>
      <c r="N2790" t="s">
        <v>71</v>
      </c>
      <c r="O2790" t="str">
        <f>IFERROR(IF(Tbla_actores[[#This Row],[codigo_proyecto]]="","",_xlfn.XLOOKUP(Tbla_actores[[#This Row],[codigo_proyecto]],Proyectos!$A:$A,Proyectos!$C:$C)),"")</f>
        <v>NULOS</v>
      </c>
    </row>
    <row r="2791" spans="1:15">
      <c r="A2791" s="10">
        <v>1032876400</v>
      </c>
      <c r="B2791" s="64" t="s">
        <v>61</v>
      </c>
      <c r="C2791" s="62" t="s">
        <v>7900</v>
      </c>
      <c r="D2791" t="s">
        <v>63</v>
      </c>
      <c r="E2791" t="s">
        <v>8371</v>
      </c>
      <c r="F2791" s="61">
        <v>38235</v>
      </c>
      <c r="G2791" s="15" t="s">
        <v>73</v>
      </c>
      <c r="H2791" t="s">
        <v>8372</v>
      </c>
      <c r="I2791" s="62" t="s">
        <v>8373</v>
      </c>
      <c r="K2791" s="36" t="s">
        <v>169</v>
      </c>
      <c r="L2791" t="s">
        <v>69</v>
      </c>
      <c r="M2791" s="62" t="s">
        <v>170</v>
      </c>
      <c r="N2791" t="s">
        <v>71</v>
      </c>
      <c r="O2791" t="str">
        <f>IFERROR(IF(Tbla_actores[[#This Row],[codigo_proyecto]]="","",_xlfn.XLOOKUP(Tbla_actores[[#This Row],[codigo_proyecto]],Proyectos!$A:$A,Proyectos!$C:$C)),"")</f>
        <v>NULOS</v>
      </c>
    </row>
    <row r="2792" spans="1:15">
      <c r="A2792" s="9">
        <v>1001310241</v>
      </c>
      <c r="B2792" s="63" t="s">
        <v>61</v>
      </c>
      <c r="C2792" s="62" t="s">
        <v>7900</v>
      </c>
      <c r="D2792" t="s">
        <v>63</v>
      </c>
      <c r="E2792" t="s">
        <v>8374</v>
      </c>
      <c r="F2792" s="61">
        <v>37221</v>
      </c>
      <c r="G2792" s="15" t="s">
        <v>73</v>
      </c>
      <c r="H2792" t="s">
        <v>8375</v>
      </c>
      <c r="I2792" s="62" t="s">
        <v>8376</v>
      </c>
      <c r="K2792" s="36" t="s">
        <v>7284</v>
      </c>
      <c r="L2792" t="s">
        <v>69</v>
      </c>
      <c r="M2792" s="62" t="s">
        <v>70</v>
      </c>
      <c r="N2792" t="s">
        <v>71</v>
      </c>
      <c r="O2792" t="str">
        <f>IFERROR(IF(Tbla_actores[[#This Row],[codigo_proyecto]]="","",_xlfn.XLOOKUP(Tbla_actores[[#This Row],[codigo_proyecto]],Proyectos!$A:$A,Proyectos!$C:$C)),"")</f>
        <v>NULOS</v>
      </c>
    </row>
    <row r="2793" spans="1:15">
      <c r="A2793" s="10">
        <v>1018464504</v>
      </c>
      <c r="B2793" s="64" t="s">
        <v>61</v>
      </c>
      <c r="C2793" s="62" t="s">
        <v>7900</v>
      </c>
      <c r="D2793" t="s">
        <v>63</v>
      </c>
      <c r="E2793" t="s">
        <v>8377</v>
      </c>
      <c r="F2793" s="61">
        <v>34360</v>
      </c>
      <c r="G2793" s="15" t="s">
        <v>73</v>
      </c>
      <c r="H2793" t="s">
        <v>8378</v>
      </c>
      <c r="I2793" s="62" t="s">
        <v>8379</v>
      </c>
      <c r="K2793" s="36" t="s">
        <v>169</v>
      </c>
      <c r="L2793" t="s">
        <v>69</v>
      </c>
      <c r="M2793" s="62" t="s">
        <v>170</v>
      </c>
      <c r="N2793" t="s">
        <v>71</v>
      </c>
      <c r="O2793" t="str">
        <f>IFERROR(IF(Tbla_actores[[#This Row],[codigo_proyecto]]="","",_xlfn.XLOOKUP(Tbla_actores[[#This Row],[codigo_proyecto]],Proyectos!$A:$A,Proyectos!$C:$C)),"")</f>
        <v>NULOS</v>
      </c>
    </row>
    <row r="2794" spans="1:15">
      <c r="A2794" s="9">
        <v>1013097209</v>
      </c>
      <c r="B2794" s="63" t="s">
        <v>61</v>
      </c>
      <c r="C2794" s="62" t="s">
        <v>7900</v>
      </c>
      <c r="D2794" t="s">
        <v>63</v>
      </c>
      <c r="E2794" t="s">
        <v>8380</v>
      </c>
      <c r="F2794" s="61">
        <v>37976</v>
      </c>
      <c r="G2794" s="15" t="s">
        <v>65</v>
      </c>
      <c r="H2794" t="s">
        <v>8381</v>
      </c>
      <c r="I2794" s="62" t="s">
        <v>8382</v>
      </c>
      <c r="K2794" s="36" t="s">
        <v>169</v>
      </c>
      <c r="L2794" t="s">
        <v>69</v>
      </c>
      <c r="M2794" s="62" t="s">
        <v>170</v>
      </c>
      <c r="N2794" t="s">
        <v>71</v>
      </c>
      <c r="O2794" t="str">
        <f>IFERROR(IF(Tbla_actores[[#This Row],[codigo_proyecto]]="","",_xlfn.XLOOKUP(Tbla_actores[[#This Row],[codigo_proyecto]],Proyectos!$A:$A,Proyectos!$C:$C)),"")</f>
        <v>NULOS</v>
      </c>
    </row>
    <row r="2795" spans="1:15">
      <c r="A2795" s="10">
        <v>1010960825</v>
      </c>
      <c r="B2795" s="64" t="s">
        <v>61</v>
      </c>
      <c r="C2795" s="62" t="s">
        <v>7900</v>
      </c>
      <c r="D2795" t="s">
        <v>63</v>
      </c>
      <c r="E2795" t="s">
        <v>8383</v>
      </c>
      <c r="F2795" s="61">
        <v>38270</v>
      </c>
      <c r="G2795" s="15" t="s">
        <v>65</v>
      </c>
      <c r="H2795" t="s">
        <v>8384</v>
      </c>
      <c r="I2795" s="62" t="s">
        <v>8385</v>
      </c>
      <c r="K2795" s="36" t="s">
        <v>169</v>
      </c>
      <c r="L2795" t="s">
        <v>69</v>
      </c>
      <c r="M2795" s="62" t="s">
        <v>170</v>
      </c>
      <c r="N2795" t="s">
        <v>71</v>
      </c>
      <c r="O2795" t="str">
        <f>IFERROR(IF(Tbla_actores[[#This Row],[codigo_proyecto]]="","",_xlfn.XLOOKUP(Tbla_actores[[#This Row],[codigo_proyecto]],Proyectos!$A:$A,Proyectos!$C:$C)),"")</f>
        <v>NULOS</v>
      </c>
    </row>
    <row r="2796" spans="1:15">
      <c r="A2796" s="9">
        <v>1034396655</v>
      </c>
      <c r="B2796" s="63" t="s">
        <v>61</v>
      </c>
      <c r="C2796" s="62" t="s">
        <v>7900</v>
      </c>
      <c r="D2796" t="s">
        <v>63</v>
      </c>
      <c r="E2796" t="s">
        <v>8386</v>
      </c>
      <c r="F2796" s="61">
        <v>38077</v>
      </c>
      <c r="G2796" s="15" t="s">
        <v>65</v>
      </c>
      <c r="H2796" t="s">
        <v>8387</v>
      </c>
      <c r="I2796" s="62" t="s">
        <v>8388</v>
      </c>
      <c r="K2796" s="36" t="s">
        <v>68</v>
      </c>
      <c r="L2796" t="s">
        <v>69</v>
      </c>
      <c r="M2796" s="62" t="s">
        <v>70</v>
      </c>
      <c r="N2796" t="s">
        <v>71</v>
      </c>
      <c r="O2796" t="str">
        <f>IFERROR(IF(Tbla_actores[[#This Row],[codigo_proyecto]]="","",_xlfn.XLOOKUP(Tbla_actores[[#This Row],[codigo_proyecto]],Proyectos!$A:$A,Proyectos!$C:$C)),"")</f>
        <v>NULOS</v>
      </c>
    </row>
    <row r="2797" spans="1:15">
      <c r="A2797" s="10">
        <v>1000573375</v>
      </c>
      <c r="B2797" s="64" t="s">
        <v>61</v>
      </c>
      <c r="C2797" s="62" t="s">
        <v>7900</v>
      </c>
      <c r="D2797" t="s">
        <v>63</v>
      </c>
      <c r="E2797" t="s">
        <v>8389</v>
      </c>
      <c r="F2797" s="61">
        <v>37338</v>
      </c>
      <c r="G2797" s="15" t="s">
        <v>65</v>
      </c>
      <c r="H2797" t="s">
        <v>8390</v>
      </c>
      <c r="I2797" s="62" t="s">
        <v>8391</v>
      </c>
      <c r="K2797" s="36" t="s">
        <v>6427</v>
      </c>
      <c r="L2797" t="s">
        <v>69</v>
      </c>
      <c r="M2797" s="62" t="s">
        <v>70</v>
      </c>
      <c r="N2797" t="s">
        <v>71</v>
      </c>
      <c r="O2797" t="str">
        <f>IFERROR(IF(Tbla_actores[[#This Row],[codigo_proyecto]]="","",_xlfn.XLOOKUP(Tbla_actores[[#This Row],[codigo_proyecto]],Proyectos!$A:$A,Proyectos!$C:$C)),"")</f>
        <v>NULOS</v>
      </c>
    </row>
    <row r="2798" spans="1:15">
      <c r="A2798" s="9">
        <v>1001204268</v>
      </c>
      <c r="B2798" s="63" t="s">
        <v>61</v>
      </c>
      <c r="C2798" s="62" t="s">
        <v>7900</v>
      </c>
      <c r="D2798" t="s">
        <v>63</v>
      </c>
      <c r="E2798" t="s">
        <v>8392</v>
      </c>
      <c r="F2798" s="61">
        <v>37787</v>
      </c>
      <c r="G2798" s="15" t="s">
        <v>73</v>
      </c>
      <c r="H2798" t="s">
        <v>8393</v>
      </c>
      <c r="I2798" s="62" t="s">
        <v>8394</v>
      </c>
      <c r="K2798" s="36" t="s">
        <v>169</v>
      </c>
      <c r="L2798" t="s">
        <v>69</v>
      </c>
      <c r="M2798" s="62" t="s">
        <v>170</v>
      </c>
      <c r="N2798" t="s">
        <v>71</v>
      </c>
      <c r="O2798" t="str">
        <f>IFERROR(IF(Tbla_actores[[#This Row],[codigo_proyecto]]="","",_xlfn.XLOOKUP(Tbla_actores[[#This Row],[codigo_proyecto]],Proyectos!$A:$A,Proyectos!$C:$C)),"")</f>
        <v>NULOS</v>
      </c>
    </row>
    <row r="2799" spans="1:15">
      <c r="A2799" s="10">
        <v>1011080445</v>
      </c>
      <c r="B2799" s="64" t="s">
        <v>61</v>
      </c>
      <c r="C2799" s="62" t="s">
        <v>7900</v>
      </c>
      <c r="D2799" t="s">
        <v>63</v>
      </c>
      <c r="E2799" t="s">
        <v>8395</v>
      </c>
      <c r="F2799" s="61">
        <v>38184</v>
      </c>
      <c r="G2799" s="15" t="s">
        <v>65</v>
      </c>
      <c r="H2799" t="s">
        <v>8396</v>
      </c>
      <c r="I2799" s="62" t="s">
        <v>8397</v>
      </c>
      <c r="K2799" s="36" t="s">
        <v>169</v>
      </c>
      <c r="L2799" t="s">
        <v>69</v>
      </c>
      <c r="M2799" s="62" t="s">
        <v>170</v>
      </c>
      <c r="N2799" t="s">
        <v>71</v>
      </c>
      <c r="O2799" t="str">
        <f>IFERROR(IF(Tbla_actores[[#This Row],[codigo_proyecto]]="","",_xlfn.XLOOKUP(Tbla_actores[[#This Row],[codigo_proyecto]],Proyectos!$A:$A,Proyectos!$C:$C)),"")</f>
        <v>NULOS</v>
      </c>
    </row>
    <row r="2800" spans="1:15">
      <c r="A2800" s="9">
        <v>1034776994</v>
      </c>
      <c r="B2800" s="63" t="s">
        <v>61</v>
      </c>
      <c r="C2800" s="62" t="s">
        <v>7900</v>
      </c>
      <c r="D2800" t="s">
        <v>63</v>
      </c>
      <c r="E2800" t="s">
        <v>8398</v>
      </c>
      <c r="F2800" s="61">
        <v>38168</v>
      </c>
      <c r="G2800" s="15" t="s">
        <v>73</v>
      </c>
      <c r="H2800" t="s">
        <v>8399</v>
      </c>
      <c r="I2800" s="62" t="s">
        <v>8400</v>
      </c>
      <c r="K2800" s="36" t="s">
        <v>169</v>
      </c>
      <c r="L2800" t="s">
        <v>69</v>
      </c>
      <c r="M2800" s="62" t="s">
        <v>170</v>
      </c>
      <c r="N2800" t="s">
        <v>71</v>
      </c>
      <c r="O2800" t="str">
        <f>IFERROR(IF(Tbla_actores[[#This Row],[codigo_proyecto]]="","",_xlfn.XLOOKUP(Tbla_actores[[#This Row],[codigo_proyecto]],Proyectos!$A:$A,Proyectos!$C:$C)),"")</f>
        <v>NULOS</v>
      </c>
    </row>
    <row r="2801" spans="1:15">
      <c r="A2801" s="10">
        <v>1000253213</v>
      </c>
      <c r="B2801" s="64" t="s">
        <v>61</v>
      </c>
      <c r="C2801" s="62" t="s">
        <v>7900</v>
      </c>
      <c r="D2801" t="s">
        <v>63</v>
      </c>
      <c r="E2801" t="s">
        <v>8401</v>
      </c>
      <c r="F2801" s="61">
        <v>37946</v>
      </c>
      <c r="G2801" s="15" t="s">
        <v>73</v>
      </c>
      <c r="H2801" t="s">
        <v>8402</v>
      </c>
      <c r="I2801" s="62" t="s">
        <v>8403</v>
      </c>
      <c r="K2801" s="36" t="s">
        <v>68</v>
      </c>
      <c r="L2801" t="s">
        <v>69</v>
      </c>
      <c r="M2801" s="62" t="s">
        <v>70</v>
      </c>
      <c r="N2801" t="s">
        <v>71</v>
      </c>
      <c r="O2801" t="str">
        <f>IFERROR(IF(Tbla_actores[[#This Row],[codigo_proyecto]]="","",_xlfn.XLOOKUP(Tbla_actores[[#This Row],[codigo_proyecto]],Proyectos!$A:$A,Proyectos!$C:$C)),"")</f>
        <v>NULOS</v>
      </c>
    </row>
    <row r="2802" spans="1:15">
      <c r="A2802" s="9">
        <v>1002330325</v>
      </c>
      <c r="B2802" s="63" t="s">
        <v>61</v>
      </c>
      <c r="C2802" s="62" t="s">
        <v>7900</v>
      </c>
      <c r="D2802" t="s">
        <v>63</v>
      </c>
      <c r="E2802" t="s">
        <v>8404</v>
      </c>
      <c r="F2802" s="61">
        <v>37895</v>
      </c>
      <c r="G2802" s="15" t="s">
        <v>65</v>
      </c>
      <c r="H2802" t="s">
        <v>8405</v>
      </c>
      <c r="I2802" s="62" t="s">
        <v>8406</v>
      </c>
      <c r="K2802" s="36" t="s">
        <v>68</v>
      </c>
      <c r="L2802" t="s">
        <v>69</v>
      </c>
      <c r="M2802" s="62" t="s">
        <v>70</v>
      </c>
      <c r="N2802" t="s">
        <v>71</v>
      </c>
      <c r="O2802" t="str">
        <f>IFERROR(IF(Tbla_actores[[#This Row],[codigo_proyecto]]="","",_xlfn.XLOOKUP(Tbla_actores[[#This Row],[codigo_proyecto]],Proyectos!$A:$A,Proyectos!$C:$C)),"")</f>
        <v>NULOS</v>
      </c>
    </row>
    <row r="2803" spans="1:15">
      <c r="A2803" s="10">
        <v>1013256756</v>
      </c>
      <c r="B2803" s="64" t="s">
        <v>61</v>
      </c>
      <c r="C2803" s="62" t="s">
        <v>7900</v>
      </c>
      <c r="D2803" t="s">
        <v>63</v>
      </c>
      <c r="E2803" t="s">
        <v>8407</v>
      </c>
      <c r="F2803" s="61">
        <v>38098</v>
      </c>
      <c r="G2803" s="15" t="s">
        <v>73</v>
      </c>
      <c r="H2803" t="s">
        <v>8408</v>
      </c>
      <c r="I2803" s="62" t="s">
        <v>8409</v>
      </c>
      <c r="K2803" s="36" t="s">
        <v>7284</v>
      </c>
      <c r="L2803" t="s">
        <v>69</v>
      </c>
      <c r="M2803" s="62" t="s">
        <v>70</v>
      </c>
      <c r="N2803" t="s">
        <v>71</v>
      </c>
      <c r="O2803" t="str">
        <f>IFERROR(IF(Tbla_actores[[#This Row],[codigo_proyecto]]="","",_xlfn.XLOOKUP(Tbla_actores[[#This Row],[codigo_proyecto]],Proyectos!$A:$A,Proyectos!$C:$C)),"")</f>
        <v>NULOS</v>
      </c>
    </row>
    <row r="2804" spans="1:15">
      <c r="A2804" s="9">
        <v>1008106</v>
      </c>
      <c r="B2804" s="63" t="s">
        <v>61</v>
      </c>
      <c r="C2804" s="62" t="s">
        <v>7900</v>
      </c>
      <c r="D2804" t="s">
        <v>63</v>
      </c>
      <c r="E2804" t="s">
        <v>8410</v>
      </c>
      <c r="F2804" s="61">
        <v>37600</v>
      </c>
      <c r="G2804" s="15" t="s">
        <v>73</v>
      </c>
      <c r="H2804" t="s">
        <v>8411</v>
      </c>
      <c r="I2804" s="62" t="s">
        <v>8412</v>
      </c>
      <c r="K2804" s="36" t="s">
        <v>6427</v>
      </c>
      <c r="L2804" t="s">
        <v>69</v>
      </c>
      <c r="M2804" s="62" t="s">
        <v>70</v>
      </c>
      <c r="N2804" t="s">
        <v>71</v>
      </c>
      <c r="O2804" t="str">
        <f>IFERROR(IF(Tbla_actores[[#This Row],[codigo_proyecto]]="","",_xlfn.XLOOKUP(Tbla_actores[[#This Row],[codigo_proyecto]],Proyectos!$A:$A,Proyectos!$C:$C)),"")</f>
        <v>NULOS</v>
      </c>
    </row>
    <row r="2805" spans="1:15">
      <c r="A2805" s="10">
        <v>1003951140</v>
      </c>
      <c r="B2805" s="64" t="s">
        <v>61</v>
      </c>
      <c r="C2805" s="62" t="s">
        <v>7900</v>
      </c>
      <c r="D2805" t="s">
        <v>63</v>
      </c>
      <c r="E2805" t="s">
        <v>8413</v>
      </c>
      <c r="F2805" s="61">
        <v>37379</v>
      </c>
      <c r="G2805" s="15" t="s">
        <v>73</v>
      </c>
      <c r="H2805" t="s">
        <v>8414</v>
      </c>
      <c r="I2805" s="62" t="s">
        <v>8415</v>
      </c>
      <c r="K2805" s="36" t="s">
        <v>1489</v>
      </c>
      <c r="L2805" t="s">
        <v>69</v>
      </c>
      <c r="M2805" s="62" t="s">
        <v>70</v>
      </c>
      <c r="N2805" t="s">
        <v>71</v>
      </c>
      <c r="O2805" t="str">
        <f>IFERROR(IF(Tbla_actores[[#This Row],[codigo_proyecto]]="","",_xlfn.XLOOKUP(Tbla_actores[[#This Row],[codigo_proyecto]],Proyectos!$A:$A,Proyectos!$C:$C)),"")</f>
        <v>NULOS</v>
      </c>
    </row>
    <row r="2806" spans="1:15">
      <c r="A2806" s="9">
        <v>1034576225</v>
      </c>
      <c r="B2806" s="63" t="s">
        <v>61</v>
      </c>
      <c r="C2806" s="62" t="s">
        <v>7900</v>
      </c>
      <c r="D2806" t="s">
        <v>63</v>
      </c>
      <c r="E2806" t="s">
        <v>8416</v>
      </c>
      <c r="F2806" s="61">
        <v>38083</v>
      </c>
      <c r="G2806" s="15" t="s">
        <v>73</v>
      </c>
      <c r="H2806" t="s">
        <v>8417</v>
      </c>
      <c r="I2806" s="62" t="s">
        <v>8418</v>
      </c>
      <c r="K2806" s="36" t="s">
        <v>169</v>
      </c>
      <c r="L2806" t="s">
        <v>69</v>
      </c>
      <c r="M2806" s="62" t="s">
        <v>170</v>
      </c>
      <c r="N2806" t="s">
        <v>71</v>
      </c>
      <c r="O2806" t="str">
        <f>IFERROR(IF(Tbla_actores[[#This Row],[codigo_proyecto]]="","",_xlfn.XLOOKUP(Tbla_actores[[#This Row],[codigo_proyecto]],Proyectos!$A:$A,Proyectos!$C:$C)),"")</f>
        <v>NULOS</v>
      </c>
    </row>
    <row r="2807" spans="1:15">
      <c r="A2807" s="10">
        <v>1007442110</v>
      </c>
      <c r="B2807" s="64" t="s">
        <v>61</v>
      </c>
      <c r="C2807" s="62" t="s">
        <v>7900</v>
      </c>
      <c r="D2807" t="s">
        <v>63</v>
      </c>
      <c r="E2807" t="s">
        <v>8419</v>
      </c>
      <c r="F2807" s="61">
        <v>36751</v>
      </c>
      <c r="G2807" s="15" t="s">
        <v>73</v>
      </c>
      <c r="H2807" t="s">
        <v>8420</v>
      </c>
      <c r="I2807" s="62" t="s">
        <v>8421</v>
      </c>
      <c r="K2807" s="36" t="s">
        <v>169</v>
      </c>
      <c r="L2807" t="s">
        <v>69</v>
      </c>
      <c r="M2807" s="62" t="s">
        <v>170</v>
      </c>
      <c r="N2807" t="s">
        <v>71</v>
      </c>
      <c r="O2807" t="str">
        <f>IFERROR(IF(Tbla_actores[[#This Row],[codigo_proyecto]]="","",_xlfn.XLOOKUP(Tbla_actores[[#This Row],[codigo_proyecto]],Proyectos!$A:$A,Proyectos!$C:$C)),"")</f>
        <v>NULOS</v>
      </c>
    </row>
    <row r="2808" spans="1:15">
      <c r="A2808" s="9">
        <v>464266</v>
      </c>
      <c r="B2808" s="63" t="s">
        <v>61</v>
      </c>
      <c r="C2808" s="62" t="s">
        <v>7900</v>
      </c>
      <c r="D2808" t="s">
        <v>63</v>
      </c>
      <c r="E2808" t="s">
        <v>8422</v>
      </c>
      <c r="F2808" s="61">
        <v>38170</v>
      </c>
      <c r="G2808" s="15" t="s">
        <v>73</v>
      </c>
      <c r="H2808" t="s">
        <v>8423</v>
      </c>
      <c r="I2808" s="62" t="s">
        <v>8424</v>
      </c>
      <c r="K2808" s="36" t="s">
        <v>68</v>
      </c>
      <c r="L2808" t="s">
        <v>69</v>
      </c>
      <c r="M2808" s="62" t="s">
        <v>70</v>
      </c>
      <c r="N2808" t="s">
        <v>71</v>
      </c>
      <c r="O2808" t="str">
        <f>IFERROR(IF(Tbla_actores[[#This Row],[codigo_proyecto]]="","",_xlfn.XLOOKUP(Tbla_actores[[#This Row],[codigo_proyecto]],Proyectos!$A:$A,Proyectos!$C:$C)),"")</f>
        <v>NULOS</v>
      </c>
    </row>
    <row r="2809" spans="1:15">
      <c r="A2809" s="10">
        <v>1007603795</v>
      </c>
      <c r="B2809" s="64" t="s">
        <v>61</v>
      </c>
      <c r="C2809" s="62" t="s">
        <v>7900</v>
      </c>
      <c r="D2809" t="s">
        <v>63</v>
      </c>
      <c r="E2809" t="s">
        <v>8425</v>
      </c>
      <c r="F2809" s="61">
        <v>37657</v>
      </c>
      <c r="G2809" s="15" t="s">
        <v>65</v>
      </c>
      <c r="H2809" t="s">
        <v>8426</v>
      </c>
      <c r="I2809" s="62" t="s">
        <v>8427</v>
      </c>
      <c r="K2809" s="36" t="s">
        <v>68</v>
      </c>
      <c r="L2809" t="s">
        <v>69</v>
      </c>
      <c r="M2809" s="62" t="s">
        <v>70</v>
      </c>
      <c r="N2809" t="s">
        <v>71</v>
      </c>
      <c r="O2809" t="str">
        <f>IFERROR(IF(Tbla_actores[[#This Row],[codigo_proyecto]]="","",_xlfn.XLOOKUP(Tbla_actores[[#This Row],[codigo_proyecto]],Proyectos!$A:$A,Proyectos!$C:$C)),"")</f>
        <v>NULOS</v>
      </c>
    </row>
    <row r="2810" spans="1:15">
      <c r="A2810" s="9">
        <v>1000470074</v>
      </c>
      <c r="B2810" s="63" t="s">
        <v>61</v>
      </c>
      <c r="C2810" s="62" t="s">
        <v>7900</v>
      </c>
      <c r="D2810" t="s">
        <v>63</v>
      </c>
      <c r="E2810" t="s">
        <v>8428</v>
      </c>
      <c r="F2810" s="61">
        <v>37907</v>
      </c>
      <c r="G2810" s="15" t="s">
        <v>65</v>
      </c>
      <c r="H2810" t="s">
        <v>8429</v>
      </c>
      <c r="I2810" s="62" t="s">
        <v>8430</v>
      </c>
      <c r="K2810" s="36" t="s">
        <v>169</v>
      </c>
      <c r="L2810" t="s">
        <v>69</v>
      </c>
      <c r="M2810" s="62" t="s">
        <v>170</v>
      </c>
      <c r="N2810" t="s">
        <v>71</v>
      </c>
      <c r="O2810" t="str">
        <f>IFERROR(IF(Tbla_actores[[#This Row],[codigo_proyecto]]="","",_xlfn.XLOOKUP(Tbla_actores[[#This Row],[codigo_proyecto]],Proyectos!$A:$A,Proyectos!$C:$C)),"")</f>
        <v>NULOS</v>
      </c>
    </row>
    <row r="2811" spans="1:15">
      <c r="A2811" s="10">
        <v>1027400406</v>
      </c>
      <c r="B2811" s="64" t="s">
        <v>61</v>
      </c>
      <c r="C2811" s="62" t="s">
        <v>7900</v>
      </c>
      <c r="D2811" t="s">
        <v>63</v>
      </c>
      <c r="E2811" t="s">
        <v>8431</v>
      </c>
      <c r="F2811" s="61">
        <v>38191</v>
      </c>
      <c r="G2811" s="15" t="s">
        <v>73</v>
      </c>
      <c r="H2811" t="s">
        <v>8432</v>
      </c>
      <c r="I2811" s="62" t="s">
        <v>8433</v>
      </c>
      <c r="K2811" s="36" t="s">
        <v>169</v>
      </c>
      <c r="L2811" t="s">
        <v>69</v>
      </c>
      <c r="M2811" s="62" t="s">
        <v>170</v>
      </c>
      <c r="N2811" t="s">
        <v>71</v>
      </c>
      <c r="O2811" t="str">
        <f>IFERROR(IF(Tbla_actores[[#This Row],[codigo_proyecto]]="","",_xlfn.XLOOKUP(Tbla_actores[[#This Row],[codigo_proyecto]],Proyectos!$A:$A,Proyectos!$C:$C)),"")</f>
        <v>NULOS</v>
      </c>
    </row>
    <row r="2812" spans="1:15">
      <c r="A2812" s="9">
        <v>1011200968</v>
      </c>
      <c r="B2812" s="63" t="s">
        <v>61</v>
      </c>
      <c r="C2812" s="62" t="s">
        <v>7900</v>
      </c>
      <c r="D2812" t="s">
        <v>63</v>
      </c>
      <c r="E2812" t="s">
        <v>8434</v>
      </c>
      <c r="F2812" s="61">
        <v>38370</v>
      </c>
      <c r="G2812" s="15" t="s">
        <v>73</v>
      </c>
      <c r="H2812" t="s">
        <v>8435</v>
      </c>
      <c r="I2812" s="62" t="s">
        <v>8436</v>
      </c>
      <c r="K2812" s="36" t="s">
        <v>169</v>
      </c>
      <c r="L2812" t="s">
        <v>69</v>
      </c>
      <c r="M2812" s="62" t="s">
        <v>170</v>
      </c>
      <c r="N2812" t="s">
        <v>71</v>
      </c>
      <c r="O2812" t="str">
        <f>IFERROR(IF(Tbla_actores[[#This Row],[codigo_proyecto]]="","",_xlfn.XLOOKUP(Tbla_actores[[#This Row],[codigo_proyecto]],Proyectos!$A:$A,Proyectos!$C:$C)),"")</f>
        <v>NULOS</v>
      </c>
    </row>
    <row r="2813" spans="1:15">
      <c r="A2813" s="10">
        <v>1034657498</v>
      </c>
      <c r="B2813" s="64" t="s">
        <v>61</v>
      </c>
      <c r="C2813" s="62" t="s">
        <v>7900</v>
      </c>
      <c r="D2813" t="s">
        <v>63</v>
      </c>
      <c r="E2813" t="s">
        <v>8437</v>
      </c>
      <c r="F2813" s="61">
        <v>38220</v>
      </c>
      <c r="G2813" s="15" t="s">
        <v>73</v>
      </c>
      <c r="H2813" t="s">
        <v>8438</v>
      </c>
      <c r="I2813" s="62" t="s">
        <v>8439</v>
      </c>
      <c r="K2813" s="36" t="s">
        <v>169</v>
      </c>
      <c r="L2813" t="s">
        <v>69</v>
      </c>
      <c r="M2813" s="62" t="s">
        <v>170</v>
      </c>
      <c r="N2813" t="s">
        <v>71</v>
      </c>
      <c r="O2813" t="str">
        <f>IFERROR(IF(Tbla_actores[[#This Row],[codigo_proyecto]]="","",_xlfn.XLOOKUP(Tbla_actores[[#This Row],[codigo_proyecto]],Proyectos!$A:$A,Proyectos!$C:$C)),"")</f>
        <v>NULOS</v>
      </c>
    </row>
    <row r="2814" spans="1:15">
      <c r="A2814" s="9">
        <v>1034516329</v>
      </c>
      <c r="B2814" s="63" t="s">
        <v>61</v>
      </c>
      <c r="C2814" s="62" t="s">
        <v>7900</v>
      </c>
      <c r="D2814" t="s">
        <v>63</v>
      </c>
      <c r="E2814" t="s">
        <v>8440</v>
      </c>
      <c r="F2814" s="61">
        <v>38222</v>
      </c>
      <c r="G2814" s="15" t="s">
        <v>73</v>
      </c>
      <c r="H2814" t="s">
        <v>8441</v>
      </c>
      <c r="I2814" s="62" t="s">
        <v>8442</v>
      </c>
      <c r="K2814" s="36" t="s">
        <v>169</v>
      </c>
      <c r="L2814" t="s">
        <v>69</v>
      </c>
      <c r="M2814" s="62" t="s">
        <v>170</v>
      </c>
      <c r="N2814" t="s">
        <v>71</v>
      </c>
      <c r="O2814" t="str">
        <f>IFERROR(IF(Tbla_actores[[#This Row],[codigo_proyecto]]="","",_xlfn.XLOOKUP(Tbla_actores[[#This Row],[codigo_proyecto]],Proyectos!$A:$A,Proyectos!$C:$C)),"")</f>
        <v>NULOS</v>
      </c>
    </row>
    <row r="2815" spans="1:15">
      <c r="A2815" s="10">
        <v>1034657638</v>
      </c>
      <c r="B2815" s="64" t="s">
        <v>61</v>
      </c>
      <c r="C2815" s="62" t="s">
        <v>7900</v>
      </c>
      <c r="D2815" t="s">
        <v>63</v>
      </c>
      <c r="E2815" t="s">
        <v>8443</v>
      </c>
      <c r="F2815" s="61">
        <v>38253</v>
      </c>
      <c r="G2815" s="15" t="s">
        <v>65</v>
      </c>
      <c r="H2815" t="s">
        <v>8444</v>
      </c>
      <c r="I2815" s="62" t="s">
        <v>8445</v>
      </c>
      <c r="K2815" s="36" t="s">
        <v>169</v>
      </c>
      <c r="L2815" t="s">
        <v>69</v>
      </c>
      <c r="M2815" s="62" t="s">
        <v>170</v>
      </c>
      <c r="N2815" t="s">
        <v>71</v>
      </c>
      <c r="O2815" t="str">
        <f>IFERROR(IF(Tbla_actores[[#This Row],[codigo_proyecto]]="","",_xlfn.XLOOKUP(Tbla_actores[[#This Row],[codigo_proyecto]],Proyectos!$A:$A,Proyectos!$C:$C)),"")</f>
        <v>NULOS</v>
      </c>
    </row>
    <row r="2816" spans="1:15">
      <c r="A2816" s="9">
        <v>1013103114</v>
      </c>
      <c r="B2816" s="63" t="s">
        <v>61</v>
      </c>
      <c r="C2816" s="62" t="s">
        <v>7900</v>
      </c>
      <c r="D2816" t="s">
        <v>63</v>
      </c>
      <c r="E2816" t="s">
        <v>8446</v>
      </c>
      <c r="F2816" s="61">
        <v>38327</v>
      </c>
      <c r="G2816" s="15" t="s">
        <v>65</v>
      </c>
      <c r="H2816" t="s">
        <v>8447</v>
      </c>
      <c r="I2816" s="62" t="s">
        <v>8448</v>
      </c>
      <c r="K2816" s="36" t="s">
        <v>169</v>
      </c>
      <c r="L2816" t="s">
        <v>69</v>
      </c>
      <c r="M2816" s="62" t="s">
        <v>170</v>
      </c>
      <c r="N2816" t="s">
        <v>71</v>
      </c>
      <c r="O2816" t="str">
        <f>IFERROR(IF(Tbla_actores[[#This Row],[codigo_proyecto]]="","",_xlfn.XLOOKUP(Tbla_actores[[#This Row],[codigo_proyecto]],Proyectos!$A:$A,Proyectos!$C:$C)),"")</f>
        <v>NULOS</v>
      </c>
    </row>
    <row r="2817" spans="1:15">
      <c r="A2817" s="10">
        <v>1031642460</v>
      </c>
      <c r="B2817" s="64" t="s">
        <v>61</v>
      </c>
      <c r="C2817" s="62" t="s">
        <v>7900</v>
      </c>
      <c r="D2817" t="s">
        <v>63</v>
      </c>
      <c r="E2817" t="s">
        <v>8449</v>
      </c>
      <c r="F2817" s="61">
        <v>38142</v>
      </c>
      <c r="G2817" s="15" t="s">
        <v>65</v>
      </c>
      <c r="H2817" t="s">
        <v>8450</v>
      </c>
      <c r="I2817" s="62" t="s">
        <v>8451</v>
      </c>
      <c r="K2817" s="36" t="s">
        <v>169</v>
      </c>
      <c r="L2817" t="s">
        <v>69</v>
      </c>
      <c r="M2817" s="62" t="s">
        <v>170</v>
      </c>
      <c r="N2817" t="s">
        <v>71</v>
      </c>
      <c r="O2817" t="str">
        <f>IFERROR(IF(Tbla_actores[[#This Row],[codigo_proyecto]]="","",_xlfn.XLOOKUP(Tbla_actores[[#This Row],[codigo_proyecto]],Proyectos!$A:$A,Proyectos!$C:$C)),"")</f>
        <v>NULOS</v>
      </c>
    </row>
    <row r="2818" spans="1:15">
      <c r="A2818" s="9">
        <v>1029141087</v>
      </c>
      <c r="B2818" s="63" t="s">
        <v>61</v>
      </c>
      <c r="C2818" s="62" t="s">
        <v>7900</v>
      </c>
      <c r="D2818" t="s">
        <v>63</v>
      </c>
      <c r="E2818" t="s">
        <v>8452</v>
      </c>
      <c r="F2818" s="61">
        <v>38525</v>
      </c>
      <c r="G2818" s="15" t="s">
        <v>65</v>
      </c>
      <c r="H2818" t="s">
        <v>8453</v>
      </c>
      <c r="I2818" s="62" t="s">
        <v>8454</v>
      </c>
      <c r="K2818" s="36" t="s">
        <v>169</v>
      </c>
      <c r="L2818" t="s">
        <v>69</v>
      </c>
      <c r="M2818" s="62" t="s">
        <v>170</v>
      </c>
      <c r="N2818" t="s">
        <v>71</v>
      </c>
      <c r="O2818" t="str">
        <f>IFERROR(IF(Tbla_actores[[#This Row],[codigo_proyecto]]="","",_xlfn.XLOOKUP(Tbla_actores[[#This Row],[codigo_proyecto]],Proyectos!$A:$A,Proyectos!$C:$C)),"")</f>
        <v>NULOS</v>
      </c>
    </row>
    <row r="2819" spans="1:15">
      <c r="A2819" s="10">
        <v>1032797803</v>
      </c>
      <c r="B2819" s="64" t="s">
        <v>61</v>
      </c>
      <c r="C2819" s="62" t="s">
        <v>7900</v>
      </c>
      <c r="D2819" t="s">
        <v>63</v>
      </c>
      <c r="E2819" t="s">
        <v>8455</v>
      </c>
      <c r="F2819" s="61">
        <v>38208</v>
      </c>
      <c r="G2819" s="15" t="s">
        <v>65</v>
      </c>
      <c r="H2819" t="s">
        <v>8456</v>
      </c>
      <c r="I2819" s="62" t="s">
        <v>8457</v>
      </c>
      <c r="K2819" s="36" t="s">
        <v>169</v>
      </c>
      <c r="L2819" t="s">
        <v>69</v>
      </c>
      <c r="M2819" s="62" t="s">
        <v>170</v>
      </c>
      <c r="N2819" t="s">
        <v>71</v>
      </c>
      <c r="O2819" t="str">
        <f>IFERROR(IF(Tbla_actores[[#This Row],[codigo_proyecto]]="","",_xlfn.XLOOKUP(Tbla_actores[[#This Row],[codigo_proyecto]],Proyectos!$A:$A,Proyectos!$C:$C)),"")</f>
        <v>NULOS</v>
      </c>
    </row>
    <row r="2820" spans="1:15">
      <c r="A2820" s="9">
        <v>1023242137</v>
      </c>
      <c r="B2820" s="63" t="s">
        <v>61</v>
      </c>
      <c r="C2820" s="62" t="s">
        <v>7900</v>
      </c>
      <c r="D2820" t="s">
        <v>63</v>
      </c>
      <c r="E2820" t="s">
        <v>8458</v>
      </c>
      <c r="F2820" s="61">
        <v>38117</v>
      </c>
      <c r="G2820" s="15" t="s">
        <v>73</v>
      </c>
      <c r="H2820" t="s">
        <v>8459</v>
      </c>
      <c r="I2820" s="62" t="s">
        <v>8460</v>
      </c>
      <c r="K2820" s="36" t="s">
        <v>169</v>
      </c>
      <c r="L2820" t="s">
        <v>69</v>
      </c>
      <c r="M2820" s="62" t="s">
        <v>170</v>
      </c>
      <c r="N2820" t="s">
        <v>71</v>
      </c>
      <c r="O2820" t="str">
        <f>IFERROR(IF(Tbla_actores[[#This Row],[codigo_proyecto]]="","",_xlfn.XLOOKUP(Tbla_actores[[#This Row],[codigo_proyecto]],Proyectos!$A:$A,Proyectos!$C:$C)),"")</f>
        <v>NULOS</v>
      </c>
    </row>
    <row r="2821" spans="1:15">
      <c r="A2821" s="10">
        <v>1000503369</v>
      </c>
      <c r="B2821" s="64" t="s">
        <v>61</v>
      </c>
      <c r="C2821" s="62" t="s">
        <v>7900</v>
      </c>
      <c r="D2821" t="s">
        <v>63</v>
      </c>
      <c r="E2821" t="s">
        <v>8461</v>
      </c>
      <c r="F2821" s="61">
        <v>37324</v>
      </c>
      <c r="G2821" s="15" t="s">
        <v>73</v>
      </c>
      <c r="H2821" t="s">
        <v>8462</v>
      </c>
      <c r="I2821" s="62" t="s">
        <v>8463</v>
      </c>
      <c r="K2821" s="36" t="s">
        <v>169</v>
      </c>
      <c r="L2821" t="s">
        <v>69</v>
      </c>
      <c r="M2821" s="62" t="s">
        <v>170</v>
      </c>
      <c r="N2821" t="s">
        <v>71</v>
      </c>
      <c r="O2821" t="str">
        <f>IFERROR(IF(Tbla_actores[[#This Row],[codigo_proyecto]]="","",_xlfn.XLOOKUP(Tbla_actores[[#This Row],[codigo_proyecto]],Proyectos!$A:$A,Proyectos!$C:$C)),"")</f>
        <v>NULOS</v>
      </c>
    </row>
    <row r="2822" spans="1:15">
      <c r="A2822" s="9">
        <v>1010107059</v>
      </c>
      <c r="B2822" s="63" t="s">
        <v>61</v>
      </c>
      <c r="C2822" s="62" t="s">
        <v>7900</v>
      </c>
      <c r="D2822" t="s">
        <v>63</v>
      </c>
      <c r="E2822" t="s">
        <v>8464</v>
      </c>
      <c r="F2822" s="61">
        <v>36861</v>
      </c>
      <c r="G2822" s="15" t="s">
        <v>73</v>
      </c>
      <c r="H2822" t="s">
        <v>8465</v>
      </c>
      <c r="I2822" s="62" t="s">
        <v>8466</v>
      </c>
      <c r="K2822" s="36" t="s">
        <v>169</v>
      </c>
      <c r="L2822" t="s">
        <v>69</v>
      </c>
      <c r="M2822" s="62" t="s">
        <v>170</v>
      </c>
      <c r="N2822" t="s">
        <v>71</v>
      </c>
      <c r="O2822" t="str">
        <f>IFERROR(IF(Tbla_actores[[#This Row],[codigo_proyecto]]="","",_xlfn.XLOOKUP(Tbla_actores[[#This Row],[codigo_proyecto]],Proyectos!$A:$A,Proyectos!$C:$C)),"")</f>
        <v>NULOS</v>
      </c>
    </row>
    <row r="2823" spans="1:15">
      <c r="A2823" s="10">
        <v>1000289110</v>
      </c>
      <c r="B2823" s="64" t="s">
        <v>61</v>
      </c>
      <c r="C2823" s="62" t="s">
        <v>7900</v>
      </c>
      <c r="D2823" t="s">
        <v>63</v>
      </c>
      <c r="E2823" t="s">
        <v>8467</v>
      </c>
      <c r="F2823" s="61">
        <v>37921</v>
      </c>
      <c r="G2823" s="15" t="s">
        <v>73</v>
      </c>
      <c r="H2823" t="s">
        <v>8468</v>
      </c>
      <c r="I2823" s="62" t="s">
        <v>8469</v>
      </c>
      <c r="K2823" s="36" t="s">
        <v>169</v>
      </c>
      <c r="L2823" t="s">
        <v>69</v>
      </c>
      <c r="M2823" s="62" t="s">
        <v>170</v>
      </c>
      <c r="N2823" t="s">
        <v>71</v>
      </c>
      <c r="O2823" t="str">
        <f>IFERROR(IF(Tbla_actores[[#This Row],[codigo_proyecto]]="","",_xlfn.XLOOKUP(Tbla_actores[[#This Row],[codigo_proyecto]],Proyectos!$A:$A,Proyectos!$C:$C)),"")</f>
        <v>NULOS</v>
      </c>
    </row>
    <row r="2824" spans="1:15">
      <c r="A2824" s="9">
        <v>1071062194</v>
      </c>
      <c r="B2824" s="63" t="s">
        <v>61</v>
      </c>
      <c r="C2824" s="62" t="s">
        <v>7900</v>
      </c>
      <c r="D2824" t="s">
        <v>63</v>
      </c>
      <c r="E2824" t="s">
        <v>8470</v>
      </c>
      <c r="F2824" s="61">
        <v>38145</v>
      </c>
      <c r="G2824" s="15" t="s">
        <v>65</v>
      </c>
      <c r="H2824" t="s">
        <v>8471</v>
      </c>
      <c r="I2824" s="62" t="s">
        <v>8472</v>
      </c>
      <c r="K2824" s="36" t="s">
        <v>169</v>
      </c>
      <c r="L2824" t="s">
        <v>69</v>
      </c>
      <c r="M2824" s="62" t="s">
        <v>170</v>
      </c>
      <c r="N2824" t="s">
        <v>71</v>
      </c>
      <c r="O2824" t="str">
        <f>IFERROR(IF(Tbla_actores[[#This Row],[codigo_proyecto]]="","",_xlfn.XLOOKUP(Tbla_actores[[#This Row],[codigo_proyecto]],Proyectos!$A:$A,Proyectos!$C:$C)),"")</f>
        <v>NULOS</v>
      </c>
    </row>
    <row r="2825" spans="1:15">
      <c r="A2825" s="10">
        <v>1001097708</v>
      </c>
      <c r="B2825" s="64" t="s">
        <v>61</v>
      </c>
      <c r="C2825" s="62" t="s">
        <v>7900</v>
      </c>
      <c r="D2825" t="s">
        <v>63</v>
      </c>
      <c r="E2825" t="s">
        <v>8473</v>
      </c>
      <c r="F2825" s="61">
        <v>36971</v>
      </c>
      <c r="G2825" s="15" t="s">
        <v>73</v>
      </c>
      <c r="H2825" t="s">
        <v>8474</v>
      </c>
      <c r="I2825" s="62" t="s">
        <v>8475</v>
      </c>
      <c r="K2825" s="36" t="s">
        <v>7284</v>
      </c>
      <c r="L2825" t="s">
        <v>69</v>
      </c>
      <c r="M2825" s="62" t="s">
        <v>70</v>
      </c>
      <c r="N2825" t="s">
        <v>71</v>
      </c>
      <c r="O2825" t="str">
        <f>IFERROR(IF(Tbla_actores[[#This Row],[codigo_proyecto]]="","",_xlfn.XLOOKUP(Tbla_actores[[#This Row],[codigo_proyecto]],Proyectos!$A:$A,Proyectos!$C:$C)),"")</f>
        <v>NULOS</v>
      </c>
    </row>
    <row r="2826" spans="1:15">
      <c r="A2826" s="9">
        <v>1032356027</v>
      </c>
      <c r="B2826" s="63" t="s">
        <v>61</v>
      </c>
      <c r="C2826" s="62" t="s">
        <v>8476</v>
      </c>
      <c r="D2826" t="s">
        <v>63</v>
      </c>
      <c r="E2826" t="s">
        <v>8477</v>
      </c>
      <c r="F2826" s="61">
        <v>37947</v>
      </c>
      <c r="G2826" s="15" t="s">
        <v>73</v>
      </c>
      <c r="H2826" t="s">
        <v>8478</v>
      </c>
      <c r="I2826" s="62" t="s">
        <v>8479</v>
      </c>
      <c r="K2826" s="36" t="s">
        <v>1489</v>
      </c>
      <c r="L2826" t="s">
        <v>69</v>
      </c>
      <c r="M2826" s="62" t="s">
        <v>70</v>
      </c>
      <c r="N2826" t="s">
        <v>71</v>
      </c>
      <c r="O2826" t="str">
        <f>IFERROR(IF(Tbla_actores[[#This Row],[codigo_proyecto]]="","",_xlfn.XLOOKUP(Tbla_actores[[#This Row],[codigo_proyecto]],Proyectos!$A:$A,Proyectos!$C:$C)),"")</f>
        <v>NULOS</v>
      </c>
    </row>
    <row r="2827" spans="1:15">
      <c r="A2827" s="10">
        <v>1001316425</v>
      </c>
      <c r="B2827" s="64" t="s">
        <v>61</v>
      </c>
      <c r="C2827" s="62" t="s">
        <v>8476</v>
      </c>
      <c r="D2827" t="s">
        <v>63</v>
      </c>
      <c r="E2827" t="s">
        <v>8480</v>
      </c>
      <c r="F2827" s="61">
        <v>37368</v>
      </c>
      <c r="G2827" s="15" t="s">
        <v>73</v>
      </c>
      <c r="H2827" t="s">
        <v>8481</v>
      </c>
      <c r="I2827" s="62" t="s">
        <v>8482</v>
      </c>
      <c r="K2827" s="36" t="s">
        <v>1489</v>
      </c>
      <c r="L2827" t="s">
        <v>69</v>
      </c>
      <c r="M2827" s="62" t="s">
        <v>70</v>
      </c>
      <c r="N2827" t="s">
        <v>71</v>
      </c>
      <c r="O2827" t="str">
        <f>IFERROR(IF(Tbla_actores[[#This Row],[codigo_proyecto]]="","",_xlfn.XLOOKUP(Tbla_actores[[#This Row],[codigo_proyecto]],Proyectos!$A:$A,Proyectos!$C:$C)),"")</f>
        <v>NULOS</v>
      </c>
    </row>
    <row r="2828" spans="1:15">
      <c r="A2828" s="9">
        <v>1000145080</v>
      </c>
      <c r="B2828" s="63" t="s">
        <v>61</v>
      </c>
      <c r="C2828" s="62" t="s">
        <v>8476</v>
      </c>
      <c r="D2828" t="s">
        <v>63</v>
      </c>
      <c r="E2828" t="s">
        <v>8483</v>
      </c>
      <c r="F2828" s="61">
        <v>36773</v>
      </c>
      <c r="G2828" s="15" t="s">
        <v>65</v>
      </c>
      <c r="H2828" t="s">
        <v>8484</v>
      </c>
      <c r="I2828" s="62" t="s">
        <v>8485</v>
      </c>
      <c r="K2828" s="36" t="s">
        <v>1489</v>
      </c>
      <c r="L2828" t="s">
        <v>69</v>
      </c>
      <c r="M2828" s="62" t="s">
        <v>70</v>
      </c>
      <c r="N2828" t="s">
        <v>71</v>
      </c>
      <c r="O2828" t="str">
        <f>IFERROR(IF(Tbla_actores[[#This Row],[codigo_proyecto]]="","",_xlfn.XLOOKUP(Tbla_actores[[#This Row],[codigo_proyecto]],Proyectos!$A:$A,Proyectos!$C:$C)),"")</f>
        <v>NULOS</v>
      </c>
    </row>
    <row r="2829" spans="1:15">
      <c r="A2829" s="10">
        <v>1010004602</v>
      </c>
      <c r="B2829" s="64" t="s">
        <v>61</v>
      </c>
      <c r="C2829" s="62" t="s">
        <v>8476</v>
      </c>
      <c r="D2829" t="s">
        <v>63</v>
      </c>
      <c r="E2829" t="s">
        <v>8486</v>
      </c>
      <c r="F2829" s="61">
        <v>37909</v>
      </c>
      <c r="G2829" s="15" t="s">
        <v>73</v>
      </c>
      <c r="H2829" t="s">
        <v>8487</v>
      </c>
      <c r="I2829" s="62" t="s">
        <v>8488</v>
      </c>
      <c r="K2829" s="36" t="s">
        <v>7671</v>
      </c>
      <c r="L2829" t="s">
        <v>69</v>
      </c>
      <c r="M2829" s="62" t="s">
        <v>70</v>
      </c>
      <c r="N2829" t="s">
        <v>71</v>
      </c>
      <c r="O2829" t="str">
        <f>IFERROR(IF(Tbla_actores[[#This Row],[codigo_proyecto]]="","",_xlfn.XLOOKUP(Tbla_actores[[#This Row],[codigo_proyecto]],Proyectos!$A:$A,Proyectos!$C:$C)),"")</f>
        <v>NULOS</v>
      </c>
    </row>
    <row r="2830" spans="1:15">
      <c r="A2830" s="9">
        <v>1020842278</v>
      </c>
      <c r="B2830" s="63" t="s">
        <v>61</v>
      </c>
      <c r="C2830" s="62" t="s">
        <v>8476</v>
      </c>
      <c r="D2830" t="s">
        <v>63</v>
      </c>
      <c r="E2830" t="s">
        <v>8489</v>
      </c>
      <c r="F2830" s="61">
        <v>36353</v>
      </c>
      <c r="G2830" s="15" t="s">
        <v>73</v>
      </c>
      <c r="H2830" t="s">
        <v>8490</v>
      </c>
      <c r="I2830" s="62" t="s">
        <v>8491</v>
      </c>
      <c r="K2830" s="36" t="s">
        <v>1489</v>
      </c>
      <c r="L2830" t="s">
        <v>69</v>
      </c>
      <c r="M2830" s="62" t="s">
        <v>70</v>
      </c>
      <c r="N2830" t="s">
        <v>71</v>
      </c>
      <c r="O2830" t="str">
        <f>IFERROR(IF(Tbla_actores[[#This Row],[codigo_proyecto]]="","",_xlfn.XLOOKUP(Tbla_actores[[#This Row],[codigo_proyecto]],Proyectos!$A:$A,Proyectos!$C:$C)),"")</f>
        <v>NULOS</v>
      </c>
    </row>
    <row r="2831" spans="1:15">
      <c r="A2831" s="10">
        <v>1001096123</v>
      </c>
      <c r="B2831" s="64" t="s">
        <v>61</v>
      </c>
      <c r="C2831" s="62" t="s">
        <v>8476</v>
      </c>
      <c r="D2831" t="s">
        <v>63</v>
      </c>
      <c r="E2831" t="s">
        <v>8492</v>
      </c>
      <c r="F2831" s="61">
        <v>37861</v>
      </c>
      <c r="G2831" s="15" t="s">
        <v>73</v>
      </c>
      <c r="H2831" t="s">
        <v>8493</v>
      </c>
      <c r="I2831" s="62" t="s">
        <v>8494</v>
      </c>
      <c r="K2831" s="36" t="s">
        <v>7671</v>
      </c>
      <c r="L2831" t="s">
        <v>69</v>
      </c>
      <c r="M2831" s="62" t="s">
        <v>70</v>
      </c>
      <c r="N2831" t="s">
        <v>71</v>
      </c>
      <c r="O2831" t="str">
        <f>IFERROR(IF(Tbla_actores[[#This Row],[codigo_proyecto]]="","",_xlfn.XLOOKUP(Tbla_actores[[#This Row],[codigo_proyecto]],Proyectos!$A:$A,Proyectos!$C:$C)),"")</f>
        <v>NULOS</v>
      </c>
    </row>
    <row r="2832" spans="1:15">
      <c r="A2832" s="9">
        <v>1081272451</v>
      </c>
      <c r="B2832" s="63" t="s">
        <v>61</v>
      </c>
      <c r="C2832" s="62" t="s">
        <v>8476</v>
      </c>
      <c r="D2832" t="s">
        <v>63</v>
      </c>
      <c r="E2832" t="s">
        <v>8495</v>
      </c>
      <c r="F2832" s="61">
        <v>38005</v>
      </c>
      <c r="G2832" s="15" t="s">
        <v>73</v>
      </c>
      <c r="H2832" t="s">
        <v>8496</v>
      </c>
      <c r="I2832" s="62" t="s">
        <v>8497</v>
      </c>
      <c r="K2832" s="36" t="s">
        <v>7671</v>
      </c>
      <c r="L2832" t="s">
        <v>69</v>
      </c>
      <c r="M2832" s="62" t="s">
        <v>70</v>
      </c>
      <c r="N2832" t="s">
        <v>71</v>
      </c>
      <c r="O2832" t="str">
        <f>IFERROR(IF(Tbla_actores[[#This Row],[codigo_proyecto]]="","",_xlfn.XLOOKUP(Tbla_actores[[#This Row],[codigo_proyecto]],Proyectos!$A:$A,Proyectos!$C:$C)),"")</f>
        <v>NULOS</v>
      </c>
    </row>
    <row r="2833" spans="1:15">
      <c r="A2833" s="10">
        <v>1010960260</v>
      </c>
      <c r="B2833" s="64" t="s">
        <v>61</v>
      </c>
      <c r="C2833" s="62" t="s">
        <v>8476</v>
      </c>
      <c r="D2833" t="s">
        <v>63</v>
      </c>
      <c r="E2833" t="s">
        <v>8498</v>
      </c>
      <c r="F2833" s="61">
        <v>38083</v>
      </c>
      <c r="G2833" s="15" t="s">
        <v>73</v>
      </c>
      <c r="H2833" t="s">
        <v>8499</v>
      </c>
      <c r="I2833" s="62" t="s">
        <v>8500</v>
      </c>
      <c r="K2833" s="36" t="s">
        <v>7671</v>
      </c>
      <c r="L2833" t="s">
        <v>69</v>
      </c>
      <c r="M2833" s="62" t="s">
        <v>70</v>
      </c>
      <c r="N2833" t="s">
        <v>71</v>
      </c>
      <c r="O2833" t="str">
        <f>IFERROR(IF(Tbla_actores[[#This Row],[codigo_proyecto]]="","",_xlfn.XLOOKUP(Tbla_actores[[#This Row],[codigo_proyecto]],Proyectos!$A:$A,Proyectos!$C:$C)),"")</f>
        <v>NULOS</v>
      </c>
    </row>
    <row r="2834" spans="1:15">
      <c r="A2834" s="9">
        <v>1001193075</v>
      </c>
      <c r="B2834" s="63" t="s">
        <v>61</v>
      </c>
      <c r="C2834" s="62" t="s">
        <v>8476</v>
      </c>
      <c r="D2834" t="s">
        <v>63</v>
      </c>
      <c r="E2834" t="s">
        <v>8501</v>
      </c>
      <c r="F2834" s="61">
        <v>37720</v>
      </c>
      <c r="G2834" s="15" t="s">
        <v>73</v>
      </c>
      <c r="H2834" t="s">
        <v>8502</v>
      </c>
      <c r="I2834" s="62" t="s">
        <v>8503</v>
      </c>
      <c r="K2834" s="36" t="s">
        <v>1489</v>
      </c>
      <c r="L2834" t="s">
        <v>69</v>
      </c>
      <c r="M2834" s="62" t="s">
        <v>70</v>
      </c>
      <c r="N2834" t="s">
        <v>71</v>
      </c>
      <c r="O2834" t="str">
        <f>IFERROR(IF(Tbla_actores[[#This Row],[codigo_proyecto]]="","",_xlfn.XLOOKUP(Tbla_actores[[#This Row],[codigo_proyecto]],Proyectos!$A:$A,Proyectos!$C:$C)),"")</f>
        <v>NULOS</v>
      </c>
    </row>
    <row r="2835" spans="1:15">
      <c r="A2835" s="10">
        <v>1014976567</v>
      </c>
      <c r="B2835" s="64" t="s">
        <v>61</v>
      </c>
      <c r="C2835" s="62" t="s">
        <v>8476</v>
      </c>
      <c r="D2835" t="s">
        <v>63</v>
      </c>
      <c r="E2835" t="s">
        <v>8504</v>
      </c>
      <c r="F2835" s="61">
        <v>38017</v>
      </c>
      <c r="G2835" s="15" t="s">
        <v>73</v>
      </c>
      <c r="H2835" t="s">
        <v>8505</v>
      </c>
      <c r="I2835" s="62" t="s">
        <v>8506</v>
      </c>
      <c r="K2835" s="36" t="s">
        <v>7671</v>
      </c>
      <c r="L2835" t="s">
        <v>69</v>
      </c>
      <c r="M2835" s="62" t="s">
        <v>70</v>
      </c>
      <c r="N2835" t="s">
        <v>71</v>
      </c>
      <c r="O2835" t="str">
        <f>IFERROR(IF(Tbla_actores[[#This Row],[codigo_proyecto]]="","",_xlfn.XLOOKUP(Tbla_actores[[#This Row],[codigo_proyecto]],Proyectos!$A:$A,Proyectos!$C:$C)),"")</f>
        <v>NULOS</v>
      </c>
    </row>
    <row r="2836" spans="1:15">
      <c r="A2836" s="9">
        <v>1002462058</v>
      </c>
      <c r="B2836" s="63" t="s">
        <v>61</v>
      </c>
      <c r="C2836" s="62" t="s">
        <v>8476</v>
      </c>
      <c r="D2836" t="s">
        <v>63</v>
      </c>
      <c r="E2836" t="s">
        <v>8507</v>
      </c>
      <c r="F2836" s="61">
        <v>36913</v>
      </c>
      <c r="G2836" s="15" t="s">
        <v>73</v>
      </c>
      <c r="H2836" t="s">
        <v>8508</v>
      </c>
      <c r="I2836" s="62" t="s">
        <v>8509</v>
      </c>
      <c r="K2836" s="36" t="s">
        <v>7671</v>
      </c>
      <c r="L2836" t="s">
        <v>69</v>
      </c>
      <c r="M2836" s="62" t="s">
        <v>70</v>
      </c>
      <c r="N2836" t="s">
        <v>71</v>
      </c>
      <c r="O2836" t="str">
        <f>IFERROR(IF(Tbla_actores[[#This Row],[codigo_proyecto]]="","",_xlfn.XLOOKUP(Tbla_actores[[#This Row],[codigo_proyecto]],Proyectos!$A:$A,Proyectos!$C:$C)),"")</f>
        <v>NULOS</v>
      </c>
    </row>
    <row r="2837" spans="1:15">
      <c r="A2837" s="10">
        <v>1000596871</v>
      </c>
      <c r="B2837" s="64" t="s">
        <v>61</v>
      </c>
      <c r="C2837" s="62" t="s">
        <v>8476</v>
      </c>
      <c r="D2837" t="s">
        <v>63</v>
      </c>
      <c r="E2837" t="s">
        <v>8510</v>
      </c>
      <c r="F2837" s="61">
        <v>37242</v>
      </c>
      <c r="G2837" s="15" t="s">
        <v>65</v>
      </c>
      <c r="H2837" t="s">
        <v>8511</v>
      </c>
      <c r="I2837" s="62" t="s">
        <v>8512</v>
      </c>
      <c r="K2837" s="36" t="s">
        <v>1489</v>
      </c>
      <c r="L2837" t="s">
        <v>69</v>
      </c>
      <c r="M2837" s="62" t="s">
        <v>70</v>
      </c>
      <c r="N2837" t="s">
        <v>71</v>
      </c>
      <c r="O2837" t="str">
        <f>IFERROR(IF(Tbla_actores[[#This Row],[codigo_proyecto]]="","",_xlfn.XLOOKUP(Tbla_actores[[#This Row],[codigo_proyecto]],Proyectos!$A:$A,Proyectos!$C:$C)),"")</f>
        <v>NULOS</v>
      </c>
    </row>
    <row r="2838" spans="1:15">
      <c r="A2838" s="9">
        <v>1000284508</v>
      </c>
      <c r="B2838" s="63" t="s">
        <v>61</v>
      </c>
      <c r="C2838" s="62" t="s">
        <v>8476</v>
      </c>
      <c r="D2838" t="s">
        <v>63</v>
      </c>
      <c r="E2838" t="s">
        <v>8513</v>
      </c>
      <c r="F2838" s="61">
        <v>36856</v>
      </c>
      <c r="G2838" s="15" t="s">
        <v>73</v>
      </c>
      <c r="H2838" t="s">
        <v>8514</v>
      </c>
      <c r="I2838" s="62" t="s">
        <v>8515</v>
      </c>
      <c r="K2838" s="36" t="s">
        <v>1489</v>
      </c>
      <c r="L2838" t="s">
        <v>69</v>
      </c>
      <c r="M2838" s="62" t="s">
        <v>70</v>
      </c>
      <c r="N2838" t="s">
        <v>71</v>
      </c>
      <c r="O2838" t="str">
        <f>IFERROR(IF(Tbla_actores[[#This Row],[codigo_proyecto]]="","",_xlfn.XLOOKUP(Tbla_actores[[#This Row],[codigo_proyecto]],Proyectos!$A:$A,Proyectos!$C:$C)),"")</f>
        <v>NULOS</v>
      </c>
    </row>
    <row r="2839" spans="1:15">
      <c r="A2839" s="10">
        <v>1004811309</v>
      </c>
      <c r="B2839" s="64" t="s">
        <v>61</v>
      </c>
      <c r="C2839" s="62" t="s">
        <v>8516</v>
      </c>
      <c r="D2839" t="s">
        <v>63</v>
      </c>
      <c r="E2839" t="s">
        <v>8517</v>
      </c>
      <c r="F2839" s="61">
        <v>37869</v>
      </c>
      <c r="G2839" s="15" t="s">
        <v>65</v>
      </c>
      <c r="H2839" t="s">
        <v>8518</v>
      </c>
      <c r="I2839" s="62" t="s">
        <v>8519</v>
      </c>
      <c r="K2839" s="36" t="s">
        <v>68</v>
      </c>
      <c r="L2839" t="s">
        <v>69</v>
      </c>
      <c r="M2839" s="62" t="s">
        <v>70</v>
      </c>
      <c r="N2839" t="s">
        <v>8520</v>
      </c>
      <c r="O2839" t="str">
        <f>IFERROR(IF(Tbla_actores[[#This Row],[codigo_proyecto]]="","",_xlfn.XLOOKUP(Tbla_actores[[#This Row],[codigo_proyecto]],Proyectos!$A:$A,Proyectos!$C:$C)),"")</f>
        <v>Diseño y construcción  de Caminador y Camas Hospitalarias para niños</v>
      </c>
    </row>
    <row r="2840" spans="1:15">
      <c r="A2840" s="9">
        <v>1001090843</v>
      </c>
      <c r="B2840" s="63" t="s">
        <v>61</v>
      </c>
      <c r="C2840" s="62" t="s">
        <v>8516</v>
      </c>
      <c r="D2840" t="s">
        <v>63</v>
      </c>
      <c r="E2840" t="s">
        <v>8521</v>
      </c>
      <c r="F2840" s="61">
        <v>37000</v>
      </c>
      <c r="G2840" s="15" t="s">
        <v>73</v>
      </c>
      <c r="H2840" t="s">
        <v>8522</v>
      </c>
      <c r="I2840" s="62" t="s">
        <v>8523</v>
      </c>
      <c r="K2840" s="36" t="s">
        <v>68</v>
      </c>
      <c r="L2840" t="s">
        <v>69</v>
      </c>
      <c r="M2840" s="62" t="s">
        <v>70</v>
      </c>
      <c r="N2840" t="s">
        <v>8524</v>
      </c>
      <c r="O2840" t="str">
        <f>IFERROR(IF(Tbla_actores[[#This Row],[codigo_proyecto]]="","",_xlfn.XLOOKUP(Tbla_actores[[#This Row],[codigo_proyecto]],Proyectos!$A:$A,Proyectos!$C:$C)),"")</f>
        <v>CURSO BÁSICO EN CONSTRICCIÓN</v>
      </c>
    </row>
    <row r="2841" spans="1:15">
      <c r="A2841" s="10">
        <v>1032936651</v>
      </c>
      <c r="B2841" s="64" t="s">
        <v>61</v>
      </c>
      <c r="C2841" s="62" t="s">
        <v>8516</v>
      </c>
      <c r="D2841" t="s">
        <v>63</v>
      </c>
      <c r="E2841" t="s">
        <v>8525</v>
      </c>
      <c r="F2841" s="61">
        <v>38065</v>
      </c>
      <c r="G2841" s="15" t="s">
        <v>65</v>
      </c>
      <c r="H2841" t="s">
        <v>8526</v>
      </c>
      <c r="I2841" s="62" t="s">
        <v>8527</v>
      </c>
      <c r="K2841" s="36" t="s">
        <v>68</v>
      </c>
      <c r="L2841" t="s">
        <v>69</v>
      </c>
      <c r="M2841" s="62" t="s">
        <v>70</v>
      </c>
      <c r="N2841" t="s">
        <v>8528</v>
      </c>
      <c r="O2841" t="str">
        <f>IFERROR(IF(Tbla_actores[[#This Row],[codigo_proyecto]]="","",_xlfn.XLOOKUP(Tbla_actores[[#This Row],[codigo_proyecto]],Proyectos!$A:$A,Proyectos!$C:$C)),"")</f>
        <v>Proyecto 13</v>
      </c>
    </row>
    <row r="2842" spans="1:15">
      <c r="A2842" s="9">
        <v>1000944599</v>
      </c>
      <c r="B2842" s="63" t="s">
        <v>61</v>
      </c>
      <c r="C2842" s="62" t="s">
        <v>8516</v>
      </c>
      <c r="D2842" t="s">
        <v>63</v>
      </c>
      <c r="E2842" t="s">
        <v>8529</v>
      </c>
      <c r="F2842" s="61">
        <v>37942</v>
      </c>
      <c r="G2842" s="15" t="s">
        <v>65</v>
      </c>
      <c r="H2842" t="s">
        <v>8530</v>
      </c>
      <c r="I2842" s="62" t="s">
        <v>8531</v>
      </c>
      <c r="K2842" s="36" t="s">
        <v>68</v>
      </c>
      <c r="L2842" t="s">
        <v>69</v>
      </c>
      <c r="M2842" s="62" t="s">
        <v>170</v>
      </c>
      <c r="N2842" t="s">
        <v>8532</v>
      </c>
      <c r="O2842">
        <f>IFERROR(IF(Tbla_actores[[#This Row],[codigo_proyecto]]="","",_xlfn.XLOOKUP(Tbla_actores[[#This Row],[codigo_proyecto]],Proyectos!$A:$A,Proyectos!$C:$C)),"")</f>
        <v>0</v>
      </c>
    </row>
    <row r="2843" spans="1:15">
      <c r="A2843" s="10">
        <v>1125248041</v>
      </c>
      <c r="B2843" s="64" t="s">
        <v>61</v>
      </c>
      <c r="C2843" s="62" t="s">
        <v>8516</v>
      </c>
      <c r="D2843" t="s">
        <v>63</v>
      </c>
      <c r="E2843" t="s">
        <v>8533</v>
      </c>
      <c r="F2843" s="61">
        <v>38096</v>
      </c>
      <c r="G2843" s="15" t="s">
        <v>73</v>
      </c>
      <c r="H2843" t="s">
        <v>8534</v>
      </c>
      <c r="I2843" s="62" t="s">
        <v>8535</v>
      </c>
      <c r="K2843" s="36" t="s">
        <v>169</v>
      </c>
      <c r="L2843" t="s">
        <v>69</v>
      </c>
      <c r="M2843" s="62" t="s">
        <v>70</v>
      </c>
      <c r="N2843" t="s">
        <v>8536</v>
      </c>
      <c r="O2843" t="str">
        <f>IFERROR(IF(Tbla_actores[[#This Row],[codigo_proyecto]]="","",_xlfn.XLOOKUP(Tbla_actores[[#This Row],[codigo_proyecto]],Proyectos!$A:$A,Proyectos!$C:$C)),"")</f>
        <v>Proyecto 19</v>
      </c>
    </row>
    <row r="2844" spans="1:15">
      <c r="A2844" s="9">
        <v>1021632852</v>
      </c>
      <c r="B2844" s="63" t="s">
        <v>61</v>
      </c>
      <c r="C2844" s="62" t="s">
        <v>8516</v>
      </c>
      <c r="D2844" t="s">
        <v>63</v>
      </c>
      <c r="E2844" t="s">
        <v>8537</v>
      </c>
      <c r="F2844" s="61">
        <v>38209</v>
      </c>
      <c r="G2844" s="15" t="s">
        <v>73</v>
      </c>
      <c r="H2844" t="s">
        <v>8538</v>
      </c>
      <c r="I2844" s="62" t="s">
        <v>8539</v>
      </c>
      <c r="K2844" s="36" t="s">
        <v>169</v>
      </c>
      <c r="L2844" t="s">
        <v>69</v>
      </c>
      <c r="M2844" s="62" t="s">
        <v>170</v>
      </c>
      <c r="N2844" t="s">
        <v>8540</v>
      </c>
      <c r="O2844" t="str">
        <f>IFERROR(IF(Tbla_actores[[#This Row],[codigo_proyecto]]="","",_xlfn.XLOOKUP(Tbla_actores[[#This Row],[codigo_proyecto]],Proyectos!$A:$A,Proyectos!$C:$C)),"")</f>
        <v>Formulación de Emprendimiento Social en J.J. Rondón</v>
      </c>
    </row>
    <row r="2845" spans="1:15">
      <c r="A2845" s="10">
        <v>1090495286</v>
      </c>
      <c r="B2845" s="64" t="s">
        <v>61</v>
      </c>
      <c r="C2845" s="62" t="s">
        <v>8516</v>
      </c>
      <c r="D2845" t="s">
        <v>63</v>
      </c>
      <c r="E2845" t="s">
        <v>8541</v>
      </c>
      <c r="F2845" s="61">
        <v>35152</v>
      </c>
      <c r="G2845" s="15" t="s">
        <v>73</v>
      </c>
      <c r="H2845" t="s">
        <v>8542</v>
      </c>
      <c r="I2845" s="62" t="s">
        <v>8543</v>
      </c>
      <c r="K2845" s="36" t="s">
        <v>169</v>
      </c>
      <c r="L2845" t="s">
        <v>69</v>
      </c>
      <c r="M2845" s="62" t="s">
        <v>70</v>
      </c>
      <c r="N2845" t="s">
        <v>8544</v>
      </c>
      <c r="O2845" t="str">
        <f>IFERROR(IF(Tbla_actores[[#This Row],[codigo_proyecto]]="","",_xlfn.XLOOKUP(Tbla_actores[[#This Row],[codigo_proyecto]],Proyectos!$A:$A,Proyectos!$C:$C)),"")</f>
        <v>Proyecto 1</v>
      </c>
    </row>
    <row r="2846" spans="1:15">
      <c r="A2846" s="9">
        <v>1007370904</v>
      </c>
      <c r="B2846" s="63" t="s">
        <v>61</v>
      </c>
      <c r="C2846" s="62" t="s">
        <v>8516</v>
      </c>
      <c r="D2846" t="s">
        <v>63</v>
      </c>
      <c r="E2846" t="s">
        <v>8545</v>
      </c>
      <c r="F2846" s="61">
        <v>37932</v>
      </c>
      <c r="G2846" s="15" t="s">
        <v>65</v>
      </c>
      <c r="H2846" t="s">
        <v>8546</v>
      </c>
      <c r="I2846" s="62" t="s">
        <v>8547</v>
      </c>
      <c r="K2846" s="36" t="s">
        <v>169</v>
      </c>
      <c r="L2846" t="s">
        <v>69</v>
      </c>
      <c r="M2846" s="62" t="s">
        <v>170</v>
      </c>
      <c r="N2846" t="s">
        <v>8540</v>
      </c>
      <c r="O2846" t="str">
        <f>IFERROR(IF(Tbla_actores[[#This Row],[codigo_proyecto]]="","",_xlfn.XLOOKUP(Tbla_actores[[#This Row],[codigo_proyecto]],Proyectos!$A:$A,Proyectos!$C:$C)),"")</f>
        <v>Formulación de Emprendimiento Social en J.J. Rondón</v>
      </c>
    </row>
    <row r="2847" spans="1:15">
      <c r="A2847" s="10">
        <v>1001347762</v>
      </c>
      <c r="B2847" s="64" t="s">
        <v>61</v>
      </c>
      <c r="C2847" s="62" t="s">
        <v>8516</v>
      </c>
      <c r="D2847" t="s">
        <v>63</v>
      </c>
      <c r="E2847" t="s">
        <v>8548</v>
      </c>
      <c r="F2847" s="61">
        <v>37419</v>
      </c>
      <c r="G2847" s="15" t="s">
        <v>73</v>
      </c>
      <c r="H2847" t="s">
        <v>8549</v>
      </c>
      <c r="I2847" s="62" t="s">
        <v>8550</v>
      </c>
      <c r="K2847" s="36" t="s">
        <v>169</v>
      </c>
      <c r="L2847" t="s">
        <v>69</v>
      </c>
      <c r="M2847" s="62" t="s">
        <v>70</v>
      </c>
      <c r="N2847" t="s">
        <v>8551</v>
      </c>
      <c r="O2847" t="str">
        <f>IFERROR(IF(Tbla_actores[[#This Row],[codigo_proyecto]]="","",_xlfn.XLOOKUP(Tbla_actores[[#This Row],[codigo_proyecto]],Proyectos!$A:$A,Proyectos!$C:$C)),"")</f>
        <v>Proyecto 20</v>
      </c>
    </row>
    <row r="2848" spans="1:15">
      <c r="A2848" s="9">
        <v>1193036822</v>
      </c>
      <c r="B2848" s="63" t="s">
        <v>61</v>
      </c>
      <c r="C2848" s="62" t="s">
        <v>8516</v>
      </c>
      <c r="D2848" t="s">
        <v>63</v>
      </c>
      <c r="E2848" t="s">
        <v>8552</v>
      </c>
      <c r="F2848" s="61">
        <v>36808</v>
      </c>
      <c r="G2848" s="15" t="s">
        <v>73</v>
      </c>
      <c r="H2848" t="s">
        <v>8553</v>
      </c>
      <c r="I2848" s="62" t="s">
        <v>8554</v>
      </c>
      <c r="K2848" s="36" t="s">
        <v>1489</v>
      </c>
      <c r="L2848" t="s">
        <v>69</v>
      </c>
      <c r="M2848" s="62" t="s">
        <v>70</v>
      </c>
      <c r="N2848" t="s">
        <v>8555</v>
      </c>
      <c r="O2848" t="str">
        <f>IFERROR(IF(Tbla_actores[[#This Row],[codigo_proyecto]]="","",_xlfn.XLOOKUP(Tbla_actores[[#This Row],[codigo_proyecto]],Proyectos!$A:$A,Proyectos!$C:$C)),"")</f>
        <v>Diseño 2 de prótesis mecánica transhumeral y versión 2 de próteiss transradial</v>
      </c>
    </row>
    <row r="2849" spans="1:15">
      <c r="A2849" s="10">
        <v>1000574278</v>
      </c>
      <c r="B2849" s="64" t="s">
        <v>61</v>
      </c>
      <c r="C2849" s="62" t="s">
        <v>8516</v>
      </c>
      <c r="D2849" t="s">
        <v>63</v>
      </c>
      <c r="E2849" t="s">
        <v>8556</v>
      </c>
      <c r="F2849" s="61">
        <v>37631</v>
      </c>
      <c r="G2849" s="15" t="s">
        <v>73</v>
      </c>
      <c r="H2849" t="s">
        <v>8557</v>
      </c>
      <c r="I2849" s="62" t="s">
        <v>8558</v>
      </c>
      <c r="K2849" s="36" t="s">
        <v>1489</v>
      </c>
      <c r="L2849" t="s">
        <v>69</v>
      </c>
      <c r="M2849" s="62" t="s">
        <v>70</v>
      </c>
      <c r="N2849" t="s">
        <v>8559</v>
      </c>
      <c r="O2849" t="str">
        <f>IFERROR(IF(Tbla_actores[[#This Row],[codigo_proyecto]]="","",_xlfn.XLOOKUP(Tbla_actores[[#This Row],[codigo_proyecto]],Proyectos!$A:$A,Proyectos!$C:$C)),"")</f>
        <v>PROSOFI - CONSULTORIO CONTABLE</v>
      </c>
    </row>
    <row r="2850" spans="1:15">
      <c r="A2850" s="9">
        <v>1010760161</v>
      </c>
      <c r="B2850" s="63" t="s">
        <v>61</v>
      </c>
      <c r="C2850" s="62" t="s">
        <v>8516</v>
      </c>
      <c r="D2850" t="s">
        <v>63</v>
      </c>
      <c r="E2850" t="s">
        <v>8560</v>
      </c>
      <c r="F2850" s="61">
        <v>38069</v>
      </c>
      <c r="G2850" s="15" t="s">
        <v>73</v>
      </c>
      <c r="H2850" t="s">
        <v>8561</v>
      </c>
      <c r="I2850" s="62" t="s">
        <v>8562</v>
      </c>
      <c r="K2850" s="36" t="s">
        <v>495</v>
      </c>
      <c r="L2850" t="s">
        <v>69</v>
      </c>
      <c r="M2850" s="62" t="s">
        <v>170</v>
      </c>
      <c r="N2850" t="s">
        <v>8563</v>
      </c>
      <c r="O2850">
        <f>IFERROR(IF(Tbla_actores[[#This Row],[codigo_proyecto]]="","",_xlfn.XLOOKUP(Tbla_actores[[#This Row],[codigo_proyecto]],Proyectos!$A:$A,Proyectos!$C:$C)),"")</f>
        <v>0</v>
      </c>
    </row>
    <row r="2851" spans="1:15">
      <c r="A2851" s="10">
        <v>1002479212</v>
      </c>
      <c r="B2851" s="64" t="s">
        <v>61</v>
      </c>
      <c r="C2851" s="62" t="s">
        <v>8516</v>
      </c>
      <c r="D2851" t="s">
        <v>63</v>
      </c>
      <c r="E2851" t="s">
        <v>8564</v>
      </c>
      <c r="F2851" s="61">
        <v>37139</v>
      </c>
      <c r="G2851" s="15" t="s">
        <v>73</v>
      </c>
      <c r="H2851" t="s">
        <v>8565</v>
      </c>
      <c r="I2851" s="62" t="s">
        <v>8566</v>
      </c>
      <c r="K2851" s="36" t="s">
        <v>495</v>
      </c>
      <c r="L2851" t="s">
        <v>69</v>
      </c>
      <c r="M2851" s="62" t="s">
        <v>70</v>
      </c>
      <c r="N2851" t="s">
        <v>8567</v>
      </c>
      <c r="O2851" t="str">
        <f>IFERROR(IF(Tbla_actores[[#This Row],[codigo_proyecto]]="","",_xlfn.XLOOKUP(Tbla_actores[[#This Row],[codigo_proyecto]],Proyectos!$A:$A,Proyectos!$C:$C)),"")</f>
        <v>PROYECTO
"DESARROLLO DE UN SISTEMA DE GESTIÓN DE PUENTES MUNICIPIO DE FACATATIVÁ"</v>
      </c>
    </row>
    <row r="2852" spans="1:15">
      <c r="A2852" s="9">
        <v>1003534155</v>
      </c>
      <c r="B2852" s="63" t="s">
        <v>61</v>
      </c>
      <c r="C2852" s="62" t="s">
        <v>8516</v>
      </c>
      <c r="D2852" t="s">
        <v>63</v>
      </c>
      <c r="E2852" t="s">
        <v>8568</v>
      </c>
      <c r="F2852" s="61">
        <v>37399</v>
      </c>
      <c r="G2852" s="15" t="s">
        <v>73</v>
      </c>
      <c r="H2852" t="s">
        <v>8569</v>
      </c>
      <c r="I2852" s="62" t="s">
        <v>8570</v>
      </c>
      <c r="K2852" s="36" t="s">
        <v>495</v>
      </c>
      <c r="L2852" t="s">
        <v>69</v>
      </c>
      <c r="M2852" s="62" t="s">
        <v>70</v>
      </c>
      <c r="N2852" t="s">
        <v>8571</v>
      </c>
      <c r="O2852" t="str">
        <f>IFERROR(IF(Tbla_actores[[#This Row],[codigo_proyecto]]="","",_xlfn.XLOOKUP(Tbla_actores[[#This Row],[codigo_proyecto]],Proyectos!$A:$A,Proyectos!$C:$C)),"")</f>
        <v>PROYECTO "ALTOS DE LA FLORIDA – SOACHA"</v>
      </c>
    </row>
    <row r="2853" spans="1:15">
      <c r="A2853" s="10">
        <v>1101260352</v>
      </c>
      <c r="B2853" s="64" t="s">
        <v>61</v>
      </c>
      <c r="C2853" s="62" t="s">
        <v>8516</v>
      </c>
      <c r="D2853" t="s">
        <v>63</v>
      </c>
      <c r="E2853" t="s">
        <v>8572</v>
      </c>
      <c r="F2853" s="61">
        <v>38380</v>
      </c>
      <c r="G2853" s="15" t="s">
        <v>73</v>
      </c>
      <c r="H2853" t="s">
        <v>8573</v>
      </c>
      <c r="I2853" s="62" t="s">
        <v>8574</v>
      </c>
      <c r="K2853" s="36" t="s">
        <v>495</v>
      </c>
      <c r="L2853" t="s">
        <v>69</v>
      </c>
      <c r="M2853" s="62" t="s">
        <v>170</v>
      </c>
      <c r="N2853" t="s">
        <v>8575</v>
      </c>
      <c r="O2853" t="str">
        <f>IFERROR(IF(Tbla_actores[[#This Row],[codigo_proyecto]]="","",_xlfn.XLOOKUP(Tbla_actores[[#This Row],[codigo_proyecto]],Proyectos!$A:$A,Proyectos!$C:$C)),"")</f>
        <v>Direccionamiento estratégico del Semillero Olympia</v>
      </c>
    </row>
    <row r="2854" spans="1:15">
      <c r="A2854" s="9">
        <v>1001091200</v>
      </c>
      <c r="B2854" s="63" t="s">
        <v>61</v>
      </c>
      <c r="C2854" s="62" t="s">
        <v>8516</v>
      </c>
      <c r="D2854" t="s">
        <v>63</v>
      </c>
      <c r="E2854" t="s">
        <v>8576</v>
      </c>
      <c r="F2854" s="61">
        <v>37490</v>
      </c>
      <c r="G2854" s="15" t="s">
        <v>65</v>
      </c>
      <c r="H2854" t="s">
        <v>8577</v>
      </c>
      <c r="I2854" s="62" t="s">
        <v>8578</v>
      </c>
      <c r="K2854" s="36" t="s">
        <v>495</v>
      </c>
      <c r="L2854" t="s">
        <v>69</v>
      </c>
      <c r="M2854" s="62" t="s">
        <v>70</v>
      </c>
      <c r="N2854" t="s">
        <v>8579</v>
      </c>
      <c r="O2854" t="str">
        <f>IFERROR(IF(Tbla_actores[[#This Row],[codigo_proyecto]]="","",_xlfn.XLOOKUP(Tbla_actores[[#This Row],[codigo_proyecto]],Proyectos!$A:$A,Proyectos!$C:$C)),"")</f>
        <v>Reparación de Electrodomésticos BA</v>
      </c>
    </row>
    <row r="2855" spans="1:15">
      <c r="A2855" s="10">
        <v>1029220582</v>
      </c>
      <c r="B2855" s="64" t="s">
        <v>61</v>
      </c>
      <c r="C2855" s="62" t="s">
        <v>8516</v>
      </c>
      <c r="D2855" t="s">
        <v>63</v>
      </c>
      <c r="E2855" t="s">
        <v>8580</v>
      </c>
      <c r="F2855" s="61">
        <v>38542</v>
      </c>
      <c r="G2855" s="15" t="s">
        <v>73</v>
      </c>
      <c r="H2855" t="s">
        <v>8581</v>
      </c>
      <c r="I2855" s="62" t="s">
        <v>8582</v>
      </c>
      <c r="K2855" s="36" t="s">
        <v>495</v>
      </c>
      <c r="L2855" t="s">
        <v>69</v>
      </c>
      <c r="M2855" s="62" t="s">
        <v>70</v>
      </c>
      <c r="N2855" t="s">
        <v>8583</v>
      </c>
      <c r="O2855" t="str">
        <f>IFERROR(IF(Tbla_actores[[#This Row],[codigo_proyecto]]="","",_xlfn.XLOOKUP(Tbla_actores[[#This Row],[codigo_proyecto]],Proyectos!$A:$A,Proyectos!$C:$C)),"")</f>
        <v>Proyecto 6</v>
      </c>
    </row>
    <row r="2856" spans="1:15">
      <c r="A2856" s="9">
        <v>1025320338</v>
      </c>
      <c r="B2856" s="63" t="s">
        <v>61</v>
      </c>
      <c r="C2856" s="62" t="s">
        <v>8516</v>
      </c>
      <c r="D2856" t="s">
        <v>63</v>
      </c>
      <c r="E2856" t="s">
        <v>8584</v>
      </c>
      <c r="F2856" s="61">
        <v>38056</v>
      </c>
      <c r="G2856" s="15" t="s">
        <v>73</v>
      </c>
      <c r="H2856" t="s">
        <v>8585</v>
      </c>
      <c r="I2856" s="62" t="s">
        <v>8586</v>
      </c>
      <c r="K2856" s="36" t="s">
        <v>495</v>
      </c>
      <c r="L2856" t="s">
        <v>69</v>
      </c>
      <c r="M2856" s="62" t="s">
        <v>170</v>
      </c>
      <c r="N2856" t="s">
        <v>8587</v>
      </c>
      <c r="O2856" t="str">
        <f>IFERROR(IF(Tbla_actores[[#This Row],[codigo_proyecto]]="","",_xlfn.XLOOKUP(Tbla_actores[[#This Row],[codigo_proyecto]],Proyectos!$A:$A,Proyectos!$C:$C)),"")</f>
        <v>PROPUESTA DE GESTION Y ANALISIS ESTRATEGICO</v>
      </c>
    </row>
    <row r="2857" spans="1:15">
      <c r="A2857" s="10">
        <v>1001298475</v>
      </c>
      <c r="B2857" s="64" t="s">
        <v>61</v>
      </c>
      <c r="C2857" s="62" t="s">
        <v>8516</v>
      </c>
      <c r="D2857" t="s">
        <v>63</v>
      </c>
      <c r="E2857" t="s">
        <v>8588</v>
      </c>
      <c r="F2857" s="61">
        <v>37328</v>
      </c>
      <c r="G2857" s="15" t="s">
        <v>73</v>
      </c>
      <c r="H2857" t="s">
        <v>8589</v>
      </c>
      <c r="I2857" s="62" t="s">
        <v>8590</v>
      </c>
      <c r="K2857" s="36" t="s">
        <v>495</v>
      </c>
      <c r="L2857" t="s">
        <v>69</v>
      </c>
      <c r="M2857" s="62" t="s">
        <v>70</v>
      </c>
      <c r="N2857" t="s">
        <v>8591</v>
      </c>
      <c r="O2857">
        <f>IFERROR(IF(Tbla_actores[[#This Row],[codigo_proyecto]]="","",_xlfn.XLOOKUP(Tbla_actores[[#This Row],[codigo_proyecto]],Proyectos!$A:$A,Proyectos!$C:$C)),"")</f>
        <v>0</v>
      </c>
    </row>
    <row r="2858" spans="1:15">
      <c r="A2858" s="9">
        <v>1000252476</v>
      </c>
      <c r="B2858" s="63" t="s">
        <v>61</v>
      </c>
      <c r="C2858" s="62" t="s">
        <v>8516</v>
      </c>
      <c r="D2858" t="s">
        <v>63</v>
      </c>
      <c r="E2858" t="s">
        <v>8592</v>
      </c>
      <c r="F2858" s="61">
        <v>37548</v>
      </c>
      <c r="G2858" s="15" t="s">
        <v>73</v>
      </c>
      <c r="H2858" t="s">
        <v>8593</v>
      </c>
      <c r="I2858" s="62" t="s">
        <v>8594</v>
      </c>
      <c r="K2858" s="36" t="s">
        <v>495</v>
      </c>
      <c r="L2858" t="s">
        <v>69</v>
      </c>
      <c r="M2858" s="62" t="s">
        <v>70</v>
      </c>
      <c r="N2858" t="s">
        <v>8595</v>
      </c>
      <c r="O2858" t="str">
        <f>IFERROR(IF(Tbla_actores[[#This Row],[codigo_proyecto]]="","",_xlfn.XLOOKUP(Tbla_actores[[#This Row],[codigo_proyecto]],Proyectos!$A:$A,Proyectos!$C:$C)),"")</f>
        <v>Proyecto 8</v>
      </c>
    </row>
    <row r="2859" spans="1:15">
      <c r="A2859" s="10">
        <v>1006958056</v>
      </c>
      <c r="B2859" s="64" t="s">
        <v>61</v>
      </c>
      <c r="C2859" s="62" t="s">
        <v>8516</v>
      </c>
      <c r="D2859" t="s">
        <v>63</v>
      </c>
      <c r="E2859" t="s">
        <v>8596</v>
      </c>
      <c r="F2859" s="61">
        <v>37435</v>
      </c>
      <c r="G2859" s="15" t="s">
        <v>73</v>
      </c>
      <c r="H2859" t="s">
        <v>8597</v>
      </c>
      <c r="I2859" s="62" t="s">
        <v>8598</v>
      </c>
      <c r="K2859" s="36" t="s">
        <v>495</v>
      </c>
      <c r="L2859" t="s">
        <v>69</v>
      </c>
      <c r="M2859" s="62" t="s">
        <v>170</v>
      </c>
      <c r="N2859" t="s">
        <v>8599</v>
      </c>
      <c r="O2859" t="str">
        <f>IFERROR(IF(Tbla_actores[[#This Row],[codigo_proyecto]]="","",_xlfn.XLOOKUP(Tbla_actores[[#This Row],[codigo_proyecto]],Proyectos!$A:$A,Proyectos!$C:$C)),"")</f>
        <v>Posicionamiento de la Biósfera en los procesos académicos del Colegio San Cayetano</v>
      </c>
    </row>
    <row r="2860" spans="1:15">
      <c r="A2860" s="9">
        <v>1000272531</v>
      </c>
      <c r="B2860" s="63" t="s">
        <v>61</v>
      </c>
      <c r="C2860" s="62" t="s">
        <v>8516</v>
      </c>
      <c r="D2860" t="s">
        <v>63</v>
      </c>
      <c r="E2860" t="s">
        <v>8600</v>
      </c>
      <c r="F2860" s="61">
        <v>37524</v>
      </c>
      <c r="G2860" s="15" t="s">
        <v>73</v>
      </c>
      <c r="H2860" t="s">
        <v>8601</v>
      </c>
      <c r="I2860" s="62" t="s">
        <v>8602</v>
      </c>
      <c r="K2860" s="36" t="s">
        <v>495</v>
      </c>
      <c r="L2860" t="s">
        <v>69</v>
      </c>
      <c r="M2860" s="62" t="s">
        <v>170</v>
      </c>
      <c r="N2860" t="s">
        <v>8603</v>
      </c>
      <c r="O2860" t="str">
        <f>IFERROR(IF(Tbla_actores[[#This Row],[codigo_proyecto]]="","",_xlfn.XLOOKUP(Tbla_actores[[#This Row],[codigo_proyecto]],Proyectos!$A:$A,Proyectos!$C:$C)),"")</f>
        <v>Estrategias para lograr equilibrio económico</v>
      </c>
    </row>
    <row r="2861" spans="1:15">
      <c r="A2861" s="10">
        <v>1000064737</v>
      </c>
      <c r="B2861" s="64" t="s">
        <v>61</v>
      </c>
      <c r="C2861" s="62" t="s">
        <v>8516</v>
      </c>
      <c r="D2861" t="s">
        <v>63</v>
      </c>
      <c r="E2861" t="s">
        <v>8604</v>
      </c>
      <c r="F2861" s="61">
        <v>37149</v>
      </c>
      <c r="G2861" s="15" t="s">
        <v>73</v>
      </c>
      <c r="H2861" t="s">
        <v>8605</v>
      </c>
      <c r="I2861" s="62" t="s">
        <v>8606</v>
      </c>
      <c r="K2861" s="36" t="s">
        <v>495</v>
      </c>
      <c r="L2861" t="s">
        <v>69</v>
      </c>
      <c r="M2861" s="62" t="s">
        <v>70</v>
      </c>
      <c r="N2861" t="s">
        <v>8524</v>
      </c>
      <c r="O2861" t="str">
        <f>IFERROR(IF(Tbla_actores[[#This Row],[codigo_proyecto]]="","",_xlfn.XLOOKUP(Tbla_actores[[#This Row],[codigo_proyecto]],Proyectos!$A:$A,Proyectos!$C:$C)),"")</f>
        <v>CURSO BÁSICO EN CONSTRICCIÓN</v>
      </c>
    </row>
    <row r="2862" spans="1:15">
      <c r="A2862" s="9">
        <v>1000379537</v>
      </c>
      <c r="B2862" s="63" t="s">
        <v>61</v>
      </c>
      <c r="C2862" s="62" t="s">
        <v>8516</v>
      </c>
      <c r="D2862" t="s">
        <v>63</v>
      </c>
      <c r="E2862" t="s">
        <v>8607</v>
      </c>
      <c r="F2862" s="61">
        <v>36932</v>
      </c>
      <c r="G2862" s="15" t="s">
        <v>73</v>
      </c>
      <c r="H2862" t="s">
        <v>8608</v>
      </c>
      <c r="I2862" s="62" t="s">
        <v>8609</v>
      </c>
      <c r="K2862" s="36" t="s">
        <v>495</v>
      </c>
      <c r="L2862" t="s">
        <v>69</v>
      </c>
      <c r="M2862" s="62" t="s">
        <v>170</v>
      </c>
      <c r="N2862" t="s">
        <v>8610</v>
      </c>
      <c r="O2862" t="str">
        <f>IFERROR(IF(Tbla_actores[[#This Row],[codigo_proyecto]]="","",_xlfn.XLOOKUP(Tbla_actores[[#This Row],[codigo_proyecto]],Proyectos!$A:$A,Proyectos!$C:$C)),"")</f>
        <v>DIAGNOSTICO Y PROPUESTA DESARROLLO SOSTENIBLE</v>
      </c>
    </row>
    <row r="2863" spans="1:15">
      <c r="A2863" s="10">
        <v>1000139385</v>
      </c>
      <c r="B2863" s="64" t="s">
        <v>61</v>
      </c>
      <c r="C2863" s="62" t="s">
        <v>8516</v>
      </c>
      <c r="D2863" t="s">
        <v>63</v>
      </c>
      <c r="E2863" t="s">
        <v>8611</v>
      </c>
      <c r="F2863" s="61">
        <v>36660</v>
      </c>
      <c r="G2863" s="15" t="s">
        <v>73</v>
      </c>
      <c r="H2863" t="s">
        <v>8612</v>
      </c>
      <c r="I2863" s="62" t="s">
        <v>8613</v>
      </c>
      <c r="K2863" s="36" t="s">
        <v>495</v>
      </c>
      <c r="L2863" t="s">
        <v>69</v>
      </c>
      <c r="M2863" s="62" t="s">
        <v>170</v>
      </c>
      <c r="N2863" t="s">
        <v>8532</v>
      </c>
      <c r="O2863">
        <f>IFERROR(IF(Tbla_actores[[#This Row],[codigo_proyecto]]="","",_xlfn.XLOOKUP(Tbla_actores[[#This Row],[codigo_proyecto]],Proyectos!$A:$A,Proyectos!$C:$C)),"")</f>
        <v>0</v>
      </c>
    </row>
    <row r="2864" spans="1:15">
      <c r="A2864" s="9">
        <v>1000939221</v>
      </c>
      <c r="B2864" s="63" t="s">
        <v>61</v>
      </c>
      <c r="C2864" s="62" t="s">
        <v>8516</v>
      </c>
      <c r="D2864" t="s">
        <v>63</v>
      </c>
      <c r="E2864" t="s">
        <v>8614</v>
      </c>
      <c r="F2864" s="61">
        <v>37923</v>
      </c>
      <c r="G2864" s="15" t="s">
        <v>73</v>
      </c>
      <c r="H2864" t="s">
        <v>8615</v>
      </c>
      <c r="I2864" s="62" t="s">
        <v>8616</v>
      </c>
      <c r="K2864" s="36" t="s">
        <v>68</v>
      </c>
      <c r="L2864" t="s">
        <v>69</v>
      </c>
      <c r="M2864" s="62" t="s">
        <v>70</v>
      </c>
      <c r="N2864" t="s">
        <v>8617</v>
      </c>
      <c r="O2864" t="str">
        <f>IFERROR(IF(Tbla_actores[[#This Row],[codigo_proyecto]]="","",_xlfn.XLOOKUP(Tbla_actores[[#This Row],[codigo_proyecto]],Proyectos!$A:$A,Proyectos!$C:$C)),"")</f>
        <v>Diseño 2 de prótesis mecánica transhumeral y versión 2 de próteiss transradial</v>
      </c>
    </row>
    <row r="2865" spans="1:15">
      <c r="A2865" s="10">
        <v>1015998003</v>
      </c>
      <c r="B2865" s="64" t="s">
        <v>61</v>
      </c>
      <c r="C2865" s="62" t="s">
        <v>8516</v>
      </c>
      <c r="D2865" t="s">
        <v>63</v>
      </c>
      <c r="E2865" t="s">
        <v>8618</v>
      </c>
      <c r="F2865" s="61">
        <v>38273</v>
      </c>
      <c r="G2865" s="15" t="s">
        <v>73</v>
      </c>
      <c r="H2865" t="s">
        <v>8619</v>
      </c>
      <c r="I2865" s="62" t="s">
        <v>8620</v>
      </c>
      <c r="K2865" s="36" t="s">
        <v>68</v>
      </c>
      <c r="L2865" t="s">
        <v>69</v>
      </c>
      <c r="M2865" s="62" t="s">
        <v>70</v>
      </c>
      <c r="N2865" t="s">
        <v>8621</v>
      </c>
      <c r="O2865" t="str">
        <f>IFERROR(IF(Tbla_actores[[#This Row],[codigo_proyecto]]="","",_xlfn.XLOOKUP(Tbla_actores[[#This Row],[codigo_proyecto]],Proyectos!$A:$A,Proyectos!$C:$C)),"")</f>
        <v>Proyecto 28</v>
      </c>
    </row>
    <row r="2866" spans="1:15">
      <c r="A2866" s="9">
        <v>1001174282</v>
      </c>
      <c r="B2866" s="63" t="s">
        <v>61</v>
      </c>
      <c r="C2866" s="62" t="s">
        <v>8516</v>
      </c>
      <c r="D2866" t="s">
        <v>63</v>
      </c>
      <c r="E2866" t="s">
        <v>8622</v>
      </c>
      <c r="F2866" s="61">
        <v>37632</v>
      </c>
      <c r="G2866" s="15" t="s">
        <v>73</v>
      </c>
      <c r="H2866" t="s">
        <v>8623</v>
      </c>
      <c r="I2866" s="62" t="s">
        <v>8624</v>
      </c>
      <c r="K2866" s="36" t="s">
        <v>68</v>
      </c>
      <c r="L2866" t="s">
        <v>69</v>
      </c>
      <c r="M2866" s="62" t="s">
        <v>70</v>
      </c>
      <c r="N2866" t="s">
        <v>8625</v>
      </c>
      <c r="O2866" t="str">
        <f>IFERROR(IF(Tbla_actores[[#This Row],[codigo_proyecto]]="","",_xlfn.XLOOKUP(Tbla_actores[[#This Row],[codigo_proyecto]],Proyectos!$A:$A,Proyectos!$C:$C)),"")</f>
        <v>Proyecto 4</v>
      </c>
    </row>
    <row r="2867" spans="1:15">
      <c r="A2867" s="10">
        <v>1000938778</v>
      </c>
      <c r="B2867" s="64" t="s">
        <v>61</v>
      </c>
      <c r="C2867" s="62" t="s">
        <v>8516</v>
      </c>
      <c r="D2867" t="s">
        <v>63</v>
      </c>
      <c r="E2867" t="s">
        <v>8626</v>
      </c>
      <c r="F2867" s="61">
        <v>37686</v>
      </c>
      <c r="G2867" s="15" t="s">
        <v>73</v>
      </c>
      <c r="H2867" t="s">
        <v>8627</v>
      </c>
      <c r="I2867" s="62" t="s">
        <v>8628</v>
      </c>
      <c r="K2867" s="36" t="s">
        <v>68</v>
      </c>
      <c r="L2867" t="s">
        <v>69</v>
      </c>
      <c r="M2867" s="62" t="s">
        <v>70</v>
      </c>
      <c r="N2867" t="s">
        <v>8629</v>
      </c>
      <c r="O2867" t="str">
        <f>IFERROR(IF(Tbla_actores[[#This Row],[codigo_proyecto]]="","",_xlfn.XLOOKUP(Tbla_actores[[#This Row],[codigo_proyecto]],Proyectos!$A:$A,Proyectos!$C:$C)),"")</f>
        <v>PROSOFI - SAN CAYETANO</v>
      </c>
    </row>
    <row r="2868" spans="1:15">
      <c r="A2868" s="9">
        <v>1000522852</v>
      </c>
      <c r="B2868" s="63" t="s">
        <v>61</v>
      </c>
      <c r="C2868" s="62" t="s">
        <v>8516</v>
      </c>
      <c r="D2868" t="s">
        <v>63</v>
      </c>
      <c r="E2868" t="s">
        <v>8630</v>
      </c>
      <c r="F2868" s="61">
        <v>37983</v>
      </c>
      <c r="G2868" s="15" t="s">
        <v>73</v>
      </c>
      <c r="H2868" t="s">
        <v>8631</v>
      </c>
      <c r="I2868" s="62" t="s">
        <v>8632</v>
      </c>
      <c r="K2868" s="36" t="s">
        <v>1489</v>
      </c>
      <c r="L2868" t="s">
        <v>69</v>
      </c>
      <c r="M2868" s="62" t="s">
        <v>70</v>
      </c>
      <c r="N2868" t="s">
        <v>8633</v>
      </c>
      <c r="O2868" t="str">
        <f>IFERROR(IF(Tbla_actores[[#This Row],[codigo_proyecto]]="","",_xlfn.XLOOKUP(Tbla_actores[[#This Row],[codigo_proyecto]],Proyectos!$A:$A,Proyectos!$C:$C)),"")</f>
        <v>Electrónica para la Vida</v>
      </c>
    </row>
    <row r="2869" spans="1:15">
      <c r="A2869" s="10">
        <v>1000149472</v>
      </c>
      <c r="B2869" s="64" t="s">
        <v>61</v>
      </c>
      <c r="C2869" s="62" t="s">
        <v>8516</v>
      </c>
      <c r="D2869" t="s">
        <v>63</v>
      </c>
      <c r="E2869" t="s">
        <v>8634</v>
      </c>
      <c r="F2869" s="61">
        <v>37629</v>
      </c>
      <c r="G2869" s="15" t="s">
        <v>73</v>
      </c>
      <c r="H2869" t="s">
        <v>8635</v>
      </c>
      <c r="I2869" s="62" t="s">
        <v>8636</v>
      </c>
      <c r="K2869" s="36" t="s">
        <v>1489</v>
      </c>
      <c r="L2869" t="s">
        <v>69</v>
      </c>
      <c r="M2869" s="62" t="s">
        <v>70</v>
      </c>
      <c r="N2869" t="s">
        <v>8637</v>
      </c>
      <c r="O2869" t="str">
        <f>IFERROR(IF(Tbla_actores[[#This Row],[codigo_proyecto]]="","",_xlfn.XLOOKUP(Tbla_actores[[#This Row],[codigo_proyecto]],Proyectos!$A:$A,Proyectos!$C:$C)),"")</f>
        <v>Proyecto 7</v>
      </c>
    </row>
    <row r="2870" spans="1:15">
      <c r="A2870" s="9">
        <v>1001316744</v>
      </c>
      <c r="B2870" s="63" t="s">
        <v>61</v>
      </c>
      <c r="C2870" s="62" t="s">
        <v>8516</v>
      </c>
      <c r="D2870" t="s">
        <v>63</v>
      </c>
      <c r="E2870" t="s">
        <v>8638</v>
      </c>
      <c r="F2870" s="61">
        <v>37594</v>
      </c>
      <c r="G2870" s="15" t="s">
        <v>65</v>
      </c>
      <c r="H2870" t="s">
        <v>8639</v>
      </c>
      <c r="I2870" s="62" t="s">
        <v>8640</v>
      </c>
      <c r="K2870" s="36" t="s">
        <v>68</v>
      </c>
      <c r="L2870" t="s">
        <v>69</v>
      </c>
      <c r="M2870" s="62" t="s">
        <v>70</v>
      </c>
      <c r="N2870" t="s">
        <v>8641</v>
      </c>
      <c r="O2870" t="str">
        <f>IFERROR(IF(Tbla_actores[[#This Row],[codigo_proyecto]]="","",_xlfn.XLOOKUP(Tbla_actores[[#This Row],[codigo_proyecto]],Proyectos!$A:$A,Proyectos!$C:$C)),"")</f>
        <v>OFICINA DE RESPONSABILIDAD SOCIAL</v>
      </c>
    </row>
    <row r="2871" spans="1:15">
      <c r="A2871" s="10">
        <v>1014977564</v>
      </c>
      <c r="B2871" s="64" t="s">
        <v>61</v>
      </c>
      <c r="C2871" s="62" t="s">
        <v>8516</v>
      </c>
      <c r="D2871" t="s">
        <v>63</v>
      </c>
      <c r="E2871" t="s">
        <v>8642</v>
      </c>
      <c r="F2871" s="61">
        <v>38258</v>
      </c>
      <c r="G2871" s="15" t="s">
        <v>65</v>
      </c>
      <c r="H2871" t="s">
        <v>8643</v>
      </c>
      <c r="I2871" s="62" t="s">
        <v>8644</v>
      </c>
      <c r="K2871" s="36" t="s">
        <v>68</v>
      </c>
      <c r="L2871" t="s">
        <v>69</v>
      </c>
      <c r="M2871" s="62" t="s">
        <v>70</v>
      </c>
      <c r="N2871" t="s">
        <v>8583</v>
      </c>
      <c r="O2871" t="str">
        <f>IFERROR(IF(Tbla_actores[[#This Row],[codigo_proyecto]]="","",_xlfn.XLOOKUP(Tbla_actores[[#This Row],[codigo_proyecto]],Proyectos!$A:$A,Proyectos!$C:$C)),"")</f>
        <v>Proyecto 6</v>
      </c>
    </row>
    <row r="2872" spans="1:15">
      <c r="A2872" s="9">
        <v>1136889777</v>
      </c>
      <c r="B2872" s="63" t="s">
        <v>61</v>
      </c>
      <c r="C2872" s="62" t="s">
        <v>8516</v>
      </c>
      <c r="D2872" t="s">
        <v>63</v>
      </c>
      <c r="E2872" t="s">
        <v>8645</v>
      </c>
      <c r="F2872" s="61">
        <v>36380</v>
      </c>
      <c r="G2872" s="15" t="s">
        <v>65</v>
      </c>
      <c r="H2872" t="s">
        <v>8646</v>
      </c>
      <c r="I2872" s="62" t="s">
        <v>8647</v>
      </c>
      <c r="K2872" s="36" t="s">
        <v>68</v>
      </c>
      <c r="L2872" t="s">
        <v>69</v>
      </c>
      <c r="M2872" s="62" t="s">
        <v>170</v>
      </c>
      <c r="N2872" t="s">
        <v>8648</v>
      </c>
      <c r="O2872">
        <f>IFERROR(IF(Tbla_actores[[#This Row],[codigo_proyecto]]="","",_xlfn.XLOOKUP(Tbla_actores[[#This Row],[codigo_proyecto]],Proyectos!$A:$A,Proyectos!$C:$C)),"")</f>
        <v>0</v>
      </c>
    </row>
    <row r="2873" spans="1:15">
      <c r="A2873" s="10">
        <v>1001218932</v>
      </c>
      <c r="B2873" s="64" t="s">
        <v>61</v>
      </c>
      <c r="C2873" s="62" t="s">
        <v>8516</v>
      </c>
      <c r="D2873" t="s">
        <v>63</v>
      </c>
      <c r="E2873" t="s">
        <v>8649</v>
      </c>
      <c r="F2873" s="61">
        <v>37515</v>
      </c>
      <c r="G2873" s="15" t="s">
        <v>65</v>
      </c>
      <c r="H2873" t="s">
        <v>8650</v>
      </c>
      <c r="I2873" s="62" t="s">
        <v>8651</v>
      </c>
      <c r="K2873" s="36" t="s">
        <v>68</v>
      </c>
      <c r="L2873" t="s">
        <v>69</v>
      </c>
      <c r="M2873" s="62" t="s">
        <v>70</v>
      </c>
      <c r="N2873" t="s">
        <v>8652</v>
      </c>
      <c r="O2873" t="str">
        <f>IFERROR(IF(Tbla_actores[[#This Row],[codigo_proyecto]]="","",_xlfn.XLOOKUP(Tbla_actores[[#This Row],[codigo_proyecto]],Proyectos!$A:$A,Proyectos!$C:$C)),"")</f>
        <v>PROYECTO
“APOYO A LAS ACTIVIDADES DEL PROYECTO SOCIAL DE LA FACULTAD DE INGENIERIA – PROSOFI”</v>
      </c>
    </row>
    <row r="2874" spans="1:15">
      <c r="A2874" s="9">
        <v>1002163144</v>
      </c>
      <c r="B2874" s="63" t="s">
        <v>61</v>
      </c>
      <c r="C2874" s="62" t="s">
        <v>8516</v>
      </c>
      <c r="D2874" t="s">
        <v>63</v>
      </c>
      <c r="E2874" t="s">
        <v>8653</v>
      </c>
      <c r="F2874" s="61">
        <v>36914</v>
      </c>
      <c r="G2874" s="15" t="s">
        <v>65</v>
      </c>
      <c r="H2874" t="s">
        <v>8654</v>
      </c>
      <c r="I2874" s="62" t="s">
        <v>8655</v>
      </c>
      <c r="K2874" s="36" t="s">
        <v>68</v>
      </c>
      <c r="L2874" t="s">
        <v>69</v>
      </c>
      <c r="M2874" s="62" t="s">
        <v>170</v>
      </c>
      <c r="N2874" t="s">
        <v>8656</v>
      </c>
      <c r="O2874">
        <f>IFERROR(IF(Tbla_actores[[#This Row],[codigo_proyecto]]="","",_xlfn.XLOOKUP(Tbla_actores[[#This Row],[codigo_proyecto]],Proyectos!$A:$A,Proyectos!$C:$C)),"")</f>
        <v>0</v>
      </c>
    </row>
    <row r="2875" spans="1:15">
      <c r="A2875" s="10">
        <v>1000215037</v>
      </c>
      <c r="B2875" s="64" t="s">
        <v>61</v>
      </c>
      <c r="C2875" s="62" t="s">
        <v>8516</v>
      </c>
      <c r="D2875" t="s">
        <v>63</v>
      </c>
      <c r="E2875" t="s">
        <v>8657</v>
      </c>
      <c r="F2875" s="61">
        <v>37381</v>
      </c>
      <c r="G2875" s="15" t="s">
        <v>73</v>
      </c>
      <c r="H2875" t="s">
        <v>8658</v>
      </c>
      <c r="I2875" s="62" t="s">
        <v>8659</v>
      </c>
      <c r="K2875" s="36" t="s">
        <v>68</v>
      </c>
      <c r="L2875" t="s">
        <v>69</v>
      </c>
      <c r="M2875" s="62" t="s">
        <v>70</v>
      </c>
      <c r="N2875" t="s">
        <v>8660</v>
      </c>
      <c r="O2875" t="str">
        <f>IFERROR(IF(Tbla_actores[[#This Row],[codigo_proyecto]]="","",_xlfn.XLOOKUP(Tbla_actores[[#This Row],[codigo_proyecto]],Proyectos!$A:$A,Proyectos!$C:$C)),"")</f>
        <v>Proyecto 5</v>
      </c>
    </row>
    <row r="2876" spans="1:15">
      <c r="A2876" s="9">
        <v>1011081828</v>
      </c>
      <c r="B2876" s="63" t="s">
        <v>61</v>
      </c>
      <c r="C2876" s="62" t="s">
        <v>8516</v>
      </c>
      <c r="D2876" t="s">
        <v>63</v>
      </c>
      <c r="E2876" t="s">
        <v>8661</v>
      </c>
      <c r="F2876" s="61">
        <v>38397</v>
      </c>
      <c r="G2876" s="15" t="s">
        <v>73</v>
      </c>
      <c r="H2876" t="s">
        <v>8662</v>
      </c>
      <c r="I2876" s="62" t="s">
        <v>8663</v>
      </c>
      <c r="K2876" s="36" t="s">
        <v>68</v>
      </c>
      <c r="L2876" t="s">
        <v>69</v>
      </c>
      <c r="M2876" s="62" t="s">
        <v>70</v>
      </c>
      <c r="N2876" t="s">
        <v>8664</v>
      </c>
      <c r="O2876" t="str">
        <f>IFERROR(IF(Tbla_actores[[#This Row],[codigo_proyecto]]="","",_xlfn.XLOOKUP(Tbla_actores[[#This Row],[codigo_proyecto]],Proyectos!$A:$A,Proyectos!$C:$C)),"")</f>
        <v>Reparación de Electrodomésticos FSI</v>
      </c>
    </row>
    <row r="2877" spans="1:15">
      <c r="A2877" s="10">
        <v>1019984019</v>
      </c>
      <c r="B2877" s="64" t="s">
        <v>61</v>
      </c>
      <c r="C2877" s="62" t="s">
        <v>8516</v>
      </c>
      <c r="D2877" t="s">
        <v>63</v>
      </c>
      <c r="E2877" t="s">
        <v>8665</v>
      </c>
      <c r="F2877" s="61">
        <v>38245</v>
      </c>
      <c r="G2877" s="15" t="s">
        <v>73</v>
      </c>
      <c r="H2877" t="s">
        <v>8666</v>
      </c>
      <c r="I2877" s="62" t="s">
        <v>8667</v>
      </c>
      <c r="K2877" s="36" t="s">
        <v>68</v>
      </c>
      <c r="L2877" t="s">
        <v>69</v>
      </c>
      <c r="M2877" s="62" t="s">
        <v>170</v>
      </c>
      <c r="N2877" t="s">
        <v>8563</v>
      </c>
      <c r="O2877">
        <f>IFERROR(IF(Tbla_actores[[#This Row],[codigo_proyecto]]="","",_xlfn.XLOOKUP(Tbla_actores[[#This Row],[codigo_proyecto]],Proyectos!$A:$A,Proyectos!$C:$C)),"")</f>
        <v>0</v>
      </c>
    </row>
    <row r="2878" spans="1:15">
      <c r="A2878" s="9">
        <v>1057592956</v>
      </c>
      <c r="B2878" s="63" t="s">
        <v>61</v>
      </c>
      <c r="C2878" s="62" t="s">
        <v>8516</v>
      </c>
      <c r="D2878" t="s">
        <v>63</v>
      </c>
      <c r="E2878" t="s">
        <v>8668</v>
      </c>
      <c r="F2878" s="61">
        <v>37980</v>
      </c>
      <c r="G2878" s="15" t="s">
        <v>73</v>
      </c>
      <c r="H2878" t="s">
        <v>8669</v>
      </c>
      <c r="I2878" s="62" t="s">
        <v>8670</v>
      </c>
      <c r="K2878" s="36" t="s">
        <v>1489</v>
      </c>
      <c r="L2878" t="s">
        <v>69</v>
      </c>
      <c r="M2878" s="62" t="s">
        <v>70</v>
      </c>
      <c r="N2878" t="s">
        <v>8641</v>
      </c>
      <c r="O2878" t="str">
        <f>IFERROR(IF(Tbla_actores[[#This Row],[codigo_proyecto]]="","",_xlfn.XLOOKUP(Tbla_actores[[#This Row],[codigo_proyecto]],Proyectos!$A:$A,Proyectos!$C:$C)),"")</f>
        <v>OFICINA DE RESPONSABILIDAD SOCIAL</v>
      </c>
    </row>
    <row r="2879" spans="1:15">
      <c r="A2879" s="10">
        <v>1014978408</v>
      </c>
      <c r="B2879" s="64" t="s">
        <v>61</v>
      </c>
      <c r="C2879" s="62" t="s">
        <v>8516</v>
      </c>
      <c r="D2879" t="s">
        <v>63</v>
      </c>
      <c r="E2879" t="s">
        <v>8671</v>
      </c>
      <c r="F2879" s="61">
        <v>38458</v>
      </c>
      <c r="G2879" s="15" t="s">
        <v>73</v>
      </c>
      <c r="H2879" t="s">
        <v>8672</v>
      </c>
      <c r="I2879" s="62" t="s">
        <v>8673</v>
      </c>
      <c r="K2879" s="36" t="s">
        <v>169</v>
      </c>
      <c r="L2879" t="s">
        <v>69</v>
      </c>
      <c r="M2879" s="62" t="s">
        <v>170</v>
      </c>
      <c r="N2879" t="s">
        <v>8610</v>
      </c>
      <c r="O2879" t="str">
        <f>IFERROR(IF(Tbla_actores[[#This Row],[codigo_proyecto]]="","",_xlfn.XLOOKUP(Tbla_actores[[#This Row],[codigo_proyecto]],Proyectos!$A:$A,Proyectos!$C:$C)),"")</f>
        <v>DIAGNOSTICO Y PROPUESTA DESARROLLO SOSTENIBLE</v>
      </c>
    </row>
    <row r="2880" spans="1:15">
      <c r="A2880" s="9">
        <v>1001078352</v>
      </c>
      <c r="B2880" s="63" t="s">
        <v>61</v>
      </c>
      <c r="C2880" s="62" t="s">
        <v>8516</v>
      </c>
      <c r="D2880" t="s">
        <v>63</v>
      </c>
      <c r="E2880" t="s">
        <v>8674</v>
      </c>
      <c r="F2880" s="61">
        <v>37917</v>
      </c>
      <c r="G2880" s="15" t="s">
        <v>73</v>
      </c>
      <c r="H2880" t="s">
        <v>8675</v>
      </c>
      <c r="I2880" s="62" t="s">
        <v>8676</v>
      </c>
      <c r="K2880" s="36" t="s">
        <v>169</v>
      </c>
      <c r="L2880" t="s">
        <v>69</v>
      </c>
      <c r="M2880" s="62" t="s">
        <v>170</v>
      </c>
      <c r="N2880" t="s">
        <v>8677</v>
      </c>
      <c r="O2880">
        <f>IFERROR(IF(Tbla_actores[[#This Row],[codigo_proyecto]]="","",_xlfn.XLOOKUP(Tbla_actores[[#This Row],[codigo_proyecto]],Proyectos!$A:$A,Proyectos!$C:$C)),"")</f>
        <v>0</v>
      </c>
    </row>
    <row r="2881" spans="1:15">
      <c r="A2881" s="10">
        <v>1000708470</v>
      </c>
      <c r="B2881" s="64" t="s">
        <v>61</v>
      </c>
      <c r="C2881" s="62" t="s">
        <v>8516</v>
      </c>
      <c r="D2881" t="s">
        <v>63</v>
      </c>
      <c r="E2881" t="s">
        <v>8678</v>
      </c>
      <c r="F2881" s="61">
        <v>37552</v>
      </c>
      <c r="G2881" s="15" t="s">
        <v>73</v>
      </c>
      <c r="H2881" t="s">
        <v>8679</v>
      </c>
      <c r="I2881" s="62" t="s">
        <v>8680</v>
      </c>
      <c r="K2881" s="36" t="s">
        <v>169</v>
      </c>
      <c r="L2881" t="s">
        <v>69</v>
      </c>
      <c r="M2881" s="62" t="s">
        <v>70</v>
      </c>
      <c r="N2881" t="s">
        <v>8633</v>
      </c>
      <c r="O2881" t="str">
        <f>IFERROR(IF(Tbla_actores[[#This Row],[codigo_proyecto]]="","",_xlfn.XLOOKUP(Tbla_actores[[#This Row],[codigo_proyecto]],Proyectos!$A:$A,Proyectos!$C:$C)),"")</f>
        <v>Electrónica para la Vida</v>
      </c>
    </row>
    <row r="2882" spans="1:15">
      <c r="A2882" s="9">
        <v>1034516469</v>
      </c>
      <c r="B2882" s="63" t="s">
        <v>61</v>
      </c>
      <c r="C2882" s="62" t="s">
        <v>8516</v>
      </c>
      <c r="D2882" t="s">
        <v>63</v>
      </c>
      <c r="E2882" t="s">
        <v>8681</v>
      </c>
      <c r="F2882" s="61">
        <v>38282</v>
      </c>
      <c r="G2882" s="15" t="s">
        <v>73</v>
      </c>
      <c r="H2882" t="s">
        <v>8682</v>
      </c>
      <c r="I2882" s="62" t="s">
        <v>8683</v>
      </c>
      <c r="K2882" s="36" t="s">
        <v>169</v>
      </c>
      <c r="L2882" t="s">
        <v>69</v>
      </c>
      <c r="M2882" s="62" t="s">
        <v>170</v>
      </c>
      <c r="N2882" t="s">
        <v>8587</v>
      </c>
      <c r="O2882" t="str">
        <f>IFERROR(IF(Tbla_actores[[#This Row],[codigo_proyecto]]="","",_xlfn.XLOOKUP(Tbla_actores[[#This Row],[codigo_proyecto]],Proyectos!$A:$A,Proyectos!$C:$C)),"")</f>
        <v>PROPUESTA DE GESTION Y ANALISIS ESTRATEGICO</v>
      </c>
    </row>
    <row r="2883" spans="1:15">
      <c r="A2883" s="10">
        <v>1007103774</v>
      </c>
      <c r="B2883" s="64" t="s">
        <v>61</v>
      </c>
      <c r="C2883" s="62" t="s">
        <v>8516</v>
      </c>
      <c r="D2883" t="s">
        <v>63</v>
      </c>
      <c r="E2883" t="s">
        <v>8684</v>
      </c>
      <c r="F2883" s="61">
        <v>37901</v>
      </c>
      <c r="G2883" s="15" t="s">
        <v>73</v>
      </c>
      <c r="H2883" t="s">
        <v>8685</v>
      </c>
      <c r="I2883" s="62" t="s">
        <v>8686</v>
      </c>
      <c r="K2883" s="36" t="s">
        <v>495</v>
      </c>
      <c r="L2883" t="s">
        <v>69</v>
      </c>
      <c r="M2883" s="62" t="s">
        <v>70</v>
      </c>
      <c r="N2883" t="s">
        <v>8687</v>
      </c>
      <c r="O2883" t="str">
        <f>IFERROR(IF(Tbla_actores[[#This Row],[codigo_proyecto]]="","",_xlfn.XLOOKUP(Tbla_actores[[#This Row],[codigo_proyecto]],Proyectos!$A:$A,Proyectos!$C:$C)),"")</f>
        <v>Proyecto 9</v>
      </c>
    </row>
    <row r="2884" spans="1:15">
      <c r="A2884" s="9">
        <v>1001317114</v>
      </c>
      <c r="B2884" s="63" t="s">
        <v>61</v>
      </c>
      <c r="C2884" s="62" t="s">
        <v>8516</v>
      </c>
      <c r="D2884" t="s">
        <v>63</v>
      </c>
      <c r="E2884" t="s">
        <v>8688</v>
      </c>
      <c r="F2884" s="61">
        <v>37196</v>
      </c>
      <c r="G2884" s="15" t="s">
        <v>73</v>
      </c>
      <c r="H2884" t="s">
        <v>8689</v>
      </c>
      <c r="I2884" s="62" t="s">
        <v>8690</v>
      </c>
      <c r="K2884" s="36" t="s">
        <v>495</v>
      </c>
      <c r="L2884" t="s">
        <v>69</v>
      </c>
      <c r="M2884" s="62" t="s">
        <v>70</v>
      </c>
      <c r="N2884" t="s">
        <v>8691</v>
      </c>
      <c r="O2884" t="str">
        <f>IFERROR(IF(Tbla_actores[[#This Row],[codigo_proyecto]]="","",_xlfn.XLOOKUP(Tbla_actores[[#This Row],[codigo_proyecto]],Proyectos!$A:$A,Proyectos!$C:$C)),"")</f>
        <v>Diseño y construcción  de Caminador y Camas Hospitalarias para niños</v>
      </c>
    </row>
    <row r="2885" spans="1:15">
      <c r="A2885" s="10">
        <v>1034277229</v>
      </c>
      <c r="B2885" s="64" t="s">
        <v>61</v>
      </c>
      <c r="C2885" s="62" t="s">
        <v>8516</v>
      </c>
      <c r="D2885" t="s">
        <v>63</v>
      </c>
      <c r="E2885" t="s">
        <v>8692</v>
      </c>
      <c r="F2885" s="61">
        <v>38066</v>
      </c>
      <c r="G2885" s="15" t="s">
        <v>65</v>
      </c>
      <c r="H2885" t="s">
        <v>8693</v>
      </c>
      <c r="I2885" s="62" t="s">
        <v>8694</v>
      </c>
      <c r="K2885" s="36" t="s">
        <v>495</v>
      </c>
      <c r="L2885" t="s">
        <v>69</v>
      </c>
      <c r="M2885" s="62" t="s">
        <v>170</v>
      </c>
      <c r="N2885" t="s">
        <v>8532</v>
      </c>
      <c r="O2885">
        <f>IFERROR(IF(Tbla_actores[[#This Row],[codigo_proyecto]]="","",_xlfn.XLOOKUP(Tbla_actores[[#This Row],[codigo_proyecto]],Proyectos!$A:$A,Proyectos!$C:$C)),"")</f>
        <v>0</v>
      </c>
    </row>
    <row r="2886" spans="1:15">
      <c r="A2886" s="9">
        <v>1193587707</v>
      </c>
      <c r="B2886" s="63" t="s">
        <v>61</v>
      </c>
      <c r="C2886" s="62" t="s">
        <v>8516</v>
      </c>
      <c r="D2886" t="s">
        <v>63</v>
      </c>
      <c r="E2886" t="s">
        <v>8695</v>
      </c>
      <c r="F2886" s="61">
        <v>36976</v>
      </c>
      <c r="G2886" s="15" t="s">
        <v>73</v>
      </c>
      <c r="H2886" t="s">
        <v>8696</v>
      </c>
      <c r="I2886" s="62" t="s">
        <v>8697</v>
      </c>
      <c r="K2886" s="36" t="s">
        <v>495</v>
      </c>
      <c r="L2886" t="s">
        <v>69</v>
      </c>
      <c r="M2886" s="62" t="s">
        <v>70</v>
      </c>
      <c r="N2886" t="s">
        <v>8524</v>
      </c>
      <c r="O2886" t="str">
        <f>IFERROR(IF(Tbla_actores[[#This Row],[codigo_proyecto]]="","",_xlfn.XLOOKUP(Tbla_actores[[#This Row],[codigo_proyecto]],Proyectos!$A:$A,Proyectos!$C:$C)),"")</f>
        <v>CURSO BÁSICO EN CONSTRICCIÓN</v>
      </c>
    </row>
    <row r="2887" spans="1:15">
      <c r="A2887" s="10">
        <v>1000590924</v>
      </c>
      <c r="B2887" s="64" t="s">
        <v>61</v>
      </c>
      <c r="C2887" s="62" t="s">
        <v>8516</v>
      </c>
      <c r="D2887" t="s">
        <v>63</v>
      </c>
      <c r="E2887" t="s">
        <v>8698</v>
      </c>
      <c r="F2887" s="61">
        <v>37761</v>
      </c>
      <c r="G2887" s="15" t="s">
        <v>73</v>
      </c>
      <c r="H2887" t="s">
        <v>8699</v>
      </c>
      <c r="I2887" s="62" t="s">
        <v>8700</v>
      </c>
      <c r="K2887" s="36" t="s">
        <v>495</v>
      </c>
      <c r="L2887" t="s">
        <v>69</v>
      </c>
      <c r="M2887" s="62" t="s">
        <v>70</v>
      </c>
      <c r="N2887" t="s">
        <v>8701</v>
      </c>
      <c r="O2887" t="str">
        <f>IFERROR(IF(Tbla_actores[[#This Row],[codigo_proyecto]]="","",_xlfn.XLOOKUP(Tbla_actores[[#This Row],[codigo_proyecto]],Proyectos!$A:$A,Proyectos!$C:$C)),"")</f>
        <v>Proyecto 2</v>
      </c>
    </row>
    <row r="2888" spans="1:15">
      <c r="A2888" s="9">
        <v>1003292024</v>
      </c>
      <c r="B2888" s="63" t="s">
        <v>61</v>
      </c>
      <c r="C2888" s="62" t="s">
        <v>8516</v>
      </c>
      <c r="D2888" t="s">
        <v>63</v>
      </c>
      <c r="E2888" t="s">
        <v>8702</v>
      </c>
      <c r="F2888" s="61">
        <v>37239</v>
      </c>
      <c r="G2888" s="15" t="s">
        <v>73</v>
      </c>
      <c r="H2888" t="s">
        <v>8703</v>
      </c>
      <c r="I2888" s="62" t="s">
        <v>8704</v>
      </c>
      <c r="K2888" s="36" t="s">
        <v>495</v>
      </c>
      <c r="L2888" t="s">
        <v>69</v>
      </c>
      <c r="M2888" s="62" t="s">
        <v>70</v>
      </c>
      <c r="N2888" t="s">
        <v>8551</v>
      </c>
      <c r="O2888" t="str">
        <f>IFERROR(IF(Tbla_actores[[#This Row],[codigo_proyecto]]="","",_xlfn.XLOOKUP(Tbla_actores[[#This Row],[codigo_proyecto]],Proyectos!$A:$A,Proyectos!$C:$C)),"")</f>
        <v>Proyecto 20</v>
      </c>
    </row>
    <row r="2889" spans="1:15">
      <c r="A2889" s="10">
        <v>1052415783</v>
      </c>
      <c r="B2889" s="64" t="s">
        <v>61</v>
      </c>
      <c r="C2889" s="62" t="s">
        <v>8516</v>
      </c>
      <c r="D2889" t="s">
        <v>63</v>
      </c>
      <c r="E2889" t="s">
        <v>8705</v>
      </c>
      <c r="F2889" s="61">
        <v>36303</v>
      </c>
      <c r="G2889" s="15" t="s">
        <v>73</v>
      </c>
      <c r="H2889" t="s">
        <v>8706</v>
      </c>
      <c r="I2889" s="62" t="s">
        <v>8707</v>
      </c>
      <c r="K2889" s="36" t="s">
        <v>495</v>
      </c>
      <c r="L2889" t="s">
        <v>69</v>
      </c>
      <c r="M2889" s="62" t="s">
        <v>70</v>
      </c>
      <c r="N2889" t="s">
        <v>8625</v>
      </c>
      <c r="O2889" t="str">
        <f>IFERROR(IF(Tbla_actores[[#This Row],[codigo_proyecto]]="","",_xlfn.XLOOKUP(Tbla_actores[[#This Row],[codigo_proyecto]],Proyectos!$A:$A,Proyectos!$C:$C)),"")</f>
        <v>Proyecto 4</v>
      </c>
    </row>
    <row r="2890" spans="1:15">
      <c r="A2890" s="9">
        <v>1000763465</v>
      </c>
      <c r="B2890" s="63" t="s">
        <v>61</v>
      </c>
      <c r="C2890" s="62" t="s">
        <v>8516</v>
      </c>
      <c r="D2890" t="s">
        <v>63</v>
      </c>
      <c r="E2890" t="s">
        <v>8708</v>
      </c>
      <c r="F2890" s="61">
        <v>37749</v>
      </c>
      <c r="G2890" s="15" t="s">
        <v>73</v>
      </c>
      <c r="H2890" t="s">
        <v>8709</v>
      </c>
      <c r="I2890" s="62" t="s">
        <v>8710</v>
      </c>
      <c r="K2890" s="36" t="s">
        <v>495</v>
      </c>
      <c r="L2890" t="s">
        <v>69</v>
      </c>
      <c r="M2890" s="62" t="s">
        <v>70</v>
      </c>
      <c r="N2890" t="s">
        <v>8595</v>
      </c>
      <c r="O2890" t="str">
        <f>IFERROR(IF(Tbla_actores[[#This Row],[codigo_proyecto]]="","",_xlfn.XLOOKUP(Tbla_actores[[#This Row],[codigo_proyecto]],Proyectos!$A:$A,Proyectos!$C:$C)),"")</f>
        <v>Proyecto 8</v>
      </c>
    </row>
    <row r="2891" spans="1:15">
      <c r="A2891" s="10">
        <v>1000285056</v>
      </c>
      <c r="B2891" s="64" t="s">
        <v>61</v>
      </c>
      <c r="C2891" s="62" t="s">
        <v>8516</v>
      </c>
      <c r="D2891" t="s">
        <v>63</v>
      </c>
      <c r="E2891" t="s">
        <v>8711</v>
      </c>
      <c r="F2891" s="61">
        <v>37630</v>
      </c>
      <c r="G2891" s="15" t="s">
        <v>73</v>
      </c>
      <c r="H2891" t="s">
        <v>8712</v>
      </c>
      <c r="I2891" s="62" t="s">
        <v>8713</v>
      </c>
      <c r="K2891" s="36" t="s">
        <v>495</v>
      </c>
      <c r="L2891" t="s">
        <v>69</v>
      </c>
      <c r="M2891" s="62" t="s">
        <v>70</v>
      </c>
      <c r="N2891" t="s">
        <v>8714</v>
      </c>
      <c r="O2891" t="str">
        <f>IFERROR(IF(Tbla_actores[[#This Row],[codigo_proyecto]]="","",_xlfn.XLOOKUP(Tbla_actores[[#This Row],[codigo_proyecto]],Proyectos!$A:$A,Proyectos!$C:$C)),"")</f>
        <v>Proyecto 14</v>
      </c>
    </row>
    <row r="2892" spans="1:15">
      <c r="A2892" s="9">
        <v>491718</v>
      </c>
      <c r="B2892" s="63" t="s">
        <v>61</v>
      </c>
      <c r="C2892" s="62" t="s">
        <v>8516</v>
      </c>
      <c r="D2892" t="s">
        <v>63</v>
      </c>
      <c r="E2892" t="s">
        <v>8715</v>
      </c>
      <c r="F2892" s="61">
        <v>37914</v>
      </c>
      <c r="G2892" s="15" t="s">
        <v>73</v>
      </c>
      <c r="H2892" t="s">
        <v>8716</v>
      </c>
      <c r="I2892" s="62" t="s">
        <v>8717</v>
      </c>
      <c r="K2892" s="36" t="s">
        <v>495</v>
      </c>
      <c r="L2892" t="s">
        <v>69</v>
      </c>
      <c r="M2892" s="62" t="s">
        <v>70</v>
      </c>
      <c r="N2892" t="s">
        <v>8536</v>
      </c>
      <c r="O2892" t="str">
        <f>IFERROR(IF(Tbla_actores[[#This Row],[codigo_proyecto]]="","",_xlfn.XLOOKUP(Tbla_actores[[#This Row],[codigo_proyecto]],Proyectos!$A:$A,Proyectos!$C:$C)),"")</f>
        <v>Proyecto 19</v>
      </c>
    </row>
    <row r="2893" spans="1:15">
      <c r="A2893" s="10">
        <v>1000372529</v>
      </c>
      <c r="B2893" s="64" t="s">
        <v>61</v>
      </c>
      <c r="C2893" s="62" t="s">
        <v>8516</v>
      </c>
      <c r="D2893" t="s">
        <v>63</v>
      </c>
      <c r="E2893" t="s">
        <v>8718</v>
      </c>
      <c r="F2893" s="61">
        <v>37336</v>
      </c>
      <c r="G2893" s="15" t="s">
        <v>73</v>
      </c>
      <c r="H2893" t="s">
        <v>8719</v>
      </c>
      <c r="I2893" s="62" t="s">
        <v>8720</v>
      </c>
      <c r="K2893" s="36" t="s">
        <v>495</v>
      </c>
      <c r="L2893" t="s">
        <v>69</v>
      </c>
      <c r="M2893" s="62" t="s">
        <v>70</v>
      </c>
      <c r="N2893" t="s">
        <v>8721</v>
      </c>
      <c r="O2893" t="str">
        <f>IFERROR(IF(Tbla_actores[[#This Row],[codigo_proyecto]]="","",_xlfn.XLOOKUP(Tbla_actores[[#This Row],[codigo_proyecto]],Proyectos!$A:$A,Proyectos!$C:$C)),"")</f>
        <v>Diseño y construcción  de sistemas  digitale,  visuales y manuales  para audiometría</v>
      </c>
    </row>
    <row r="2894" spans="1:15">
      <c r="A2894" s="9">
        <v>1023302528</v>
      </c>
      <c r="B2894" s="63" t="s">
        <v>61</v>
      </c>
      <c r="C2894" s="62" t="s">
        <v>8516</v>
      </c>
      <c r="D2894" t="s">
        <v>63</v>
      </c>
      <c r="E2894" t="s">
        <v>8722</v>
      </c>
      <c r="F2894" s="61">
        <v>38358</v>
      </c>
      <c r="G2894" s="15" t="s">
        <v>65</v>
      </c>
      <c r="H2894" t="s">
        <v>8723</v>
      </c>
      <c r="I2894" s="62" t="s">
        <v>8724</v>
      </c>
      <c r="K2894" s="36" t="s">
        <v>495</v>
      </c>
      <c r="L2894" t="s">
        <v>69</v>
      </c>
      <c r="M2894" s="62" t="s">
        <v>170</v>
      </c>
      <c r="N2894" t="s">
        <v>8575</v>
      </c>
      <c r="O2894" t="str">
        <f>IFERROR(IF(Tbla_actores[[#This Row],[codigo_proyecto]]="","",_xlfn.XLOOKUP(Tbla_actores[[#This Row],[codigo_proyecto]],Proyectos!$A:$A,Proyectos!$C:$C)),"")</f>
        <v>Direccionamiento estratégico del Semillero Olympia</v>
      </c>
    </row>
    <row r="2895" spans="1:15">
      <c r="A2895" s="10">
        <v>1011320046</v>
      </c>
      <c r="B2895" s="64" t="s">
        <v>61</v>
      </c>
      <c r="C2895" s="62" t="s">
        <v>8516</v>
      </c>
      <c r="D2895" t="s">
        <v>63</v>
      </c>
      <c r="E2895" t="s">
        <v>8725</v>
      </c>
      <c r="F2895" s="61">
        <v>37945</v>
      </c>
      <c r="G2895" s="15" t="s">
        <v>73</v>
      </c>
      <c r="H2895" t="s">
        <v>8726</v>
      </c>
      <c r="I2895" s="62" t="s">
        <v>8727</v>
      </c>
      <c r="K2895" s="36" t="s">
        <v>68</v>
      </c>
      <c r="L2895" t="s">
        <v>69</v>
      </c>
      <c r="M2895" s="62" t="s">
        <v>70</v>
      </c>
      <c r="N2895" t="s">
        <v>8728</v>
      </c>
      <c r="O2895" t="str">
        <f>IFERROR(IF(Tbla_actores[[#This Row],[codigo_proyecto]]="","",_xlfn.XLOOKUP(Tbla_actores[[#This Row],[codigo_proyecto]],Proyectos!$A:$A,Proyectos!$C:$C)),"")</f>
        <v>PROYECTO
“ESTUDIO DE ESTABILIDAD ESTRUCTURAL DEL TEMPLO Y CASA CURAL EN CARACOLÍ – CIUDAD BOLÍVAR”</v>
      </c>
    </row>
    <row r="2896" spans="1:15">
      <c r="A2896" s="9">
        <v>1000941364</v>
      </c>
      <c r="B2896" s="63" t="s">
        <v>61</v>
      </c>
      <c r="C2896" s="62" t="s">
        <v>8516</v>
      </c>
      <c r="D2896" t="s">
        <v>63</v>
      </c>
      <c r="E2896" t="s">
        <v>8729</v>
      </c>
      <c r="F2896" s="61">
        <v>37722</v>
      </c>
      <c r="G2896" s="15" t="s">
        <v>73</v>
      </c>
      <c r="H2896" t="s">
        <v>8730</v>
      </c>
      <c r="I2896" s="62" t="s">
        <v>8731</v>
      </c>
      <c r="K2896" s="36" t="s">
        <v>169</v>
      </c>
      <c r="L2896" t="s">
        <v>69</v>
      </c>
      <c r="M2896" s="62" t="s">
        <v>70</v>
      </c>
      <c r="N2896" t="s">
        <v>8637</v>
      </c>
      <c r="O2896" t="str">
        <f>IFERROR(IF(Tbla_actores[[#This Row],[codigo_proyecto]]="","",_xlfn.XLOOKUP(Tbla_actores[[#This Row],[codigo_proyecto]],Proyectos!$A:$A,Proyectos!$C:$C)),"")</f>
        <v>Proyecto 7</v>
      </c>
    </row>
    <row r="2897" spans="1:15">
      <c r="A2897" s="10">
        <v>1014978063</v>
      </c>
      <c r="B2897" s="64" t="s">
        <v>61</v>
      </c>
      <c r="C2897" s="62" t="s">
        <v>8516</v>
      </c>
      <c r="D2897" t="s">
        <v>63</v>
      </c>
      <c r="E2897" t="s">
        <v>8732</v>
      </c>
      <c r="F2897" s="61">
        <v>38377</v>
      </c>
      <c r="G2897" s="15" t="s">
        <v>65</v>
      </c>
      <c r="H2897" t="s">
        <v>8733</v>
      </c>
      <c r="I2897" s="62" t="s">
        <v>8734</v>
      </c>
      <c r="K2897" s="36" t="s">
        <v>169</v>
      </c>
      <c r="L2897" t="s">
        <v>69</v>
      </c>
      <c r="M2897" s="62" t="s">
        <v>170</v>
      </c>
      <c r="N2897" t="s">
        <v>8540</v>
      </c>
      <c r="O2897" t="str">
        <f>IFERROR(IF(Tbla_actores[[#This Row],[codigo_proyecto]]="","",_xlfn.XLOOKUP(Tbla_actores[[#This Row],[codigo_proyecto]],Proyectos!$A:$A,Proyectos!$C:$C)),"")</f>
        <v>Formulación de Emprendimiento Social en J.J. Rondón</v>
      </c>
    </row>
    <row r="2898" spans="1:15">
      <c r="A2898" s="9">
        <v>1003505056</v>
      </c>
      <c r="B2898" s="63" t="s">
        <v>61</v>
      </c>
      <c r="C2898" s="62" t="s">
        <v>8516</v>
      </c>
      <c r="D2898" t="s">
        <v>63</v>
      </c>
      <c r="E2898" t="s">
        <v>8735</v>
      </c>
      <c r="F2898" s="61">
        <v>37198</v>
      </c>
      <c r="G2898" s="15" t="s">
        <v>65</v>
      </c>
      <c r="H2898" t="s">
        <v>8736</v>
      </c>
      <c r="I2898" s="62" t="s">
        <v>8737</v>
      </c>
      <c r="K2898" s="36" t="s">
        <v>169</v>
      </c>
      <c r="L2898" t="s">
        <v>69</v>
      </c>
      <c r="M2898" s="62" t="s">
        <v>70</v>
      </c>
      <c r="N2898" t="s">
        <v>8579</v>
      </c>
      <c r="O2898" t="str">
        <f>IFERROR(IF(Tbla_actores[[#This Row],[codigo_proyecto]]="","",_xlfn.XLOOKUP(Tbla_actores[[#This Row],[codigo_proyecto]],Proyectos!$A:$A,Proyectos!$C:$C)),"")</f>
        <v>Reparación de Electrodomésticos BA</v>
      </c>
    </row>
    <row r="2899" spans="1:15">
      <c r="A2899" s="10">
        <v>1014657583</v>
      </c>
      <c r="B2899" s="64" t="s">
        <v>61</v>
      </c>
      <c r="C2899" s="62" t="s">
        <v>8516</v>
      </c>
      <c r="D2899" t="s">
        <v>63</v>
      </c>
      <c r="E2899" t="s">
        <v>8738</v>
      </c>
      <c r="F2899" s="61">
        <v>38137</v>
      </c>
      <c r="G2899" s="15" t="s">
        <v>65</v>
      </c>
      <c r="H2899" t="s">
        <v>8739</v>
      </c>
      <c r="I2899" s="62" t="s">
        <v>8740</v>
      </c>
      <c r="K2899" s="36" t="s">
        <v>68</v>
      </c>
      <c r="L2899" t="s">
        <v>69</v>
      </c>
      <c r="M2899" s="62" t="s">
        <v>170</v>
      </c>
      <c r="N2899" t="s">
        <v>8599</v>
      </c>
      <c r="O2899" t="str">
        <f>IFERROR(IF(Tbla_actores[[#This Row],[codigo_proyecto]]="","",_xlfn.XLOOKUP(Tbla_actores[[#This Row],[codigo_proyecto]],Proyectos!$A:$A,Proyectos!$C:$C)),"")</f>
        <v>Posicionamiento de la Biósfera en los procesos académicos del Colegio San Cayetano</v>
      </c>
    </row>
    <row r="2900" spans="1:15">
      <c r="A2900" s="9">
        <v>1052943927</v>
      </c>
      <c r="B2900" s="63" t="s">
        <v>61</v>
      </c>
      <c r="C2900" s="62" t="s">
        <v>8516</v>
      </c>
      <c r="D2900" t="s">
        <v>63</v>
      </c>
      <c r="E2900" t="s">
        <v>8741</v>
      </c>
      <c r="F2900" s="61">
        <v>37856</v>
      </c>
      <c r="G2900" s="15" t="s">
        <v>65</v>
      </c>
      <c r="H2900" t="s">
        <v>8742</v>
      </c>
      <c r="I2900" s="62" t="s">
        <v>8743</v>
      </c>
      <c r="K2900" s="36" t="s">
        <v>68</v>
      </c>
      <c r="L2900" t="s">
        <v>69</v>
      </c>
      <c r="M2900" s="62" t="s">
        <v>70</v>
      </c>
      <c r="N2900" t="s">
        <v>8524</v>
      </c>
      <c r="O2900" t="str">
        <f>IFERROR(IF(Tbla_actores[[#This Row],[codigo_proyecto]]="","",_xlfn.XLOOKUP(Tbla_actores[[#This Row],[codigo_proyecto]],Proyectos!$A:$A,Proyectos!$C:$C)),"")</f>
        <v>CURSO BÁSICO EN CONSTRICCIÓN</v>
      </c>
    </row>
    <row r="2901" spans="1:15">
      <c r="A2901" s="10">
        <v>1001296525</v>
      </c>
      <c r="B2901" s="64" t="s">
        <v>61</v>
      </c>
      <c r="C2901" s="62" t="s">
        <v>8516</v>
      </c>
      <c r="D2901" t="s">
        <v>63</v>
      </c>
      <c r="E2901" t="s">
        <v>8744</v>
      </c>
      <c r="F2901" s="61">
        <v>37579</v>
      </c>
      <c r="G2901" s="15" t="s">
        <v>73</v>
      </c>
      <c r="H2901" t="s">
        <v>8745</v>
      </c>
      <c r="I2901" s="62" t="s">
        <v>8746</v>
      </c>
      <c r="K2901" s="36" t="s">
        <v>68</v>
      </c>
      <c r="L2901" t="s">
        <v>69</v>
      </c>
      <c r="M2901" s="62" t="s">
        <v>70</v>
      </c>
      <c r="N2901" t="s">
        <v>8625</v>
      </c>
      <c r="O2901" t="str">
        <f>IFERROR(IF(Tbla_actores[[#This Row],[codigo_proyecto]]="","",_xlfn.XLOOKUP(Tbla_actores[[#This Row],[codigo_proyecto]],Proyectos!$A:$A,Proyectos!$C:$C)),"")</f>
        <v>Proyecto 4</v>
      </c>
    </row>
    <row r="2902" spans="1:15">
      <c r="A2902" s="9">
        <v>1006772078</v>
      </c>
      <c r="B2902" s="63" t="s">
        <v>61</v>
      </c>
      <c r="C2902" s="62" t="s">
        <v>8516</v>
      </c>
      <c r="D2902" t="s">
        <v>63</v>
      </c>
      <c r="E2902" t="s">
        <v>8747</v>
      </c>
      <c r="F2902" s="61">
        <v>37153</v>
      </c>
      <c r="G2902" s="15" t="s">
        <v>73</v>
      </c>
      <c r="H2902" t="s">
        <v>8748</v>
      </c>
      <c r="I2902" s="62" t="s">
        <v>8749</v>
      </c>
      <c r="K2902" s="36" t="s">
        <v>68</v>
      </c>
      <c r="L2902" t="s">
        <v>69</v>
      </c>
      <c r="M2902" s="62" t="s">
        <v>70</v>
      </c>
      <c r="N2902" t="s">
        <v>8571</v>
      </c>
      <c r="O2902" t="str">
        <f>IFERROR(IF(Tbla_actores[[#This Row],[codigo_proyecto]]="","",_xlfn.XLOOKUP(Tbla_actores[[#This Row],[codigo_proyecto]],Proyectos!$A:$A,Proyectos!$C:$C)),"")</f>
        <v>PROYECTO "ALTOS DE LA FLORIDA – SOACHA"</v>
      </c>
    </row>
    <row r="2903" spans="1:15">
      <c r="A2903" s="10">
        <v>1007557961</v>
      </c>
      <c r="B2903" s="64" t="s">
        <v>61</v>
      </c>
      <c r="C2903" s="62" t="s">
        <v>8516</v>
      </c>
      <c r="D2903" t="s">
        <v>63</v>
      </c>
      <c r="E2903" t="s">
        <v>8750</v>
      </c>
      <c r="F2903" s="61">
        <v>37604</v>
      </c>
      <c r="G2903" s="15" t="s">
        <v>73</v>
      </c>
      <c r="H2903" t="s">
        <v>8751</v>
      </c>
      <c r="I2903" s="62" t="s">
        <v>8752</v>
      </c>
      <c r="K2903" s="36" t="s">
        <v>1489</v>
      </c>
      <c r="L2903" t="s">
        <v>69</v>
      </c>
      <c r="M2903" s="62" t="s">
        <v>70</v>
      </c>
      <c r="N2903" t="s">
        <v>8753</v>
      </c>
      <c r="O2903" t="str">
        <f>IFERROR(IF(Tbla_actores[[#This Row],[codigo_proyecto]]="","",_xlfn.XLOOKUP(Tbla_actores[[#This Row],[codigo_proyecto]],Proyectos!$A:$A,Proyectos!$C:$C)),"")</f>
        <v>Proyecto 3</v>
      </c>
    </row>
    <row r="2904" spans="1:15">
      <c r="A2904" s="9">
        <v>1034516787</v>
      </c>
      <c r="B2904" s="63" t="s">
        <v>61</v>
      </c>
      <c r="C2904" s="62" t="s">
        <v>8516</v>
      </c>
      <c r="D2904" t="s">
        <v>63</v>
      </c>
      <c r="E2904" t="s">
        <v>8754</v>
      </c>
      <c r="F2904" s="61">
        <v>38491</v>
      </c>
      <c r="G2904" s="15" t="s">
        <v>73</v>
      </c>
      <c r="H2904" t="s">
        <v>8755</v>
      </c>
      <c r="I2904" s="62" t="s">
        <v>8756</v>
      </c>
      <c r="K2904" s="36" t="s">
        <v>1489</v>
      </c>
      <c r="L2904" t="s">
        <v>69</v>
      </c>
      <c r="M2904" s="62" t="s">
        <v>170</v>
      </c>
      <c r="N2904" t="s">
        <v>8757</v>
      </c>
      <c r="O2904" t="str">
        <f>IFERROR(IF(Tbla_actores[[#This Row],[codigo_proyecto]]="","",_xlfn.XLOOKUP(Tbla_actores[[#This Row],[codigo_proyecto]],Proyectos!$A:$A,Proyectos!$C:$C)),"")</f>
        <v>CAPACITACION EMPRENDIMIENTO</v>
      </c>
    </row>
    <row r="2905" spans="1:15">
      <c r="A2905" s="10">
        <v>1000036438</v>
      </c>
      <c r="B2905" s="64" t="s">
        <v>61</v>
      </c>
      <c r="C2905" s="62" t="s">
        <v>8516</v>
      </c>
      <c r="D2905" t="s">
        <v>63</v>
      </c>
      <c r="E2905" t="s">
        <v>8758</v>
      </c>
      <c r="F2905" s="61">
        <v>37811</v>
      </c>
      <c r="G2905" s="15" t="s">
        <v>73</v>
      </c>
      <c r="H2905" t="s">
        <v>8759</v>
      </c>
      <c r="I2905" s="62" t="s">
        <v>8760</v>
      </c>
      <c r="K2905" s="36" t="s">
        <v>1489</v>
      </c>
      <c r="L2905" t="s">
        <v>69</v>
      </c>
      <c r="M2905" s="62" t="s">
        <v>70</v>
      </c>
      <c r="N2905" t="s">
        <v>8621</v>
      </c>
      <c r="O2905" t="str">
        <f>IFERROR(IF(Tbla_actores[[#This Row],[codigo_proyecto]]="","",_xlfn.XLOOKUP(Tbla_actores[[#This Row],[codigo_proyecto]],Proyectos!$A:$A,Proyectos!$C:$C)),"")</f>
        <v>Proyecto 28</v>
      </c>
    </row>
    <row r="2906" spans="1:15">
      <c r="A2906" s="9">
        <v>1050094047</v>
      </c>
      <c r="B2906" s="63" t="s">
        <v>61</v>
      </c>
      <c r="C2906" s="62" t="s">
        <v>8516</v>
      </c>
      <c r="D2906" t="s">
        <v>63</v>
      </c>
      <c r="E2906" t="s">
        <v>8761</v>
      </c>
      <c r="F2906" s="61">
        <v>38083</v>
      </c>
      <c r="G2906" s="15" t="s">
        <v>73</v>
      </c>
      <c r="H2906" t="s">
        <v>8762</v>
      </c>
      <c r="I2906" s="62" t="s">
        <v>8763</v>
      </c>
      <c r="K2906" s="36" t="s">
        <v>7671</v>
      </c>
      <c r="L2906" t="s">
        <v>69</v>
      </c>
      <c r="M2906" s="62" t="s">
        <v>70</v>
      </c>
      <c r="N2906" t="s">
        <v>8595</v>
      </c>
      <c r="O2906" t="str">
        <f>IFERROR(IF(Tbla_actores[[#This Row],[codigo_proyecto]]="","",_xlfn.XLOOKUP(Tbla_actores[[#This Row],[codigo_proyecto]],Proyectos!$A:$A,Proyectos!$C:$C)),"")</f>
        <v>Proyecto 8</v>
      </c>
    </row>
    <row r="2907" spans="1:15">
      <c r="A2907" s="10">
        <v>1001782529</v>
      </c>
      <c r="B2907" s="64" t="s">
        <v>61</v>
      </c>
      <c r="C2907" s="62" t="s">
        <v>8516</v>
      </c>
      <c r="D2907" t="s">
        <v>63</v>
      </c>
      <c r="E2907" t="s">
        <v>8764</v>
      </c>
      <c r="F2907" s="61">
        <v>36939</v>
      </c>
      <c r="G2907" s="15" t="s">
        <v>73</v>
      </c>
      <c r="H2907" t="s">
        <v>8765</v>
      </c>
      <c r="I2907" s="62" t="s">
        <v>8766</v>
      </c>
      <c r="K2907" s="36" t="s">
        <v>169</v>
      </c>
      <c r="L2907" t="s">
        <v>69</v>
      </c>
      <c r="M2907" s="62" t="s">
        <v>70</v>
      </c>
      <c r="N2907" t="s">
        <v>8551</v>
      </c>
      <c r="O2907" t="str">
        <f>IFERROR(IF(Tbla_actores[[#This Row],[codigo_proyecto]]="","",_xlfn.XLOOKUP(Tbla_actores[[#This Row],[codigo_proyecto]],Proyectos!$A:$A,Proyectos!$C:$C)),"")</f>
        <v>Proyecto 20</v>
      </c>
    </row>
    <row r="2908" spans="1:15">
      <c r="A2908" s="9">
        <v>1000149386</v>
      </c>
      <c r="B2908" s="63" t="s">
        <v>61</v>
      </c>
      <c r="C2908" s="62" t="s">
        <v>8516</v>
      </c>
      <c r="D2908" t="s">
        <v>63</v>
      </c>
      <c r="E2908" t="s">
        <v>8767</v>
      </c>
      <c r="F2908" s="61">
        <v>37563</v>
      </c>
      <c r="G2908" s="15" t="s">
        <v>73</v>
      </c>
      <c r="H2908" t="s">
        <v>8768</v>
      </c>
      <c r="I2908" s="62" t="s">
        <v>8769</v>
      </c>
      <c r="K2908" s="36" t="s">
        <v>169</v>
      </c>
      <c r="L2908" t="s">
        <v>69</v>
      </c>
      <c r="M2908" s="62" t="s">
        <v>70</v>
      </c>
      <c r="N2908" t="s">
        <v>8770</v>
      </c>
      <c r="O2908" t="str">
        <f>IFERROR(IF(Tbla_actores[[#This Row],[codigo_proyecto]]="","",_xlfn.XLOOKUP(Tbla_actores[[#This Row],[codigo_proyecto]],Proyectos!$A:$A,Proyectos!$C:$C)),"")</f>
        <v>Proyecto 5</v>
      </c>
    </row>
    <row r="2909" spans="1:15">
      <c r="A2909" s="10">
        <v>1193036575</v>
      </c>
      <c r="B2909" s="64" t="s">
        <v>61</v>
      </c>
      <c r="C2909" s="62" t="s">
        <v>8516</v>
      </c>
      <c r="D2909" t="s">
        <v>63</v>
      </c>
      <c r="E2909" t="s">
        <v>8771</v>
      </c>
      <c r="F2909" s="61">
        <v>37499</v>
      </c>
      <c r="G2909" s="15" t="s">
        <v>73</v>
      </c>
      <c r="H2909" t="s">
        <v>8772</v>
      </c>
      <c r="I2909" s="62" t="s">
        <v>8773</v>
      </c>
      <c r="K2909" s="36" t="s">
        <v>68</v>
      </c>
      <c r="L2909" t="s">
        <v>69</v>
      </c>
      <c r="M2909" s="62" t="s">
        <v>70</v>
      </c>
      <c r="N2909" t="s">
        <v>8524</v>
      </c>
      <c r="O2909" t="str">
        <f>IFERROR(IF(Tbla_actores[[#This Row],[codigo_proyecto]]="","",_xlfn.XLOOKUP(Tbla_actores[[#This Row],[codigo_proyecto]],Proyectos!$A:$A,Proyectos!$C:$C)),"")</f>
        <v>CURSO BÁSICO EN CONSTRICCIÓN</v>
      </c>
    </row>
    <row r="2910" spans="1:15">
      <c r="A2910" s="9">
        <v>1014661136</v>
      </c>
      <c r="B2910" s="63" t="s">
        <v>61</v>
      </c>
      <c r="C2910" s="62" t="s">
        <v>8516</v>
      </c>
      <c r="D2910" t="s">
        <v>63</v>
      </c>
      <c r="E2910" t="s">
        <v>8774</v>
      </c>
      <c r="F2910" s="61">
        <v>38677</v>
      </c>
      <c r="G2910" s="15" t="s">
        <v>65</v>
      </c>
      <c r="H2910" t="s">
        <v>8775</v>
      </c>
      <c r="I2910" s="62" t="s">
        <v>8776</v>
      </c>
      <c r="K2910" s="36" t="s">
        <v>68</v>
      </c>
      <c r="L2910" t="s">
        <v>69</v>
      </c>
      <c r="M2910" s="62" t="s">
        <v>170</v>
      </c>
      <c r="N2910" t="s">
        <v>8603</v>
      </c>
      <c r="O2910" t="str">
        <f>IFERROR(IF(Tbla_actores[[#This Row],[codigo_proyecto]]="","",_xlfn.XLOOKUP(Tbla_actores[[#This Row],[codigo_proyecto]],Proyectos!$A:$A,Proyectos!$C:$C)),"")</f>
        <v>Estrategias para lograr equilibrio económico</v>
      </c>
    </row>
    <row r="2911" spans="1:15">
      <c r="A2911" s="10">
        <v>1005256841</v>
      </c>
      <c r="B2911" s="64" t="s">
        <v>61</v>
      </c>
      <c r="C2911" s="62" t="s">
        <v>8516</v>
      </c>
      <c r="D2911" t="s">
        <v>63</v>
      </c>
      <c r="E2911" t="s">
        <v>8777</v>
      </c>
      <c r="F2911" s="61">
        <v>37769</v>
      </c>
      <c r="G2911" s="15" t="s">
        <v>73</v>
      </c>
      <c r="H2911" t="s">
        <v>8778</v>
      </c>
      <c r="I2911" s="62" t="s">
        <v>8779</v>
      </c>
      <c r="K2911" s="36" t="s">
        <v>68</v>
      </c>
      <c r="L2911" t="s">
        <v>69</v>
      </c>
      <c r="M2911" s="62" t="s">
        <v>70</v>
      </c>
      <c r="N2911" t="s">
        <v>8780</v>
      </c>
      <c r="O2911" t="str">
        <f>IFERROR(IF(Tbla_actores[[#This Row],[codigo_proyecto]]="","",_xlfn.XLOOKUP(Tbla_actores[[#This Row],[codigo_proyecto]],Proyectos!$A:$A,Proyectos!$C:$C)),"")</f>
        <v>Libro pedagógico de programación en Scratch</v>
      </c>
    </row>
    <row r="2912" spans="1:15">
      <c r="A2912" s="9">
        <v>1001090717</v>
      </c>
      <c r="B2912" s="63" t="s">
        <v>61</v>
      </c>
      <c r="C2912" s="62" t="s">
        <v>8516</v>
      </c>
      <c r="D2912" t="s">
        <v>63</v>
      </c>
      <c r="E2912" t="s">
        <v>8781</v>
      </c>
      <c r="F2912" s="61">
        <v>37052</v>
      </c>
      <c r="G2912" s="15" t="s">
        <v>73</v>
      </c>
      <c r="H2912" t="s">
        <v>8782</v>
      </c>
      <c r="I2912" s="62" t="s">
        <v>8783</v>
      </c>
      <c r="K2912" s="36" t="s">
        <v>68</v>
      </c>
      <c r="L2912" t="s">
        <v>69</v>
      </c>
      <c r="M2912" s="62" t="s">
        <v>70</v>
      </c>
      <c r="N2912" t="s">
        <v>8652</v>
      </c>
      <c r="O2912" t="str">
        <f>IFERROR(IF(Tbla_actores[[#This Row],[codigo_proyecto]]="","",_xlfn.XLOOKUP(Tbla_actores[[#This Row],[codigo_proyecto]],Proyectos!$A:$A,Proyectos!$C:$C)),"")</f>
        <v>PROYECTO
“APOYO A LAS ACTIVIDADES DEL PROYECTO SOCIAL DE LA FACULTAD DE INGENIERIA – PROSOFI”</v>
      </c>
    </row>
    <row r="2913" spans="1:15">
      <c r="A2913" s="10">
        <v>1233696235</v>
      </c>
      <c r="B2913" s="64" t="s">
        <v>61</v>
      </c>
      <c r="C2913" s="62" t="s">
        <v>8516</v>
      </c>
      <c r="D2913" t="s">
        <v>63</v>
      </c>
      <c r="E2913" t="s">
        <v>8784</v>
      </c>
      <c r="F2913" s="61">
        <v>36488</v>
      </c>
      <c r="G2913" s="15" t="s">
        <v>73</v>
      </c>
      <c r="H2913" t="s">
        <v>8785</v>
      </c>
      <c r="I2913" s="62" t="s">
        <v>8786</v>
      </c>
      <c r="K2913" s="36" t="s">
        <v>68</v>
      </c>
      <c r="L2913" t="s">
        <v>69</v>
      </c>
      <c r="M2913" s="62" t="s">
        <v>70</v>
      </c>
      <c r="N2913" t="s">
        <v>8714</v>
      </c>
      <c r="O2913" t="str">
        <f>IFERROR(IF(Tbla_actores[[#This Row],[codigo_proyecto]]="","",_xlfn.XLOOKUP(Tbla_actores[[#This Row],[codigo_proyecto]],Proyectos!$A:$A,Proyectos!$C:$C)),"")</f>
        <v>Proyecto 14</v>
      </c>
    </row>
    <row r="2914" spans="1:15">
      <c r="A2914" s="9">
        <v>1000708824</v>
      </c>
      <c r="B2914" s="63" t="s">
        <v>61</v>
      </c>
      <c r="C2914" s="62" t="s">
        <v>8516</v>
      </c>
      <c r="D2914" t="s">
        <v>63</v>
      </c>
      <c r="E2914" t="s">
        <v>8787</v>
      </c>
      <c r="F2914" s="61">
        <v>37805</v>
      </c>
      <c r="G2914" s="15" t="s">
        <v>73</v>
      </c>
      <c r="H2914" t="s">
        <v>8788</v>
      </c>
      <c r="I2914" s="62" t="s">
        <v>8789</v>
      </c>
      <c r="K2914" s="36" t="s">
        <v>169</v>
      </c>
      <c r="L2914" t="s">
        <v>69</v>
      </c>
      <c r="M2914" s="62" t="s">
        <v>170</v>
      </c>
      <c r="N2914" t="s">
        <v>8790</v>
      </c>
      <c r="O2914" t="str">
        <f>IFERROR(IF(Tbla_actores[[#This Row],[codigo_proyecto]]="","",_xlfn.XLOOKUP(Tbla_actores[[#This Row],[codigo_proyecto]],Proyectos!$A:$A,Proyectos!$C:$C)),"")</f>
        <v>CAPACITACION EMPRENDIMIENTO</v>
      </c>
    </row>
    <row r="2915" spans="1:15">
      <c r="A2915" s="10">
        <v>1192729843</v>
      </c>
      <c r="B2915" s="64" t="s">
        <v>61</v>
      </c>
      <c r="C2915" s="62" t="s">
        <v>8516</v>
      </c>
      <c r="D2915" t="s">
        <v>63</v>
      </c>
      <c r="E2915" t="s">
        <v>8791</v>
      </c>
      <c r="F2915" s="61">
        <v>37399</v>
      </c>
      <c r="G2915" s="15" t="s">
        <v>73</v>
      </c>
      <c r="H2915" t="s">
        <v>8792</v>
      </c>
      <c r="I2915" s="62" t="s">
        <v>8793</v>
      </c>
      <c r="K2915" s="36" t="s">
        <v>68</v>
      </c>
      <c r="L2915" t="s">
        <v>69</v>
      </c>
      <c r="M2915" s="62" t="s">
        <v>70</v>
      </c>
      <c r="N2915" t="s">
        <v>8625</v>
      </c>
      <c r="O2915" t="str">
        <f>IFERROR(IF(Tbla_actores[[#This Row],[codigo_proyecto]]="","",_xlfn.XLOOKUP(Tbla_actores[[#This Row],[codigo_proyecto]],Proyectos!$A:$A,Proyectos!$C:$C)),"")</f>
        <v>Proyecto 4</v>
      </c>
    </row>
    <row r="2916" spans="1:15">
      <c r="A2916" s="9">
        <v>1006107842</v>
      </c>
      <c r="B2916" s="63" t="s">
        <v>61</v>
      </c>
      <c r="C2916" s="62" t="s">
        <v>8516</v>
      </c>
      <c r="D2916" t="s">
        <v>63</v>
      </c>
      <c r="E2916" t="s">
        <v>8794</v>
      </c>
      <c r="F2916" s="61">
        <v>37714</v>
      </c>
      <c r="G2916" s="15" t="s">
        <v>73</v>
      </c>
      <c r="H2916" t="s">
        <v>8795</v>
      </c>
      <c r="I2916" s="62" t="s">
        <v>8796</v>
      </c>
      <c r="K2916" s="36" t="s">
        <v>68</v>
      </c>
      <c r="L2916" t="s">
        <v>69</v>
      </c>
      <c r="M2916" s="62" t="s">
        <v>170</v>
      </c>
      <c r="N2916" t="s">
        <v>8797</v>
      </c>
      <c r="O2916">
        <f>IFERROR(IF(Tbla_actores[[#This Row],[codigo_proyecto]]="","",_xlfn.XLOOKUP(Tbla_actores[[#This Row],[codigo_proyecto]],Proyectos!$A:$A,Proyectos!$C:$C)),"")</f>
        <v>0</v>
      </c>
    </row>
    <row r="2917" spans="1:15">
      <c r="A2917" s="10">
        <v>1001098746</v>
      </c>
      <c r="B2917" s="64" t="s">
        <v>61</v>
      </c>
      <c r="C2917" s="62" t="s">
        <v>8516</v>
      </c>
      <c r="D2917" t="s">
        <v>63</v>
      </c>
      <c r="E2917" t="s">
        <v>8798</v>
      </c>
      <c r="F2917" s="61">
        <v>37455</v>
      </c>
      <c r="G2917" s="15" t="s">
        <v>73</v>
      </c>
      <c r="H2917" t="s">
        <v>8799</v>
      </c>
      <c r="I2917" s="62" t="s">
        <v>8800</v>
      </c>
      <c r="K2917" s="36" t="s">
        <v>68</v>
      </c>
      <c r="L2917" t="s">
        <v>69</v>
      </c>
      <c r="M2917" s="62" t="s">
        <v>70</v>
      </c>
      <c r="N2917" t="s">
        <v>8652</v>
      </c>
      <c r="O2917" t="str">
        <f>IFERROR(IF(Tbla_actores[[#This Row],[codigo_proyecto]]="","",_xlfn.XLOOKUP(Tbla_actores[[#This Row],[codigo_proyecto]],Proyectos!$A:$A,Proyectos!$C:$C)),"")</f>
        <v>PROYECTO
“APOYO A LAS ACTIVIDADES DEL PROYECTO SOCIAL DE LA FACULTAD DE INGENIERIA – PROSOFI”</v>
      </c>
    </row>
    <row r="2918" spans="1:15">
      <c r="A2918" s="9">
        <v>1126707777</v>
      </c>
      <c r="B2918" s="63" t="s">
        <v>61</v>
      </c>
      <c r="C2918" s="62" t="s">
        <v>8516</v>
      </c>
      <c r="D2918" t="s">
        <v>63</v>
      </c>
      <c r="E2918" t="s">
        <v>8801</v>
      </c>
      <c r="F2918" s="61">
        <v>37750</v>
      </c>
      <c r="G2918" s="15" t="s">
        <v>73</v>
      </c>
      <c r="H2918" t="s">
        <v>8802</v>
      </c>
      <c r="I2918" s="62" t="s">
        <v>8803</v>
      </c>
      <c r="K2918" s="36" t="s">
        <v>68</v>
      </c>
      <c r="L2918" t="s">
        <v>69</v>
      </c>
      <c r="M2918" s="62" t="s">
        <v>70</v>
      </c>
      <c r="N2918" t="s">
        <v>8804</v>
      </c>
      <c r="O2918" t="str">
        <f>IFERROR(IF(Tbla_actores[[#This Row],[codigo_proyecto]]="","",_xlfn.XLOOKUP(Tbla_actores[[#This Row],[codigo_proyecto]],Proyectos!$A:$A,Proyectos!$C:$C)),"")</f>
        <v>PROSOFI</v>
      </c>
    </row>
    <row r="2919" spans="1:15">
      <c r="A2919" s="10">
        <v>1001288967</v>
      </c>
      <c r="B2919" s="64" t="s">
        <v>61</v>
      </c>
      <c r="C2919" s="62" t="s">
        <v>8516</v>
      </c>
      <c r="D2919" t="s">
        <v>63</v>
      </c>
      <c r="E2919" t="s">
        <v>8805</v>
      </c>
      <c r="F2919" s="61">
        <v>37736</v>
      </c>
      <c r="G2919" s="15" t="s">
        <v>73</v>
      </c>
      <c r="H2919" t="s">
        <v>8806</v>
      </c>
      <c r="I2919" s="62" t="s">
        <v>8807</v>
      </c>
      <c r="K2919" s="36" t="s">
        <v>6427</v>
      </c>
      <c r="L2919" t="s">
        <v>69</v>
      </c>
      <c r="M2919" s="62" t="s">
        <v>70</v>
      </c>
      <c r="N2919" t="s">
        <v>8687</v>
      </c>
      <c r="O2919" t="str">
        <f>IFERROR(IF(Tbla_actores[[#This Row],[codigo_proyecto]]="","",_xlfn.XLOOKUP(Tbla_actores[[#This Row],[codigo_proyecto]],Proyectos!$A:$A,Proyectos!$C:$C)),"")</f>
        <v>Proyecto 9</v>
      </c>
    </row>
    <row r="2920" spans="1:15">
      <c r="A2920" s="9">
        <v>1003865496</v>
      </c>
      <c r="B2920" s="63" t="s">
        <v>61</v>
      </c>
      <c r="C2920" s="62" t="s">
        <v>8516</v>
      </c>
      <c r="D2920" t="s">
        <v>63</v>
      </c>
      <c r="E2920" t="s">
        <v>8808</v>
      </c>
      <c r="F2920" s="61">
        <v>37686</v>
      </c>
      <c r="G2920" s="15" t="s">
        <v>73</v>
      </c>
      <c r="H2920" t="s">
        <v>8809</v>
      </c>
      <c r="I2920" s="62" t="s">
        <v>8810</v>
      </c>
      <c r="K2920" s="36" t="s">
        <v>7284</v>
      </c>
      <c r="L2920" t="s">
        <v>69</v>
      </c>
      <c r="M2920" s="62" t="s">
        <v>70</v>
      </c>
      <c r="N2920" t="s">
        <v>8660</v>
      </c>
      <c r="O2920" t="str">
        <f>IFERROR(IF(Tbla_actores[[#This Row],[codigo_proyecto]]="","",_xlfn.XLOOKUP(Tbla_actores[[#This Row],[codigo_proyecto]],Proyectos!$A:$A,Proyectos!$C:$C)),"")</f>
        <v>Proyecto 5</v>
      </c>
    </row>
    <row r="2921" spans="1:15">
      <c r="A2921" s="10">
        <v>1034396312</v>
      </c>
      <c r="B2921" s="64" t="s">
        <v>61</v>
      </c>
      <c r="C2921" s="62" t="s">
        <v>8516</v>
      </c>
      <c r="D2921" t="s">
        <v>63</v>
      </c>
      <c r="E2921" t="s">
        <v>8811</v>
      </c>
      <c r="F2921" s="61">
        <v>38015</v>
      </c>
      <c r="G2921" s="15" t="s">
        <v>73</v>
      </c>
      <c r="H2921" t="s">
        <v>8812</v>
      </c>
      <c r="I2921" s="62" t="s">
        <v>8813</v>
      </c>
      <c r="K2921" s="36" t="s">
        <v>68</v>
      </c>
      <c r="L2921" t="s">
        <v>69</v>
      </c>
      <c r="M2921" s="62" t="s">
        <v>70</v>
      </c>
      <c r="N2921" t="s">
        <v>8571</v>
      </c>
      <c r="O2921" t="str">
        <f>IFERROR(IF(Tbla_actores[[#This Row],[codigo_proyecto]]="","",_xlfn.XLOOKUP(Tbla_actores[[#This Row],[codigo_proyecto]],Proyectos!$A:$A,Proyectos!$C:$C)),"")</f>
        <v>PROYECTO "ALTOS DE LA FLORIDA – SOACHA"</v>
      </c>
    </row>
    <row r="2922" spans="1:15">
      <c r="A2922" s="9">
        <v>1000795853</v>
      </c>
      <c r="B2922" s="63" t="s">
        <v>61</v>
      </c>
      <c r="C2922" s="62" t="s">
        <v>8516</v>
      </c>
      <c r="D2922" t="s">
        <v>63</v>
      </c>
      <c r="E2922" t="s">
        <v>8814</v>
      </c>
      <c r="F2922" s="61">
        <v>37561</v>
      </c>
      <c r="G2922" s="15" t="s">
        <v>73</v>
      </c>
      <c r="H2922" t="s">
        <v>8815</v>
      </c>
      <c r="I2922" s="62" t="s">
        <v>8816</v>
      </c>
      <c r="K2922" s="36" t="s">
        <v>68</v>
      </c>
      <c r="L2922" t="s">
        <v>69</v>
      </c>
      <c r="M2922" s="62" t="s">
        <v>70</v>
      </c>
      <c r="N2922" t="s">
        <v>8770</v>
      </c>
      <c r="O2922" t="str">
        <f>IFERROR(IF(Tbla_actores[[#This Row],[codigo_proyecto]]="","",_xlfn.XLOOKUP(Tbla_actores[[#This Row],[codigo_proyecto]],Proyectos!$A:$A,Proyectos!$C:$C)),"")</f>
        <v>Proyecto 5</v>
      </c>
    </row>
    <row r="2923" spans="1:15">
      <c r="A2923" s="10">
        <v>1000036164</v>
      </c>
      <c r="B2923" s="64" t="s">
        <v>61</v>
      </c>
      <c r="C2923" s="62" t="s">
        <v>8516</v>
      </c>
      <c r="D2923" t="s">
        <v>63</v>
      </c>
      <c r="E2923" t="s">
        <v>8817</v>
      </c>
      <c r="F2923" s="61">
        <v>37985</v>
      </c>
      <c r="G2923" s="15" t="s">
        <v>73</v>
      </c>
      <c r="H2923" t="s">
        <v>8818</v>
      </c>
      <c r="I2923" s="62" t="s">
        <v>8819</v>
      </c>
      <c r="K2923" s="36" t="s">
        <v>68</v>
      </c>
      <c r="L2923" t="s">
        <v>69</v>
      </c>
      <c r="M2923" s="62" t="s">
        <v>70</v>
      </c>
      <c r="N2923" t="s">
        <v>8637</v>
      </c>
      <c r="O2923" t="str">
        <f>IFERROR(IF(Tbla_actores[[#This Row],[codigo_proyecto]]="","",_xlfn.XLOOKUP(Tbla_actores[[#This Row],[codigo_proyecto]],Proyectos!$A:$A,Proyectos!$C:$C)),"")</f>
        <v>Proyecto 7</v>
      </c>
    </row>
    <row r="2924" spans="1:15">
      <c r="A2924" s="9">
        <v>1000285546</v>
      </c>
      <c r="B2924" s="63" t="s">
        <v>61</v>
      </c>
      <c r="C2924" s="62" t="s">
        <v>8516</v>
      </c>
      <c r="D2924" t="s">
        <v>63</v>
      </c>
      <c r="E2924" t="s">
        <v>8820</v>
      </c>
      <c r="F2924" s="61">
        <v>37561</v>
      </c>
      <c r="G2924" s="15" t="s">
        <v>73</v>
      </c>
      <c r="H2924" t="s">
        <v>8821</v>
      </c>
      <c r="I2924" s="62" t="s">
        <v>8822</v>
      </c>
      <c r="K2924" s="36" t="s">
        <v>68</v>
      </c>
      <c r="L2924" t="s">
        <v>69</v>
      </c>
      <c r="M2924" s="62" t="s">
        <v>70</v>
      </c>
      <c r="N2924" t="s">
        <v>8583</v>
      </c>
      <c r="O2924" t="str">
        <f>IFERROR(IF(Tbla_actores[[#This Row],[codigo_proyecto]]="","",_xlfn.XLOOKUP(Tbla_actores[[#This Row],[codigo_proyecto]],Proyectos!$A:$A,Proyectos!$C:$C)),"")</f>
        <v>Proyecto 6</v>
      </c>
    </row>
    <row r="2925" spans="1:15">
      <c r="A2925" s="10">
        <v>1001315923</v>
      </c>
      <c r="B2925" s="64" t="s">
        <v>61</v>
      </c>
      <c r="C2925" s="62" t="s">
        <v>8516</v>
      </c>
      <c r="D2925" t="s">
        <v>63</v>
      </c>
      <c r="E2925" t="s">
        <v>8823</v>
      </c>
      <c r="F2925" s="61">
        <v>37633</v>
      </c>
      <c r="G2925" s="15" t="s">
        <v>73</v>
      </c>
      <c r="H2925" t="s">
        <v>8824</v>
      </c>
      <c r="I2925" s="62" t="s">
        <v>8825</v>
      </c>
      <c r="K2925" s="36" t="s">
        <v>495</v>
      </c>
      <c r="L2925" t="s">
        <v>69</v>
      </c>
      <c r="M2925" s="62" t="s">
        <v>70</v>
      </c>
      <c r="N2925" t="s">
        <v>8826</v>
      </c>
      <c r="O2925" t="str">
        <f>IFERROR(IF(Tbla_actores[[#This Row],[codigo_proyecto]]="","",_xlfn.XLOOKUP(Tbla_actores[[#This Row],[codigo_proyecto]],Proyectos!$A:$A,Proyectos!$C:$C)),"")</f>
        <v>Reparación de Equipos de Computo CSGH</v>
      </c>
    </row>
    <row r="2926" spans="1:15">
      <c r="A2926" s="9">
        <v>1013259208</v>
      </c>
      <c r="B2926" s="63" t="s">
        <v>61</v>
      </c>
      <c r="C2926" s="62" t="s">
        <v>8516</v>
      </c>
      <c r="D2926" t="s">
        <v>63</v>
      </c>
      <c r="E2926" t="s">
        <v>8827</v>
      </c>
      <c r="F2926" s="61">
        <v>38437</v>
      </c>
      <c r="G2926" s="15" t="s">
        <v>73</v>
      </c>
      <c r="H2926" t="s">
        <v>8828</v>
      </c>
      <c r="I2926" s="62" t="s">
        <v>8829</v>
      </c>
      <c r="K2926" s="36" t="s">
        <v>495</v>
      </c>
      <c r="L2926" t="s">
        <v>69</v>
      </c>
      <c r="M2926" s="62" t="s">
        <v>70</v>
      </c>
      <c r="N2926" t="s">
        <v>8621</v>
      </c>
      <c r="O2926" t="str">
        <f>IFERROR(IF(Tbla_actores[[#This Row],[codigo_proyecto]]="","",_xlfn.XLOOKUP(Tbla_actores[[#This Row],[codigo_proyecto]],Proyectos!$A:$A,Proyectos!$C:$C)),"")</f>
        <v>Proyecto 28</v>
      </c>
    </row>
    <row r="2927" spans="1:15">
      <c r="A2927" s="10">
        <v>1001299208</v>
      </c>
      <c r="B2927" s="64" t="s">
        <v>61</v>
      </c>
      <c r="C2927" s="62" t="s">
        <v>8516</v>
      </c>
      <c r="D2927" t="s">
        <v>63</v>
      </c>
      <c r="E2927" t="s">
        <v>8830</v>
      </c>
      <c r="F2927" s="61">
        <v>37499</v>
      </c>
      <c r="G2927" s="15" t="s">
        <v>73</v>
      </c>
      <c r="H2927" t="s">
        <v>8831</v>
      </c>
      <c r="I2927" s="62" t="s">
        <v>8832</v>
      </c>
      <c r="K2927" s="36" t="s">
        <v>169</v>
      </c>
      <c r="L2927" t="s">
        <v>69</v>
      </c>
      <c r="M2927" s="62" t="s">
        <v>70</v>
      </c>
      <c r="N2927" t="s">
        <v>8833</v>
      </c>
      <c r="O2927" t="str">
        <f>IFERROR(IF(Tbla_actores[[#This Row],[codigo_proyecto]]="","",_xlfn.XLOOKUP(Tbla_actores[[#This Row],[codigo_proyecto]],Proyectos!$A:$A,Proyectos!$C:$C)),"")</f>
        <v>PROGRAMA SOCIAL VIDAS MÓVILES (JAVERIANA)</v>
      </c>
    </row>
    <row r="2928" spans="1:15">
      <c r="A2928" s="9">
        <v>1000470329</v>
      </c>
      <c r="B2928" s="63" t="s">
        <v>61</v>
      </c>
      <c r="C2928" s="62" t="s">
        <v>8516</v>
      </c>
      <c r="D2928" t="s">
        <v>63</v>
      </c>
      <c r="E2928" t="s">
        <v>8834</v>
      </c>
      <c r="F2928" s="61">
        <v>37586</v>
      </c>
      <c r="G2928" s="15" t="s">
        <v>73</v>
      </c>
      <c r="H2928" t="s">
        <v>8835</v>
      </c>
      <c r="I2928" s="62" t="s">
        <v>8836</v>
      </c>
      <c r="K2928" s="36" t="s">
        <v>169</v>
      </c>
      <c r="L2928" t="s">
        <v>69</v>
      </c>
      <c r="M2928" s="62" t="s">
        <v>70</v>
      </c>
      <c r="N2928" t="s">
        <v>8804</v>
      </c>
      <c r="O2928" t="str">
        <f>IFERROR(IF(Tbla_actores[[#This Row],[codigo_proyecto]]="","",_xlfn.XLOOKUP(Tbla_actores[[#This Row],[codigo_proyecto]],Proyectos!$A:$A,Proyectos!$C:$C)),"")</f>
        <v>PROSOFI</v>
      </c>
    </row>
    <row r="2929" spans="1:15">
      <c r="A2929" s="10">
        <v>1003865606</v>
      </c>
      <c r="B2929" s="64" t="s">
        <v>61</v>
      </c>
      <c r="C2929" s="62" t="s">
        <v>8516</v>
      </c>
      <c r="D2929" t="s">
        <v>63</v>
      </c>
      <c r="E2929" t="s">
        <v>8837</v>
      </c>
      <c r="F2929" s="61">
        <v>37888</v>
      </c>
      <c r="G2929" s="15" t="s">
        <v>73</v>
      </c>
      <c r="H2929" t="s">
        <v>8838</v>
      </c>
      <c r="I2929" s="62" t="s">
        <v>8839</v>
      </c>
      <c r="K2929" s="36" t="s">
        <v>169</v>
      </c>
      <c r="L2929" t="s">
        <v>69</v>
      </c>
      <c r="M2929" s="62" t="s">
        <v>70</v>
      </c>
      <c r="N2929" t="s">
        <v>8840</v>
      </c>
      <c r="O2929" t="str">
        <f>IFERROR(IF(Tbla_actores[[#This Row],[codigo_proyecto]]="","",_xlfn.XLOOKUP(Tbla_actores[[#This Row],[codigo_proyecto]],Proyectos!$A:$A,Proyectos!$C:$C)),"")</f>
        <v>Proyección Social Ingeniería</v>
      </c>
    </row>
    <row r="2930" spans="1:15">
      <c r="A2930" s="9">
        <v>1000613089</v>
      </c>
      <c r="B2930" s="63" t="s">
        <v>61</v>
      </c>
      <c r="C2930" s="62" t="s">
        <v>8516</v>
      </c>
      <c r="D2930" t="s">
        <v>63</v>
      </c>
      <c r="E2930" t="s">
        <v>8841</v>
      </c>
      <c r="F2930" s="61">
        <v>37129</v>
      </c>
      <c r="G2930" s="15" t="s">
        <v>73</v>
      </c>
      <c r="H2930" t="s">
        <v>8842</v>
      </c>
      <c r="I2930" s="62" t="s">
        <v>8843</v>
      </c>
      <c r="K2930" s="36" t="s">
        <v>68</v>
      </c>
      <c r="L2930" t="s">
        <v>69</v>
      </c>
      <c r="M2930" s="62" t="s">
        <v>70</v>
      </c>
      <c r="N2930" t="s">
        <v>8844</v>
      </c>
      <c r="O2930" t="str">
        <f>IFERROR(IF(Tbla_actores[[#This Row],[codigo_proyecto]]="","",_xlfn.XLOOKUP(Tbla_actores[[#This Row],[codigo_proyecto]],Proyectos!$A:$A,Proyectos!$C:$C)),"")</f>
        <v>Proyecto 18</v>
      </c>
    </row>
    <row r="2931" spans="1:15">
      <c r="A2931" s="10">
        <v>1034776836</v>
      </c>
      <c r="B2931" s="64" t="s">
        <v>61</v>
      </c>
      <c r="C2931" s="62" t="s">
        <v>8516</v>
      </c>
      <c r="D2931" t="s">
        <v>63</v>
      </c>
      <c r="E2931" t="s">
        <v>8845</v>
      </c>
      <c r="F2931" s="61">
        <v>38131</v>
      </c>
      <c r="G2931" s="15" t="s">
        <v>73</v>
      </c>
      <c r="H2931" t="s">
        <v>8846</v>
      </c>
      <c r="I2931" s="62" t="s">
        <v>8847</v>
      </c>
      <c r="K2931" s="36" t="s">
        <v>68</v>
      </c>
      <c r="L2931" t="s">
        <v>69</v>
      </c>
      <c r="M2931" s="62" t="s">
        <v>70</v>
      </c>
      <c r="N2931" t="s">
        <v>8848</v>
      </c>
      <c r="O2931" t="str">
        <f>IFERROR(IF(Tbla_actores[[#This Row],[codigo_proyecto]]="","",_xlfn.XLOOKUP(Tbla_actores[[#This Row],[codigo_proyecto]],Proyectos!$A:$A,Proyectos!$C:$C)),"")</f>
        <v>ingeniokids</v>
      </c>
    </row>
    <row r="2932" spans="1:15">
      <c r="A2932" s="9">
        <v>1001317081</v>
      </c>
      <c r="B2932" s="63" t="s">
        <v>61</v>
      </c>
      <c r="C2932" s="62" t="s">
        <v>8516</v>
      </c>
      <c r="D2932" t="s">
        <v>63</v>
      </c>
      <c r="E2932" t="s">
        <v>8849</v>
      </c>
      <c r="F2932" s="61">
        <v>37135</v>
      </c>
      <c r="G2932" s="15" t="s">
        <v>73</v>
      </c>
      <c r="H2932" t="s">
        <v>8850</v>
      </c>
      <c r="I2932" s="62" t="s">
        <v>8851</v>
      </c>
      <c r="K2932" s="36" t="s">
        <v>68</v>
      </c>
      <c r="L2932" t="s">
        <v>69</v>
      </c>
      <c r="M2932" s="62" t="s">
        <v>70</v>
      </c>
      <c r="N2932" t="s">
        <v>8701</v>
      </c>
      <c r="O2932" t="str">
        <f>IFERROR(IF(Tbla_actores[[#This Row],[codigo_proyecto]]="","",_xlfn.XLOOKUP(Tbla_actores[[#This Row],[codigo_proyecto]],Proyectos!$A:$A,Proyectos!$C:$C)),"")</f>
        <v>Proyecto 2</v>
      </c>
    </row>
    <row r="2933" spans="1:15">
      <c r="A2933" s="10">
        <v>1000286838</v>
      </c>
      <c r="B2933" s="64" t="s">
        <v>61</v>
      </c>
      <c r="C2933" s="62" t="s">
        <v>8516</v>
      </c>
      <c r="D2933" t="s">
        <v>63</v>
      </c>
      <c r="E2933" t="s">
        <v>8852</v>
      </c>
      <c r="F2933" s="61">
        <v>37869</v>
      </c>
      <c r="G2933" s="15" t="s">
        <v>73</v>
      </c>
      <c r="H2933" t="s">
        <v>8853</v>
      </c>
      <c r="I2933" s="62" t="s">
        <v>8854</v>
      </c>
      <c r="K2933" s="36" t="s">
        <v>68</v>
      </c>
      <c r="L2933" t="s">
        <v>69</v>
      </c>
      <c r="M2933" s="62" t="s">
        <v>70</v>
      </c>
      <c r="N2933" t="s">
        <v>8544</v>
      </c>
      <c r="O2933" t="str">
        <f>IFERROR(IF(Tbla_actores[[#This Row],[codigo_proyecto]]="","",_xlfn.XLOOKUP(Tbla_actores[[#This Row],[codigo_proyecto]],Proyectos!$A:$A,Proyectos!$C:$C)),"")</f>
        <v>Proyecto 1</v>
      </c>
    </row>
    <row r="2934" spans="1:15">
      <c r="A2934" s="9">
        <v>1000794602</v>
      </c>
      <c r="B2934" s="63" t="s">
        <v>61</v>
      </c>
      <c r="C2934" s="62" t="s">
        <v>8516</v>
      </c>
      <c r="D2934" t="s">
        <v>63</v>
      </c>
      <c r="E2934" t="s">
        <v>8855</v>
      </c>
      <c r="F2934" s="61">
        <v>37557</v>
      </c>
      <c r="G2934" s="15" t="s">
        <v>73</v>
      </c>
      <c r="H2934" t="s">
        <v>8856</v>
      </c>
      <c r="I2934" s="62" t="s">
        <v>8857</v>
      </c>
      <c r="K2934" s="36" t="s">
        <v>68</v>
      </c>
      <c r="L2934" t="s">
        <v>69</v>
      </c>
      <c r="M2934" s="62" t="s">
        <v>70</v>
      </c>
      <c r="N2934" t="s">
        <v>8637</v>
      </c>
      <c r="O2934" t="str">
        <f>IFERROR(IF(Tbla_actores[[#This Row],[codigo_proyecto]]="","",_xlfn.XLOOKUP(Tbla_actores[[#This Row],[codigo_proyecto]],Proyectos!$A:$A,Proyectos!$C:$C)),"")</f>
        <v>Proyecto 7</v>
      </c>
    </row>
    <row r="2935" spans="1:15">
      <c r="A2935" s="10">
        <v>1000973390</v>
      </c>
      <c r="B2935" s="64" t="s">
        <v>61</v>
      </c>
      <c r="C2935" s="62" t="s">
        <v>8516</v>
      </c>
      <c r="D2935" t="s">
        <v>63</v>
      </c>
      <c r="E2935" t="s">
        <v>8858</v>
      </c>
      <c r="F2935" s="61">
        <v>37600</v>
      </c>
      <c r="G2935" s="15" t="s">
        <v>73</v>
      </c>
      <c r="H2935" t="s">
        <v>8859</v>
      </c>
      <c r="I2935" s="62" t="s">
        <v>8860</v>
      </c>
      <c r="K2935" s="36" t="s">
        <v>68</v>
      </c>
      <c r="L2935" t="s">
        <v>69</v>
      </c>
      <c r="M2935" s="62" t="s">
        <v>70</v>
      </c>
      <c r="N2935" t="s">
        <v>8625</v>
      </c>
      <c r="O2935" t="str">
        <f>IFERROR(IF(Tbla_actores[[#This Row],[codigo_proyecto]]="","",_xlfn.XLOOKUP(Tbla_actores[[#This Row],[codigo_proyecto]],Proyectos!$A:$A,Proyectos!$C:$C)),"")</f>
        <v>Proyecto 4</v>
      </c>
    </row>
    <row r="2936" spans="1:15">
      <c r="A2936" s="9">
        <v>1000241917</v>
      </c>
      <c r="B2936" s="63" t="s">
        <v>61</v>
      </c>
      <c r="C2936" s="62" t="s">
        <v>8516</v>
      </c>
      <c r="D2936" t="s">
        <v>63</v>
      </c>
      <c r="E2936" t="s">
        <v>8861</v>
      </c>
      <c r="F2936" s="61">
        <v>37861</v>
      </c>
      <c r="G2936" s="15" t="s">
        <v>73</v>
      </c>
      <c r="H2936" t="s">
        <v>8862</v>
      </c>
      <c r="I2936" s="62" t="s">
        <v>8863</v>
      </c>
      <c r="K2936" s="36" t="s">
        <v>7284</v>
      </c>
      <c r="L2936" t="s">
        <v>69</v>
      </c>
      <c r="M2936" s="62" t="s">
        <v>70</v>
      </c>
      <c r="N2936" t="s">
        <v>8714</v>
      </c>
      <c r="O2936" t="str">
        <f>IFERROR(IF(Tbla_actores[[#This Row],[codigo_proyecto]]="","",_xlfn.XLOOKUP(Tbla_actores[[#This Row],[codigo_proyecto]],Proyectos!$A:$A,Proyectos!$C:$C)),"")</f>
        <v>Proyecto 14</v>
      </c>
    </row>
    <row r="2937" spans="1:15">
      <c r="A2937" s="10">
        <v>1000077241</v>
      </c>
      <c r="B2937" s="64" t="s">
        <v>61</v>
      </c>
      <c r="C2937" s="62" t="s">
        <v>8516</v>
      </c>
      <c r="D2937" t="s">
        <v>63</v>
      </c>
      <c r="E2937" t="s">
        <v>8864</v>
      </c>
      <c r="F2937" s="61">
        <v>37821</v>
      </c>
      <c r="G2937" s="15" t="s">
        <v>73</v>
      </c>
      <c r="H2937" t="s">
        <v>8865</v>
      </c>
      <c r="I2937" s="62" t="s">
        <v>8866</v>
      </c>
      <c r="K2937" s="36" t="s">
        <v>7284</v>
      </c>
      <c r="L2937" t="s">
        <v>69</v>
      </c>
      <c r="M2937" s="62" t="s">
        <v>70</v>
      </c>
      <c r="N2937" t="s">
        <v>8536</v>
      </c>
      <c r="O2937" t="str">
        <f>IFERROR(IF(Tbla_actores[[#This Row],[codigo_proyecto]]="","",_xlfn.XLOOKUP(Tbla_actores[[#This Row],[codigo_proyecto]],Proyectos!$A:$A,Proyectos!$C:$C)),"")</f>
        <v>Proyecto 19</v>
      </c>
    </row>
    <row r="2938" spans="1:15">
      <c r="A2938" s="9">
        <v>1004193461</v>
      </c>
      <c r="B2938" s="63" t="s">
        <v>61</v>
      </c>
      <c r="C2938" s="62" t="s">
        <v>8516</v>
      </c>
      <c r="D2938" t="s">
        <v>63</v>
      </c>
      <c r="E2938" t="s">
        <v>8867</v>
      </c>
      <c r="F2938" s="61">
        <v>37593</v>
      </c>
      <c r="G2938" s="15" t="s">
        <v>73</v>
      </c>
      <c r="H2938" t="s">
        <v>8868</v>
      </c>
      <c r="I2938" s="62" t="s">
        <v>8869</v>
      </c>
      <c r="K2938" s="36" t="s">
        <v>6427</v>
      </c>
      <c r="L2938" t="s">
        <v>69</v>
      </c>
      <c r="M2938" s="62" t="s">
        <v>170</v>
      </c>
      <c r="N2938" t="s">
        <v>8797</v>
      </c>
      <c r="O2938">
        <f>IFERROR(IF(Tbla_actores[[#This Row],[codigo_proyecto]]="","",_xlfn.XLOOKUP(Tbla_actores[[#This Row],[codigo_proyecto]],Proyectos!$A:$A,Proyectos!$C:$C)),"")</f>
        <v>0</v>
      </c>
    </row>
    <row r="2939" spans="1:15">
      <c r="A2939" s="10">
        <v>1023082624</v>
      </c>
      <c r="B2939" s="64" t="s">
        <v>61</v>
      </c>
      <c r="C2939" s="62" t="s">
        <v>8516</v>
      </c>
      <c r="D2939" t="s">
        <v>63</v>
      </c>
      <c r="E2939" t="s">
        <v>8870</v>
      </c>
      <c r="F2939" s="61">
        <v>38240</v>
      </c>
      <c r="G2939" s="15" t="s">
        <v>73</v>
      </c>
      <c r="H2939" t="s">
        <v>8871</v>
      </c>
      <c r="I2939" s="62" t="s">
        <v>8872</v>
      </c>
      <c r="K2939" s="36" t="s">
        <v>6427</v>
      </c>
      <c r="L2939" t="s">
        <v>69</v>
      </c>
      <c r="M2939" s="62" t="s">
        <v>70</v>
      </c>
      <c r="N2939" t="s">
        <v>8701</v>
      </c>
      <c r="O2939" t="str">
        <f>IFERROR(IF(Tbla_actores[[#This Row],[codigo_proyecto]]="","",_xlfn.XLOOKUP(Tbla_actores[[#This Row],[codigo_proyecto]],Proyectos!$A:$A,Proyectos!$C:$C)),"")</f>
        <v>Proyecto 2</v>
      </c>
    </row>
    <row r="2940" spans="1:15">
      <c r="A2940" s="9">
        <v>1000253547</v>
      </c>
      <c r="B2940" s="63" t="s">
        <v>61</v>
      </c>
      <c r="C2940" s="62" t="s">
        <v>8516</v>
      </c>
      <c r="D2940" t="s">
        <v>63</v>
      </c>
      <c r="E2940" t="s">
        <v>8873</v>
      </c>
      <c r="F2940" s="61">
        <v>37826</v>
      </c>
      <c r="G2940" s="15" t="s">
        <v>73</v>
      </c>
      <c r="H2940" t="s">
        <v>8874</v>
      </c>
      <c r="I2940" s="62" t="s">
        <v>8875</v>
      </c>
      <c r="K2940" s="36" t="s">
        <v>6427</v>
      </c>
      <c r="L2940" t="s">
        <v>69</v>
      </c>
      <c r="M2940" s="62" t="s">
        <v>70</v>
      </c>
      <c r="N2940" t="s">
        <v>8617</v>
      </c>
      <c r="O2940" t="str">
        <f>IFERROR(IF(Tbla_actores[[#This Row],[codigo_proyecto]]="","",_xlfn.XLOOKUP(Tbla_actores[[#This Row],[codigo_proyecto]],Proyectos!$A:$A,Proyectos!$C:$C)),"")</f>
        <v>Diseño 2 de prótesis mecánica transhumeral y versión 2 de próteiss transradial</v>
      </c>
    </row>
    <row r="2941" spans="1:15">
      <c r="A2941" s="10">
        <v>1000216657</v>
      </c>
      <c r="B2941" s="64" t="s">
        <v>61</v>
      </c>
      <c r="C2941" s="62" t="s">
        <v>8516</v>
      </c>
      <c r="D2941" t="s">
        <v>63</v>
      </c>
      <c r="E2941" t="s">
        <v>8876</v>
      </c>
      <c r="F2941" s="61">
        <v>37697</v>
      </c>
      <c r="G2941" s="15" t="s">
        <v>73</v>
      </c>
      <c r="H2941" t="s">
        <v>8877</v>
      </c>
      <c r="I2941" s="62" t="s">
        <v>8878</v>
      </c>
      <c r="K2941" s="36" t="s">
        <v>6427</v>
      </c>
      <c r="L2941" t="s">
        <v>69</v>
      </c>
      <c r="M2941" s="62" t="s">
        <v>70</v>
      </c>
      <c r="N2941" t="s">
        <v>8524</v>
      </c>
      <c r="O2941" t="str">
        <f>IFERROR(IF(Tbla_actores[[#This Row],[codigo_proyecto]]="","",_xlfn.XLOOKUP(Tbla_actores[[#This Row],[codigo_proyecto]],Proyectos!$A:$A,Proyectos!$C:$C)),"")</f>
        <v>CURSO BÁSICO EN CONSTRICCIÓN</v>
      </c>
    </row>
    <row r="2942" spans="1:15">
      <c r="A2942" s="9">
        <v>1029220355</v>
      </c>
      <c r="B2942" s="63" t="s">
        <v>61</v>
      </c>
      <c r="C2942" s="62" t="s">
        <v>8516</v>
      </c>
      <c r="D2942" t="s">
        <v>63</v>
      </c>
      <c r="E2942" t="s">
        <v>8879</v>
      </c>
      <c r="F2942" s="61">
        <v>38356</v>
      </c>
      <c r="G2942" s="15" t="s">
        <v>73</v>
      </c>
      <c r="H2942" t="s">
        <v>8880</v>
      </c>
      <c r="I2942" s="62" t="s">
        <v>8881</v>
      </c>
      <c r="K2942" s="36" t="s">
        <v>169</v>
      </c>
      <c r="L2942" t="s">
        <v>69</v>
      </c>
      <c r="M2942" s="62" t="s">
        <v>170</v>
      </c>
      <c r="N2942" t="s">
        <v>8790</v>
      </c>
      <c r="O2942" t="str">
        <f>IFERROR(IF(Tbla_actores[[#This Row],[codigo_proyecto]]="","",_xlfn.XLOOKUP(Tbla_actores[[#This Row],[codigo_proyecto]],Proyectos!$A:$A,Proyectos!$C:$C)),"")</f>
        <v>CAPACITACION EMPRENDIMIENTO</v>
      </c>
    </row>
    <row r="2943" spans="1:15">
      <c r="A2943" s="10">
        <v>1010004727</v>
      </c>
      <c r="B2943" s="64" t="s">
        <v>61</v>
      </c>
      <c r="C2943" s="62" t="s">
        <v>8516</v>
      </c>
      <c r="D2943" t="s">
        <v>63</v>
      </c>
      <c r="E2943" t="s">
        <v>8882</v>
      </c>
      <c r="F2943" s="61">
        <v>37925</v>
      </c>
      <c r="G2943" s="15" t="s">
        <v>73</v>
      </c>
      <c r="H2943" t="s">
        <v>8883</v>
      </c>
      <c r="I2943" s="62" t="s">
        <v>8884</v>
      </c>
      <c r="K2943" s="36" t="s">
        <v>169</v>
      </c>
      <c r="L2943" t="s">
        <v>69</v>
      </c>
      <c r="M2943" s="62" t="s">
        <v>70</v>
      </c>
      <c r="N2943" t="s">
        <v>8595</v>
      </c>
      <c r="O2943" t="str">
        <f>IFERROR(IF(Tbla_actores[[#This Row],[codigo_proyecto]]="","",_xlfn.XLOOKUP(Tbla_actores[[#This Row],[codigo_proyecto]],Proyectos!$A:$A,Proyectos!$C:$C)),"")</f>
        <v>Proyecto 8</v>
      </c>
    </row>
    <row r="2944" spans="1:15">
      <c r="A2944" s="9">
        <v>1007560679</v>
      </c>
      <c r="B2944" s="63" t="s">
        <v>61</v>
      </c>
      <c r="C2944" s="62" t="s">
        <v>8516</v>
      </c>
      <c r="D2944" t="s">
        <v>63</v>
      </c>
      <c r="E2944" t="s">
        <v>8885</v>
      </c>
      <c r="F2944" s="61">
        <v>37608</v>
      </c>
      <c r="G2944" s="15" t="s">
        <v>73</v>
      </c>
      <c r="H2944" t="s">
        <v>8886</v>
      </c>
      <c r="I2944" s="62" t="s">
        <v>8887</v>
      </c>
      <c r="K2944" s="36" t="s">
        <v>169</v>
      </c>
      <c r="L2944" t="s">
        <v>69</v>
      </c>
      <c r="M2944" s="62" t="s">
        <v>70</v>
      </c>
      <c r="N2944" t="s">
        <v>8637</v>
      </c>
      <c r="O2944" t="str">
        <f>IFERROR(IF(Tbla_actores[[#This Row],[codigo_proyecto]]="","",_xlfn.XLOOKUP(Tbla_actores[[#This Row],[codigo_proyecto]],Proyectos!$A:$A,Proyectos!$C:$C)),"")</f>
        <v>Proyecto 7</v>
      </c>
    </row>
    <row r="2945" spans="1:15">
      <c r="A2945" s="10">
        <v>1001283025</v>
      </c>
      <c r="B2945" s="64" t="s">
        <v>61</v>
      </c>
      <c r="C2945" s="62" t="s">
        <v>8516</v>
      </c>
      <c r="D2945" t="s">
        <v>63</v>
      </c>
      <c r="E2945" t="s">
        <v>8888</v>
      </c>
      <c r="F2945" s="61">
        <v>37764</v>
      </c>
      <c r="G2945" s="15" t="s">
        <v>73</v>
      </c>
      <c r="H2945" t="s">
        <v>8889</v>
      </c>
      <c r="I2945" s="62" t="s">
        <v>8890</v>
      </c>
      <c r="K2945" s="36" t="s">
        <v>7284</v>
      </c>
      <c r="L2945" t="s">
        <v>69</v>
      </c>
      <c r="M2945" s="62" t="s">
        <v>170</v>
      </c>
      <c r="N2945" t="s">
        <v>8797</v>
      </c>
      <c r="O2945">
        <f>IFERROR(IF(Tbla_actores[[#This Row],[codigo_proyecto]]="","",_xlfn.XLOOKUP(Tbla_actores[[#This Row],[codigo_proyecto]],Proyectos!$A:$A,Proyectos!$C:$C)),"")</f>
        <v>0</v>
      </c>
    </row>
    <row r="2946" spans="1:15">
      <c r="A2946" s="9">
        <v>1026307563</v>
      </c>
      <c r="B2946" s="63" t="s">
        <v>61</v>
      </c>
      <c r="C2946" s="62" t="s">
        <v>8516</v>
      </c>
      <c r="D2946" t="s">
        <v>63</v>
      </c>
      <c r="E2946" t="s">
        <v>8891</v>
      </c>
      <c r="F2946" s="61">
        <v>36510</v>
      </c>
      <c r="G2946" s="15" t="s">
        <v>73</v>
      </c>
      <c r="H2946" t="s">
        <v>8892</v>
      </c>
      <c r="I2946" s="62" t="s">
        <v>8893</v>
      </c>
      <c r="K2946" s="36" t="s">
        <v>7284</v>
      </c>
      <c r="L2946" t="s">
        <v>69</v>
      </c>
      <c r="M2946" s="62" t="s">
        <v>70</v>
      </c>
      <c r="N2946" t="s">
        <v>8524</v>
      </c>
      <c r="O2946" t="str">
        <f>IFERROR(IF(Tbla_actores[[#This Row],[codigo_proyecto]]="","",_xlfn.XLOOKUP(Tbla_actores[[#This Row],[codigo_proyecto]],Proyectos!$A:$A,Proyectos!$C:$C)),"")</f>
        <v>CURSO BÁSICO EN CONSTRICCIÓN</v>
      </c>
    </row>
    <row r="2947" spans="1:15">
      <c r="A2947" s="10">
        <v>1080040536</v>
      </c>
      <c r="B2947" s="64" t="s">
        <v>61</v>
      </c>
      <c r="C2947" s="62" t="s">
        <v>8516</v>
      </c>
      <c r="D2947" t="s">
        <v>63</v>
      </c>
      <c r="E2947" t="s">
        <v>8894</v>
      </c>
      <c r="F2947" s="61">
        <v>38071</v>
      </c>
      <c r="G2947" s="15" t="s">
        <v>73</v>
      </c>
      <c r="H2947" t="s">
        <v>8895</v>
      </c>
      <c r="I2947" s="62" t="s">
        <v>8896</v>
      </c>
      <c r="K2947" s="36" t="s">
        <v>7671</v>
      </c>
      <c r="L2947" t="s">
        <v>69</v>
      </c>
      <c r="M2947" s="62" t="s">
        <v>70</v>
      </c>
      <c r="N2947" t="s">
        <v>8691</v>
      </c>
      <c r="O2947" t="str">
        <f>IFERROR(IF(Tbla_actores[[#This Row],[codigo_proyecto]]="","",_xlfn.XLOOKUP(Tbla_actores[[#This Row],[codigo_proyecto]],Proyectos!$A:$A,Proyectos!$C:$C)),"")</f>
        <v>Diseño y construcción  de Caminador y Camas Hospitalarias para niños</v>
      </c>
    </row>
    <row r="2948" spans="1:15">
      <c r="A2948" s="9">
        <v>1001301487</v>
      </c>
      <c r="B2948" s="63" t="s">
        <v>61</v>
      </c>
      <c r="C2948" s="62" t="s">
        <v>8516</v>
      </c>
      <c r="D2948" t="s">
        <v>63</v>
      </c>
      <c r="E2948" t="s">
        <v>8897</v>
      </c>
      <c r="F2948" s="61">
        <v>37822</v>
      </c>
      <c r="G2948" s="15" t="s">
        <v>73</v>
      </c>
      <c r="H2948" t="s">
        <v>8898</v>
      </c>
      <c r="I2948" s="62" t="s">
        <v>8899</v>
      </c>
      <c r="K2948" s="36" t="s">
        <v>1489</v>
      </c>
      <c r="L2948" t="s">
        <v>69</v>
      </c>
      <c r="M2948" s="62" t="s">
        <v>70</v>
      </c>
      <c r="N2948" t="s">
        <v>8664</v>
      </c>
      <c r="O2948" t="str">
        <f>IFERROR(IF(Tbla_actores[[#This Row],[codigo_proyecto]]="","",_xlfn.XLOOKUP(Tbla_actores[[#This Row],[codigo_proyecto]],Proyectos!$A:$A,Proyectos!$C:$C)),"")</f>
        <v>Reparación de Electrodomésticos FSI</v>
      </c>
    </row>
    <row r="2949" spans="1:15">
      <c r="A2949" s="10">
        <v>1066082811</v>
      </c>
      <c r="B2949" s="64" t="s">
        <v>61</v>
      </c>
      <c r="C2949" s="62" t="s">
        <v>8516</v>
      </c>
      <c r="D2949" t="s">
        <v>63</v>
      </c>
      <c r="E2949" t="s">
        <v>8900</v>
      </c>
      <c r="F2949" s="61">
        <v>38160</v>
      </c>
      <c r="G2949" s="15" t="s">
        <v>73</v>
      </c>
      <c r="H2949" t="s">
        <v>8901</v>
      </c>
      <c r="I2949" s="62" t="s">
        <v>8902</v>
      </c>
      <c r="K2949" s="36" t="s">
        <v>68</v>
      </c>
      <c r="L2949" t="s">
        <v>69</v>
      </c>
      <c r="M2949" s="62" t="s">
        <v>70</v>
      </c>
      <c r="N2949" t="s">
        <v>8571</v>
      </c>
      <c r="O2949" t="str">
        <f>IFERROR(IF(Tbla_actores[[#This Row],[codigo_proyecto]]="","",_xlfn.XLOOKUP(Tbla_actores[[#This Row],[codigo_proyecto]],Proyectos!$A:$A,Proyectos!$C:$C)),"")</f>
        <v>PROYECTO "ALTOS DE LA FLORIDA – SOACHA"</v>
      </c>
    </row>
    <row r="2950" spans="1:15">
      <c r="A2950" s="9">
        <v>1001316751</v>
      </c>
      <c r="B2950" s="63" t="s">
        <v>61</v>
      </c>
      <c r="C2950" s="62" t="s">
        <v>8516</v>
      </c>
      <c r="D2950" t="s">
        <v>63</v>
      </c>
      <c r="E2950" t="s">
        <v>8903</v>
      </c>
      <c r="F2950" s="61">
        <v>37568</v>
      </c>
      <c r="G2950" s="15" t="s">
        <v>73</v>
      </c>
      <c r="H2950" t="s">
        <v>8904</v>
      </c>
      <c r="I2950" s="62" t="s">
        <v>8905</v>
      </c>
      <c r="K2950" s="36" t="s">
        <v>68</v>
      </c>
      <c r="L2950" t="s">
        <v>69</v>
      </c>
      <c r="M2950" s="62" t="s">
        <v>70</v>
      </c>
      <c r="N2950" t="s">
        <v>8687</v>
      </c>
      <c r="O2950" t="str">
        <f>IFERROR(IF(Tbla_actores[[#This Row],[codigo_proyecto]]="","",_xlfn.XLOOKUP(Tbla_actores[[#This Row],[codigo_proyecto]],Proyectos!$A:$A,Proyectos!$C:$C)),"")</f>
        <v>Proyecto 9</v>
      </c>
    </row>
    <row r="2951" spans="1:15">
      <c r="A2951" s="10">
        <v>1097782609</v>
      </c>
      <c r="B2951" s="64" t="s">
        <v>61</v>
      </c>
      <c r="C2951" s="62" t="s">
        <v>8516</v>
      </c>
      <c r="D2951" t="s">
        <v>63</v>
      </c>
      <c r="E2951" t="s">
        <v>8906</v>
      </c>
      <c r="F2951" s="61">
        <v>38656</v>
      </c>
      <c r="G2951" s="15" t="s">
        <v>73</v>
      </c>
      <c r="H2951" t="s">
        <v>8907</v>
      </c>
      <c r="I2951" s="62" t="s">
        <v>8908</v>
      </c>
      <c r="K2951" s="36" t="s">
        <v>68</v>
      </c>
      <c r="L2951" t="s">
        <v>69</v>
      </c>
      <c r="M2951" s="62" t="s">
        <v>170</v>
      </c>
      <c r="N2951" t="s">
        <v>8648</v>
      </c>
      <c r="O2951">
        <f>IFERROR(IF(Tbla_actores[[#This Row],[codigo_proyecto]]="","",_xlfn.XLOOKUP(Tbla_actores[[#This Row],[codigo_proyecto]],Proyectos!$A:$A,Proyectos!$C:$C)),"")</f>
        <v>0</v>
      </c>
    </row>
    <row r="2952" spans="1:15">
      <c r="A2952" s="9">
        <v>1002366293</v>
      </c>
      <c r="B2952" s="63" t="s">
        <v>61</v>
      </c>
      <c r="C2952" s="62" t="s">
        <v>8516</v>
      </c>
      <c r="D2952" t="s">
        <v>63</v>
      </c>
      <c r="E2952" t="s">
        <v>8909</v>
      </c>
      <c r="F2952" s="61">
        <v>37898</v>
      </c>
      <c r="G2952" s="15" t="s">
        <v>73</v>
      </c>
      <c r="H2952" t="s">
        <v>8910</v>
      </c>
      <c r="I2952" s="62" t="s">
        <v>8911</v>
      </c>
      <c r="K2952" s="36" t="s">
        <v>68</v>
      </c>
      <c r="L2952" t="s">
        <v>69</v>
      </c>
      <c r="M2952" s="62" t="s">
        <v>70</v>
      </c>
      <c r="N2952" t="s">
        <v>8524</v>
      </c>
      <c r="O2952" t="str">
        <f>IFERROR(IF(Tbla_actores[[#This Row],[codigo_proyecto]]="","",_xlfn.XLOOKUP(Tbla_actores[[#This Row],[codigo_proyecto]],Proyectos!$A:$A,Proyectos!$C:$C)),"")</f>
        <v>CURSO BÁSICO EN CONSTRICCIÓN</v>
      </c>
    </row>
    <row r="2953" spans="1:15">
      <c r="A2953" s="10">
        <v>1034309612</v>
      </c>
      <c r="B2953" s="64" t="s">
        <v>61</v>
      </c>
      <c r="C2953" s="62" t="s">
        <v>8516</v>
      </c>
      <c r="D2953" t="s">
        <v>63</v>
      </c>
      <c r="E2953" t="s">
        <v>8912</v>
      </c>
      <c r="F2953" s="61">
        <v>37293</v>
      </c>
      <c r="G2953" s="15" t="s">
        <v>73</v>
      </c>
      <c r="H2953" t="s">
        <v>8913</v>
      </c>
      <c r="I2953" s="62" t="s">
        <v>8914</v>
      </c>
      <c r="K2953" s="36" t="s">
        <v>68</v>
      </c>
      <c r="L2953" t="s">
        <v>69</v>
      </c>
      <c r="M2953" s="62" t="s">
        <v>70</v>
      </c>
      <c r="N2953" t="s">
        <v>8915</v>
      </c>
      <c r="O2953" t="str">
        <f>IFERROR(IF(Tbla_actores[[#This Row],[codigo_proyecto]]="","",_xlfn.XLOOKUP(Tbla_actores[[#This Row],[codigo_proyecto]],Proyectos!$A:$A,Proyectos!$C:$C)),"")</f>
        <v>Sistema Antiescape en dispositivos de cuidado residencial</v>
      </c>
    </row>
    <row r="2954" spans="1:15">
      <c r="A2954" s="9">
        <v>1001191563</v>
      </c>
      <c r="B2954" s="63" t="s">
        <v>61</v>
      </c>
      <c r="C2954" s="62" t="s">
        <v>8516</v>
      </c>
      <c r="D2954" t="s">
        <v>63</v>
      </c>
      <c r="E2954" t="s">
        <v>8916</v>
      </c>
      <c r="F2954" s="61">
        <v>36567</v>
      </c>
      <c r="G2954" s="15" t="s">
        <v>73</v>
      </c>
      <c r="H2954" t="s">
        <v>8917</v>
      </c>
      <c r="I2954" s="62" t="s">
        <v>8918</v>
      </c>
      <c r="K2954" s="36" t="s">
        <v>68</v>
      </c>
      <c r="L2954" t="s">
        <v>69</v>
      </c>
      <c r="M2954" s="62" t="s">
        <v>170</v>
      </c>
      <c r="N2954" t="s">
        <v>8919</v>
      </c>
      <c r="O2954" t="str">
        <f>IFERROR(IF(Tbla_actores[[#This Row],[codigo_proyecto]]="","",_xlfn.XLOOKUP(Tbla_actores[[#This Row],[codigo_proyecto]],Proyectos!$A:$A,Proyectos!$C:$C)),"")</f>
        <v>Revisión y ajuste de procesos proyecto estudiar para construir</v>
      </c>
    </row>
    <row r="2955" spans="1:15">
      <c r="A2955" s="10">
        <v>1034657310</v>
      </c>
      <c r="B2955" s="64" t="s">
        <v>61</v>
      </c>
      <c r="C2955" s="62" t="s">
        <v>8516</v>
      </c>
      <c r="D2955" t="s">
        <v>63</v>
      </c>
      <c r="E2955" t="s">
        <v>8920</v>
      </c>
      <c r="F2955" s="61">
        <v>38217</v>
      </c>
      <c r="G2955" s="15" t="s">
        <v>73</v>
      </c>
      <c r="H2955" t="s">
        <v>8921</v>
      </c>
      <c r="I2955" s="62" t="s">
        <v>8922</v>
      </c>
      <c r="K2955" s="36" t="s">
        <v>68</v>
      </c>
      <c r="L2955" t="s">
        <v>69</v>
      </c>
      <c r="M2955" s="62" t="s">
        <v>70</v>
      </c>
      <c r="N2955" t="s">
        <v>8923</v>
      </c>
      <c r="O2955" t="str">
        <f>IFERROR(IF(Tbla_actores[[#This Row],[codigo_proyecto]]="","",_xlfn.XLOOKUP(Tbla_actores[[#This Row],[codigo_proyecto]],Proyectos!$A:$A,Proyectos!$C:$C)),"")</f>
        <v>Diseño y construcción  de sistemas  digitale,  visuales y manuales  para audiometría</v>
      </c>
    </row>
    <row r="2956" spans="1:15">
      <c r="A2956" s="9">
        <v>1000698120</v>
      </c>
      <c r="B2956" s="63" t="s">
        <v>61</v>
      </c>
      <c r="C2956" s="62" t="s">
        <v>8516</v>
      </c>
      <c r="D2956" t="s">
        <v>63</v>
      </c>
      <c r="E2956" t="s">
        <v>8924</v>
      </c>
      <c r="F2956" s="61">
        <v>37519</v>
      </c>
      <c r="G2956" s="15" t="s">
        <v>73</v>
      </c>
      <c r="H2956" t="s">
        <v>8925</v>
      </c>
      <c r="I2956" s="62" t="s">
        <v>8926</v>
      </c>
      <c r="K2956" s="36" t="s">
        <v>1489</v>
      </c>
      <c r="L2956" t="s">
        <v>69</v>
      </c>
      <c r="M2956" s="62" t="s">
        <v>70</v>
      </c>
      <c r="N2956" t="s">
        <v>8664</v>
      </c>
      <c r="O2956" t="str">
        <f>IFERROR(IF(Tbla_actores[[#This Row],[codigo_proyecto]]="","",_xlfn.XLOOKUP(Tbla_actores[[#This Row],[codigo_proyecto]],Proyectos!$A:$A,Proyectos!$C:$C)),"")</f>
        <v>Reparación de Electrodomésticos FSI</v>
      </c>
    </row>
    <row r="2957" spans="1:15">
      <c r="A2957" s="10">
        <v>1001316496</v>
      </c>
      <c r="B2957" s="64" t="s">
        <v>61</v>
      </c>
      <c r="C2957" s="62" t="s">
        <v>8516</v>
      </c>
      <c r="D2957" t="s">
        <v>63</v>
      </c>
      <c r="E2957" t="s">
        <v>8927</v>
      </c>
      <c r="F2957" s="61">
        <v>37690</v>
      </c>
      <c r="G2957" s="15" t="s">
        <v>73</v>
      </c>
      <c r="H2957" t="s">
        <v>8928</v>
      </c>
      <c r="I2957" s="62" t="s">
        <v>8929</v>
      </c>
      <c r="K2957" s="36" t="s">
        <v>7671</v>
      </c>
      <c r="L2957" t="s">
        <v>69</v>
      </c>
      <c r="M2957" s="62" t="s">
        <v>70</v>
      </c>
      <c r="N2957" t="s">
        <v>8637</v>
      </c>
      <c r="O2957" t="str">
        <f>IFERROR(IF(Tbla_actores[[#This Row],[codigo_proyecto]]="","",_xlfn.XLOOKUP(Tbla_actores[[#This Row],[codigo_proyecto]],Proyectos!$A:$A,Proyectos!$C:$C)),"")</f>
        <v>Proyecto 7</v>
      </c>
    </row>
    <row r="2958" spans="1:15">
      <c r="A2958" s="9">
        <v>1091677484</v>
      </c>
      <c r="B2958" s="63" t="s">
        <v>61</v>
      </c>
      <c r="C2958" s="62" t="s">
        <v>8516</v>
      </c>
      <c r="D2958" t="s">
        <v>63</v>
      </c>
      <c r="E2958" t="s">
        <v>8930</v>
      </c>
      <c r="F2958" s="61">
        <v>35440</v>
      </c>
      <c r="G2958" s="15" t="s">
        <v>73</v>
      </c>
      <c r="H2958" t="s">
        <v>8931</v>
      </c>
      <c r="I2958" s="62" t="s">
        <v>8932</v>
      </c>
      <c r="K2958" s="36" t="s">
        <v>7671</v>
      </c>
      <c r="L2958" t="s">
        <v>69</v>
      </c>
      <c r="M2958" s="62" t="s">
        <v>170</v>
      </c>
      <c r="N2958" t="s">
        <v>8677</v>
      </c>
      <c r="O2958">
        <f>IFERROR(IF(Tbla_actores[[#This Row],[codigo_proyecto]]="","",_xlfn.XLOOKUP(Tbla_actores[[#This Row],[codigo_proyecto]],Proyectos!$A:$A,Proyectos!$C:$C)),"")</f>
        <v>0</v>
      </c>
    </row>
    <row r="2959" spans="1:15">
      <c r="A2959" s="10">
        <v>1193274821</v>
      </c>
      <c r="B2959" s="64" t="s">
        <v>61</v>
      </c>
      <c r="C2959" s="62" t="s">
        <v>8516</v>
      </c>
      <c r="D2959" t="s">
        <v>63</v>
      </c>
      <c r="E2959" t="s">
        <v>8933</v>
      </c>
      <c r="F2959" s="61">
        <v>36739</v>
      </c>
      <c r="G2959" s="15" t="s">
        <v>65</v>
      </c>
      <c r="H2959" t="s">
        <v>8934</v>
      </c>
      <c r="I2959" s="62" t="s">
        <v>8935</v>
      </c>
      <c r="K2959" s="36" t="s">
        <v>6427</v>
      </c>
      <c r="L2959" t="s">
        <v>69</v>
      </c>
      <c r="M2959" s="62" t="s">
        <v>70</v>
      </c>
      <c r="N2959" t="s">
        <v>8567</v>
      </c>
      <c r="O2959" t="str">
        <f>IFERROR(IF(Tbla_actores[[#This Row],[codigo_proyecto]]="","",_xlfn.XLOOKUP(Tbla_actores[[#This Row],[codigo_proyecto]],Proyectos!$A:$A,Proyectos!$C:$C)),"")</f>
        <v>PROYECTO
"DESARROLLO DE UN SISTEMA DE GESTIÓN DE PUENTES MUNICIPIO DE FACATATIVÁ"</v>
      </c>
    </row>
    <row r="2960" spans="1:15">
      <c r="A2960" s="9">
        <v>1000337496</v>
      </c>
      <c r="B2960" s="63" t="s">
        <v>61</v>
      </c>
      <c r="C2960" s="62" t="s">
        <v>8516</v>
      </c>
      <c r="D2960" t="s">
        <v>63</v>
      </c>
      <c r="E2960" t="s">
        <v>8936</v>
      </c>
      <c r="F2960" s="61">
        <v>37591</v>
      </c>
      <c r="G2960" s="15" t="s">
        <v>73</v>
      </c>
      <c r="H2960" t="s">
        <v>8937</v>
      </c>
      <c r="I2960" s="62" t="s">
        <v>8938</v>
      </c>
      <c r="K2960" s="36" t="s">
        <v>6427</v>
      </c>
      <c r="L2960" t="s">
        <v>69</v>
      </c>
      <c r="M2960" s="62" t="s">
        <v>70</v>
      </c>
      <c r="N2960" t="s">
        <v>8728</v>
      </c>
      <c r="O2960" t="str">
        <f>IFERROR(IF(Tbla_actores[[#This Row],[codigo_proyecto]]="","",_xlfn.XLOOKUP(Tbla_actores[[#This Row],[codigo_proyecto]],Proyectos!$A:$A,Proyectos!$C:$C)),"")</f>
        <v>PROYECTO
“ESTUDIO DE ESTABILIDAD ESTRUCTURAL DEL TEMPLO Y CASA CURAL EN CARACOLÍ – CIUDAD BOLÍVAR”</v>
      </c>
    </row>
    <row r="2961" spans="1:15">
      <c r="A2961" s="10">
        <v>1019983323</v>
      </c>
      <c r="B2961" s="64" t="s">
        <v>61</v>
      </c>
      <c r="C2961" s="62" t="s">
        <v>8516</v>
      </c>
      <c r="D2961" t="s">
        <v>63</v>
      </c>
      <c r="E2961" t="s">
        <v>8939</v>
      </c>
      <c r="F2961" s="61">
        <v>38162</v>
      </c>
      <c r="G2961" s="15" t="s">
        <v>65</v>
      </c>
      <c r="H2961" t="s">
        <v>8940</v>
      </c>
      <c r="I2961" s="62" t="s">
        <v>8941</v>
      </c>
      <c r="K2961" s="36" t="s">
        <v>169</v>
      </c>
      <c r="L2961" t="s">
        <v>69</v>
      </c>
      <c r="M2961" s="62" t="s">
        <v>70</v>
      </c>
      <c r="N2961" t="s">
        <v>8621</v>
      </c>
      <c r="O2961" t="str">
        <f>IFERROR(IF(Tbla_actores[[#This Row],[codigo_proyecto]]="","",_xlfn.XLOOKUP(Tbla_actores[[#This Row],[codigo_proyecto]],Proyectos!$A:$A,Proyectos!$C:$C)),"")</f>
        <v>Proyecto 28</v>
      </c>
    </row>
    <row r="2962" spans="1:15">
      <c r="A2962" s="9">
        <v>1010126306</v>
      </c>
      <c r="B2962" s="63" t="s">
        <v>61</v>
      </c>
      <c r="C2962" s="62" t="s">
        <v>8516</v>
      </c>
      <c r="D2962" t="s">
        <v>63</v>
      </c>
      <c r="E2962" t="s">
        <v>8942</v>
      </c>
      <c r="F2962" s="61">
        <v>37858</v>
      </c>
      <c r="G2962" s="15" t="s">
        <v>73</v>
      </c>
      <c r="H2962" t="s">
        <v>8943</v>
      </c>
      <c r="I2962" s="62" t="s">
        <v>8944</v>
      </c>
      <c r="K2962" s="36" t="s">
        <v>169</v>
      </c>
      <c r="L2962" t="s">
        <v>69</v>
      </c>
      <c r="M2962" s="62" t="s">
        <v>70</v>
      </c>
      <c r="N2962" t="s">
        <v>8753</v>
      </c>
      <c r="O2962" t="str">
        <f>IFERROR(IF(Tbla_actores[[#This Row],[codigo_proyecto]]="","",_xlfn.XLOOKUP(Tbla_actores[[#This Row],[codigo_proyecto]],Proyectos!$A:$A,Proyectos!$C:$C)),"")</f>
        <v>Proyecto 3</v>
      </c>
    </row>
    <row r="2963" spans="1:15">
      <c r="A2963" s="10">
        <v>1011200008</v>
      </c>
      <c r="B2963" s="64" t="s">
        <v>61</v>
      </c>
      <c r="C2963" s="62" t="s">
        <v>8516</v>
      </c>
      <c r="D2963" t="s">
        <v>63</v>
      </c>
      <c r="E2963" t="s">
        <v>8945</v>
      </c>
      <c r="F2963" s="61">
        <v>37930</v>
      </c>
      <c r="G2963" s="15" t="s">
        <v>73</v>
      </c>
      <c r="H2963" t="s">
        <v>8946</v>
      </c>
      <c r="I2963" s="62" t="s">
        <v>8947</v>
      </c>
      <c r="K2963" s="36" t="s">
        <v>7284</v>
      </c>
      <c r="L2963" t="s">
        <v>69</v>
      </c>
      <c r="M2963" s="62" t="s">
        <v>70</v>
      </c>
      <c r="N2963" t="s">
        <v>8844</v>
      </c>
      <c r="O2963" t="str">
        <f>IFERROR(IF(Tbla_actores[[#This Row],[codigo_proyecto]]="","",_xlfn.XLOOKUP(Tbla_actores[[#This Row],[codigo_proyecto]],Proyectos!$A:$A,Proyectos!$C:$C)),"")</f>
        <v>Proyecto 18</v>
      </c>
    </row>
    <row r="2964" spans="1:15">
      <c r="A2964" s="9">
        <v>1072672934</v>
      </c>
      <c r="B2964" s="63" t="s">
        <v>61</v>
      </c>
      <c r="C2964" s="62" t="s">
        <v>8516</v>
      </c>
      <c r="D2964" t="s">
        <v>63</v>
      </c>
      <c r="E2964" t="s">
        <v>8948</v>
      </c>
      <c r="F2964" s="61">
        <v>36291</v>
      </c>
      <c r="G2964" s="15" t="s">
        <v>73</v>
      </c>
      <c r="H2964" t="s">
        <v>8949</v>
      </c>
      <c r="I2964" s="62" t="s">
        <v>8950</v>
      </c>
      <c r="K2964" s="36" t="s">
        <v>7284</v>
      </c>
      <c r="L2964" t="s">
        <v>69</v>
      </c>
      <c r="M2964" s="62" t="s">
        <v>70</v>
      </c>
      <c r="N2964" t="s">
        <v>8528</v>
      </c>
      <c r="O2964" t="str">
        <f>IFERROR(IF(Tbla_actores[[#This Row],[codigo_proyecto]]="","",_xlfn.XLOOKUP(Tbla_actores[[#This Row],[codigo_proyecto]],Proyectos!$A:$A,Proyectos!$C:$C)),"")</f>
        <v>Proyecto 13</v>
      </c>
    </row>
    <row r="2965" spans="1:15">
      <c r="A2965" s="10">
        <v>1000157547</v>
      </c>
      <c r="B2965" s="64" t="s">
        <v>61</v>
      </c>
      <c r="C2965" s="62" t="s">
        <v>8516</v>
      </c>
      <c r="D2965" t="s">
        <v>63</v>
      </c>
      <c r="E2965" t="s">
        <v>8951</v>
      </c>
      <c r="F2965" s="61">
        <v>37653</v>
      </c>
      <c r="G2965" s="15" t="s">
        <v>65</v>
      </c>
      <c r="H2965" t="s">
        <v>8952</v>
      </c>
      <c r="I2965" s="62" t="s">
        <v>8953</v>
      </c>
      <c r="K2965" s="36" t="s">
        <v>68</v>
      </c>
      <c r="L2965" t="s">
        <v>69</v>
      </c>
      <c r="M2965" s="62" t="s">
        <v>70</v>
      </c>
      <c r="N2965" t="s">
        <v>8551</v>
      </c>
      <c r="O2965" t="str">
        <f>IFERROR(IF(Tbla_actores[[#This Row],[codigo_proyecto]]="","",_xlfn.XLOOKUP(Tbla_actores[[#This Row],[codigo_proyecto]],Proyectos!$A:$A,Proyectos!$C:$C)),"")</f>
        <v>Proyecto 20</v>
      </c>
    </row>
    <row r="2966" spans="1:15">
      <c r="A2966" s="9">
        <v>1007767004</v>
      </c>
      <c r="B2966" s="63" t="s">
        <v>61</v>
      </c>
      <c r="C2966" s="62" t="s">
        <v>8516</v>
      </c>
      <c r="D2966" t="s">
        <v>63</v>
      </c>
      <c r="E2966" t="s">
        <v>8954</v>
      </c>
      <c r="F2966" s="61">
        <v>36859</v>
      </c>
      <c r="G2966" s="15" t="s">
        <v>65</v>
      </c>
      <c r="H2966" t="s">
        <v>8955</v>
      </c>
      <c r="I2966" s="62" t="s">
        <v>8956</v>
      </c>
      <c r="K2966" s="36" t="s">
        <v>68</v>
      </c>
      <c r="L2966" t="s">
        <v>69</v>
      </c>
      <c r="M2966" s="62" t="s">
        <v>70</v>
      </c>
      <c r="N2966" t="s">
        <v>8571</v>
      </c>
      <c r="O2966" t="str">
        <f>IFERROR(IF(Tbla_actores[[#This Row],[codigo_proyecto]]="","",_xlfn.XLOOKUP(Tbla_actores[[#This Row],[codigo_proyecto]],Proyectos!$A:$A,Proyectos!$C:$C)),"")</f>
        <v>PROYECTO "ALTOS DE LA FLORIDA – SOACHA"</v>
      </c>
    </row>
    <row r="2967" spans="1:15">
      <c r="A2967" s="10">
        <v>1000696824</v>
      </c>
      <c r="B2967" s="64" t="s">
        <v>61</v>
      </c>
      <c r="C2967" s="62" t="s">
        <v>8516</v>
      </c>
      <c r="D2967" t="s">
        <v>63</v>
      </c>
      <c r="E2967" t="s">
        <v>8957</v>
      </c>
      <c r="F2967" s="61">
        <v>36679</v>
      </c>
      <c r="G2967" s="15" t="s">
        <v>65</v>
      </c>
      <c r="H2967" t="s">
        <v>8958</v>
      </c>
      <c r="I2967" s="62" t="s">
        <v>8959</v>
      </c>
      <c r="K2967" s="36" t="s">
        <v>169</v>
      </c>
      <c r="L2967" t="s">
        <v>69</v>
      </c>
      <c r="M2967" s="62" t="s">
        <v>170</v>
      </c>
      <c r="N2967" t="s">
        <v>8656</v>
      </c>
      <c r="O2967">
        <f>IFERROR(IF(Tbla_actores[[#This Row],[codigo_proyecto]]="","",_xlfn.XLOOKUP(Tbla_actores[[#This Row],[codigo_proyecto]],Proyectos!$A:$A,Proyectos!$C:$C)),"")</f>
        <v>0</v>
      </c>
    </row>
    <row r="2968" spans="1:15">
      <c r="A2968" s="9">
        <v>1003533499</v>
      </c>
      <c r="B2968" s="63" t="s">
        <v>61</v>
      </c>
      <c r="C2968" s="62" t="s">
        <v>8516</v>
      </c>
      <c r="D2968" t="s">
        <v>63</v>
      </c>
      <c r="E2968" t="s">
        <v>8960</v>
      </c>
      <c r="F2968" s="61">
        <v>37357</v>
      </c>
      <c r="G2968" s="15" t="s">
        <v>65</v>
      </c>
      <c r="H2968" t="s">
        <v>8961</v>
      </c>
      <c r="I2968" s="62" t="s">
        <v>8962</v>
      </c>
      <c r="K2968" s="36" t="s">
        <v>68</v>
      </c>
      <c r="L2968" t="s">
        <v>69</v>
      </c>
      <c r="M2968" s="62" t="s">
        <v>70</v>
      </c>
      <c r="N2968" t="s">
        <v>8571</v>
      </c>
      <c r="O2968" t="str">
        <f>IFERROR(IF(Tbla_actores[[#This Row],[codigo_proyecto]]="","",_xlfn.XLOOKUP(Tbla_actores[[#This Row],[codigo_proyecto]],Proyectos!$A:$A,Proyectos!$C:$C)),"")</f>
        <v>PROYECTO "ALTOS DE LA FLORIDA – SOACHA"</v>
      </c>
    </row>
    <row r="2969" spans="1:15">
      <c r="A2969" s="10">
        <v>1000336841</v>
      </c>
      <c r="B2969" s="64" t="s">
        <v>61</v>
      </c>
      <c r="C2969" s="62" t="s">
        <v>8516</v>
      </c>
      <c r="D2969" t="s">
        <v>63</v>
      </c>
      <c r="E2969" t="s">
        <v>8963</v>
      </c>
      <c r="F2969" s="61">
        <v>37763</v>
      </c>
      <c r="G2969" s="15" t="s">
        <v>65</v>
      </c>
      <c r="H2969" t="s">
        <v>8964</v>
      </c>
      <c r="I2969" s="62" t="s">
        <v>8965</v>
      </c>
      <c r="K2969" s="36" t="s">
        <v>68</v>
      </c>
      <c r="L2969" t="s">
        <v>69</v>
      </c>
      <c r="M2969" s="62" t="s">
        <v>70</v>
      </c>
      <c r="N2969" t="s">
        <v>8571</v>
      </c>
      <c r="O2969" t="str">
        <f>IFERROR(IF(Tbla_actores[[#This Row],[codigo_proyecto]]="","",_xlfn.XLOOKUP(Tbla_actores[[#This Row],[codigo_proyecto]],Proyectos!$A:$A,Proyectos!$C:$C)),"")</f>
        <v>PROYECTO "ALTOS DE LA FLORIDA – SOACHA"</v>
      </c>
    </row>
    <row r="2970" spans="1:15">
      <c r="A2970" s="9">
        <v>1014658381</v>
      </c>
      <c r="B2970" s="63" t="s">
        <v>61</v>
      </c>
      <c r="C2970" s="62" t="s">
        <v>8516</v>
      </c>
      <c r="D2970" t="s">
        <v>63</v>
      </c>
      <c r="E2970" t="s">
        <v>8966</v>
      </c>
      <c r="F2970" s="61">
        <v>38265</v>
      </c>
      <c r="G2970" s="15" t="s">
        <v>65</v>
      </c>
      <c r="H2970" t="s">
        <v>8967</v>
      </c>
      <c r="I2970" s="62" t="s">
        <v>8968</v>
      </c>
      <c r="K2970" s="36" t="s">
        <v>68</v>
      </c>
      <c r="L2970" t="s">
        <v>69</v>
      </c>
      <c r="M2970" s="62" t="s">
        <v>70</v>
      </c>
      <c r="N2970" t="s">
        <v>8687</v>
      </c>
      <c r="O2970" t="str">
        <f>IFERROR(IF(Tbla_actores[[#This Row],[codigo_proyecto]]="","",_xlfn.XLOOKUP(Tbla_actores[[#This Row],[codigo_proyecto]],Proyectos!$A:$A,Proyectos!$C:$C)),"")</f>
        <v>Proyecto 9</v>
      </c>
    </row>
    <row r="2971" spans="1:15">
      <c r="A2971" s="10">
        <v>485101</v>
      </c>
      <c r="B2971" s="64" t="s">
        <v>61</v>
      </c>
      <c r="C2971" s="62" t="s">
        <v>8516</v>
      </c>
      <c r="D2971" t="s">
        <v>63</v>
      </c>
      <c r="E2971" t="s">
        <v>8969</v>
      </c>
      <c r="F2971" s="61">
        <v>38233</v>
      </c>
      <c r="G2971" s="15" t="s">
        <v>73</v>
      </c>
      <c r="H2971" t="s">
        <v>8970</v>
      </c>
      <c r="I2971" s="62" t="s">
        <v>8971</v>
      </c>
      <c r="K2971" s="36" t="s">
        <v>68</v>
      </c>
      <c r="L2971" t="s">
        <v>69</v>
      </c>
      <c r="M2971" s="62" t="s">
        <v>70</v>
      </c>
      <c r="N2971" t="s">
        <v>8701</v>
      </c>
      <c r="O2971" t="str">
        <f>IFERROR(IF(Tbla_actores[[#This Row],[codigo_proyecto]]="","",_xlfn.XLOOKUP(Tbla_actores[[#This Row],[codigo_proyecto]],Proyectos!$A:$A,Proyectos!$C:$C)),"")</f>
        <v>Proyecto 2</v>
      </c>
    </row>
    <row r="2972" spans="1:15">
      <c r="A2972" s="9">
        <v>1000288045</v>
      </c>
      <c r="B2972" s="63" t="s">
        <v>61</v>
      </c>
      <c r="C2972" s="62" t="s">
        <v>8516</v>
      </c>
      <c r="D2972" t="s">
        <v>63</v>
      </c>
      <c r="E2972" t="s">
        <v>8972</v>
      </c>
      <c r="F2972" s="61">
        <v>37797</v>
      </c>
      <c r="G2972" s="15" t="s">
        <v>73</v>
      </c>
      <c r="H2972" t="s">
        <v>8973</v>
      </c>
      <c r="I2972" s="62" t="s">
        <v>8974</v>
      </c>
      <c r="K2972" s="36" t="s">
        <v>68</v>
      </c>
      <c r="L2972" t="s">
        <v>69</v>
      </c>
      <c r="M2972" s="62" t="s">
        <v>70</v>
      </c>
      <c r="N2972" t="s">
        <v>8637</v>
      </c>
      <c r="O2972" t="str">
        <f>IFERROR(IF(Tbla_actores[[#This Row],[codigo_proyecto]]="","",_xlfn.XLOOKUP(Tbla_actores[[#This Row],[codigo_proyecto]],Proyectos!$A:$A,Proyectos!$C:$C)),"")</f>
        <v>Proyecto 7</v>
      </c>
    </row>
    <row r="2973" spans="1:15">
      <c r="A2973" s="10">
        <v>1193585258</v>
      </c>
      <c r="B2973" s="64" t="s">
        <v>61</v>
      </c>
      <c r="C2973" s="62" t="s">
        <v>8516</v>
      </c>
      <c r="D2973" t="s">
        <v>63</v>
      </c>
      <c r="E2973" t="s">
        <v>8975</v>
      </c>
      <c r="F2973" s="61">
        <v>37533</v>
      </c>
      <c r="G2973" s="15" t="s">
        <v>65</v>
      </c>
      <c r="H2973" t="s">
        <v>8976</v>
      </c>
      <c r="I2973" s="62" t="s">
        <v>8977</v>
      </c>
      <c r="K2973" s="36" t="s">
        <v>68</v>
      </c>
      <c r="L2973" t="s">
        <v>69</v>
      </c>
      <c r="M2973" s="62" t="s">
        <v>70</v>
      </c>
      <c r="N2973" t="s">
        <v>8528</v>
      </c>
      <c r="O2973" t="str">
        <f>IFERROR(IF(Tbla_actores[[#This Row],[codigo_proyecto]]="","",_xlfn.XLOOKUP(Tbla_actores[[#This Row],[codigo_proyecto]],Proyectos!$A:$A,Proyectos!$C:$C)),"")</f>
        <v>Proyecto 13</v>
      </c>
    </row>
    <row r="2974" spans="1:15">
      <c r="A2974" s="9">
        <v>1016093613</v>
      </c>
      <c r="B2974" s="63" t="s">
        <v>61</v>
      </c>
      <c r="C2974" s="62" t="s">
        <v>8516</v>
      </c>
      <c r="D2974" t="s">
        <v>63</v>
      </c>
      <c r="E2974" t="s">
        <v>8978</v>
      </c>
      <c r="F2974" s="61">
        <v>35523</v>
      </c>
      <c r="G2974" s="15" t="s">
        <v>73</v>
      </c>
      <c r="H2974" t="s">
        <v>8979</v>
      </c>
      <c r="I2974" s="62" t="s">
        <v>8980</v>
      </c>
      <c r="K2974" s="36" t="s">
        <v>68</v>
      </c>
      <c r="L2974" t="s">
        <v>69</v>
      </c>
      <c r="M2974" s="62" t="s">
        <v>70</v>
      </c>
      <c r="N2974" t="s">
        <v>8625</v>
      </c>
      <c r="O2974" t="str">
        <f>IFERROR(IF(Tbla_actores[[#This Row],[codigo_proyecto]]="","",_xlfn.XLOOKUP(Tbla_actores[[#This Row],[codigo_proyecto]],Proyectos!$A:$A,Proyectos!$C:$C)),"")</f>
        <v>Proyecto 4</v>
      </c>
    </row>
    <row r="2975" spans="1:15">
      <c r="A2975" s="10">
        <v>1016083370</v>
      </c>
      <c r="B2975" s="64" t="s">
        <v>61</v>
      </c>
      <c r="C2975" s="62" t="s">
        <v>8516</v>
      </c>
      <c r="D2975" t="s">
        <v>63</v>
      </c>
      <c r="E2975" t="s">
        <v>8981</v>
      </c>
      <c r="F2975" s="61">
        <v>35093</v>
      </c>
      <c r="G2975" s="15" t="s">
        <v>73</v>
      </c>
      <c r="H2975" t="s">
        <v>8982</v>
      </c>
      <c r="I2975" s="62" t="s">
        <v>8983</v>
      </c>
      <c r="K2975" s="36" t="s">
        <v>68</v>
      </c>
      <c r="L2975" t="s">
        <v>69</v>
      </c>
      <c r="M2975" s="62" t="s">
        <v>70</v>
      </c>
      <c r="N2975" t="s">
        <v>8551</v>
      </c>
      <c r="O2975" t="str">
        <f>IFERROR(IF(Tbla_actores[[#This Row],[codigo_proyecto]]="","",_xlfn.XLOOKUP(Tbla_actores[[#This Row],[codigo_proyecto]],Proyectos!$A:$A,Proyectos!$C:$C)),"")</f>
        <v>Proyecto 20</v>
      </c>
    </row>
    <row r="2976" spans="1:15">
      <c r="A2976" s="9">
        <v>1000834598</v>
      </c>
      <c r="B2976" s="63" t="s">
        <v>61</v>
      </c>
      <c r="C2976" s="62" t="s">
        <v>8516</v>
      </c>
      <c r="D2976" t="s">
        <v>63</v>
      </c>
      <c r="E2976" t="s">
        <v>8984</v>
      </c>
      <c r="F2976" s="61">
        <v>37405</v>
      </c>
      <c r="G2976" s="15" t="s">
        <v>73</v>
      </c>
      <c r="H2976" t="s">
        <v>8985</v>
      </c>
      <c r="I2976" s="62" t="s">
        <v>8986</v>
      </c>
      <c r="K2976" s="36" t="s">
        <v>68</v>
      </c>
      <c r="L2976" t="s">
        <v>69</v>
      </c>
      <c r="M2976" s="62" t="s">
        <v>70</v>
      </c>
      <c r="N2976" t="s">
        <v>8524</v>
      </c>
      <c r="O2976" t="str">
        <f>IFERROR(IF(Tbla_actores[[#This Row],[codigo_proyecto]]="","",_xlfn.XLOOKUP(Tbla_actores[[#This Row],[codigo_proyecto]],Proyectos!$A:$A,Proyectos!$C:$C)),"")</f>
        <v>CURSO BÁSICO EN CONSTRICCIÓN</v>
      </c>
    </row>
    <row r="2977" spans="1:15">
      <c r="A2977" s="10">
        <v>1001066699</v>
      </c>
      <c r="B2977" s="64" t="s">
        <v>61</v>
      </c>
      <c r="C2977" s="62" t="s">
        <v>8516</v>
      </c>
      <c r="D2977" t="s">
        <v>63</v>
      </c>
      <c r="E2977" t="s">
        <v>8987</v>
      </c>
      <c r="F2977" s="61">
        <v>37579</v>
      </c>
      <c r="G2977" s="15" t="s">
        <v>65</v>
      </c>
      <c r="H2977" t="s">
        <v>8988</v>
      </c>
      <c r="I2977" s="62" t="s">
        <v>8989</v>
      </c>
      <c r="K2977" s="36" t="s">
        <v>68</v>
      </c>
      <c r="L2977" t="s">
        <v>69</v>
      </c>
      <c r="M2977" s="62" t="s">
        <v>70</v>
      </c>
      <c r="N2977" t="s">
        <v>8780</v>
      </c>
      <c r="O2977" t="str">
        <f>IFERROR(IF(Tbla_actores[[#This Row],[codigo_proyecto]]="","",_xlfn.XLOOKUP(Tbla_actores[[#This Row],[codigo_proyecto]],Proyectos!$A:$A,Proyectos!$C:$C)),"")</f>
        <v>Libro pedagógico de programación en Scratch</v>
      </c>
    </row>
    <row r="2978" spans="1:15">
      <c r="A2978" s="9">
        <v>1000590370</v>
      </c>
      <c r="B2978" s="63" t="s">
        <v>61</v>
      </c>
      <c r="C2978" s="62" t="s">
        <v>8516</v>
      </c>
      <c r="D2978" t="s">
        <v>63</v>
      </c>
      <c r="E2978" t="s">
        <v>8990</v>
      </c>
      <c r="F2978" s="61">
        <v>37859</v>
      </c>
      <c r="G2978" s="15" t="s">
        <v>65</v>
      </c>
      <c r="H2978" t="s">
        <v>8991</v>
      </c>
      <c r="I2978" s="62" t="s">
        <v>8992</v>
      </c>
      <c r="K2978" s="36" t="s">
        <v>68</v>
      </c>
      <c r="L2978" t="s">
        <v>69</v>
      </c>
      <c r="M2978" s="62" t="s">
        <v>70</v>
      </c>
      <c r="N2978" t="s">
        <v>8520</v>
      </c>
      <c r="O2978" t="str">
        <f>IFERROR(IF(Tbla_actores[[#This Row],[codigo_proyecto]]="","",_xlfn.XLOOKUP(Tbla_actores[[#This Row],[codigo_proyecto]],Proyectos!$A:$A,Proyectos!$C:$C)),"")</f>
        <v>Diseño y construcción  de Caminador y Camas Hospitalarias para niños</v>
      </c>
    </row>
    <row r="2979" spans="1:15">
      <c r="A2979" s="10">
        <v>1000697200</v>
      </c>
      <c r="B2979" s="64" t="s">
        <v>61</v>
      </c>
      <c r="C2979" s="62" t="s">
        <v>8516</v>
      </c>
      <c r="D2979" t="s">
        <v>63</v>
      </c>
      <c r="E2979" t="s">
        <v>8993</v>
      </c>
      <c r="F2979" s="61">
        <v>37933</v>
      </c>
      <c r="G2979" s="15" t="s">
        <v>65</v>
      </c>
      <c r="H2979" t="s">
        <v>8994</v>
      </c>
      <c r="I2979" s="62" t="s">
        <v>8995</v>
      </c>
      <c r="K2979" s="36" t="s">
        <v>68</v>
      </c>
      <c r="L2979" t="s">
        <v>69</v>
      </c>
      <c r="M2979" s="62" t="s">
        <v>170</v>
      </c>
      <c r="N2979" t="s">
        <v>8996</v>
      </c>
      <c r="O2979" t="str">
        <f>IFERROR(IF(Tbla_actores[[#This Row],[codigo_proyecto]]="","",_xlfn.XLOOKUP(Tbla_actores[[#This Row],[codigo_proyecto]],Proyectos!$A:$A,Proyectos!$C:$C)),"")</f>
        <v>Manual de Funciones para el Colegio</v>
      </c>
    </row>
    <row r="2980" spans="1:15">
      <c r="A2980" s="9">
        <v>1000256227</v>
      </c>
      <c r="B2980" s="63" t="s">
        <v>61</v>
      </c>
      <c r="C2980" s="62" t="s">
        <v>8516</v>
      </c>
      <c r="D2980" t="s">
        <v>63</v>
      </c>
      <c r="E2980" t="s">
        <v>8997</v>
      </c>
      <c r="F2980" s="61">
        <v>37727</v>
      </c>
      <c r="G2980" s="15" t="s">
        <v>65</v>
      </c>
      <c r="H2980" t="s">
        <v>8998</v>
      </c>
      <c r="I2980" s="62" t="s">
        <v>8999</v>
      </c>
      <c r="K2980" s="36" t="s">
        <v>68</v>
      </c>
      <c r="L2980" t="s">
        <v>69</v>
      </c>
      <c r="M2980" s="62" t="s">
        <v>70</v>
      </c>
      <c r="N2980" t="s">
        <v>8544</v>
      </c>
      <c r="O2980" t="str">
        <f>IFERROR(IF(Tbla_actores[[#This Row],[codigo_proyecto]]="","",_xlfn.XLOOKUP(Tbla_actores[[#This Row],[codigo_proyecto]],Proyectos!$A:$A,Proyectos!$C:$C)),"")</f>
        <v>Proyecto 1</v>
      </c>
    </row>
    <row r="2981" spans="1:15">
      <c r="A2981" s="10">
        <v>1007558093</v>
      </c>
      <c r="B2981" s="64" t="s">
        <v>61</v>
      </c>
      <c r="C2981" s="62" t="s">
        <v>8516</v>
      </c>
      <c r="D2981" t="s">
        <v>63</v>
      </c>
      <c r="E2981" t="s">
        <v>9000</v>
      </c>
      <c r="F2981" s="61">
        <v>37721</v>
      </c>
      <c r="G2981" s="15" t="s">
        <v>65</v>
      </c>
      <c r="H2981" t="s">
        <v>9001</v>
      </c>
      <c r="I2981" s="62" t="s">
        <v>9002</v>
      </c>
      <c r="K2981" s="36" t="s">
        <v>68</v>
      </c>
      <c r="L2981" t="s">
        <v>69</v>
      </c>
      <c r="M2981" s="62" t="s">
        <v>70</v>
      </c>
      <c r="N2981" t="s">
        <v>8524</v>
      </c>
      <c r="O2981" t="str">
        <f>IFERROR(IF(Tbla_actores[[#This Row],[codigo_proyecto]]="","",_xlfn.XLOOKUP(Tbla_actores[[#This Row],[codigo_proyecto]],Proyectos!$A:$A,Proyectos!$C:$C)),"")</f>
        <v>CURSO BÁSICO EN CONSTRICCIÓN</v>
      </c>
    </row>
    <row r="2982" spans="1:15">
      <c r="A2982" s="9">
        <v>1055751506</v>
      </c>
      <c r="B2982" s="63" t="s">
        <v>61</v>
      </c>
      <c r="C2982" s="62" t="s">
        <v>8516</v>
      </c>
      <c r="D2982" t="s">
        <v>63</v>
      </c>
      <c r="E2982" t="s">
        <v>9003</v>
      </c>
      <c r="F2982" s="61">
        <v>38251</v>
      </c>
      <c r="G2982" s="15" t="s">
        <v>65</v>
      </c>
      <c r="H2982" t="s">
        <v>9004</v>
      </c>
      <c r="I2982" s="62" t="s">
        <v>9005</v>
      </c>
      <c r="K2982" s="36" t="s">
        <v>68</v>
      </c>
      <c r="L2982" t="s">
        <v>69</v>
      </c>
      <c r="M2982" s="62" t="s">
        <v>170</v>
      </c>
      <c r="N2982" t="s">
        <v>8996</v>
      </c>
      <c r="O2982" t="str">
        <f>IFERROR(IF(Tbla_actores[[#This Row],[codigo_proyecto]]="","",_xlfn.XLOOKUP(Tbla_actores[[#This Row],[codigo_proyecto]],Proyectos!$A:$A,Proyectos!$C:$C)),"")</f>
        <v>Manual de Funciones para el Colegio</v>
      </c>
    </row>
    <row r="2983" spans="1:15">
      <c r="A2983" s="10">
        <v>1053330840</v>
      </c>
      <c r="B2983" s="64" t="s">
        <v>61</v>
      </c>
      <c r="C2983" s="62" t="s">
        <v>8516</v>
      </c>
      <c r="D2983" t="s">
        <v>63</v>
      </c>
      <c r="E2983" t="s">
        <v>9006</v>
      </c>
      <c r="F2983" s="61">
        <v>39025</v>
      </c>
      <c r="G2983" s="15" t="s">
        <v>65</v>
      </c>
      <c r="H2983" t="s">
        <v>9007</v>
      </c>
      <c r="I2983" s="62" t="s">
        <v>9008</v>
      </c>
      <c r="K2983" s="36" t="s">
        <v>68</v>
      </c>
      <c r="L2983" t="s">
        <v>69</v>
      </c>
      <c r="M2983" s="62" t="s">
        <v>170</v>
      </c>
      <c r="N2983" t="s">
        <v>8656</v>
      </c>
      <c r="O2983">
        <f>IFERROR(IF(Tbla_actores[[#This Row],[codigo_proyecto]]="","",_xlfn.XLOOKUP(Tbla_actores[[#This Row],[codigo_proyecto]],Proyectos!$A:$A,Proyectos!$C:$C)),"")</f>
        <v>0</v>
      </c>
    </row>
    <row r="2984" spans="1:15">
      <c r="A2984" s="9">
        <v>1001316585</v>
      </c>
      <c r="B2984" s="63" t="s">
        <v>61</v>
      </c>
      <c r="C2984" s="62" t="s">
        <v>8516</v>
      </c>
      <c r="D2984" t="s">
        <v>63</v>
      </c>
      <c r="E2984" t="s">
        <v>9009</v>
      </c>
      <c r="F2984" s="61">
        <v>37894</v>
      </c>
      <c r="G2984" s="15" t="s">
        <v>65</v>
      </c>
      <c r="H2984" t="s">
        <v>9010</v>
      </c>
      <c r="I2984" s="62" t="s">
        <v>9011</v>
      </c>
      <c r="K2984" s="36" t="s">
        <v>68</v>
      </c>
      <c r="L2984" t="s">
        <v>69</v>
      </c>
      <c r="M2984" s="62" t="s">
        <v>70</v>
      </c>
      <c r="N2984" t="s">
        <v>8520</v>
      </c>
      <c r="O2984" t="str">
        <f>IFERROR(IF(Tbla_actores[[#This Row],[codigo_proyecto]]="","",_xlfn.XLOOKUP(Tbla_actores[[#This Row],[codigo_proyecto]],Proyectos!$A:$A,Proyectos!$C:$C)),"")</f>
        <v>Diseño y construcción  de Caminador y Camas Hospitalarias para niños</v>
      </c>
    </row>
    <row r="2985" spans="1:15">
      <c r="A2985" s="10">
        <v>1025060664</v>
      </c>
      <c r="B2985" s="64" t="s">
        <v>61</v>
      </c>
      <c r="C2985" s="62" t="s">
        <v>8516</v>
      </c>
      <c r="D2985" t="s">
        <v>63</v>
      </c>
      <c r="E2985" t="s">
        <v>9012</v>
      </c>
      <c r="F2985" s="61">
        <v>38236</v>
      </c>
      <c r="G2985" s="15" t="s">
        <v>65</v>
      </c>
      <c r="H2985" t="s">
        <v>9013</v>
      </c>
      <c r="I2985" s="62" t="s">
        <v>9014</v>
      </c>
      <c r="K2985" s="36" t="s">
        <v>68</v>
      </c>
      <c r="L2985" t="s">
        <v>69</v>
      </c>
      <c r="M2985" s="62" t="s">
        <v>170</v>
      </c>
      <c r="N2985" t="s">
        <v>8575</v>
      </c>
      <c r="O2985" t="str">
        <f>IFERROR(IF(Tbla_actores[[#This Row],[codigo_proyecto]]="","",_xlfn.XLOOKUP(Tbla_actores[[#This Row],[codigo_proyecto]],Proyectos!$A:$A,Proyectos!$C:$C)),"")</f>
        <v>Direccionamiento estratégico del Semillero Olympia</v>
      </c>
    </row>
    <row r="2986" spans="1:15">
      <c r="A2986" s="9">
        <v>1011081485</v>
      </c>
      <c r="B2986" s="63" t="s">
        <v>61</v>
      </c>
      <c r="C2986" s="62" t="s">
        <v>8516</v>
      </c>
      <c r="D2986" t="s">
        <v>63</v>
      </c>
      <c r="E2986" t="s">
        <v>9015</v>
      </c>
      <c r="F2986" s="61">
        <v>38377</v>
      </c>
      <c r="G2986" s="15" t="s">
        <v>65</v>
      </c>
      <c r="H2986" t="s">
        <v>9016</v>
      </c>
      <c r="I2986" s="62" t="s">
        <v>9017</v>
      </c>
      <c r="K2986" s="36" t="s">
        <v>68</v>
      </c>
      <c r="L2986" t="s">
        <v>69</v>
      </c>
      <c r="M2986" s="62" t="s">
        <v>70</v>
      </c>
      <c r="N2986" t="s">
        <v>8848</v>
      </c>
      <c r="O2986" t="str">
        <f>IFERROR(IF(Tbla_actores[[#This Row],[codigo_proyecto]]="","",_xlfn.XLOOKUP(Tbla_actores[[#This Row],[codigo_proyecto]],Proyectos!$A:$A,Proyectos!$C:$C)),"")</f>
        <v>ingeniokids</v>
      </c>
    </row>
    <row r="2987" spans="1:15">
      <c r="A2987" s="10">
        <v>1002208693</v>
      </c>
      <c r="B2987" s="64" t="s">
        <v>61</v>
      </c>
      <c r="C2987" s="62" t="s">
        <v>8516</v>
      </c>
      <c r="D2987" t="s">
        <v>63</v>
      </c>
      <c r="E2987" t="s">
        <v>9018</v>
      </c>
      <c r="F2987" s="61">
        <v>37401</v>
      </c>
      <c r="G2987" s="15" t="s">
        <v>73</v>
      </c>
      <c r="H2987" t="s">
        <v>9019</v>
      </c>
      <c r="I2987" s="62" t="s">
        <v>9020</v>
      </c>
      <c r="K2987" s="36" t="s">
        <v>169</v>
      </c>
      <c r="L2987" t="s">
        <v>69</v>
      </c>
      <c r="M2987" s="62" t="s">
        <v>70</v>
      </c>
      <c r="N2987" t="s">
        <v>8524</v>
      </c>
      <c r="O2987" t="str">
        <f>IFERROR(IF(Tbla_actores[[#This Row],[codigo_proyecto]]="","",_xlfn.XLOOKUP(Tbla_actores[[#This Row],[codigo_proyecto]],Proyectos!$A:$A,Proyectos!$C:$C)),"")</f>
        <v>CURSO BÁSICO EN CONSTRICCIÓN</v>
      </c>
    </row>
    <row r="2988" spans="1:15">
      <c r="A2988" s="9">
        <v>1000036709</v>
      </c>
      <c r="B2988" s="63" t="s">
        <v>61</v>
      </c>
      <c r="C2988" s="62" t="s">
        <v>8516</v>
      </c>
      <c r="D2988" t="s">
        <v>63</v>
      </c>
      <c r="E2988" t="s">
        <v>9021</v>
      </c>
      <c r="F2988" s="61">
        <v>37911</v>
      </c>
      <c r="G2988" s="15" t="s">
        <v>73</v>
      </c>
      <c r="H2988" t="s">
        <v>9022</v>
      </c>
      <c r="I2988" s="62" t="s">
        <v>9023</v>
      </c>
      <c r="K2988" s="36" t="s">
        <v>169</v>
      </c>
      <c r="L2988" t="s">
        <v>69</v>
      </c>
      <c r="M2988" s="62" t="s">
        <v>70</v>
      </c>
      <c r="N2988" t="s">
        <v>8915</v>
      </c>
      <c r="O2988" t="str">
        <f>IFERROR(IF(Tbla_actores[[#This Row],[codigo_proyecto]]="","",_xlfn.XLOOKUP(Tbla_actores[[#This Row],[codigo_proyecto]],Proyectos!$A:$A,Proyectos!$C:$C)),"")</f>
        <v>Sistema Antiescape en dispositivos de cuidado residencial</v>
      </c>
    </row>
    <row r="2989" spans="1:15">
      <c r="A2989" s="10">
        <v>1019149316</v>
      </c>
      <c r="B2989" s="64" t="s">
        <v>61</v>
      </c>
      <c r="C2989" s="62" t="s">
        <v>8516</v>
      </c>
      <c r="D2989" t="s">
        <v>63</v>
      </c>
      <c r="E2989" t="s">
        <v>9024</v>
      </c>
      <c r="F2989" s="61">
        <v>36312</v>
      </c>
      <c r="G2989" s="15" t="s">
        <v>65</v>
      </c>
      <c r="H2989" t="s">
        <v>9025</v>
      </c>
      <c r="I2989" s="62" t="s">
        <v>9026</v>
      </c>
      <c r="K2989" s="36" t="s">
        <v>169</v>
      </c>
      <c r="L2989" t="s">
        <v>69</v>
      </c>
      <c r="M2989" s="62" t="s">
        <v>170</v>
      </c>
      <c r="N2989" t="s">
        <v>9027</v>
      </c>
      <c r="O2989" t="str">
        <f>IFERROR(IF(Tbla_actores[[#This Row],[codigo_proyecto]]="","",_xlfn.XLOOKUP(Tbla_actores[[#This Row],[codigo_proyecto]],Proyectos!$A:$A,Proyectos!$C:$C)),"")</f>
        <v>Diseño de campañas para proyectos</v>
      </c>
    </row>
    <row r="2990" spans="1:15">
      <c r="A2990" s="9">
        <v>1005894479</v>
      </c>
      <c r="B2990" s="63" t="s">
        <v>61</v>
      </c>
      <c r="C2990" s="62" t="s">
        <v>8516</v>
      </c>
      <c r="D2990" t="s">
        <v>63</v>
      </c>
      <c r="E2990" t="s">
        <v>9028</v>
      </c>
      <c r="F2990" s="61">
        <v>37690</v>
      </c>
      <c r="G2990" s="15" t="s">
        <v>73</v>
      </c>
      <c r="H2990" t="s">
        <v>9029</v>
      </c>
      <c r="I2990" s="62" t="s">
        <v>9030</v>
      </c>
      <c r="K2990" s="36" t="s">
        <v>495</v>
      </c>
      <c r="L2990" t="s">
        <v>69</v>
      </c>
      <c r="M2990" s="62" t="s">
        <v>70</v>
      </c>
      <c r="N2990" t="s">
        <v>8544</v>
      </c>
      <c r="O2990" t="str">
        <f>IFERROR(IF(Tbla_actores[[#This Row],[codigo_proyecto]]="","",_xlfn.XLOOKUP(Tbla_actores[[#This Row],[codigo_proyecto]],Proyectos!$A:$A,Proyectos!$C:$C)),"")</f>
        <v>Proyecto 1</v>
      </c>
    </row>
    <row r="2991" spans="1:15">
      <c r="A2991" s="10">
        <v>1020797202</v>
      </c>
      <c r="B2991" s="64" t="s">
        <v>61</v>
      </c>
      <c r="C2991" s="62" t="s">
        <v>8516</v>
      </c>
      <c r="D2991" t="s">
        <v>63</v>
      </c>
      <c r="E2991" t="s">
        <v>9031</v>
      </c>
      <c r="F2991" s="61">
        <v>37733</v>
      </c>
      <c r="G2991" s="15" t="s">
        <v>73</v>
      </c>
      <c r="H2991" t="s">
        <v>9032</v>
      </c>
      <c r="I2991" s="62" t="s">
        <v>9033</v>
      </c>
      <c r="K2991" s="36" t="s">
        <v>495</v>
      </c>
      <c r="L2991" t="s">
        <v>69</v>
      </c>
      <c r="M2991" s="62" t="s">
        <v>70</v>
      </c>
      <c r="N2991" t="s">
        <v>9034</v>
      </c>
      <c r="O2991" t="str">
        <f>IFERROR(IF(Tbla_actores[[#This Row],[codigo_proyecto]]="","",_xlfn.XLOOKUP(Tbla_actores[[#This Row],[codigo_proyecto]],Proyectos!$A:$A,Proyectos!$C:$C)),"")</f>
        <v>Red Juvenil Ignaciana</v>
      </c>
    </row>
    <row r="2992" spans="1:15">
      <c r="A2992" s="9">
        <v>1019153829</v>
      </c>
      <c r="B2992" s="63" t="s">
        <v>61</v>
      </c>
      <c r="C2992" s="62" t="s">
        <v>8516</v>
      </c>
      <c r="D2992" t="s">
        <v>63</v>
      </c>
      <c r="E2992" t="s">
        <v>9035</v>
      </c>
      <c r="F2992" s="61">
        <v>36527</v>
      </c>
      <c r="G2992" s="15" t="s">
        <v>65</v>
      </c>
      <c r="H2992" t="s">
        <v>9036</v>
      </c>
      <c r="I2992" s="62" t="s">
        <v>9037</v>
      </c>
      <c r="K2992" s="36" t="s">
        <v>495</v>
      </c>
      <c r="L2992" t="s">
        <v>69</v>
      </c>
      <c r="M2992" s="62" t="s">
        <v>70</v>
      </c>
      <c r="N2992" t="s">
        <v>8520</v>
      </c>
      <c r="O2992" t="str">
        <f>IFERROR(IF(Tbla_actores[[#This Row],[codigo_proyecto]]="","",_xlfn.XLOOKUP(Tbla_actores[[#This Row],[codigo_proyecto]],Proyectos!$A:$A,Proyectos!$C:$C)),"")</f>
        <v>Diseño y construcción  de Caminador y Camas Hospitalarias para niños</v>
      </c>
    </row>
    <row r="2993" spans="1:15">
      <c r="A2993" s="10">
        <v>1000472824</v>
      </c>
      <c r="B2993" s="64" t="s">
        <v>61</v>
      </c>
      <c r="C2993" s="62" t="s">
        <v>8516</v>
      </c>
      <c r="D2993" t="s">
        <v>63</v>
      </c>
      <c r="E2993" t="s">
        <v>9038</v>
      </c>
      <c r="F2993" s="61">
        <v>37268</v>
      </c>
      <c r="G2993" s="15" t="s">
        <v>73</v>
      </c>
      <c r="H2993" t="s">
        <v>9039</v>
      </c>
      <c r="I2993" s="62" t="s">
        <v>9040</v>
      </c>
      <c r="K2993" s="36" t="s">
        <v>495</v>
      </c>
      <c r="L2993" t="s">
        <v>69</v>
      </c>
      <c r="M2993" s="62" t="s">
        <v>70</v>
      </c>
      <c r="N2993" t="s">
        <v>8701</v>
      </c>
      <c r="O2993" t="str">
        <f>IFERROR(IF(Tbla_actores[[#This Row],[codigo_proyecto]]="","",_xlfn.XLOOKUP(Tbla_actores[[#This Row],[codigo_proyecto]],Proyectos!$A:$A,Proyectos!$C:$C)),"")</f>
        <v>Proyecto 2</v>
      </c>
    </row>
    <row r="2994" spans="1:15">
      <c r="A2994" s="9">
        <v>1016106768</v>
      </c>
      <c r="B2994" s="63" t="s">
        <v>61</v>
      </c>
      <c r="C2994" s="62" t="s">
        <v>8516</v>
      </c>
      <c r="D2994" t="s">
        <v>63</v>
      </c>
      <c r="E2994" t="s">
        <v>9041</v>
      </c>
      <c r="F2994" s="61">
        <v>36133</v>
      </c>
      <c r="G2994" s="15" t="s">
        <v>73</v>
      </c>
      <c r="H2994" t="s">
        <v>9042</v>
      </c>
      <c r="I2994" s="62" t="s">
        <v>9043</v>
      </c>
      <c r="K2994" s="36" t="s">
        <v>1489</v>
      </c>
      <c r="L2994" t="s">
        <v>69</v>
      </c>
      <c r="M2994" s="62" t="s">
        <v>70</v>
      </c>
      <c r="N2994" t="s">
        <v>8571</v>
      </c>
      <c r="O2994" t="str">
        <f>IFERROR(IF(Tbla_actores[[#This Row],[codigo_proyecto]]="","",_xlfn.XLOOKUP(Tbla_actores[[#This Row],[codigo_proyecto]],Proyectos!$A:$A,Proyectos!$C:$C)),"")</f>
        <v>PROYECTO "ALTOS DE LA FLORIDA – SOACHA"</v>
      </c>
    </row>
    <row r="2995" spans="1:15">
      <c r="A2995" s="10">
        <v>1000602882</v>
      </c>
      <c r="B2995" s="64" t="s">
        <v>61</v>
      </c>
      <c r="C2995" s="62" t="s">
        <v>8516</v>
      </c>
      <c r="D2995" t="s">
        <v>63</v>
      </c>
      <c r="E2995" t="s">
        <v>9044</v>
      </c>
      <c r="F2995" s="61">
        <v>37908</v>
      </c>
      <c r="G2995" s="15" t="s">
        <v>73</v>
      </c>
      <c r="H2995" t="s">
        <v>9045</v>
      </c>
      <c r="I2995" s="62" t="s">
        <v>9046</v>
      </c>
      <c r="K2995" s="36" t="s">
        <v>1489</v>
      </c>
      <c r="L2995" t="s">
        <v>69</v>
      </c>
      <c r="M2995" s="62" t="s">
        <v>70</v>
      </c>
      <c r="N2995" t="s">
        <v>8555</v>
      </c>
      <c r="O2995" t="str">
        <f>IFERROR(IF(Tbla_actores[[#This Row],[codigo_proyecto]]="","",_xlfn.XLOOKUP(Tbla_actores[[#This Row],[codigo_proyecto]],Proyectos!$A:$A,Proyectos!$C:$C)),"")</f>
        <v>Diseño 2 de prótesis mecánica transhumeral y versión 2 de próteiss transradial</v>
      </c>
    </row>
    <row r="2996" spans="1:15">
      <c r="A2996" s="9">
        <v>1033096545</v>
      </c>
      <c r="B2996" s="63" t="s">
        <v>61</v>
      </c>
      <c r="C2996" s="62" t="s">
        <v>8516</v>
      </c>
      <c r="D2996" t="s">
        <v>63</v>
      </c>
      <c r="E2996" t="s">
        <v>9047</v>
      </c>
      <c r="F2996" s="61">
        <v>38081</v>
      </c>
      <c r="G2996" s="15" t="s">
        <v>73</v>
      </c>
      <c r="H2996" t="s">
        <v>9048</v>
      </c>
      <c r="I2996" s="62" t="s">
        <v>9049</v>
      </c>
      <c r="K2996" s="36" t="s">
        <v>169</v>
      </c>
      <c r="L2996" t="s">
        <v>69</v>
      </c>
      <c r="M2996" s="62" t="s">
        <v>70</v>
      </c>
      <c r="N2996" t="s">
        <v>8770</v>
      </c>
      <c r="O2996" t="str">
        <f>IFERROR(IF(Tbla_actores[[#This Row],[codigo_proyecto]]="","",_xlfn.XLOOKUP(Tbla_actores[[#This Row],[codigo_proyecto]],Proyectos!$A:$A,Proyectos!$C:$C)),"")</f>
        <v>Proyecto 5</v>
      </c>
    </row>
    <row r="2997" spans="1:15">
      <c r="A2997" s="10">
        <v>1001096579</v>
      </c>
      <c r="B2997" s="64" t="s">
        <v>61</v>
      </c>
      <c r="C2997" s="62" t="s">
        <v>8516</v>
      </c>
      <c r="D2997" t="s">
        <v>63</v>
      </c>
      <c r="E2997" t="s">
        <v>9050</v>
      </c>
      <c r="F2997" s="61">
        <v>37829</v>
      </c>
      <c r="G2997" s="15" t="s">
        <v>73</v>
      </c>
      <c r="H2997" t="s">
        <v>9051</v>
      </c>
      <c r="I2997" s="62" t="s">
        <v>9052</v>
      </c>
      <c r="K2997" s="36" t="s">
        <v>169</v>
      </c>
      <c r="L2997" t="s">
        <v>69</v>
      </c>
      <c r="M2997" s="62" t="s">
        <v>70</v>
      </c>
      <c r="N2997" t="s">
        <v>8844</v>
      </c>
      <c r="O2997" t="str">
        <f>IFERROR(IF(Tbla_actores[[#This Row],[codigo_proyecto]]="","",_xlfn.XLOOKUP(Tbla_actores[[#This Row],[codigo_proyecto]],Proyectos!$A:$A,Proyectos!$C:$C)),"")</f>
        <v>Proyecto 18</v>
      </c>
    </row>
    <row r="2998" spans="1:15">
      <c r="A2998" s="9">
        <v>1000186092</v>
      </c>
      <c r="B2998" s="63" t="s">
        <v>61</v>
      </c>
      <c r="C2998" s="62" t="s">
        <v>8516</v>
      </c>
      <c r="D2998" t="s">
        <v>63</v>
      </c>
      <c r="E2998" t="s">
        <v>9053</v>
      </c>
      <c r="F2998" s="61">
        <v>37916</v>
      </c>
      <c r="G2998" s="15" t="s">
        <v>73</v>
      </c>
      <c r="H2998" t="s">
        <v>9054</v>
      </c>
      <c r="I2998" s="62" t="s">
        <v>9055</v>
      </c>
      <c r="K2998" s="36" t="s">
        <v>169</v>
      </c>
      <c r="L2998" t="s">
        <v>69</v>
      </c>
      <c r="M2998" s="62" t="s">
        <v>170</v>
      </c>
      <c r="N2998" t="s">
        <v>9056</v>
      </c>
      <c r="O2998">
        <f>IFERROR(IF(Tbla_actores[[#This Row],[codigo_proyecto]]="","",_xlfn.XLOOKUP(Tbla_actores[[#This Row],[codigo_proyecto]],Proyectos!$A:$A,Proyectos!$C:$C)),"")</f>
        <v>0</v>
      </c>
    </row>
    <row r="2999" spans="1:15">
      <c r="A2999" s="10">
        <v>1031610230</v>
      </c>
      <c r="B2999" s="64" t="s">
        <v>61</v>
      </c>
      <c r="C2999" s="62" t="s">
        <v>8516</v>
      </c>
      <c r="D2999" t="s">
        <v>63</v>
      </c>
      <c r="E2999" t="s">
        <v>9057</v>
      </c>
      <c r="F2999" s="61">
        <v>38402</v>
      </c>
      <c r="G2999" s="15" t="s">
        <v>73</v>
      </c>
      <c r="H2999" t="s">
        <v>9058</v>
      </c>
      <c r="I2999" s="62" t="s">
        <v>9059</v>
      </c>
      <c r="K2999" s="36" t="s">
        <v>169</v>
      </c>
      <c r="L2999" t="s">
        <v>69</v>
      </c>
      <c r="M2999" s="62" t="s">
        <v>170</v>
      </c>
      <c r="N2999" t="s">
        <v>9056</v>
      </c>
      <c r="O2999">
        <f>IFERROR(IF(Tbla_actores[[#This Row],[codigo_proyecto]]="","",_xlfn.XLOOKUP(Tbla_actores[[#This Row],[codigo_proyecto]],Proyectos!$A:$A,Proyectos!$C:$C)),"")</f>
        <v>0</v>
      </c>
    </row>
    <row r="3000" spans="1:15">
      <c r="A3000" s="9">
        <v>1097780529</v>
      </c>
      <c r="B3000" s="63" t="s">
        <v>61</v>
      </c>
      <c r="C3000" s="62" t="s">
        <v>8516</v>
      </c>
      <c r="D3000" t="s">
        <v>63</v>
      </c>
      <c r="E3000" t="s">
        <v>9060</v>
      </c>
      <c r="F3000" s="61">
        <v>38069</v>
      </c>
      <c r="G3000" s="15" t="s">
        <v>73</v>
      </c>
      <c r="H3000" t="s">
        <v>9061</v>
      </c>
      <c r="I3000" s="62" t="s">
        <v>9062</v>
      </c>
      <c r="K3000" s="36" t="s">
        <v>169</v>
      </c>
      <c r="L3000" t="s">
        <v>69</v>
      </c>
      <c r="M3000" s="62" t="s">
        <v>170</v>
      </c>
      <c r="N3000" t="s">
        <v>8563</v>
      </c>
      <c r="O3000">
        <f>IFERROR(IF(Tbla_actores[[#This Row],[codigo_proyecto]]="","",_xlfn.XLOOKUP(Tbla_actores[[#This Row],[codigo_proyecto]],Proyectos!$A:$A,Proyectos!$C:$C)),"")</f>
        <v>0</v>
      </c>
    </row>
    <row r="3001" spans="1:15">
      <c r="A3001" s="10">
        <v>1014596190</v>
      </c>
      <c r="B3001" s="64" t="s">
        <v>61</v>
      </c>
      <c r="C3001" s="62" t="s">
        <v>8516</v>
      </c>
      <c r="D3001" t="s">
        <v>63</v>
      </c>
      <c r="E3001" t="s">
        <v>9063</v>
      </c>
      <c r="F3001" s="61">
        <v>38299</v>
      </c>
      <c r="G3001" s="15" t="s">
        <v>65</v>
      </c>
      <c r="H3001" t="s">
        <v>9064</v>
      </c>
      <c r="I3001" s="62" t="s">
        <v>9065</v>
      </c>
      <c r="K3001" s="36" t="s">
        <v>169</v>
      </c>
      <c r="L3001" t="s">
        <v>69</v>
      </c>
      <c r="M3001" s="62" t="s">
        <v>170</v>
      </c>
      <c r="N3001" t="s">
        <v>8790</v>
      </c>
      <c r="O3001" t="str">
        <f>IFERROR(IF(Tbla_actores[[#This Row],[codigo_proyecto]]="","",_xlfn.XLOOKUP(Tbla_actores[[#This Row],[codigo_proyecto]],Proyectos!$A:$A,Proyectos!$C:$C)),"")</f>
        <v>CAPACITACION EMPRENDIMIENTO</v>
      </c>
    </row>
    <row r="3002" spans="1:15">
      <c r="A3002" s="9">
        <v>1007558160</v>
      </c>
      <c r="B3002" s="63" t="s">
        <v>61</v>
      </c>
      <c r="C3002" s="62" t="s">
        <v>8516</v>
      </c>
      <c r="D3002" t="s">
        <v>63</v>
      </c>
      <c r="E3002" t="s">
        <v>9066</v>
      </c>
      <c r="F3002" s="61">
        <v>37691</v>
      </c>
      <c r="G3002" s="15" t="s">
        <v>65</v>
      </c>
      <c r="H3002" t="s">
        <v>9067</v>
      </c>
      <c r="I3002" s="62" t="s">
        <v>9068</v>
      </c>
      <c r="K3002" s="36" t="s">
        <v>169</v>
      </c>
      <c r="L3002" t="s">
        <v>69</v>
      </c>
      <c r="M3002" s="62" t="s">
        <v>70</v>
      </c>
      <c r="N3002" t="s">
        <v>9069</v>
      </c>
      <c r="O3002" t="str">
        <f>IFERROR(IF(Tbla_actores[[#This Row],[codigo_proyecto]]="","",_xlfn.XLOOKUP(Tbla_actores[[#This Row],[codigo_proyecto]],Proyectos!$A:$A,Proyectos!$C:$C)),"")</f>
        <v>PROGRAMA SOCIAL VIDAS MÓVILES (JAVERIANA)</v>
      </c>
    </row>
    <row r="3003" spans="1:15">
      <c r="A3003" s="10">
        <v>1014977152</v>
      </c>
      <c r="B3003" s="64" t="s">
        <v>61</v>
      </c>
      <c r="C3003" s="62" t="s">
        <v>8516</v>
      </c>
      <c r="D3003" t="s">
        <v>63</v>
      </c>
      <c r="E3003" t="s">
        <v>9070</v>
      </c>
      <c r="F3003" s="61">
        <v>38186</v>
      </c>
      <c r="G3003" s="15" t="s">
        <v>73</v>
      </c>
      <c r="H3003" t="s">
        <v>9071</v>
      </c>
      <c r="I3003" s="62" t="s">
        <v>9072</v>
      </c>
      <c r="K3003" s="36" t="s">
        <v>169</v>
      </c>
      <c r="L3003" t="s">
        <v>69</v>
      </c>
      <c r="M3003" s="62" t="s">
        <v>70</v>
      </c>
      <c r="N3003" t="s">
        <v>8753</v>
      </c>
      <c r="O3003" t="str">
        <f>IFERROR(IF(Tbla_actores[[#This Row],[codigo_proyecto]]="","",_xlfn.XLOOKUP(Tbla_actores[[#This Row],[codigo_proyecto]],Proyectos!$A:$A,Proyectos!$C:$C)),"")</f>
        <v>Proyecto 3</v>
      </c>
    </row>
    <row r="3004" spans="1:15">
      <c r="A3004" s="9">
        <v>1001315731</v>
      </c>
      <c r="B3004" s="63" t="s">
        <v>61</v>
      </c>
      <c r="C3004" s="62" t="s">
        <v>8516</v>
      </c>
      <c r="D3004" t="s">
        <v>63</v>
      </c>
      <c r="E3004" t="s">
        <v>9073</v>
      </c>
      <c r="F3004" s="61">
        <v>37862</v>
      </c>
      <c r="G3004" s="15" t="s">
        <v>73</v>
      </c>
      <c r="H3004" t="s">
        <v>9074</v>
      </c>
      <c r="I3004" s="62" t="s">
        <v>9075</v>
      </c>
      <c r="K3004" s="36" t="s">
        <v>169</v>
      </c>
      <c r="L3004" t="s">
        <v>69</v>
      </c>
      <c r="M3004" s="62" t="s">
        <v>70</v>
      </c>
      <c r="N3004" t="s">
        <v>8714</v>
      </c>
      <c r="O3004" t="str">
        <f>IFERROR(IF(Tbla_actores[[#This Row],[codigo_proyecto]]="","",_xlfn.XLOOKUP(Tbla_actores[[#This Row],[codigo_proyecto]],Proyectos!$A:$A,Proyectos!$C:$C)),"")</f>
        <v>Proyecto 14</v>
      </c>
    </row>
    <row r="3005" spans="1:15">
      <c r="A3005" s="10">
        <v>1000943830</v>
      </c>
      <c r="B3005" s="64" t="s">
        <v>61</v>
      </c>
      <c r="C3005" s="62" t="s">
        <v>8516</v>
      </c>
      <c r="D3005" t="s">
        <v>63</v>
      </c>
      <c r="E3005" t="s">
        <v>9076</v>
      </c>
      <c r="F3005" s="61">
        <v>37436</v>
      </c>
      <c r="G3005" s="15" t="s">
        <v>73</v>
      </c>
      <c r="H3005" t="s">
        <v>9077</v>
      </c>
      <c r="I3005" s="62" t="s">
        <v>9078</v>
      </c>
      <c r="K3005" s="36" t="s">
        <v>169</v>
      </c>
      <c r="L3005" t="s">
        <v>69</v>
      </c>
      <c r="M3005" s="62" t="s">
        <v>70</v>
      </c>
      <c r="N3005" t="s">
        <v>8770</v>
      </c>
      <c r="O3005" t="str">
        <f>IFERROR(IF(Tbla_actores[[#This Row],[codigo_proyecto]]="","",_xlfn.XLOOKUP(Tbla_actores[[#This Row],[codigo_proyecto]],Proyectos!$A:$A,Proyectos!$C:$C)),"")</f>
        <v>Proyecto 5</v>
      </c>
    </row>
    <row r="3006" spans="1:15">
      <c r="A3006" s="9">
        <v>1000953245</v>
      </c>
      <c r="B3006" s="63" t="s">
        <v>61</v>
      </c>
      <c r="C3006" s="62" t="s">
        <v>8516</v>
      </c>
      <c r="D3006" t="s">
        <v>63</v>
      </c>
      <c r="E3006" t="s">
        <v>9079</v>
      </c>
      <c r="F3006" s="61">
        <v>37924</v>
      </c>
      <c r="G3006" s="15" t="s">
        <v>73</v>
      </c>
      <c r="H3006" t="s">
        <v>9080</v>
      </c>
      <c r="I3006" s="62" t="s">
        <v>9081</v>
      </c>
      <c r="K3006" s="36" t="s">
        <v>169</v>
      </c>
      <c r="L3006" t="s">
        <v>69</v>
      </c>
      <c r="M3006" s="62" t="s">
        <v>70</v>
      </c>
      <c r="N3006" t="s">
        <v>8844</v>
      </c>
      <c r="O3006" t="str">
        <f>IFERROR(IF(Tbla_actores[[#This Row],[codigo_proyecto]]="","",_xlfn.XLOOKUP(Tbla_actores[[#This Row],[codigo_proyecto]],Proyectos!$A:$A,Proyectos!$C:$C)),"")</f>
        <v>Proyecto 18</v>
      </c>
    </row>
    <row r="3007" spans="1:15">
      <c r="A3007" s="10">
        <v>1000019993</v>
      </c>
      <c r="B3007" s="64" t="s">
        <v>61</v>
      </c>
      <c r="C3007" s="62" t="s">
        <v>8516</v>
      </c>
      <c r="D3007" t="s">
        <v>63</v>
      </c>
      <c r="E3007" t="s">
        <v>9082</v>
      </c>
      <c r="F3007" s="61">
        <v>37529</v>
      </c>
      <c r="G3007" s="15" t="s">
        <v>73</v>
      </c>
      <c r="H3007" t="s">
        <v>9083</v>
      </c>
      <c r="I3007" s="62" t="s">
        <v>9084</v>
      </c>
      <c r="K3007" s="36" t="s">
        <v>169</v>
      </c>
      <c r="L3007" t="s">
        <v>69</v>
      </c>
      <c r="M3007" s="62" t="s">
        <v>70</v>
      </c>
      <c r="N3007" t="s">
        <v>8714</v>
      </c>
      <c r="O3007" t="str">
        <f>IFERROR(IF(Tbla_actores[[#This Row],[codigo_proyecto]]="","",_xlfn.XLOOKUP(Tbla_actores[[#This Row],[codigo_proyecto]],Proyectos!$A:$A,Proyectos!$C:$C)),"")</f>
        <v>Proyecto 14</v>
      </c>
    </row>
    <row r="3008" spans="1:15">
      <c r="A3008" s="9">
        <v>1000183639</v>
      </c>
      <c r="B3008" s="63" t="s">
        <v>61</v>
      </c>
      <c r="C3008" s="62" t="s">
        <v>8516</v>
      </c>
      <c r="D3008" t="s">
        <v>63</v>
      </c>
      <c r="E3008" t="s">
        <v>9085</v>
      </c>
      <c r="F3008" s="61">
        <v>37568</v>
      </c>
      <c r="G3008" s="15" t="s">
        <v>73</v>
      </c>
      <c r="H3008" t="s">
        <v>9086</v>
      </c>
      <c r="I3008" s="62" t="s">
        <v>9087</v>
      </c>
      <c r="K3008" s="36" t="s">
        <v>169</v>
      </c>
      <c r="L3008" t="s">
        <v>69</v>
      </c>
      <c r="M3008" s="62" t="s">
        <v>70</v>
      </c>
      <c r="N3008" t="s">
        <v>8571</v>
      </c>
      <c r="O3008" t="str">
        <f>IFERROR(IF(Tbla_actores[[#This Row],[codigo_proyecto]]="","",_xlfn.XLOOKUP(Tbla_actores[[#This Row],[codigo_proyecto]],Proyectos!$A:$A,Proyectos!$C:$C)),"")</f>
        <v>PROYECTO "ALTOS DE LA FLORIDA – SOACHA"</v>
      </c>
    </row>
    <row r="3009" spans="1:15">
      <c r="A3009" s="10">
        <v>1002328990</v>
      </c>
      <c r="B3009" s="64" t="s">
        <v>61</v>
      </c>
      <c r="C3009" s="62" t="s">
        <v>8516</v>
      </c>
      <c r="D3009" t="s">
        <v>63</v>
      </c>
      <c r="E3009" t="s">
        <v>9088</v>
      </c>
      <c r="F3009" s="61">
        <v>37674</v>
      </c>
      <c r="G3009" s="15" t="s">
        <v>73</v>
      </c>
      <c r="H3009" t="s">
        <v>9089</v>
      </c>
      <c r="I3009" s="62" t="s">
        <v>9090</v>
      </c>
      <c r="K3009" s="36" t="s">
        <v>169</v>
      </c>
      <c r="L3009" t="s">
        <v>69</v>
      </c>
      <c r="M3009" s="62" t="s">
        <v>70</v>
      </c>
      <c r="N3009" t="s">
        <v>8524</v>
      </c>
      <c r="O3009" t="str">
        <f>IFERROR(IF(Tbla_actores[[#This Row],[codigo_proyecto]]="","",_xlfn.XLOOKUP(Tbla_actores[[#This Row],[codigo_proyecto]],Proyectos!$A:$A,Proyectos!$C:$C)),"")</f>
        <v>CURSO BÁSICO EN CONSTRICCIÓN</v>
      </c>
    </row>
    <row r="3010" spans="1:15">
      <c r="A3010" s="9">
        <v>1023162346</v>
      </c>
      <c r="B3010" s="63" t="s">
        <v>61</v>
      </c>
      <c r="C3010" s="62" t="s">
        <v>8516</v>
      </c>
      <c r="D3010" t="s">
        <v>63</v>
      </c>
      <c r="E3010" t="s">
        <v>9091</v>
      </c>
      <c r="F3010" s="61">
        <v>38080</v>
      </c>
      <c r="G3010" s="15" t="s">
        <v>73</v>
      </c>
      <c r="H3010" t="s">
        <v>9092</v>
      </c>
      <c r="I3010" s="62" t="s">
        <v>9093</v>
      </c>
      <c r="K3010" s="36" t="s">
        <v>169</v>
      </c>
      <c r="L3010" t="s">
        <v>69</v>
      </c>
      <c r="M3010" s="62" t="s">
        <v>170</v>
      </c>
      <c r="N3010" t="s">
        <v>8599</v>
      </c>
      <c r="O3010" t="str">
        <f>IFERROR(IF(Tbla_actores[[#This Row],[codigo_proyecto]]="","",_xlfn.XLOOKUP(Tbla_actores[[#This Row],[codigo_proyecto]],Proyectos!$A:$A,Proyectos!$C:$C)),"")</f>
        <v>Posicionamiento de la Biósfera en los procesos académicos del Colegio San Cayetano</v>
      </c>
    </row>
    <row r="3011" spans="1:15">
      <c r="A3011" s="10">
        <v>1032501846</v>
      </c>
      <c r="B3011" s="64" t="s">
        <v>61</v>
      </c>
      <c r="C3011" s="62" t="s">
        <v>8516</v>
      </c>
      <c r="D3011" t="s">
        <v>63</v>
      </c>
      <c r="E3011" t="s">
        <v>9094</v>
      </c>
      <c r="F3011" s="61">
        <v>36139</v>
      </c>
      <c r="G3011" s="15" t="s">
        <v>73</v>
      </c>
      <c r="H3011" t="s">
        <v>9095</v>
      </c>
      <c r="I3011" s="62" t="s">
        <v>9096</v>
      </c>
      <c r="K3011" s="36" t="s">
        <v>169</v>
      </c>
      <c r="L3011" t="s">
        <v>69</v>
      </c>
      <c r="M3011" s="62" t="s">
        <v>70</v>
      </c>
      <c r="N3011" t="s">
        <v>8536</v>
      </c>
      <c r="O3011" t="str">
        <f>IFERROR(IF(Tbla_actores[[#This Row],[codigo_proyecto]]="","",_xlfn.XLOOKUP(Tbla_actores[[#This Row],[codigo_proyecto]],Proyectos!$A:$A,Proyectos!$C:$C)),"")</f>
        <v>Proyecto 19</v>
      </c>
    </row>
    <row r="3012" spans="1:15">
      <c r="A3012" s="9">
        <v>1032876577</v>
      </c>
      <c r="B3012" s="63" t="s">
        <v>61</v>
      </c>
      <c r="C3012" s="62" t="s">
        <v>8516</v>
      </c>
      <c r="D3012" t="s">
        <v>63</v>
      </c>
      <c r="E3012" t="s">
        <v>9097</v>
      </c>
      <c r="F3012" s="61">
        <v>38357</v>
      </c>
      <c r="G3012" s="15" t="s">
        <v>73</v>
      </c>
      <c r="H3012" t="s">
        <v>9098</v>
      </c>
      <c r="I3012" s="62" t="s">
        <v>9099</v>
      </c>
      <c r="K3012" s="36" t="s">
        <v>169</v>
      </c>
      <c r="L3012" t="s">
        <v>69</v>
      </c>
      <c r="M3012" s="62" t="s">
        <v>70</v>
      </c>
      <c r="N3012" t="s">
        <v>8621</v>
      </c>
      <c r="O3012" t="str">
        <f>IFERROR(IF(Tbla_actores[[#This Row],[codigo_proyecto]]="","",_xlfn.XLOOKUP(Tbla_actores[[#This Row],[codigo_proyecto]],Proyectos!$A:$A,Proyectos!$C:$C)),"")</f>
        <v>Proyecto 28</v>
      </c>
    </row>
    <row r="3013" spans="1:15">
      <c r="A3013" s="10">
        <v>1000150945</v>
      </c>
      <c r="B3013" s="64" t="s">
        <v>61</v>
      </c>
      <c r="C3013" s="62" t="s">
        <v>8516</v>
      </c>
      <c r="D3013" t="s">
        <v>63</v>
      </c>
      <c r="E3013" t="s">
        <v>9100</v>
      </c>
      <c r="F3013" s="61">
        <v>37303</v>
      </c>
      <c r="G3013" s="15" t="s">
        <v>73</v>
      </c>
      <c r="H3013" t="s">
        <v>9101</v>
      </c>
      <c r="I3013" s="62" t="s">
        <v>9102</v>
      </c>
      <c r="K3013" s="36" t="s">
        <v>169</v>
      </c>
      <c r="L3013" t="s">
        <v>69</v>
      </c>
      <c r="M3013" s="62" t="s">
        <v>70</v>
      </c>
      <c r="N3013" t="s">
        <v>8571</v>
      </c>
      <c r="O3013" t="str">
        <f>IFERROR(IF(Tbla_actores[[#This Row],[codigo_proyecto]]="","",_xlfn.XLOOKUP(Tbla_actores[[#This Row],[codigo_proyecto]],Proyectos!$A:$A,Proyectos!$C:$C)),"")</f>
        <v>PROYECTO "ALTOS DE LA FLORIDA – SOACHA"</v>
      </c>
    </row>
    <row r="3014" spans="1:15">
      <c r="A3014" s="9">
        <v>1002760365</v>
      </c>
      <c r="B3014" s="63" t="s">
        <v>61</v>
      </c>
      <c r="C3014" s="62" t="s">
        <v>8516</v>
      </c>
      <c r="D3014" t="s">
        <v>63</v>
      </c>
      <c r="E3014" t="s">
        <v>9103</v>
      </c>
      <c r="F3014" s="61">
        <v>37901</v>
      </c>
      <c r="G3014" s="15" t="s">
        <v>65</v>
      </c>
      <c r="H3014" t="s">
        <v>9104</v>
      </c>
      <c r="I3014" s="62" t="s">
        <v>9105</v>
      </c>
      <c r="K3014" s="36" t="s">
        <v>169</v>
      </c>
      <c r="L3014" t="s">
        <v>69</v>
      </c>
      <c r="M3014" s="62" t="s">
        <v>170</v>
      </c>
      <c r="N3014" t="s">
        <v>9106</v>
      </c>
      <c r="O3014" t="str">
        <f>IFERROR(IF(Tbla_actores[[#This Row],[codigo_proyecto]]="","",_xlfn.XLOOKUP(Tbla_actores[[#This Row],[codigo_proyecto]],Proyectos!$A:$A,Proyectos!$C:$C)),"")</f>
        <v>PROPUESTA DE ANALISIS COMERCIAL Y FINANCIERO</v>
      </c>
    </row>
    <row r="3015" spans="1:15">
      <c r="A3015" s="10">
        <v>1001093089</v>
      </c>
      <c r="B3015" s="64" t="s">
        <v>61</v>
      </c>
      <c r="C3015" s="62" t="s">
        <v>8516</v>
      </c>
      <c r="D3015" t="s">
        <v>63</v>
      </c>
      <c r="E3015" t="s">
        <v>9107</v>
      </c>
      <c r="F3015" s="61">
        <v>37412</v>
      </c>
      <c r="G3015" s="15" t="s">
        <v>65</v>
      </c>
      <c r="H3015" t="s">
        <v>9108</v>
      </c>
      <c r="I3015" s="62" t="s">
        <v>9109</v>
      </c>
      <c r="K3015" s="36" t="s">
        <v>169</v>
      </c>
      <c r="L3015" t="s">
        <v>69</v>
      </c>
      <c r="M3015" s="62" t="s">
        <v>70</v>
      </c>
      <c r="N3015" t="s">
        <v>8753</v>
      </c>
      <c r="O3015" t="str">
        <f>IFERROR(IF(Tbla_actores[[#This Row],[codigo_proyecto]]="","",_xlfn.XLOOKUP(Tbla_actores[[#This Row],[codigo_proyecto]],Proyectos!$A:$A,Proyectos!$C:$C)),"")</f>
        <v>Proyecto 3</v>
      </c>
    </row>
    <row r="3016" spans="1:15">
      <c r="A3016" s="9">
        <v>1019603935</v>
      </c>
      <c r="B3016" s="63" t="s">
        <v>61</v>
      </c>
      <c r="C3016" s="62" t="s">
        <v>8516</v>
      </c>
      <c r="D3016" t="s">
        <v>63</v>
      </c>
      <c r="E3016" t="s">
        <v>9110</v>
      </c>
      <c r="F3016" s="61">
        <v>38476</v>
      </c>
      <c r="G3016" s="15" t="s">
        <v>65</v>
      </c>
      <c r="H3016" t="s">
        <v>9111</v>
      </c>
      <c r="I3016" s="62" t="s">
        <v>9112</v>
      </c>
      <c r="K3016" s="36" t="s">
        <v>169</v>
      </c>
      <c r="L3016" t="s">
        <v>69</v>
      </c>
      <c r="M3016" s="62" t="s">
        <v>70</v>
      </c>
      <c r="N3016" t="s">
        <v>8840</v>
      </c>
      <c r="O3016" t="str">
        <f>IFERROR(IF(Tbla_actores[[#This Row],[codigo_proyecto]]="","",_xlfn.XLOOKUP(Tbla_actores[[#This Row],[codigo_proyecto]],Proyectos!$A:$A,Proyectos!$C:$C)),"")</f>
        <v>Proyección Social Ingeniería</v>
      </c>
    </row>
    <row r="3017" spans="1:15">
      <c r="A3017" s="10">
        <v>1002525438</v>
      </c>
      <c r="B3017" s="64" t="s">
        <v>61</v>
      </c>
      <c r="C3017" s="62" t="s">
        <v>8516</v>
      </c>
      <c r="D3017" t="s">
        <v>63</v>
      </c>
      <c r="E3017" t="s">
        <v>9113</v>
      </c>
      <c r="F3017" s="61">
        <v>37750</v>
      </c>
      <c r="G3017" s="15" t="s">
        <v>73</v>
      </c>
      <c r="H3017" t="s">
        <v>9114</v>
      </c>
      <c r="I3017" s="62" t="s">
        <v>9115</v>
      </c>
      <c r="K3017" s="36" t="s">
        <v>68</v>
      </c>
      <c r="L3017" t="s">
        <v>69</v>
      </c>
      <c r="M3017" s="62" t="s">
        <v>70</v>
      </c>
      <c r="N3017" t="s">
        <v>8551</v>
      </c>
      <c r="O3017" t="str">
        <f>IFERROR(IF(Tbla_actores[[#This Row],[codigo_proyecto]]="","",_xlfn.XLOOKUP(Tbla_actores[[#This Row],[codigo_proyecto]],Proyectos!$A:$A,Proyectos!$C:$C)),"")</f>
        <v>Proyecto 20</v>
      </c>
    </row>
    <row r="3018" spans="1:15">
      <c r="A3018" s="9">
        <v>1013100735</v>
      </c>
      <c r="B3018" s="63" t="s">
        <v>61</v>
      </c>
      <c r="C3018" s="62" t="s">
        <v>8516</v>
      </c>
      <c r="D3018" t="s">
        <v>63</v>
      </c>
      <c r="E3018" t="s">
        <v>9116</v>
      </c>
      <c r="F3018" s="61">
        <v>38182</v>
      </c>
      <c r="G3018" s="15" t="s">
        <v>73</v>
      </c>
      <c r="H3018" t="s">
        <v>9117</v>
      </c>
      <c r="I3018" s="62" t="s">
        <v>9118</v>
      </c>
      <c r="K3018" s="36" t="s">
        <v>68</v>
      </c>
      <c r="L3018" t="s">
        <v>69</v>
      </c>
      <c r="M3018" s="62" t="s">
        <v>70</v>
      </c>
      <c r="N3018" t="s">
        <v>8583</v>
      </c>
      <c r="O3018" t="str">
        <f>IFERROR(IF(Tbla_actores[[#This Row],[codigo_proyecto]]="","",_xlfn.XLOOKUP(Tbla_actores[[#This Row],[codigo_proyecto]],Proyectos!$A:$A,Proyectos!$C:$C)),"")</f>
        <v>Proyecto 6</v>
      </c>
    </row>
    <row r="3019" spans="1:15">
      <c r="A3019" s="10">
        <v>1007029964</v>
      </c>
      <c r="B3019" s="64" t="s">
        <v>61</v>
      </c>
      <c r="C3019" s="62" t="s">
        <v>8516</v>
      </c>
      <c r="D3019" t="s">
        <v>63</v>
      </c>
      <c r="E3019" t="s">
        <v>9119</v>
      </c>
      <c r="F3019" s="61">
        <v>37191</v>
      </c>
      <c r="G3019" s="15" t="s">
        <v>73</v>
      </c>
      <c r="H3019" t="s">
        <v>7811</v>
      </c>
      <c r="I3019" s="62" t="s">
        <v>7812</v>
      </c>
      <c r="K3019" s="36" t="s">
        <v>68</v>
      </c>
      <c r="L3019" t="s">
        <v>69</v>
      </c>
      <c r="M3019" s="62" t="s">
        <v>70</v>
      </c>
      <c r="N3019" t="s">
        <v>8714</v>
      </c>
      <c r="O3019" t="str">
        <f>IFERROR(IF(Tbla_actores[[#This Row],[codigo_proyecto]]="","",_xlfn.XLOOKUP(Tbla_actores[[#This Row],[codigo_proyecto]],Proyectos!$A:$A,Proyectos!$C:$C)),"")</f>
        <v>Proyecto 14</v>
      </c>
    </row>
    <row r="3020" spans="1:15">
      <c r="A3020" s="9">
        <v>1000184746</v>
      </c>
      <c r="B3020" s="63" t="s">
        <v>61</v>
      </c>
      <c r="C3020" s="62" t="s">
        <v>8516</v>
      </c>
      <c r="D3020" t="s">
        <v>63</v>
      </c>
      <c r="E3020" t="s">
        <v>9120</v>
      </c>
      <c r="F3020" s="61">
        <v>37956</v>
      </c>
      <c r="G3020" s="15" t="s">
        <v>73</v>
      </c>
      <c r="H3020" t="s">
        <v>9121</v>
      </c>
      <c r="I3020" s="62" t="s">
        <v>9122</v>
      </c>
      <c r="K3020" s="36" t="s">
        <v>68</v>
      </c>
      <c r="L3020" t="s">
        <v>69</v>
      </c>
      <c r="M3020" s="62" t="s">
        <v>170</v>
      </c>
      <c r="N3020" t="s">
        <v>8587</v>
      </c>
      <c r="O3020" t="str">
        <f>IFERROR(IF(Tbla_actores[[#This Row],[codigo_proyecto]]="","",_xlfn.XLOOKUP(Tbla_actores[[#This Row],[codigo_proyecto]],Proyectos!$A:$A,Proyectos!$C:$C)),"")</f>
        <v>PROPUESTA DE GESTION Y ANALISIS ESTRATEGICO</v>
      </c>
    </row>
    <row r="3021" spans="1:15">
      <c r="A3021" s="10">
        <v>1000287158</v>
      </c>
      <c r="B3021" s="64" t="s">
        <v>61</v>
      </c>
      <c r="C3021" s="62" t="s">
        <v>8516</v>
      </c>
      <c r="D3021" t="s">
        <v>63</v>
      </c>
      <c r="E3021" t="s">
        <v>9123</v>
      </c>
      <c r="F3021" s="61">
        <v>37490</v>
      </c>
      <c r="G3021" s="15" t="s">
        <v>73</v>
      </c>
      <c r="H3021" t="s">
        <v>9124</v>
      </c>
      <c r="I3021" s="62" t="s">
        <v>9125</v>
      </c>
      <c r="K3021" s="36" t="s">
        <v>68</v>
      </c>
      <c r="L3021" t="s">
        <v>69</v>
      </c>
      <c r="M3021" s="62" t="s">
        <v>70</v>
      </c>
      <c r="N3021" t="s">
        <v>8571</v>
      </c>
      <c r="O3021" t="str">
        <f>IFERROR(IF(Tbla_actores[[#This Row],[codigo_proyecto]]="","",_xlfn.XLOOKUP(Tbla_actores[[#This Row],[codigo_proyecto]],Proyectos!$A:$A,Proyectos!$C:$C)),"")</f>
        <v>PROYECTO "ALTOS DE LA FLORIDA – SOACHA"</v>
      </c>
    </row>
    <row r="3022" spans="1:15">
      <c r="A3022" s="9">
        <v>1010960568</v>
      </c>
      <c r="B3022" s="63" t="s">
        <v>61</v>
      </c>
      <c r="C3022" s="62" t="s">
        <v>8516</v>
      </c>
      <c r="D3022" t="s">
        <v>63</v>
      </c>
      <c r="E3022" t="s">
        <v>9126</v>
      </c>
      <c r="F3022" s="61">
        <v>38203</v>
      </c>
      <c r="G3022" s="15" t="s">
        <v>73</v>
      </c>
      <c r="H3022" t="s">
        <v>9127</v>
      </c>
      <c r="I3022" s="62" t="s">
        <v>9128</v>
      </c>
      <c r="K3022" s="36" t="s">
        <v>68</v>
      </c>
      <c r="L3022" t="s">
        <v>69</v>
      </c>
      <c r="M3022" s="62" t="s">
        <v>70</v>
      </c>
      <c r="N3022" t="s">
        <v>8621</v>
      </c>
      <c r="O3022" t="str">
        <f>IFERROR(IF(Tbla_actores[[#This Row],[codigo_proyecto]]="","",_xlfn.XLOOKUP(Tbla_actores[[#This Row],[codigo_proyecto]],Proyectos!$A:$A,Proyectos!$C:$C)),"")</f>
        <v>Proyecto 28</v>
      </c>
    </row>
    <row r="3023" spans="1:15">
      <c r="A3023" s="10">
        <v>1006198496</v>
      </c>
      <c r="B3023" s="64" t="s">
        <v>61</v>
      </c>
      <c r="C3023" s="62" t="s">
        <v>8516</v>
      </c>
      <c r="D3023" t="s">
        <v>63</v>
      </c>
      <c r="E3023" t="s">
        <v>9129</v>
      </c>
      <c r="F3023" s="61">
        <v>37201</v>
      </c>
      <c r="G3023" s="15" t="s">
        <v>73</v>
      </c>
      <c r="H3023" t="s">
        <v>9130</v>
      </c>
      <c r="I3023" s="62" t="s">
        <v>9131</v>
      </c>
      <c r="K3023" s="36" t="s">
        <v>68</v>
      </c>
      <c r="L3023" t="s">
        <v>69</v>
      </c>
      <c r="M3023" s="62" t="s">
        <v>70</v>
      </c>
      <c r="N3023" t="s">
        <v>8571</v>
      </c>
      <c r="O3023" t="str">
        <f>IFERROR(IF(Tbla_actores[[#This Row],[codigo_proyecto]]="","",_xlfn.XLOOKUP(Tbla_actores[[#This Row],[codigo_proyecto]],Proyectos!$A:$A,Proyectos!$C:$C)),"")</f>
        <v>PROYECTO "ALTOS DE LA FLORIDA – SOACHA"</v>
      </c>
    </row>
    <row r="3024" spans="1:15">
      <c r="A3024" s="9">
        <v>1007530129</v>
      </c>
      <c r="B3024" s="63" t="s">
        <v>61</v>
      </c>
      <c r="C3024" s="62" t="s">
        <v>8516</v>
      </c>
      <c r="D3024" t="s">
        <v>63</v>
      </c>
      <c r="E3024" t="s">
        <v>9132</v>
      </c>
      <c r="F3024" s="61">
        <v>37434</v>
      </c>
      <c r="G3024" s="15" t="s">
        <v>73</v>
      </c>
      <c r="H3024" t="s">
        <v>9133</v>
      </c>
      <c r="I3024" s="62" t="s">
        <v>9134</v>
      </c>
      <c r="K3024" s="36" t="s">
        <v>68</v>
      </c>
      <c r="L3024" t="s">
        <v>69</v>
      </c>
      <c r="M3024" s="62" t="s">
        <v>70</v>
      </c>
      <c r="N3024" t="s">
        <v>8524</v>
      </c>
      <c r="O3024" t="str">
        <f>IFERROR(IF(Tbla_actores[[#This Row],[codigo_proyecto]]="","",_xlfn.XLOOKUP(Tbla_actores[[#This Row],[codigo_proyecto]],Proyectos!$A:$A,Proyectos!$C:$C)),"")</f>
        <v>CURSO BÁSICO EN CONSTRICCIÓN</v>
      </c>
    </row>
    <row r="3025" spans="1:15">
      <c r="A3025" s="10">
        <v>1014310290</v>
      </c>
      <c r="B3025" s="64" t="s">
        <v>61</v>
      </c>
      <c r="C3025" s="62" t="s">
        <v>8516</v>
      </c>
      <c r="D3025" t="s">
        <v>63</v>
      </c>
      <c r="E3025" t="s">
        <v>9135</v>
      </c>
      <c r="F3025" s="61">
        <v>36532</v>
      </c>
      <c r="G3025" s="15" t="s">
        <v>65</v>
      </c>
      <c r="H3025" t="s">
        <v>9136</v>
      </c>
      <c r="I3025" s="62" t="s">
        <v>9137</v>
      </c>
      <c r="K3025" s="36" t="s">
        <v>495</v>
      </c>
      <c r="L3025" t="s">
        <v>69</v>
      </c>
      <c r="M3025" s="62" t="s">
        <v>70</v>
      </c>
      <c r="N3025" t="s">
        <v>8579</v>
      </c>
      <c r="O3025" t="str">
        <f>IFERROR(IF(Tbla_actores[[#This Row],[codigo_proyecto]]="","",_xlfn.XLOOKUP(Tbla_actores[[#This Row],[codigo_proyecto]],Proyectos!$A:$A,Proyectos!$C:$C)),"")</f>
        <v>Reparación de Electrodomésticos BA</v>
      </c>
    </row>
    <row r="3026" spans="1:15">
      <c r="A3026" s="9">
        <v>1105361109</v>
      </c>
      <c r="B3026" s="63" t="s">
        <v>61</v>
      </c>
      <c r="C3026" s="62" t="s">
        <v>8516</v>
      </c>
      <c r="D3026" t="s">
        <v>63</v>
      </c>
      <c r="E3026" t="s">
        <v>9138</v>
      </c>
      <c r="F3026" s="61">
        <v>38166</v>
      </c>
      <c r="G3026" s="15" t="s">
        <v>65</v>
      </c>
      <c r="H3026" t="s">
        <v>9139</v>
      </c>
      <c r="I3026" s="62" t="s">
        <v>9140</v>
      </c>
      <c r="K3026" s="36" t="s">
        <v>169</v>
      </c>
      <c r="L3026" t="s">
        <v>69</v>
      </c>
      <c r="M3026" s="62" t="s">
        <v>170</v>
      </c>
      <c r="N3026" t="s">
        <v>8575</v>
      </c>
      <c r="O3026" t="str">
        <f>IFERROR(IF(Tbla_actores[[#This Row],[codigo_proyecto]]="","",_xlfn.XLOOKUP(Tbla_actores[[#This Row],[codigo_proyecto]],Proyectos!$A:$A,Proyectos!$C:$C)),"")</f>
        <v>Direccionamiento estratégico del Semillero Olympia</v>
      </c>
    </row>
    <row r="3027" spans="1:15">
      <c r="A3027" s="10">
        <v>1001300586</v>
      </c>
      <c r="B3027" s="64" t="s">
        <v>61</v>
      </c>
      <c r="C3027" s="62" t="s">
        <v>8516</v>
      </c>
      <c r="D3027" t="s">
        <v>63</v>
      </c>
      <c r="E3027" t="s">
        <v>9141</v>
      </c>
      <c r="F3027" s="61">
        <v>37917</v>
      </c>
      <c r="G3027" s="15" t="s">
        <v>65</v>
      </c>
      <c r="H3027" t="s">
        <v>9142</v>
      </c>
      <c r="I3027" s="62" t="s">
        <v>9143</v>
      </c>
      <c r="K3027" s="36" t="s">
        <v>169</v>
      </c>
      <c r="L3027" t="s">
        <v>69</v>
      </c>
      <c r="M3027" s="62" t="s">
        <v>170</v>
      </c>
      <c r="N3027" t="s">
        <v>8599</v>
      </c>
      <c r="O3027" t="str">
        <f>IFERROR(IF(Tbla_actores[[#This Row],[codigo_proyecto]]="","",_xlfn.XLOOKUP(Tbla_actores[[#This Row],[codigo_proyecto]],Proyectos!$A:$A,Proyectos!$C:$C)),"")</f>
        <v>Posicionamiento de la Biósfera en los procesos académicos del Colegio San Cayetano</v>
      </c>
    </row>
    <row r="3028" spans="1:15">
      <c r="A3028" s="9">
        <v>1014859112</v>
      </c>
      <c r="B3028" s="63" t="s">
        <v>61</v>
      </c>
      <c r="C3028" s="62" t="s">
        <v>8516</v>
      </c>
      <c r="D3028" t="s">
        <v>63</v>
      </c>
      <c r="E3028" t="s">
        <v>9144</v>
      </c>
      <c r="F3028" s="61">
        <v>38549</v>
      </c>
      <c r="G3028" s="15" t="s">
        <v>65</v>
      </c>
      <c r="H3028" t="s">
        <v>9145</v>
      </c>
      <c r="I3028" s="62" t="s">
        <v>9146</v>
      </c>
      <c r="K3028" s="36" t="s">
        <v>169</v>
      </c>
      <c r="L3028" t="s">
        <v>69</v>
      </c>
      <c r="M3028" s="62" t="s">
        <v>170</v>
      </c>
      <c r="N3028" t="s">
        <v>8603</v>
      </c>
      <c r="O3028" t="str">
        <f>IFERROR(IF(Tbla_actores[[#This Row],[codigo_proyecto]]="","",_xlfn.XLOOKUP(Tbla_actores[[#This Row],[codigo_proyecto]],Proyectos!$A:$A,Proyectos!$C:$C)),"")</f>
        <v>Estrategias para lograr equilibrio económico</v>
      </c>
    </row>
    <row r="3029" spans="1:15">
      <c r="A3029" s="10">
        <v>1006147478</v>
      </c>
      <c r="B3029" s="64" t="s">
        <v>61</v>
      </c>
      <c r="C3029" s="62" t="s">
        <v>8516</v>
      </c>
      <c r="D3029" t="s">
        <v>63</v>
      </c>
      <c r="E3029" t="s">
        <v>9147</v>
      </c>
      <c r="F3029" s="61">
        <v>37157</v>
      </c>
      <c r="G3029" s="15" t="s">
        <v>65</v>
      </c>
      <c r="H3029" t="s">
        <v>9148</v>
      </c>
      <c r="I3029" s="62" t="s">
        <v>9149</v>
      </c>
      <c r="K3029" s="36" t="s">
        <v>169</v>
      </c>
      <c r="L3029" t="s">
        <v>69</v>
      </c>
      <c r="M3029" s="62" t="s">
        <v>70</v>
      </c>
      <c r="N3029" t="s">
        <v>8524</v>
      </c>
      <c r="O3029" t="str">
        <f>IFERROR(IF(Tbla_actores[[#This Row],[codigo_proyecto]]="","",_xlfn.XLOOKUP(Tbla_actores[[#This Row],[codigo_proyecto]],Proyectos!$A:$A,Proyectos!$C:$C)),"")</f>
        <v>CURSO BÁSICO EN CONSTRICCIÓN</v>
      </c>
    </row>
    <row r="3030" spans="1:15">
      <c r="A3030" s="9">
        <v>1001188587</v>
      </c>
      <c r="B3030" s="63" t="s">
        <v>61</v>
      </c>
      <c r="C3030" s="62" t="s">
        <v>8516</v>
      </c>
      <c r="D3030" t="s">
        <v>63</v>
      </c>
      <c r="E3030" t="s">
        <v>9150</v>
      </c>
      <c r="F3030" s="61">
        <v>37022</v>
      </c>
      <c r="G3030" s="15" t="s">
        <v>73</v>
      </c>
      <c r="H3030" t="s">
        <v>9151</v>
      </c>
      <c r="I3030" s="62" t="s">
        <v>9152</v>
      </c>
      <c r="K3030" s="36" t="s">
        <v>169</v>
      </c>
      <c r="L3030" t="s">
        <v>69</v>
      </c>
      <c r="M3030" s="62" t="s">
        <v>170</v>
      </c>
      <c r="N3030" t="s">
        <v>9056</v>
      </c>
      <c r="O3030">
        <f>IFERROR(IF(Tbla_actores[[#This Row],[codigo_proyecto]]="","",_xlfn.XLOOKUP(Tbla_actores[[#This Row],[codigo_proyecto]],Proyectos!$A:$A,Proyectos!$C:$C)),"")</f>
        <v>0</v>
      </c>
    </row>
    <row r="3031" spans="1:15">
      <c r="A3031" s="10">
        <v>1001192236</v>
      </c>
      <c r="B3031" s="64" t="s">
        <v>61</v>
      </c>
      <c r="C3031" s="62" t="s">
        <v>8516</v>
      </c>
      <c r="D3031" t="s">
        <v>63</v>
      </c>
      <c r="E3031" t="s">
        <v>9153</v>
      </c>
      <c r="F3031" s="61">
        <v>37740</v>
      </c>
      <c r="G3031" s="15" t="s">
        <v>73</v>
      </c>
      <c r="H3031" t="s">
        <v>9154</v>
      </c>
      <c r="I3031" s="62" t="s">
        <v>9155</v>
      </c>
      <c r="K3031" s="36" t="s">
        <v>169</v>
      </c>
      <c r="L3031" t="s">
        <v>69</v>
      </c>
      <c r="M3031" s="62" t="s">
        <v>170</v>
      </c>
      <c r="N3031" t="s">
        <v>8757</v>
      </c>
      <c r="O3031" t="str">
        <f>IFERROR(IF(Tbla_actores[[#This Row],[codigo_proyecto]]="","",_xlfn.XLOOKUP(Tbla_actores[[#This Row],[codigo_proyecto]],Proyectos!$A:$A,Proyectos!$C:$C)),"")</f>
        <v>CAPACITACION EMPRENDIMIENTO</v>
      </c>
    </row>
    <row r="3032" spans="1:15">
      <c r="A3032" s="9">
        <v>1014856686</v>
      </c>
      <c r="B3032" s="63" t="s">
        <v>61</v>
      </c>
      <c r="C3032" s="62" t="s">
        <v>8516</v>
      </c>
      <c r="D3032" t="s">
        <v>63</v>
      </c>
      <c r="E3032" t="s">
        <v>9156</v>
      </c>
      <c r="F3032" s="61">
        <v>38114</v>
      </c>
      <c r="G3032" s="15" t="s">
        <v>73</v>
      </c>
      <c r="H3032" t="s">
        <v>9157</v>
      </c>
      <c r="I3032" s="62" t="s">
        <v>9158</v>
      </c>
      <c r="K3032" s="36" t="s">
        <v>169</v>
      </c>
      <c r="L3032" t="s">
        <v>69</v>
      </c>
      <c r="M3032" s="62" t="s">
        <v>170</v>
      </c>
      <c r="N3032" t="s">
        <v>8757</v>
      </c>
      <c r="O3032" t="str">
        <f>IFERROR(IF(Tbla_actores[[#This Row],[codigo_proyecto]]="","",_xlfn.XLOOKUP(Tbla_actores[[#This Row],[codigo_proyecto]],Proyectos!$A:$A,Proyectos!$C:$C)),"")</f>
        <v>CAPACITACION EMPRENDIMIENTO</v>
      </c>
    </row>
    <row r="3033" spans="1:15">
      <c r="A3033" s="10">
        <v>1000796455</v>
      </c>
      <c r="B3033" s="64" t="s">
        <v>61</v>
      </c>
      <c r="C3033" s="62" t="s">
        <v>8516</v>
      </c>
      <c r="D3033" t="s">
        <v>63</v>
      </c>
      <c r="E3033" t="s">
        <v>9159</v>
      </c>
      <c r="F3033" s="61">
        <v>37055</v>
      </c>
      <c r="G3033" s="15" t="s">
        <v>73</v>
      </c>
      <c r="H3033" t="s">
        <v>9160</v>
      </c>
      <c r="I3033" s="62" t="s">
        <v>9161</v>
      </c>
      <c r="K3033" s="36" t="s">
        <v>68</v>
      </c>
      <c r="L3033" t="s">
        <v>69</v>
      </c>
      <c r="M3033" s="62" t="s">
        <v>170</v>
      </c>
      <c r="N3033" t="s">
        <v>8996</v>
      </c>
      <c r="O3033" t="str">
        <f>IFERROR(IF(Tbla_actores[[#This Row],[codigo_proyecto]]="","",_xlfn.XLOOKUP(Tbla_actores[[#This Row],[codigo_proyecto]],Proyectos!$A:$A,Proyectos!$C:$C)),"")</f>
        <v>Manual de Funciones para el Colegio</v>
      </c>
    </row>
    <row r="3034" spans="1:15">
      <c r="A3034" s="9">
        <v>1027400547</v>
      </c>
      <c r="B3034" s="63" t="s">
        <v>61</v>
      </c>
      <c r="C3034" s="62" t="s">
        <v>8516</v>
      </c>
      <c r="D3034" t="s">
        <v>63</v>
      </c>
      <c r="E3034" t="s">
        <v>9162</v>
      </c>
      <c r="F3034" s="61">
        <v>38245</v>
      </c>
      <c r="G3034" s="15" t="s">
        <v>65</v>
      </c>
      <c r="H3034" t="s">
        <v>9163</v>
      </c>
      <c r="I3034" s="62" t="s">
        <v>9164</v>
      </c>
      <c r="K3034" s="36" t="s">
        <v>68</v>
      </c>
      <c r="L3034" t="s">
        <v>69</v>
      </c>
      <c r="M3034" s="62" t="s">
        <v>170</v>
      </c>
      <c r="N3034" t="s">
        <v>8603</v>
      </c>
      <c r="O3034" t="str">
        <f>IFERROR(IF(Tbla_actores[[#This Row],[codigo_proyecto]]="","",_xlfn.XLOOKUP(Tbla_actores[[#This Row],[codigo_proyecto]],Proyectos!$A:$A,Proyectos!$C:$C)),"")</f>
        <v>Estrategias para lograr equilibrio económico</v>
      </c>
    </row>
    <row r="3035" spans="1:15">
      <c r="A3035" s="10">
        <v>1032876261</v>
      </c>
      <c r="B3035" s="64" t="s">
        <v>61</v>
      </c>
      <c r="C3035" s="62" t="s">
        <v>8516</v>
      </c>
      <c r="D3035" t="s">
        <v>63</v>
      </c>
      <c r="E3035" t="s">
        <v>9165</v>
      </c>
      <c r="F3035" s="61">
        <v>38125</v>
      </c>
      <c r="G3035" s="15" t="s">
        <v>65</v>
      </c>
      <c r="H3035" t="s">
        <v>9166</v>
      </c>
      <c r="I3035" s="62" t="s">
        <v>9167</v>
      </c>
      <c r="K3035" s="36" t="s">
        <v>68</v>
      </c>
      <c r="L3035" t="s">
        <v>69</v>
      </c>
      <c r="M3035" s="62" t="s">
        <v>70</v>
      </c>
      <c r="N3035" t="s">
        <v>8579</v>
      </c>
      <c r="O3035" t="str">
        <f>IFERROR(IF(Tbla_actores[[#This Row],[codigo_proyecto]]="","",_xlfn.XLOOKUP(Tbla_actores[[#This Row],[codigo_proyecto]],Proyectos!$A:$A,Proyectos!$C:$C)),"")</f>
        <v>Reparación de Electrodomésticos BA</v>
      </c>
    </row>
    <row r="3036" spans="1:15">
      <c r="A3036" s="9">
        <v>1105362844</v>
      </c>
      <c r="B3036" s="63" t="s">
        <v>61</v>
      </c>
      <c r="C3036" s="62" t="s">
        <v>8516</v>
      </c>
      <c r="D3036" t="s">
        <v>63</v>
      </c>
      <c r="E3036" t="s">
        <v>9168</v>
      </c>
      <c r="F3036" s="61">
        <v>38367</v>
      </c>
      <c r="G3036" s="15" t="s">
        <v>65</v>
      </c>
      <c r="H3036" t="s">
        <v>9169</v>
      </c>
      <c r="I3036" s="62" t="s">
        <v>9170</v>
      </c>
      <c r="K3036" s="36" t="s">
        <v>68</v>
      </c>
      <c r="L3036" t="s">
        <v>69</v>
      </c>
      <c r="M3036" s="62" t="s">
        <v>170</v>
      </c>
      <c r="N3036" t="s">
        <v>8996</v>
      </c>
      <c r="O3036" t="str">
        <f>IFERROR(IF(Tbla_actores[[#This Row],[codigo_proyecto]]="","",_xlfn.XLOOKUP(Tbla_actores[[#This Row],[codigo_proyecto]],Proyectos!$A:$A,Proyectos!$C:$C)),"")</f>
        <v>Manual de Funciones para el Colegio</v>
      </c>
    </row>
    <row r="3037" spans="1:15">
      <c r="A3037" s="10">
        <v>1000035826</v>
      </c>
      <c r="B3037" s="64" t="s">
        <v>61</v>
      </c>
      <c r="C3037" s="62" t="s">
        <v>8516</v>
      </c>
      <c r="D3037" t="s">
        <v>63</v>
      </c>
      <c r="E3037" t="s">
        <v>9171</v>
      </c>
      <c r="F3037" s="61">
        <v>37770</v>
      </c>
      <c r="G3037" s="15" t="s">
        <v>65</v>
      </c>
      <c r="H3037" t="s">
        <v>9172</v>
      </c>
      <c r="I3037" s="62" t="s">
        <v>9173</v>
      </c>
      <c r="K3037" s="36" t="s">
        <v>68</v>
      </c>
      <c r="L3037" t="s">
        <v>69</v>
      </c>
      <c r="M3037" s="62" t="s">
        <v>170</v>
      </c>
      <c r="N3037" t="s">
        <v>9106</v>
      </c>
      <c r="O3037" t="str">
        <f>IFERROR(IF(Tbla_actores[[#This Row],[codigo_proyecto]]="","",_xlfn.XLOOKUP(Tbla_actores[[#This Row],[codigo_proyecto]],Proyectos!$A:$A,Proyectos!$C:$C)),"")</f>
        <v>PROPUESTA DE ANALISIS COMERCIAL Y FINANCIERO</v>
      </c>
    </row>
    <row r="3038" spans="1:15">
      <c r="A3038" s="9">
        <v>1000269481</v>
      </c>
      <c r="B3038" s="63" t="s">
        <v>61</v>
      </c>
      <c r="C3038" s="62" t="s">
        <v>8516</v>
      </c>
      <c r="D3038" t="s">
        <v>63</v>
      </c>
      <c r="E3038" t="s">
        <v>9174</v>
      </c>
      <c r="F3038" s="61">
        <v>36685</v>
      </c>
      <c r="G3038" s="15" t="s">
        <v>65</v>
      </c>
      <c r="H3038" t="s">
        <v>9175</v>
      </c>
      <c r="I3038" s="62" t="s">
        <v>9176</v>
      </c>
      <c r="K3038" s="36" t="s">
        <v>68</v>
      </c>
      <c r="L3038" t="s">
        <v>69</v>
      </c>
      <c r="M3038" s="62" t="s">
        <v>170</v>
      </c>
      <c r="N3038" t="s">
        <v>8919</v>
      </c>
      <c r="O3038" t="str">
        <f>IFERROR(IF(Tbla_actores[[#This Row],[codigo_proyecto]]="","",_xlfn.XLOOKUP(Tbla_actores[[#This Row],[codigo_proyecto]],Proyectos!$A:$A,Proyectos!$C:$C)),"")</f>
        <v>Revisión y ajuste de procesos proyecto estudiar para construir</v>
      </c>
    </row>
    <row r="3039" spans="1:15">
      <c r="A3039" s="10">
        <v>1010961264</v>
      </c>
      <c r="B3039" s="64" t="s">
        <v>61</v>
      </c>
      <c r="C3039" s="62" t="s">
        <v>9177</v>
      </c>
      <c r="D3039" t="s">
        <v>63</v>
      </c>
      <c r="E3039" t="s">
        <v>9178</v>
      </c>
      <c r="F3039" s="61">
        <v>38407</v>
      </c>
      <c r="G3039" s="15" t="s">
        <v>73</v>
      </c>
      <c r="H3039" t="s">
        <v>9179</v>
      </c>
      <c r="I3039" s="62" t="s">
        <v>9180</v>
      </c>
      <c r="K3039" s="36" t="s">
        <v>68</v>
      </c>
      <c r="L3039" t="s">
        <v>69</v>
      </c>
      <c r="M3039" s="62" t="s">
        <v>70</v>
      </c>
      <c r="N3039" t="s">
        <v>9181</v>
      </c>
      <c r="O3039" t="str">
        <f>IFERROR(IF(Tbla_actores[[#This Row],[codigo_proyecto]]="","",_xlfn.XLOOKUP(Tbla_actores[[#This Row],[codigo_proyecto]],Proyectos!$A:$A,Proyectos!$C:$C)),"")</f>
        <v>Proyecto 1</v>
      </c>
    </row>
    <row r="3040" spans="1:15">
      <c r="A3040" s="9">
        <v>1034516489</v>
      </c>
      <c r="B3040" s="63" t="s">
        <v>61</v>
      </c>
      <c r="C3040" s="62" t="s">
        <v>9177</v>
      </c>
      <c r="D3040" t="s">
        <v>63</v>
      </c>
      <c r="E3040" t="s">
        <v>9182</v>
      </c>
      <c r="F3040" s="61">
        <v>38275</v>
      </c>
      <c r="G3040" s="15" t="s">
        <v>65</v>
      </c>
      <c r="H3040" t="s">
        <v>9183</v>
      </c>
      <c r="I3040" s="62" t="s">
        <v>9184</v>
      </c>
      <c r="K3040" s="36" t="s">
        <v>68</v>
      </c>
      <c r="L3040" t="s">
        <v>69</v>
      </c>
      <c r="M3040" s="62" t="s">
        <v>70</v>
      </c>
      <c r="N3040" t="s">
        <v>9181</v>
      </c>
      <c r="O3040" t="str">
        <f>IFERROR(IF(Tbla_actores[[#This Row],[codigo_proyecto]]="","",_xlfn.XLOOKUP(Tbla_actores[[#This Row],[codigo_proyecto]],Proyectos!$A:$A,Proyectos!$C:$C)),"")</f>
        <v>Proyecto 1</v>
      </c>
    </row>
    <row r="3041" spans="1:15">
      <c r="A3041" s="10">
        <v>1000149411</v>
      </c>
      <c r="B3041" s="64" t="s">
        <v>61</v>
      </c>
      <c r="C3041" s="62" t="s">
        <v>9177</v>
      </c>
      <c r="D3041" t="s">
        <v>63</v>
      </c>
      <c r="E3041" t="s">
        <v>9185</v>
      </c>
      <c r="F3041" s="61">
        <v>37658</v>
      </c>
      <c r="G3041" s="15" t="s">
        <v>73</v>
      </c>
      <c r="H3041" t="s">
        <v>9186</v>
      </c>
      <c r="I3041" s="62" t="s">
        <v>9187</v>
      </c>
      <c r="K3041" s="36" t="s">
        <v>169</v>
      </c>
      <c r="L3041" t="s">
        <v>69</v>
      </c>
      <c r="M3041" s="62" t="s">
        <v>170</v>
      </c>
      <c r="N3041" t="s">
        <v>9188</v>
      </c>
      <c r="O3041" t="str">
        <f>IFERROR(IF(Tbla_actores[[#This Row],[codigo_proyecto]]="","",_xlfn.XLOOKUP(Tbla_actores[[#This Row],[codigo_proyecto]],Proyectos!$A:$A,Proyectos!$C:$C)),"")</f>
        <v>PROPUESTA DE GESTION Y ANALISIS ESTRATEGICO</v>
      </c>
    </row>
    <row r="3042" spans="1:15">
      <c r="A3042" s="9">
        <v>1007557800</v>
      </c>
      <c r="B3042" s="63" t="s">
        <v>61</v>
      </c>
      <c r="C3042" s="62" t="s">
        <v>9177</v>
      </c>
      <c r="D3042" t="s">
        <v>63</v>
      </c>
      <c r="E3042" t="s">
        <v>9189</v>
      </c>
      <c r="F3042" s="61">
        <v>37453</v>
      </c>
      <c r="G3042" s="15" t="s">
        <v>73</v>
      </c>
      <c r="H3042" t="s">
        <v>9190</v>
      </c>
      <c r="I3042" s="62" t="s">
        <v>9191</v>
      </c>
      <c r="K3042" s="36" t="s">
        <v>169</v>
      </c>
      <c r="L3042" t="s">
        <v>69</v>
      </c>
      <c r="M3042" s="62" t="s">
        <v>170</v>
      </c>
      <c r="N3042" t="s">
        <v>9188</v>
      </c>
      <c r="O3042" t="str">
        <f>IFERROR(IF(Tbla_actores[[#This Row],[codigo_proyecto]]="","",_xlfn.XLOOKUP(Tbla_actores[[#This Row],[codigo_proyecto]],Proyectos!$A:$A,Proyectos!$C:$C)),"")</f>
        <v>PROPUESTA DE GESTION Y ANALISIS ESTRATEGICO</v>
      </c>
    </row>
    <row r="3043" spans="1:15">
      <c r="A3043" s="10">
        <v>1000503044</v>
      </c>
      <c r="B3043" s="64" t="s">
        <v>61</v>
      </c>
      <c r="C3043" s="62" t="s">
        <v>9177</v>
      </c>
      <c r="D3043" t="s">
        <v>63</v>
      </c>
      <c r="E3043" t="s">
        <v>9192</v>
      </c>
      <c r="F3043" s="61">
        <v>37749</v>
      </c>
      <c r="G3043" s="15" t="s">
        <v>73</v>
      </c>
      <c r="H3043" t="s">
        <v>9193</v>
      </c>
      <c r="I3043" s="62" t="s">
        <v>9194</v>
      </c>
      <c r="K3043" s="36" t="s">
        <v>169</v>
      </c>
      <c r="L3043" t="s">
        <v>69</v>
      </c>
      <c r="M3043" s="62" t="s">
        <v>170</v>
      </c>
      <c r="N3043" t="s">
        <v>9188</v>
      </c>
      <c r="O3043" t="str">
        <f>IFERROR(IF(Tbla_actores[[#This Row],[codigo_proyecto]]="","",_xlfn.XLOOKUP(Tbla_actores[[#This Row],[codigo_proyecto]],Proyectos!$A:$A,Proyectos!$C:$C)),"")</f>
        <v>PROPUESTA DE GESTION Y ANALISIS ESTRATEGICO</v>
      </c>
    </row>
    <row r="3044" spans="1:15">
      <c r="A3044" s="9">
        <v>1014860002</v>
      </c>
      <c r="B3044" s="63" t="s">
        <v>61</v>
      </c>
      <c r="C3044" s="62" t="s">
        <v>9177</v>
      </c>
      <c r="D3044" t="s">
        <v>63</v>
      </c>
      <c r="E3044" t="s">
        <v>9195</v>
      </c>
      <c r="F3044" s="61">
        <v>38635</v>
      </c>
      <c r="G3044" s="15" t="s">
        <v>73</v>
      </c>
      <c r="H3044" t="s">
        <v>9196</v>
      </c>
      <c r="I3044" s="62" t="s">
        <v>9197</v>
      </c>
      <c r="K3044" s="36" t="s">
        <v>169</v>
      </c>
      <c r="L3044" t="s">
        <v>69</v>
      </c>
      <c r="M3044" s="62" t="s">
        <v>170</v>
      </c>
      <c r="N3044" t="s">
        <v>9188</v>
      </c>
      <c r="O3044" t="str">
        <f>IFERROR(IF(Tbla_actores[[#This Row],[codigo_proyecto]]="","",_xlfn.XLOOKUP(Tbla_actores[[#This Row],[codigo_proyecto]],Proyectos!$A:$A,Proyectos!$C:$C)),"")</f>
        <v>PROPUESTA DE GESTION Y ANALISIS ESTRATEGICO</v>
      </c>
    </row>
    <row r="3045" spans="1:15">
      <c r="A3045" s="10">
        <v>1014859732</v>
      </c>
      <c r="B3045" s="64" t="s">
        <v>61</v>
      </c>
      <c r="C3045" s="62" t="s">
        <v>9177</v>
      </c>
      <c r="D3045" t="s">
        <v>63</v>
      </c>
      <c r="E3045" t="s">
        <v>9198</v>
      </c>
      <c r="F3045" s="61">
        <v>38611</v>
      </c>
      <c r="G3045" s="15" t="s">
        <v>65</v>
      </c>
      <c r="H3045" t="s">
        <v>9199</v>
      </c>
      <c r="I3045" s="62" t="s">
        <v>9200</v>
      </c>
      <c r="K3045" s="36" t="s">
        <v>169</v>
      </c>
      <c r="L3045" t="s">
        <v>69</v>
      </c>
      <c r="M3045" s="62" t="s">
        <v>170</v>
      </c>
      <c r="N3045" t="s">
        <v>9188</v>
      </c>
      <c r="O3045" t="str">
        <f>IFERROR(IF(Tbla_actores[[#This Row],[codigo_proyecto]]="","",_xlfn.XLOOKUP(Tbla_actores[[#This Row],[codigo_proyecto]],Proyectos!$A:$A,Proyectos!$C:$C)),"")</f>
        <v>PROPUESTA DE GESTION Y ANALISIS ESTRATEGICO</v>
      </c>
    </row>
    <row r="3046" spans="1:15">
      <c r="A3046" s="9">
        <v>1028860861</v>
      </c>
      <c r="B3046" s="63" t="s">
        <v>61</v>
      </c>
      <c r="C3046" s="62" t="s">
        <v>9177</v>
      </c>
      <c r="D3046" t="s">
        <v>63</v>
      </c>
      <c r="E3046" t="s">
        <v>9201</v>
      </c>
      <c r="F3046" s="61">
        <v>38680</v>
      </c>
      <c r="G3046" s="15" t="s">
        <v>65</v>
      </c>
      <c r="H3046" t="s">
        <v>9202</v>
      </c>
      <c r="I3046" s="62" t="s">
        <v>9203</v>
      </c>
      <c r="K3046" s="36" t="s">
        <v>169</v>
      </c>
      <c r="L3046" t="s">
        <v>69</v>
      </c>
      <c r="M3046" s="62" t="s">
        <v>170</v>
      </c>
      <c r="N3046" t="s">
        <v>9188</v>
      </c>
      <c r="O3046" t="str">
        <f>IFERROR(IF(Tbla_actores[[#This Row],[codigo_proyecto]]="","",_xlfn.XLOOKUP(Tbla_actores[[#This Row],[codigo_proyecto]],Proyectos!$A:$A,Proyectos!$C:$C)),"")</f>
        <v>PROPUESTA DE GESTION Y ANALISIS ESTRATEGICO</v>
      </c>
    </row>
    <row r="3047" spans="1:15">
      <c r="A3047" s="10">
        <v>1234790156</v>
      </c>
      <c r="B3047" s="64" t="s">
        <v>61</v>
      </c>
      <c r="C3047" s="62" t="s">
        <v>9177</v>
      </c>
      <c r="D3047" t="s">
        <v>63</v>
      </c>
      <c r="E3047" t="s">
        <v>9204</v>
      </c>
      <c r="F3047" s="61">
        <v>35982</v>
      </c>
      <c r="G3047" s="15" t="s">
        <v>73</v>
      </c>
      <c r="H3047" t="s">
        <v>9205</v>
      </c>
      <c r="I3047" s="62" t="s">
        <v>9206</v>
      </c>
      <c r="K3047" s="36" t="s">
        <v>1489</v>
      </c>
      <c r="L3047" t="s">
        <v>69</v>
      </c>
      <c r="M3047" s="62" t="s">
        <v>70</v>
      </c>
      <c r="N3047" t="s">
        <v>9207</v>
      </c>
      <c r="O3047" t="str">
        <f>IFERROR(IF(Tbla_actores[[#This Row],[codigo_proyecto]]="","",_xlfn.XLOOKUP(Tbla_actores[[#This Row],[codigo_proyecto]],Proyectos!$A:$A,Proyectos!$C:$C)),"")</f>
        <v>Sistema Antiescape en dispositivos de cuidado residencial</v>
      </c>
    </row>
    <row r="3048" spans="1:15">
      <c r="A3048" s="9">
        <v>1091964839</v>
      </c>
      <c r="B3048" s="63" t="s">
        <v>61</v>
      </c>
      <c r="C3048" s="62" t="s">
        <v>9177</v>
      </c>
      <c r="D3048" t="s">
        <v>63</v>
      </c>
      <c r="E3048" t="s">
        <v>9208</v>
      </c>
      <c r="F3048" s="61">
        <v>38084</v>
      </c>
      <c r="G3048" s="15" t="s">
        <v>73</v>
      </c>
      <c r="H3048" t="s">
        <v>9209</v>
      </c>
      <c r="I3048" s="62" t="s">
        <v>9210</v>
      </c>
      <c r="K3048" s="36" t="s">
        <v>1489</v>
      </c>
      <c r="L3048" t="s">
        <v>69</v>
      </c>
      <c r="M3048" s="62" t="s">
        <v>70</v>
      </c>
      <c r="N3048" t="s">
        <v>9207</v>
      </c>
      <c r="O3048" t="str">
        <f>IFERROR(IF(Tbla_actores[[#This Row],[codigo_proyecto]]="","",_xlfn.XLOOKUP(Tbla_actores[[#This Row],[codigo_proyecto]],Proyectos!$A:$A,Proyectos!$C:$C)),"")</f>
        <v>Sistema Antiescape en dispositivos de cuidado residencial</v>
      </c>
    </row>
    <row r="3049" spans="1:15">
      <c r="A3049" s="10">
        <v>1051066172</v>
      </c>
      <c r="B3049" s="64" t="s">
        <v>61</v>
      </c>
      <c r="C3049" s="62" t="s">
        <v>9177</v>
      </c>
      <c r="D3049" t="s">
        <v>63</v>
      </c>
      <c r="E3049" t="s">
        <v>9211</v>
      </c>
      <c r="F3049" s="61">
        <v>38477</v>
      </c>
      <c r="G3049" s="15" t="s">
        <v>65</v>
      </c>
      <c r="H3049" t="s">
        <v>9212</v>
      </c>
      <c r="I3049" s="62" t="s">
        <v>9213</v>
      </c>
      <c r="K3049" s="36" t="s">
        <v>7671</v>
      </c>
      <c r="L3049" t="s">
        <v>69</v>
      </c>
      <c r="M3049" s="62" t="s">
        <v>70</v>
      </c>
      <c r="N3049" t="s">
        <v>9207</v>
      </c>
      <c r="O3049" t="str">
        <f>IFERROR(IF(Tbla_actores[[#This Row],[codigo_proyecto]]="","",_xlfn.XLOOKUP(Tbla_actores[[#This Row],[codigo_proyecto]],Proyectos!$A:$A,Proyectos!$C:$C)),"")</f>
        <v>Sistema Antiescape en dispositivos de cuidado residencial</v>
      </c>
    </row>
    <row r="3050" spans="1:15">
      <c r="A3050" s="9">
        <v>1104934103</v>
      </c>
      <c r="B3050" s="63" t="s">
        <v>61</v>
      </c>
      <c r="C3050" s="62" t="s">
        <v>9177</v>
      </c>
      <c r="D3050" t="s">
        <v>63</v>
      </c>
      <c r="E3050" t="s">
        <v>9214</v>
      </c>
      <c r="F3050" s="61">
        <v>37948</v>
      </c>
      <c r="G3050" s="15" t="s">
        <v>65</v>
      </c>
      <c r="H3050" t="s">
        <v>9215</v>
      </c>
      <c r="I3050" s="62" t="s">
        <v>9216</v>
      </c>
      <c r="K3050" s="36" t="s">
        <v>7671</v>
      </c>
      <c r="L3050" t="s">
        <v>69</v>
      </c>
      <c r="M3050" s="62" t="s">
        <v>70</v>
      </c>
      <c r="N3050" t="s">
        <v>9207</v>
      </c>
      <c r="O3050" t="str">
        <f>IFERROR(IF(Tbla_actores[[#This Row],[codigo_proyecto]]="","",_xlfn.XLOOKUP(Tbla_actores[[#This Row],[codigo_proyecto]],Proyectos!$A:$A,Proyectos!$C:$C)),"")</f>
        <v>Sistema Antiescape en dispositivos de cuidado residencial</v>
      </c>
    </row>
    <row r="3051" spans="1:15">
      <c r="A3051" s="10">
        <v>1015481042</v>
      </c>
      <c r="B3051" s="64" t="s">
        <v>61</v>
      </c>
      <c r="C3051" s="62" t="s">
        <v>9177</v>
      </c>
      <c r="D3051" t="s">
        <v>63</v>
      </c>
      <c r="E3051" t="s">
        <v>9217</v>
      </c>
      <c r="F3051" s="61">
        <v>36232</v>
      </c>
      <c r="G3051" s="15" t="s">
        <v>65</v>
      </c>
      <c r="H3051" t="s">
        <v>9218</v>
      </c>
      <c r="I3051" s="62" t="s">
        <v>9219</v>
      </c>
      <c r="K3051" s="36" t="s">
        <v>495</v>
      </c>
      <c r="L3051" t="s">
        <v>69</v>
      </c>
      <c r="M3051" s="62" t="s">
        <v>70</v>
      </c>
      <c r="N3051" t="s">
        <v>9220</v>
      </c>
      <c r="O3051" t="str">
        <f>IFERROR(IF(Tbla_actores[[#This Row],[codigo_proyecto]]="","",_xlfn.XLOOKUP(Tbla_actores[[#This Row],[codigo_proyecto]],Proyectos!$A:$A,Proyectos!$C:$C)),"")</f>
        <v>PROYECTO
“CAPACITACIÓN EN CONSTRUCCIÓN-CAMACOL”</v>
      </c>
    </row>
    <row r="3052" spans="1:15">
      <c r="A3052" s="9">
        <v>1001296367</v>
      </c>
      <c r="B3052" s="63" t="s">
        <v>61</v>
      </c>
      <c r="C3052" s="62" t="s">
        <v>9177</v>
      </c>
      <c r="D3052" t="s">
        <v>63</v>
      </c>
      <c r="E3052" t="s">
        <v>9221</v>
      </c>
      <c r="F3052" s="61">
        <v>37916</v>
      </c>
      <c r="G3052" s="15" t="s">
        <v>73</v>
      </c>
      <c r="H3052" t="s">
        <v>9222</v>
      </c>
      <c r="I3052" s="62" t="s">
        <v>9223</v>
      </c>
      <c r="K3052" s="36" t="s">
        <v>495</v>
      </c>
      <c r="L3052" t="s">
        <v>69</v>
      </c>
      <c r="M3052" s="62" t="s">
        <v>70</v>
      </c>
      <c r="N3052" t="s">
        <v>9224</v>
      </c>
      <c r="O3052" t="str">
        <f>IFERROR(IF(Tbla_actores[[#This Row],[codigo_proyecto]]="","",_xlfn.XLOOKUP(Tbla_actores[[#This Row],[codigo_proyecto]],Proyectos!$A:$A,Proyectos!$C:$C)),"")</f>
        <v>Desarrollo del plan de gestión integral del recurso hídrico para la ZRC de Venecia (Cundinamarca)</v>
      </c>
    </row>
    <row r="3053" spans="1:15">
      <c r="A3053" s="10">
        <v>1021395505</v>
      </c>
      <c r="B3053" s="64" t="s">
        <v>61</v>
      </c>
      <c r="C3053" s="62" t="s">
        <v>9177</v>
      </c>
      <c r="D3053" t="s">
        <v>63</v>
      </c>
      <c r="E3053" t="s">
        <v>9225</v>
      </c>
      <c r="F3053" s="61">
        <v>38636</v>
      </c>
      <c r="G3053" s="15" t="s">
        <v>73</v>
      </c>
      <c r="H3053" t="s">
        <v>9226</v>
      </c>
      <c r="I3053" s="62" t="s">
        <v>9227</v>
      </c>
      <c r="K3053" s="36" t="s">
        <v>169</v>
      </c>
      <c r="L3053" t="s">
        <v>69</v>
      </c>
      <c r="M3053" s="62" t="s">
        <v>170</v>
      </c>
      <c r="N3053" t="s">
        <v>9228</v>
      </c>
      <c r="O3053" t="str">
        <f>IFERROR(IF(Tbla_actores[[#This Row],[codigo_proyecto]]="","",_xlfn.XLOOKUP(Tbla_actores[[#This Row],[codigo_proyecto]],Proyectos!$A:$A,Proyectos!$C:$C)),"")</f>
        <v>Asesoría en proyecto productivo en las veredas altas del Municipio de Venecia, Cundinamarca</v>
      </c>
    </row>
    <row r="3054" spans="1:15">
      <c r="A3054" s="9">
        <v>1014182213</v>
      </c>
      <c r="B3054" s="63" t="s">
        <v>61</v>
      </c>
      <c r="C3054" s="62" t="s">
        <v>9177</v>
      </c>
      <c r="D3054" t="s">
        <v>63</v>
      </c>
      <c r="E3054" t="s">
        <v>9229</v>
      </c>
      <c r="F3054" s="61">
        <v>38360</v>
      </c>
      <c r="G3054" s="15" t="s">
        <v>65</v>
      </c>
      <c r="H3054" t="s">
        <v>9230</v>
      </c>
      <c r="I3054" s="62" t="s">
        <v>9231</v>
      </c>
      <c r="K3054" s="36" t="s">
        <v>169</v>
      </c>
      <c r="L3054" t="s">
        <v>69</v>
      </c>
      <c r="M3054" s="62" t="s">
        <v>170</v>
      </c>
      <c r="N3054" t="s">
        <v>9228</v>
      </c>
      <c r="O3054" t="str">
        <f>IFERROR(IF(Tbla_actores[[#This Row],[codigo_proyecto]]="","",_xlfn.XLOOKUP(Tbla_actores[[#This Row],[codigo_proyecto]],Proyectos!$A:$A,Proyectos!$C:$C)),"")</f>
        <v>Asesoría en proyecto productivo en las veredas altas del Municipio de Venecia, Cundinamarca</v>
      </c>
    </row>
    <row r="3055" spans="1:15">
      <c r="A3055" s="10">
        <v>1013103225</v>
      </c>
      <c r="B3055" s="64" t="s">
        <v>61</v>
      </c>
      <c r="C3055" s="62" t="s">
        <v>9177</v>
      </c>
      <c r="D3055" t="s">
        <v>63</v>
      </c>
      <c r="E3055" t="s">
        <v>9232</v>
      </c>
      <c r="F3055" s="61">
        <v>38351</v>
      </c>
      <c r="G3055" s="15" t="s">
        <v>73</v>
      </c>
      <c r="H3055" t="s">
        <v>9233</v>
      </c>
      <c r="I3055" s="62" t="s">
        <v>9234</v>
      </c>
      <c r="K3055" s="36" t="s">
        <v>495</v>
      </c>
      <c r="L3055" t="s">
        <v>69</v>
      </c>
      <c r="M3055" s="62" t="s">
        <v>70</v>
      </c>
      <c r="N3055" t="s">
        <v>9224</v>
      </c>
      <c r="O3055" t="str">
        <f>IFERROR(IF(Tbla_actores[[#This Row],[codigo_proyecto]]="","",_xlfn.XLOOKUP(Tbla_actores[[#This Row],[codigo_proyecto]],Proyectos!$A:$A,Proyectos!$C:$C)),"")</f>
        <v>Desarrollo del plan de gestión integral del recurso hídrico para la ZRC de Venecia (Cundinamarca)</v>
      </c>
    </row>
    <row r="3056" spans="1:15">
      <c r="A3056" s="9">
        <v>1003741983</v>
      </c>
      <c r="B3056" s="63" t="s">
        <v>61</v>
      </c>
      <c r="C3056" s="62" t="s">
        <v>9177</v>
      </c>
      <c r="D3056" t="s">
        <v>63</v>
      </c>
      <c r="E3056" t="s">
        <v>9235</v>
      </c>
      <c r="F3056" s="61">
        <v>37464</v>
      </c>
      <c r="G3056" s="15" t="s">
        <v>73</v>
      </c>
      <c r="H3056" t="s">
        <v>9236</v>
      </c>
      <c r="I3056" s="62" t="s">
        <v>9237</v>
      </c>
      <c r="K3056" s="36" t="s">
        <v>495</v>
      </c>
      <c r="L3056" t="s">
        <v>69</v>
      </c>
      <c r="M3056" s="62" t="s">
        <v>70</v>
      </c>
      <c r="N3056" t="s">
        <v>9224</v>
      </c>
      <c r="O3056" t="str">
        <f>IFERROR(IF(Tbla_actores[[#This Row],[codigo_proyecto]]="","",_xlfn.XLOOKUP(Tbla_actores[[#This Row],[codigo_proyecto]],Proyectos!$A:$A,Proyectos!$C:$C)),"")</f>
        <v>Desarrollo del plan de gestión integral del recurso hídrico para la ZRC de Venecia (Cundinamarca)</v>
      </c>
    </row>
    <row r="3057" spans="1:15">
      <c r="A3057" s="10">
        <v>1010064339</v>
      </c>
      <c r="B3057" s="64" t="s">
        <v>61</v>
      </c>
      <c r="C3057" s="62" t="s">
        <v>9177</v>
      </c>
      <c r="D3057" t="s">
        <v>63</v>
      </c>
      <c r="E3057" t="s">
        <v>9238</v>
      </c>
      <c r="F3057" s="61">
        <v>37506</v>
      </c>
      <c r="G3057" s="15" t="s">
        <v>73</v>
      </c>
      <c r="H3057" t="s">
        <v>9239</v>
      </c>
      <c r="I3057" s="62" t="s">
        <v>9240</v>
      </c>
      <c r="K3057" s="36" t="s">
        <v>495</v>
      </c>
      <c r="L3057" t="s">
        <v>69</v>
      </c>
      <c r="M3057" s="62" t="s">
        <v>70</v>
      </c>
      <c r="N3057" t="s">
        <v>9224</v>
      </c>
      <c r="O3057" t="str">
        <f>IFERROR(IF(Tbla_actores[[#This Row],[codigo_proyecto]]="","",_xlfn.XLOOKUP(Tbla_actores[[#This Row],[codigo_proyecto]],Proyectos!$A:$A,Proyectos!$C:$C)),"")</f>
        <v>Desarrollo del plan de gestión integral del recurso hídrico para la ZRC de Venecia (Cundinamarca)</v>
      </c>
    </row>
    <row r="3058" spans="1:15">
      <c r="A3058" s="9">
        <v>1054547079</v>
      </c>
      <c r="B3058" s="63" t="s">
        <v>61</v>
      </c>
      <c r="C3058" s="62" t="s">
        <v>9177</v>
      </c>
      <c r="D3058" t="s">
        <v>63</v>
      </c>
      <c r="E3058" t="s">
        <v>9241</v>
      </c>
      <c r="F3058" s="61">
        <v>37585</v>
      </c>
      <c r="G3058" s="15" t="s">
        <v>65</v>
      </c>
      <c r="H3058" t="s">
        <v>9242</v>
      </c>
      <c r="I3058" s="62" t="s">
        <v>9243</v>
      </c>
      <c r="K3058" s="36" t="s">
        <v>495</v>
      </c>
      <c r="L3058" t="s">
        <v>69</v>
      </c>
      <c r="M3058" s="62" t="s">
        <v>70</v>
      </c>
      <c r="N3058" t="s">
        <v>9224</v>
      </c>
      <c r="O3058" t="str">
        <f>IFERROR(IF(Tbla_actores[[#This Row],[codigo_proyecto]]="","",_xlfn.XLOOKUP(Tbla_actores[[#This Row],[codigo_proyecto]],Proyectos!$A:$A,Proyectos!$C:$C)),"")</f>
        <v>Desarrollo del plan de gestión integral del recurso hídrico para la ZRC de Venecia (Cundinamarca)</v>
      </c>
    </row>
    <row r="3059" spans="1:15">
      <c r="A3059" s="10">
        <v>1015992131</v>
      </c>
      <c r="B3059" s="64" t="s">
        <v>61</v>
      </c>
      <c r="C3059" s="62" t="s">
        <v>9177</v>
      </c>
      <c r="D3059" t="s">
        <v>63</v>
      </c>
      <c r="E3059" t="s">
        <v>9244</v>
      </c>
      <c r="F3059" s="61">
        <v>37934</v>
      </c>
      <c r="G3059" s="15" t="s">
        <v>73</v>
      </c>
      <c r="H3059" t="s">
        <v>9245</v>
      </c>
      <c r="I3059" s="62" t="s">
        <v>9246</v>
      </c>
      <c r="K3059" s="36" t="s">
        <v>495</v>
      </c>
      <c r="L3059" t="s">
        <v>69</v>
      </c>
      <c r="M3059" s="62" t="s">
        <v>70</v>
      </c>
      <c r="N3059" t="s">
        <v>9224</v>
      </c>
      <c r="O3059" t="str">
        <f>IFERROR(IF(Tbla_actores[[#This Row],[codigo_proyecto]]="","",_xlfn.XLOOKUP(Tbla_actores[[#This Row],[codigo_proyecto]],Proyectos!$A:$A,Proyectos!$C:$C)),"")</f>
        <v>Desarrollo del plan de gestión integral del recurso hídrico para la ZRC de Venecia (Cundinamarca)</v>
      </c>
    </row>
    <row r="3060" spans="1:15">
      <c r="A3060" s="9">
        <v>1021394319</v>
      </c>
      <c r="B3060" s="63" t="s">
        <v>61</v>
      </c>
      <c r="C3060" s="62" t="s">
        <v>9177</v>
      </c>
      <c r="D3060" t="s">
        <v>63</v>
      </c>
      <c r="E3060" t="s">
        <v>9247</v>
      </c>
      <c r="F3060" s="61">
        <v>38380</v>
      </c>
      <c r="G3060" s="15" t="s">
        <v>65</v>
      </c>
      <c r="H3060" t="s">
        <v>9248</v>
      </c>
      <c r="I3060" s="62" t="s">
        <v>9249</v>
      </c>
      <c r="K3060" s="36" t="s">
        <v>495</v>
      </c>
      <c r="L3060" t="s">
        <v>69</v>
      </c>
      <c r="M3060" s="62" t="s">
        <v>70</v>
      </c>
      <c r="N3060" t="s">
        <v>9224</v>
      </c>
      <c r="O3060" t="str">
        <f>IFERROR(IF(Tbla_actores[[#This Row],[codigo_proyecto]]="","",_xlfn.XLOOKUP(Tbla_actores[[#This Row],[codigo_proyecto]],Proyectos!$A:$A,Proyectos!$C:$C)),"")</f>
        <v>Desarrollo del plan de gestión integral del recurso hídrico para la ZRC de Venecia (Cundinamarca)</v>
      </c>
    </row>
    <row r="3061" spans="1:15">
      <c r="A3061" s="10">
        <v>1002330950</v>
      </c>
      <c r="B3061" s="64" t="s">
        <v>61</v>
      </c>
      <c r="C3061" s="62" t="s">
        <v>9177</v>
      </c>
      <c r="D3061" t="s">
        <v>63</v>
      </c>
      <c r="E3061" t="s">
        <v>9250</v>
      </c>
      <c r="F3061" s="61">
        <v>37713</v>
      </c>
      <c r="G3061" s="15" t="s">
        <v>65</v>
      </c>
      <c r="H3061" t="s">
        <v>9251</v>
      </c>
      <c r="I3061" s="62" t="s">
        <v>9252</v>
      </c>
      <c r="K3061" s="36" t="s">
        <v>495</v>
      </c>
      <c r="L3061" t="s">
        <v>69</v>
      </c>
      <c r="M3061" s="62" t="s">
        <v>70</v>
      </c>
      <c r="N3061" t="s">
        <v>9224</v>
      </c>
      <c r="O3061" t="str">
        <f>IFERROR(IF(Tbla_actores[[#This Row],[codigo_proyecto]]="","",_xlfn.XLOOKUP(Tbla_actores[[#This Row],[codigo_proyecto]],Proyectos!$A:$A,Proyectos!$C:$C)),"")</f>
        <v>Desarrollo del plan de gestión integral del recurso hídrico para la ZRC de Venecia (Cundinamarca)</v>
      </c>
    </row>
    <row r="3062" spans="1:15">
      <c r="A3062" s="9">
        <v>1002479979</v>
      </c>
      <c r="B3062" s="63" t="s">
        <v>61</v>
      </c>
      <c r="C3062" s="62" t="s">
        <v>9177</v>
      </c>
      <c r="D3062" t="s">
        <v>63</v>
      </c>
      <c r="E3062" t="s">
        <v>9253</v>
      </c>
      <c r="F3062" s="61">
        <v>37412</v>
      </c>
      <c r="G3062" s="15" t="s">
        <v>65</v>
      </c>
      <c r="H3062" t="s">
        <v>9254</v>
      </c>
      <c r="I3062" s="62" t="s">
        <v>9255</v>
      </c>
      <c r="K3062" s="36" t="s">
        <v>495</v>
      </c>
      <c r="L3062" t="s">
        <v>69</v>
      </c>
      <c r="M3062" s="62" t="s">
        <v>70</v>
      </c>
      <c r="N3062" t="s">
        <v>9224</v>
      </c>
      <c r="O3062" t="str">
        <f>IFERROR(IF(Tbla_actores[[#This Row],[codigo_proyecto]]="","",_xlfn.XLOOKUP(Tbla_actores[[#This Row],[codigo_proyecto]],Proyectos!$A:$A,Proyectos!$C:$C)),"")</f>
        <v>Desarrollo del plan de gestión integral del recurso hídrico para la ZRC de Venecia (Cundinamarca)</v>
      </c>
    </row>
    <row r="3063" spans="1:15">
      <c r="A3063" s="10">
        <v>1001299798</v>
      </c>
      <c r="B3063" s="64" t="s">
        <v>61</v>
      </c>
      <c r="C3063" s="62" t="s">
        <v>9177</v>
      </c>
      <c r="D3063" t="s">
        <v>63</v>
      </c>
      <c r="E3063" t="s">
        <v>9256</v>
      </c>
      <c r="F3063" s="61">
        <v>37496</v>
      </c>
      <c r="G3063" s="15" t="s">
        <v>73</v>
      </c>
      <c r="H3063" t="s">
        <v>9257</v>
      </c>
      <c r="I3063" s="62" t="s">
        <v>9258</v>
      </c>
      <c r="K3063" s="36" t="s">
        <v>495</v>
      </c>
      <c r="L3063" t="s">
        <v>69</v>
      </c>
      <c r="M3063" s="62" t="s">
        <v>70</v>
      </c>
      <c r="N3063" t="s">
        <v>9224</v>
      </c>
      <c r="O3063" t="str">
        <f>IFERROR(IF(Tbla_actores[[#This Row],[codigo_proyecto]]="","",_xlfn.XLOOKUP(Tbla_actores[[#This Row],[codigo_proyecto]],Proyectos!$A:$A,Proyectos!$C:$C)),"")</f>
        <v>Desarrollo del plan de gestión integral del recurso hídrico para la ZRC de Venecia (Cundinamarca)</v>
      </c>
    </row>
    <row r="3064" spans="1:15">
      <c r="A3064" s="9">
        <v>1096800717</v>
      </c>
      <c r="B3064" s="63" t="s">
        <v>61</v>
      </c>
      <c r="C3064" s="62" t="s">
        <v>9177</v>
      </c>
      <c r="D3064" t="s">
        <v>63</v>
      </c>
      <c r="E3064" t="s">
        <v>9259</v>
      </c>
      <c r="F3064" s="61">
        <v>38310</v>
      </c>
      <c r="G3064" s="15" t="s">
        <v>65</v>
      </c>
      <c r="H3064" t="s">
        <v>9260</v>
      </c>
      <c r="I3064" s="62" t="s">
        <v>9261</v>
      </c>
      <c r="K3064" s="36" t="s">
        <v>169</v>
      </c>
      <c r="L3064" t="s">
        <v>69</v>
      </c>
      <c r="M3064" s="62" t="s">
        <v>170</v>
      </c>
      <c r="N3064" t="s">
        <v>9228</v>
      </c>
      <c r="O3064" t="str">
        <f>IFERROR(IF(Tbla_actores[[#This Row],[codigo_proyecto]]="","",_xlfn.XLOOKUP(Tbla_actores[[#This Row],[codigo_proyecto]],Proyectos!$A:$A,Proyectos!$C:$C)),"")</f>
        <v>Asesoría en proyecto productivo en las veredas altas del Municipio de Venecia, Cundinamarca</v>
      </c>
    </row>
    <row r="3065" spans="1:15">
      <c r="A3065" s="10">
        <v>1000129485</v>
      </c>
      <c r="B3065" s="64" t="s">
        <v>61</v>
      </c>
      <c r="C3065" s="62" t="s">
        <v>9177</v>
      </c>
      <c r="D3065" t="s">
        <v>63</v>
      </c>
      <c r="E3065" t="s">
        <v>9262</v>
      </c>
      <c r="F3065" s="61">
        <v>37593</v>
      </c>
      <c r="G3065" s="15" t="s">
        <v>73</v>
      </c>
      <c r="H3065" t="s">
        <v>9263</v>
      </c>
      <c r="I3065" s="62" t="s">
        <v>9264</v>
      </c>
      <c r="K3065" s="36" t="s">
        <v>495</v>
      </c>
      <c r="L3065" t="s">
        <v>69</v>
      </c>
      <c r="M3065" s="62" t="s">
        <v>70</v>
      </c>
      <c r="N3065" t="s">
        <v>9224</v>
      </c>
      <c r="O3065" t="str">
        <f>IFERROR(IF(Tbla_actores[[#This Row],[codigo_proyecto]]="","",_xlfn.XLOOKUP(Tbla_actores[[#This Row],[codigo_proyecto]],Proyectos!$A:$A,Proyectos!$C:$C)),"")</f>
        <v>Desarrollo del plan de gestión integral del recurso hídrico para la ZRC de Venecia (Cundinamarca)</v>
      </c>
    </row>
    <row r="3066" spans="1:15">
      <c r="A3066" s="9">
        <v>1011080594</v>
      </c>
      <c r="B3066" s="63" t="s">
        <v>61</v>
      </c>
      <c r="C3066" s="62" t="s">
        <v>9177</v>
      </c>
      <c r="D3066" t="s">
        <v>63</v>
      </c>
      <c r="E3066" t="s">
        <v>9265</v>
      </c>
      <c r="F3066" s="61">
        <v>38256</v>
      </c>
      <c r="G3066" s="15" t="s">
        <v>73</v>
      </c>
      <c r="H3066" t="s">
        <v>9266</v>
      </c>
      <c r="I3066" s="62" t="s">
        <v>9267</v>
      </c>
      <c r="K3066" s="36" t="s">
        <v>169</v>
      </c>
      <c r="L3066" t="s">
        <v>69</v>
      </c>
      <c r="M3066" s="62" t="s">
        <v>170</v>
      </c>
      <c r="N3066" t="s">
        <v>9228</v>
      </c>
      <c r="O3066" t="str">
        <f>IFERROR(IF(Tbla_actores[[#This Row],[codigo_proyecto]]="","",_xlfn.XLOOKUP(Tbla_actores[[#This Row],[codigo_proyecto]],Proyectos!$A:$A,Proyectos!$C:$C)),"")</f>
        <v>Asesoría en proyecto productivo en las veredas altas del Municipio de Venecia, Cundinamarca</v>
      </c>
    </row>
    <row r="3067" spans="1:15">
      <c r="A3067" s="10">
        <v>1000688209</v>
      </c>
      <c r="B3067" s="64" t="s">
        <v>61</v>
      </c>
      <c r="C3067" s="62" t="s">
        <v>9177</v>
      </c>
      <c r="D3067" t="s">
        <v>63</v>
      </c>
      <c r="E3067" t="s">
        <v>9268</v>
      </c>
      <c r="F3067" s="61">
        <v>37679</v>
      </c>
      <c r="G3067" s="15" t="s">
        <v>73</v>
      </c>
      <c r="H3067" t="s">
        <v>9269</v>
      </c>
      <c r="I3067" s="62" t="s">
        <v>9270</v>
      </c>
      <c r="K3067" s="36" t="s">
        <v>495</v>
      </c>
      <c r="L3067" t="s">
        <v>69</v>
      </c>
      <c r="M3067" s="62" t="s">
        <v>70</v>
      </c>
      <c r="N3067" t="s">
        <v>9224</v>
      </c>
      <c r="O3067" t="str">
        <f>IFERROR(IF(Tbla_actores[[#This Row],[codigo_proyecto]]="","",_xlfn.XLOOKUP(Tbla_actores[[#This Row],[codigo_proyecto]],Proyectos!$A:$A,Proyectos!$C:$C)),"")</f>
        <v>Desarrollo del plan de gestión integral del recurso hídrico para la ZRC de Venecia (Cundinamarca)</v>
      </c>
    </row>
    <row r="3068" spans="1:15">
      <c r="A3068" s="9">
        <v>1006523700</v>
      </c>
      <c r="B3068" s="63" t="s">
        <v>61</v>
      </c>
      <c r="C3068" s="62" t="s">
        <v>9177</v>
      </c>
      <c r="D3068" t="s">
        <v>63</v>
      </c>
      <c r="E3068" t="s">
        <v>9271</v>
      </c>
      <c r="F3068" s="61">
        <v>37525</v>
      </c>
      <c r="G3068" s="15" t="s">
        <v>73</v>
      </c>
      <c r="H3068" t="s">
        <v>9272</v>
      </c>
      <c r="I3068" s="62" t="s">
        <v>9273</v>
      </c>
      <c r="K3068" s="36" t="s">
        <v>495</v>
      </c>
      <c r="L3068" t="s">
        <v>69</v>
      </c>
      <c r="M3068" s="62" t="s">
        <v>70</v>
      </c>
      <c r="N3068" t="s">
        <v>9224</v>
      </c>
      <c r="O3068" t="str">
        <f>IFERROR(IF(Tbla_actores[[#This Row],[codigo_proyecto]]="","",_xlfn.XLOOKUP(Tbla_actores[[#This Row],[codigo_proyecto]],Proyectos!$A:$A,Proyectos!$C:$C)),"")</f>
        <v>Desarrollo del plan de gestión integral del recurso hídrico para la ZRC de Venecia (Cundinamarca)</v>
      </c>
    </row>
    <row r="3069" spans="1:15">
      <c r="A3069" s="10">
        <v>1006959920</v>
      </c>
      <c r="B3069" s="64" t="s">
        <v>61</v>
      </c>
      <c r="C3069" s="62" t="s">
        <v>9177</v>
      </c>
      <c r="D3069" t="s">
        <v>63</v>
      </c>
      <c r="E3069" t="s">
        <v>9274</v>
      </c>
      <c r="F3069" s="61">
        <v>37350</v>
      </c>
      <c r="G3069" s="15" t="s">
        <v>73</v>
      </c>
      <c r="H3069" t="s">
        <v>9275</v>
      </c>
      <c r="I3069" s="62" t="s">
        <v>9276</v>
      </c>
      <c r="K3069" s="36" t="s">
        <v>495</v>
      </c>
      <c r="L3069" t="s">
        <v>69</v>
      </c>
      <c r="M3069" s="62" t="s">
        <v>70</v>
      </c>
      <c r="N3069" t="s">
        <v>9224</v>
      </c>
      <c r="O3069" t="str">
        <f>IFERROR(IF(Tbla_actores[[#This Row],[codigo_proyecto]]="","",_xlfn.XLOOKUP(Tbla_actores[[#This Row],[codigo_proyecto]],Proyectos!$A:$A,Proyectos!$C:$C)),"")</f>
        <v>Desarrollo del plan de gestión integral del recurso hídrico para la ZRC de Venecia (Cundinamarca)</v>
      </c>
    </row>
    <row r="3070" spans="1:15">
      <c r="A3070" s="9">
        <v>1001186116</v>
      </c>
      <c r="B3070" s="63" t="s">
        <v>61</v>
      </c>
      <c r="C3070" s="62" t="s">
        <v>9177</v>
      </c>
      <c r="D3070" t="s">
        <v>63</v>
      </c>
      <c r="E3070" t="s">
        <v>9277</v>
      </c>
      <c r="F3070" s="61">
        <v>37777</v>
      </c>
      <c r="G3070" s="15" t="s">
        <v>73</v>
      </c>
      <c r="H3070" t="s">
        <v>9278</v>
      </c>
      <c r="I3070" s="62" t="s">
        <v>9279</v>
      </c>
      <c r="K3070" s="36" t="s">
        <v>68</v>
      </c>
      <c r="L3070" t="s">
        <v>69</v>
      </c>
      <c r="M3070" s="62" t="s">
        <v>70</v>
      </c>
      <c r="N3070" t="s">
        <v>9280</v>
      </c>
      <c r="O3070">
        <f>IFERROR(IF(Tbla_actores[[#This Row],[codigo_proyecto]]="","",_xlfn.XLOOKUP(Tbla_actores[[#This Row],[codigo_proyecto]],Proyectos!$A:$A,Proyectos!$C:$C)),"")</f>
        <v>0</v>
      </c>
    </row>
    <row r="3071" spans="1:15">
      <c r="A3071" s="10">
        <v>1032876565</v>
      </c>
      <c r="B3071" s="64" t="s">
        <v>61</v>
      </c>
      <c r="C3071" s="62" t="s">
        <v>9177</v>
      </c>
      <c r="D3071" t="s">
        <v>63</v>
      </c>
      <c r="E3071" t="s">
        <v>9281</v>
      </c>
      <c r="F3071" s="61">
        <v>38344</v>
      </c>
      <c r="G3071" s="15" t="s">
        <v>73</v>
      </c>
      <c r="H3071" t="s">
        <v>9282</v>
      </c>
      <c r="I3071" s="62" t="s">
        <v>9283</v>
      </c>
      <c r="K3071" s="36" t="s">
        <v>495</v>
      </c>
      <c r="L3071" t="s">
        <v>69</v>
      </c>
      <c r="M3071" s="62" t="s">
        <v>70</v>
      </c>
      <c r="N3071" t="s">
        <v>9220</v>
      </c>
      <c r="O3071" t="str">
        <f>IFERROR(IF(Tbla_actores[[#This Row],[codigo_proyecto]]="","",_xlfn.XLOOKUP(Tbla_actores[[#This Row],[codigo_proyecto]],Proyectos!$A:$A,Proyectos!$C:$C)),"")</f>
        <v>PROYECTO
“CAPACITACIÓN EN CONSTRUCCIÓN-CAMACOL”</v>
      </c>
    </row>
    <row r="3072" spans="1:15">
      <c r="A3072" s="9">
        <v>1004190763</v>
      </c>
      <c r="B3072" s="63" t="s">
        <v>61</v>
      </c>
      <c r="C3072" s="62" t="s">
        <v>9177</v>
      </c>
      <c r="D3072" t="s">
        <v>63</v>
      </c>
      <c r="E3072" t="s">
        <v>9284</v>
      </c>
      <c r="F3072" s="61">
        <v>37926</v>
      </c>
      <c r="G3072" s="15" t="s">
        <v>73</v>
      </c>
      <c r="H3072" t="s">
        <v>9285</v>
      </c>
      <c r="I3072" s="62" t="s">
        <v>9286</v>
      </c>
      <c r="K3072" s="36" t="s">
        <v>495</v>
      </c>
      <c r="L3072" t="s">
        <v>69</v>
      </c>
      <c r="M3072" s="62" t="s">
        <v>70</v>
      </c>
      <c r="N3072" t="s">
        <v>9220</v>
      </c>
      <c r="O3072" t="str">
        <f>IFERROR(IF(Tbla_actores[[#This Row],[codigo_proyecto]]="","",_xlfn.XLOOKUP(Tbla_actores[[#This Row],[codigo_proyecto]],Proyectos!$A:$A,Proyectos!$C:$C)),"")</f>
        <v>PROYECTO
“CAPACITACIÓN EN CONSTRUCCIÓN-CAMACOL”</v>
      </c>
    </row>
    <row r="3073" spans="1:15">
      <c r="A3073" s="10">
        <v>1000627404</v>
      </c>
      <c r="B3073" s="64" t="s">
        <v>61</v>
      </c>
      <c r="C3073" s="62" t="s">
        <v>9177</v>
      </c>
      <c r="D3073" t="s">
        <v>63</v>
      </c>
      <c r="E3073" t="s">
        <v>9287</v>
      </c>
      <c r="F3073" s="61">
        <v>37282</v>
      </c>
      <c r="G3073" s="15" t="s">
        <v>73</v>
      </c>
      <c r="H3073" t="s">
        <v>9288</v>
      </c>
      <c r="I3073" s="62" t="s">
        <v>9289</v>
      </c>
      <c r="K3073" s="36" t="s">
        <v>495</v>
      </c>
      <c r="L3073" t="s">
        <v>69</v>
      </c>
      <c r="M3073" s="62" t="s">
        <v>70</v>
      </c>
      <c r="N3073" t="s">
        <v>9220</v>
      </c>
      <c r="O3073" t="str">
        <f>IFERROR(IF(Tbla_actores[[#This Row],[codigo_proyecto]]="","",_xlfn.XLOOKUP(Tbla_actores[[#This Row],[codigo_proyecto]],Proyectos!$A:$A,Proyectos!$C:$C)),"")</f>
        <v>PROYECTO
“CAPACITACIÓN EN CONSTRUCCIÓN-CAMACOL”</v>
      </c>
    </row>
    <row r="3074" spans="1:15">
      <c r="A3074" s="9">
        <v>1000612094</v>
      </c>
      <c r="B3074" s="63" t="s">
        <v>61</v>
      </c>
      <c r="C3074" s="62" t="s">
        <v>9177</v>
      </c>
      <c r="D3074" t="s">
        <v>63</v>
      </c>
      <c r="E3074" t="s">
        <v>9290</v>
      </c>
      <c r="F3074" s="61">
        <v>37810</v>
      </c>
      <c r="G3074" s="15" t="s">
        <v>73</v>
      </c>
      <c r="H3074" t="s">
        <v>9291</v>
      </c>
      <c r="I3074" s="62" t="s">
        <v>9292</v>
      </c>
      <c r="K3074" s="36" t="s">
        <v>495</v>
      </c>
      <c r="L3074" t="s">
        <v>69</v>
      </c>
      <c r="M3074" s="62" t="s">
        <v>70</v>
      </c>
      <c r="N3074" t="s">
        <v>9220</v>
      </c>
      <c r="O3074" t="str">
        <f>IFERROR(IF(Tbla_actores[[#This Row],[codigo_proyecto]]="","",_xlfn.XLOOKUP(Tbla_actores[[#This Row],[codigo_proyecto]],Proyectos!$A:$A,Proyectos!$C:$C)),"")</f>
        <v>PROYECTO
“CAPACITACIÓN EN CONSTRUCCIÓN-CAMACOL”</v>
      </c>
    </row>
    <row r="3075" spans="1:15">
      <c r="A3075" s="10">
        <v>1004368126</v>
      </c>
      <c r="B3075" s="64" t="s">
        <v>61</v>
      </c>
      <c r="C3075" s="62" t="s">
        <v>9177</v>
      </c>
      <c r="D3075" t="s">
        <v>63</v>
      </c>
      <c r="E3075" t="s">
        <v>9293</v>
      </c>
      <c r="F3075" s="61">
        <v>37872</v>
      </c>
      <c r="G3075" s="15" t="s">
        <v>65</v>
      </c>
      <c r="H3075" t="s">
        <v>9294</v>
      </c>
      <c r="I3075" s="62" t="s">
        <v>9295</v>
      </c>
      <c r="K3075" s="36" t="s">
        <v>495</v>
      </c>
      <c r="L3075" t="s">
        <v>69</v>
      </c>
      <c r="M3075" s="62" t="s">
        <v>70</v>
      </c>
      <c r="N3075" t="s">
        <v>9220</v>
      </c>
      <c r="O3075" t="str">
        <f>IFERROR(IF(Tbla_actores[[#This Row],[codigo_proyecto]]="","",_xlfn.XLOOKUP(Tbla_actores[[#This Row],[codigo_proyecto]],Proyectos!$A:$A,Proyectos!$C:$C)),"")</f>
        <v>PROYECTO
“CAPACITACIÓN EN CONSTRUCCIÓN-CAMACOL”</v>
      </c>
    </row>
    <row r="3076" spans="1:15">
      <c r="A3076" s="9">
        <v>1001346479</v>
      </c>
      <c r="B3076" s="63" t="s">
        <v>61</v>
      </c>
      <c r="C3076" s="62" t="s">
        <v>9177</v>
      </c>
      <c r="D3076" t="s">
        <v>63</v>
      </c>
      <c r="E3076" t="s">
        <v>9296</v>
      </c>
      <c r="F3076" s="61">
        <v>37259</v>
      </c>
      <c r="G3076" s="15" t="s">
        <v>73</v>
      </c>
      <c r="H3076" t="s">
        <v>9297</v>
      </c>
      <c r="I3076" s="62" t="s">
        <v>9298</v>
      </c>
      <c r="K3076" s="36" t="s">
        <v>495</v>
      </c>
      <c r="L3076" t="s">
        <v>69</v>
      </c>
      <c r="M3076" s="62" t="s">
        <v>70</v>
      </c>
      <c r="N3076" t="s">
        <v>9220</v>
      </c>
      <c r="O3076" t="str">
        <f>IFERROR(IF(Tbla_actores[[#This Row],[codigo_proyecto]]="","",_xlfn.XLOOKUP(Tbla_actores[[#This Row],[codigo_proyecto]],Proyectos!$A:$A,Proyectos!$C:$C)),"")</f>
        <v>PROYECTO
“CAPACITACIÓN EN CONSTRUCCIÓN-CAMACOL”</v>
      </c>
    </row>
    <row r="3077" spans="1:15">
      <c r="A3077" s="10">
        <v>1023082618</v>
      </c>
      <c r="B3077" s="64" t="s">
        <v>61</v>
      </c>
      <c r="C3077" s="62" t="s">
        <v>9177</v>
      </c>
      <c r="D3077" t="s">
        <v>63</v>
      </c>
      <c r="E3077" t="s">
        <v>9299</v>
      </c>
      <c r="F3077" s="61">
        <v>38232</v>
      </c>
      <c r="G3077" s="15" t="s">
        <v>73</v>
      </c>
      <c r="H3077" t="s">
        <v>9300</v>
      </c>
      <c r="I3077" s="62" t="s">
        <v>9301</v>
      </c>
      <c r="K3077" s="36" t="s">
        <v>495</v>
      </c>
      <c r="L3077" t="s">
        <v>69</v>
      </c>
      <c r="M3077" s="62" t="s">
        <v>70</v>
      </c>
      <c r="N3077" t="s">
        <v>9220</v>
      </c>
      <c r="O3077" t="str">
        <f>IFERROR(IF(Tbla_actores[[#This Row],[codigo_proyecto]]="","",_xlfn.XLOOKUP(Tbla_actores[[#This Row],[codigo_proyecto]],Proyectos!$A:$A,Proyectos!$C:$C)),"")</f>
        <v>PROYECTO
“CAPACITACIÓN EN CONSTRUCCIÓN-CAMACOL”</v>
      </c>
    </row>
    <row r="3078" spans="1:15">
      <c r="A3078" s="9">
        <v>1003265545</v>
      </c>
      <c r="B3078" s="63" t="s">
        <v>61</v>
      </c>
      <c r="C3078" s="62" t="s">
        <v>9177</v>
      </c>
      <c r="D3078" t="s">
        <v>63</v>
      </c>
      <c r="E3078" t="s">
        <v>9302</v>
      </c>
      <c r="F3078" s="61">
        <v>37897</v>
      </c>
      <c r="G3078" s="15" t="s">
        <v>73</v>
      </c>
      <c r="H3078" t="s">
        <v>9303</v>
      </c>
      <c r="I3078" s="62" t="s">
        <v>9304</v>
      </c>
      <c r="K3078" s="36" t="s">
        <v>495</v>
      </c>
      <c r="L3078" t="s">
        <v>69</v>
      </c>
      <c r="M3078" s="62" t="s">
        <v>70</v>
      </c>
      <c r="N3078" t="s">
        <v>9220</v>
      </c>
      <c r="O3078" t="str">
        <f>IFERROR(IF(Tbla_actores[[#This Row],[codigo_proyecto]]="","",_xlfn.XLOOKUP(Tbla_actores[[#This Row],[codigo_proyecto]],Proyectos!$A:$A,Proyectos!$C:$C)),"")</f>
        <v>PROYECTO
“CAPACITACIÓN EN CONSTRUCCIÓN-CAMACOL”</v>
      </c>
    </row>
    <row r="3079" spans="1:15">
      <c r="A3079" s="10">
        <v>1122508167</v>
      </c>
      <c r="B3079" s="64" t="s">
        <v>61</v>
      </c>
      <c r="C3079" s="62" t="s">
        <v>9177</v>
      </c>
      <c r="D3079" t="s">
        <v>63</v>
      </c>
      <c r="E3079" t="s">
        <v>9305</v>
      </c>
      <c r="F3079" s="61">
        <v>38290</v>
      </c>
      <c r="G3079" s="15" t="s">
        <v>65</v>
      </c>
      <c r="H3079" t="s">
        <v>9306</v>
      </c>
      <c r="I3079" s="62" t="s">
        <v>9307</v>
      </c>
      <c r="K3079" s="36" t="s">
        <v>495</v>
      </c>
      <c r="L3079" t="s">
        <v>69</v>
      </c>
      <c r="M3079" s="62" t="s">
        <v>70</v>
      </c>
      <c r="N3079" t="s">
        <v>9220</v>
      </c>
      <c r="O3079" t="str">
        <f>IFERROR(IF(Tbla_actores[[#This Row],[codigo_proyecto]]="","",_xlfn.XLOOKUP(Tbla_actores[[#This Row],[codigo_proyecto]],Proyectos!$A:$A,Proyectos!$C:$C)),"")</f>
        <v>PROYECTO
“CAPACITACIÓN EN CONSTRUCCIÓN-CAMACOL”</v>
      </c>
    </row>
    <row r="3080" spans="1:15">
      <c r="A3080" s="9">
        <v>1077720325</v>
      </c>
      <c r="B3080" s="63" t="s">
        <v>61</v>
      </c>
      <c r="C3080" s="62" t="s">
        <v>9177</v>
      </c>
      <c r="D3080" t="s">
        <v>63</v>
      </c>
      <c r="E3080" t="s">
        <v>9308</v>
      </c>
      <c r="F3080" s="61">
        <v>38020</v>
      </c>
      <c r="G3080" s="15" t="s">
        <v>65</v>
      </c>
      <c r="H3080" t="s">
        <v>9309</v>
      </c>
      <c r="I3080" s="62" t="s">
        <v>9310</v>
      </c>
      <c r="K3080" s="36" t="s">
        <v>495</v>
      </c>
      <c r="L3080" t="s">
        <v>69</v>
      </c>
      <c r="M3080" s="62" t="s">
        <v>70</v>
      </c>
      <c r="N3080" t="s">
        <v>9220</v>
      </c>
      <c r="O3080" t="str">
        <f>IFERROR(IF(Tbla_actores[[#This Row],[codigo_proyecto]]="","",_xlfn.XLOOKUP(Tbla_actores[[#This Row],[codigo_proyecto]],Proyectos!$A:$A,Proyectos!$C:$C)),"")</f>
        <v>PROYECTO
“CAPACITACIÓN EN CONSTRUCCIÓN-CAMACOL”</v>
      </c>
    </row>
    <row r="3081" spans="1:15">
      <c r="A3081" s="10">
        <v>1014856256</v>
      </c>
      <c r="B3081" s="64" t="s">
        <v>61</v>
      </c>
      <c r="C3081" s="62" t="s">
        <v>9177</v>
      </c>
      <c r="D3081" t="s">
        <v>63</v>
      </c>
      <c r="E3081" t="s">
        <v>9311</v>
      </c>
      <c r="F3081" s="61">
        <v>38007</v>
      </c>
      <c r="G3081" s="15" t="s">
        <v>65</v>
      </c>
      <c r="H3081" t="s">
        <v>9312</v>
      </c>
      <c r="I3081" s="62" t="s">
        <v>9313</v>
      </c>
      <c r="K3081" s="36" t="s">
        <v>495</v>
      </c>
      <c r="L3081" t="s">
        <v>69</v>
      </c>
      <c r="M3081" s="62" t="s">
        <v>70</v>
      </c>
      <c r="N3081" t="s">
        <v>9220</v>
      </c>
      <c r="O3081" t="str">
        <f>IFERROR(IF(Tbla_actores[[#This Row],[codigo_proyecto]]="","",_xlfn.XLOOKUP(Tbla_actores[[#This Row],[codigo_proyecto]],Proyectos!$A:$A,Proyectos!$C:$C)),"")</f>
        <v>PROYECTO
“CAPACITACIÓN EN CONSTRUCCIÓN-CAMACOL”</v>
      </c>
    </row>
    <row r="3082" spans="1:15">
      <c r="A3082" s="9">
        <v>1019151186</v>
      </c>
      <c r="B3082" s="63" t="s">
        <v>61</v>
      </c>
      <c r="C3082" s="62" t="s">
        <v>9177</v>
      </c>
      <c r="D3082" t="s">
        <v>63</v>
      </c>
      <c r="E3082" t="s">
        <v>9314</v>
      </c>
      <c r="F3082" s="61">
        <v>36397</v>
      </c>
      <c r="G3082" s="15" t="s">
        <v>73</v>
      </c>
      <c r="H3082" t="s">
        <v>9315</v>
      </c>
      <c r="I3082" s="62" t="s">
        <v>9316</v>
      </c>
      <c r="K3082" s="36" t="s">
        <v>495</v>
      </c>
      <c r="L3082" t="s">
        <v>69</v>
      </c>
      <c r="M3082" s="62" t="s">
        <v>70</v>
      </c>
      <c r="N3082" t="s">
        <v>9220</v>
      </c>
      <c r="O3082" t="str">
        <f>IFERROR(IF(Tbla_actores[[#This Row],[codigo_proyecto]]="","",_xlfn.XLOOKUP(Tbla_actores[[#This Row],[codigo_proyecto]],Proyectos!$A:$A,Proyectos!$C:$C)),"")</f>
        <v>PROYECTO
“CAPACITACIÓN EN CONSTRUCCIÓN-CAMACOL”</v>
      </c>
    </row>
    <row r="3083" spans="1:15">
      <c r="A3083" s="10">
        <v>1011320360</v>
      </c>
      <c r="B3083" s="64" t="s">
        <v>61</v>
      </c>
      <c r="C3083" s="62" t="s">
        <v>9177</v>
      </c>
      <c r="D3083" t="s">
        <v>63</v>
      </c>
      <c r="E3083" t="s">
        <v>9317</v>
      </c>
      <c r="F3083" s="61">
        <v>38106</v>
      </c>
      <c r="G3083" s="15" t="s">
        <v>73</v>
      </c>
      <c r="H3083" t="s">
        <v>9318</v>
      </c>
      <c r="I3083" s="62" t="s">
        <v>9319</v>
      </c>
      <c r="K3083" s="36" t="s">
        <v>495</v>
      </c>
      <c r="L3083" t="s">
        <v>69</v>
      </c>
      <c r="M3083" s="62" t="s">
        <v>70</v>
      </c>
      <c r="N3083" t="s">
        <v>9220</v>
      </c>
      <c r="O3083" t="str">
        <f>IFERROR(IF(Tbla_actores[[#This Row],[codigo_proyecto]]="","",_xlfn.XLOOKUP(Tbla_actores[[#This Row],[codigo_proyecto]],Proyectos!$A:$A,Proyectos!$C:$C)),"")</f>
        <v>PROYECTO
“CAPACITACIÓN EN CONSTRUCCIÓN-CAMACOL”</v>
      </c>
    </row>
    <row r="3084" spans="1:15">
      <c r="A3084" s="9">
        <v>1006324942</v>
      </c>
      <c r="B3084" s="63" t="s">
        <v>61</v>
      </c>
      <c r="C3084" s="62" t="s">
        <v>9177</v>
      </c>
      <c r="D3084" t="s">
        <v>63</v>
      </c>
      <c r="E3084" t="s">
        <v>9320</v>
      </c>
      <c r="F3084" s="61">
        <v>36932</v>
      </c>
      <c r="G3084" s="15" t="s">
        <v>65</v>
      </c>
      <c r="H3084" t="s">
        <v>9321</v>
      </c>
      <c r="I3084" s="62" t="s">
        <v>9322</v>
      </c>
      <c r="K3084" s="36" t="s">
        <v>1489</v>
      </c>
      <c r="L3084" t="s">
        <v>69</v>
      </c>
      <c r="M3084" s="62" t="s">
        <v>70</v>
      </c>
      <c r="N3084" t="s">
        <v>9323</v>
      </c>
      <c r="O3084">
        <f>IFERROR(IF(Tbla_actores[[#This Row],[codigo_proyecto]]="","",_xlfn.XLOOKUP(Tbla_actores[[#This Row],[codigo_proyecto]],Proyectos!$A:$A,Proyectos!$C:$C)),"")</f>
        <v>0</v>
      </c>
    </row>
    <row r="3085" spans="1:15">
      <c r="A3085" s="10">
        <v>1074415030</v>
      </c>
      <c r="B3085" s="64" t="s">
        <v>61</v>
      </c>
      <c r="C3085" s="62" t="s">
        <v>9177</v>
      </c>
      <c r="D3085" t="s">
        <v>63</v>
      </c>
      <c r="E3085" t="s">
        <v>9324</v>
      </c>
      <c r="F3085" s="61">
        <v>38715</v>
      </c>
      <c r="G3085" s="15" t="s">
        <v>73</v>
      </c>
      <c r="H3085" t="s">
        <v>9325</v>
      </c>
      <c r="I3085" s="62" t="s">
        <v>9326</v>
      </c>
      <c r="K3085" s="36" t="s">
        <v>68</v>
      </c>
      <c r="L3085" t="s">
        <v>69</v>
      </c>
      <c r="M3085" s="62" t="s">
        <v>70</v>
      </c>
      <c r="N3085" t="s">
        <v>9327</v>
      </c>
      <c r="O3085" t="str">
        <f>IFERROR(IF(Tbla_actores[[#This Row],[codigo_proyecto]]="","",_xlfn.XLOOKUP(Tbla_actores[[#This Row],[codigo_proyecto]],Proyectos!$A:$A,Proyectos!$C:$C)),"")</f>
        <v>Proyecto 3</v>
      </c>
    </row>
    <row r="3086" spans="1:15">
      <c r="A3086" s="9">
        <v>1001186087</v>
      </c>
      <c r="B3086" s="63" t="s">
        <v>61</v>
      </c>
      <c r="C3086" s="62" t="s">
        <v>9177</v>
      </c>
      <c r="D3086" t="s">
        <v>63</v>
      </c>
      <c r="E3086" t="s">
        <v>9328</v>
      </c>
      <c r="F3086" s="61">
        <v>37782</v>
      </c>
      <c r="G3086" s="15" t="s">
        <v>65</v>
      </c>
      <c r="H3086" t="s">
        <v>9329</v>
      </c>
      <c r="I3086" s="62" t="s">
        <v>9330</v>
      </c>
      <c r="K3086" s="36" t="s">
        <v>68</v>
      </c>
      <c r="L3086" t="s">
        <v>69</v>
      </c>
      <c r="M3086" s="62" t="s">
        <v>70</v>
      </c>
      <c r="N3086" t="s">
        <v>9327</v>
      </c>
      <c r="O3086" t="str">
        <f>IFERROR(IF(Tbla_actores[[#This Row],[codigo_proyecto]]="","",_xlfn.XLOOKUP(Tbla_actores[[#This Row],[codigo_proyecto]],Proyectos!$A:$A,Proyectos!$C:$C)),"")</f>
        <v>Proyecto 3</v>
      </c>
    </row>
    <row r="3087" spans="1:15">
      <c r="A3087" s="10">
        <v>1000592652</v>
      </c>
      <c r="B3087" s="64" t="s">
        <v>61</v>
      </c>
      <c r="C3087" s="62" t="s">
        <v>9177</v>
      </c>
      <c r="D3087" t="s">
        <v>63</v>
      </c>
      <c r="E3087" t="s">
        <v>9331</v>
      </c>
      <c r="F3087" s="61">
        <v>37385</v>
      </c>
      <c r="G3087" s="15" t="s">
        <v>65</v>
      </c>
      <c r="H3087" t="s">
        <v>9332</v>
      </c>
      <c r="I3087" s="62" t="s">
        <v>9333</v>
      </c>
      <c r="K3087" s="36" t="s">
        <v>68</v>
      </c>
      <c r="L3087" t="s">
        <v>69</v>
      </c>
      <c r="M3087" s="62" t="s">
        <v>70</v>
      </c>
      <c r="N3087" t="s">
        <v>9327</v>
      </c>
      <c r="O3087" t="str">
        <f>IFERROR(IF(Tbla_actores[[#This Row],[codigo_proyecto]]="","",_xlfn.XLOOKUP(Tbla_actores[[#This Row],[codigo_proyecto]],Proyectos!$A:$A,Proyectos!$C:$C)),"")</f>
        <v>Proyecto 3</v>
      </c>
    </row>
    <row r="3088" spans="1:15">
      <c r="A3088" s="9">
        <v>1006289685</v>
      </c>
      <c r="B3088" s="63" t="s">
        <v>61</v>
      </c>
      <c r="C3088" s="62" t="s">
        <v>9177</v>
      </c>
      <c r="D3088" t="s">
        <v>63</v>
      </c>
      <c r="E3088" t="s">
        <v>9334</v>
      </c>
      <c r="F3088" s="61">
        <v>37761</v>
      </c>
      <c r="G3088" s="15" t="s">
        <v>73</v>
      </c>
      <c r="H3088" t="s">
        <v>9335</v>
      </c>
      <c r="I3088" s="62" t="s">
        <v>9336</v>
      </c>
      <c r="K3088" s="36" t="s">
        <v>7671</v>
      </c>
      <c r="L3088" t="s">
        <v>69</v>
      </c>
      <c r="M3088" s="62" t="s">
        <v>70</v>
      </c>
      <c r="N3088" t="s">
        <v>9323</v>
      </c>
      <c r="O3088">
        <f>IFERROR(IF(Tbla_actores[[#This Row],[codigo_proyecto]]="","",_xlfn.XLOOKUP(Tbla_actores[[#This Row],[codigo_proyecto]],Proyectos!$A:$A,Proyectos!$C:$C)),"")</f>
        <v>0</v>
      </c>
    </row>
    <row r="3089" spans="1:15">
      <c r="A3089" s="10">
        <v>1011320864</v>
      </c>
      <c r="B3089" s="64" t="s">
        <v>61</v>
      </c>
      <c r="C3089" s="62" t="s">
        <v>9177</v>
      </c>
      <c r="D3089" t="s">
        <v>63</v>
      </c>
      <c r="E3089" t="s">
        <v>9337</v>
      </c>
      <c r="F3089" s="61">
        <v>38262</v>
      </c>
      <c r="G3089" s="15" t="s">
        <v>73</v>
      </c>
      <c r="H3089" t="s">
        <v>9338</v>
      </c>
      <c r="I3089" s="62" t="s">
        <v>9339</v>
      </c>
      <c r="K3089" s="36" t="s">
        <v>68</v>
      </c>
      <c r="L3089" t="s">
        <v>69</v>
      </c>
      <c r="M3089" s="62" t="s">
        <v>70</v>
      </c>
      <c r="N3089" t="s">
        <v>9327</v>
      </c>
      <c r="O3089" t="str">
        <f>IFERROR(IF(Tbla_actores[[#This Row],[codigo_proyecto]]="","",_xlfn.XLOOKUP(Tbla_actores[[#This Row],[codigo_proyecto]],Proyectos!$A:$A,Proyectos!$C:$C)),"")</f>
        <v>Proyecto 3</v>
      </c>
    </row>
    <row r="3090" spans="1:15">
      <c r="A3090" s="9">
        <v>1001097332</v>
      </c>
      <c r="B3090" s="63" t="s">
        <v>61</v>
      </c>
      <c r="C3090" s="62" t="s">
        <v>9177</v>
      </c>
      <c r="D3090" t="s">
        <v>63</v>
      </c>
      <c r="E3090" t="s">
        <v>9340</v>
      </c>
      <c r="F3090" s="61">
        <v>36891</v>
      </c>
      <c r="G3090" s="15" t="s">
        <v>73</v>
      </c>
      <c r="H3090" t="s">
        <v>9341</v>
      </c>
      <c r="I3090" s="62" t="s">
        <v>9342</v>
      </c>
      <c r="K3090" s="36" t="s">
        <v>68</v>
      </c>
      <c r="L3090" t="s">
        <v>69</v>
      </c>
      <c r="M3090" s="62" t="s">
        <v>70</v>
      </c>
      <c r="N3090" t="s">
        <v>9327</v>
      </c>
      <c r="O3090" t="str">
        <f>IFERROR(IF(Tbla_actores[[#This Row],[codigo_proyecto]]="","",_xlfn.XLOOKUP(Tbla_actores[[#This Row],[codigo_proyecto]],Proyectos!$A:$A,Proyectos!$C:$C)),"")</f>
        <v>Proyecto 3</v>
      </c>
    </row>
    <row r="3091" spans="1:15">
      <c r="A3091" s="10">
        <v>1034396757</v>
      </c>
      <c r="B3091" s="64" t="s">
        <v>61</v>
      </c>
      <c r="C3091" s="62" t="s">
        <v>9177</v>
      </c>
      <c r="D3091" t="s">
        <v>63</v>
      </c>
      <c r="E3091" t="s">
        <v>9343</v>
      </c>
      <c r="F3091" s="61">
        <v>38108</v>
      </c>
      <c r="G3091" s="15" t="s">
        <v>73</v>
      </c>
      <c r="H3091" t="s">
        <v>9344</v>
      </c>
      <c r="I3091" s="62" t="s">
        <v>9345</v>
      </c>
      <c r="K3091" s="36" t="s">
        <v>68</v>
      </c>
      <c r="L3091" t="s">
        <v>69</v>
      </c>
      <c r="M3091" s="62" t="s">
        <v>70</v>
      </c>
      <c r="N3091" t="s">
        <v>9327</v>
      </c>
      <c r="O3091" t="str">
        <f>IFERROR(IF(Tbla_actores[[#This Row],[codigo_proyecto]]="","",_xlfn.XLOOKUP(Tbla_actores[[#This Row],[codigo_proyecto]],Proyectos!$A:$A,Proyectos!$C:$C)),"")</f>
        <v>Proyecto 3</v>
      </c>
    </row>
    <row r="3092" spans="1:15">
      <c r="A3092" s="9">
        <v>1032936955</v>
      </c>
      <c r="B3092" s="63" t="s">
        <v>61</v>
      </c>
      <c r="C3092" s="62" t="s">
        <v>9177</v>
      </c>
      <c r="D3092" t="s">
        <v>63</v>
      </c>
      <c r="E3092" t="s">
        <v>9346</v>
      </c>
      <c r="F3092" s="61">
        <v>38145</v>
      </c>
      <c r="G3092" s="15" t="s">
        <v>73</v>
      </c>
      <c r="H3092" t="s">
        <v>9347</v>
      </c>
      <c r="I3092" s="62" t="s">
        <v>9348</v>
      </c>
      <c r="K3092" s="36" t="s">
        <v>68</v>
      </c>
      <c r="L3092" t="s">
        <v>69</v>
      </c>
      <c r="M3092" s="62" t="s">
        <v>70</v>
      </c>
      <c r="N3092" t="s">
        <v>9327</v>
      </c>
      <c r="O3092" t="str">
        <f>IFERROR(IF(Tbla_actores[[#This Row],[codigo_proyecto]]="","",_xlfn.XLOOKUP(Tbla_actores[[#This Row],[codigo_proyecto]],Proyectos!$A:$A,Proyectos!$C:$C)),"")</f>
        <v>Proyecto 3</v>
      </c>
    </row>
    <row r="3093" spans="1:15">
      <c r="A3093" s="10">
        <v>1034657015</v>
      </c>
      <c r="B3093" s="64" t="s">
        <v>61</v>
      </c>
      <c r="C3093" s="62" t="s">
        <v>9177</v>
      </c>
      <c r="D3093" t="s">
        <v>63</v>
      </c>
      <c r="E3093" t="s">
        <v>9349</v>
      </c>
      <c r="F3093" s="61">
        <v>38156</v>
      </c>
      <c r="G3093" s="15" t="s">
        <v>65</v>
      </c>
      <c r="H3093" t="s">
        <v>9350</v>
      </c>
      <c r="I3093" s="62" t="s">
        <v>9351</v>
      </c>
      <c r="K3093" s="36" t="s">
        <v>68</v>
      </c>
      <c r="L3093" t="s">
        <v>69</v>
      </c>
      <c r="M3093" s="62" t="s">
        <v>70</v>
      </c>
      <c r="N3093" t="s">
        <v>9327</v>
      </c>
      <c r="O3093" t="str">
        <f>IFERROR(IF(Tbla_actores[[#This Row],[codigo_proyecto]]="","",_xlfn.XLOOKUP(Tbla_actores[[#This Row],[codigo_proyecto]],Proyectos!$A:$A,Proyectos!$C:$C)),"")</f>
        <v>Proyecto 3</v>
      </c>
    </row>
    <row r="3094" spans="1:15">
      <c r="A3094" s="9">
        <v>1015478387</v>
      </c>
      <c r="B3094" s="63" t="s">
        <v>61</v>
      </c>
      <c r="C3094" s="62" t="s">
        <v>9177</v>
      </c>
      <c r="D3094" t="s">
        <v>63</v>
      </c>
      <c r="E3094" t="s">
        <v>9352</v>
      </c>
      <c r="F3094" s="61">
        <v>36022</v>
      </c>
      <c r="G3094" s="15" t="s">
        <v>73</v>
      </c>
      <c r="H3094" t="s">
        <v>9353</v>
      </c>
      <c r="I3094" s="62" t="s">
        <v>9354</v>
      </c>
      <c r="K3094" s="36" t="s">
        <v>495</v>
      </c>
      <c r="L3094" t="s">
        <v>69</v>
      </c>
      <c r="M3094" s="62" t="s">
        <v>70</v>
      </c>
      <c r="N3094" t="s">
        <v>9355</v>
      </c>
      <c r="O3094" t="str">
        <f>IFERROR(IF(Tbla_actores[[#This Row],[codigo_proyecto]]="","",_xlfn.XLOOKUP(Tbla_actores[[#This Row],[codigo_proyecto]],Proyectos!$A:$A,Proyectos!$C:$C)),"")</f>
        <v>PROYECTO "ALTOS DE LA FLORIDA – SOACHA"</v>
      </c>
    </row>
    <row r="3095" spans="1:15">
      <c r="A3095" s="10">
        <v>1016109922</v>
      </c>
      <c r="B3095" s="64" t="s">
        <v>61</v>
      </c>
      <c r="C3095" s="62" t="s">
        <v>9177</v>
      </c>
      <c r="D3095" t="s">
        <v>63</v>
      </c>
      <c r="E3095" t="s">
        <v>9356</v>
      </c>
      <c r="F3095" s="61">
        <v>36287</v>
      </c>
      <c r="G3095" s="15" t="s">
        <v>73</v>
      </c>
      <c r="H3095" t="s">
        <v>9357</v>
      </c>
      <c r="I3095" s="62" t="s">
        <v>9358</v>
      </c>
      <c r="K3095" s="36" t="s">
        <v>495</v>
      </c>
      <c r="L3095" t="s">
        <v>69</v>
      </c>
      <c r="M3095" s="62" t="s">
        <v>70</v>
      </c>
      <c r="N3095" t="s">
        <v>9355</v>
      </c>
      <c r="O3095" t="str">
        <f>IFERROR(IF(Tbla_actores[[#This Row],[codigo_proyecto]]="","",_xlfn.XLOOKUP(Tbla_actores[[#This Row],[codigo_proyecto]],Proyectos!$A:$A,Proyectos!$C:$C)),"")</f>
        <v>PROYECTO "ALTOS DE LA FLORIDA – SOACHA"</v>
      </c>
    </row>
    <row r="3096" spans="1:15">
      <c r="A3096" s="9">
        <v>1000596392</v>
      </c>
      <c r="B3096" s="63" t="s">
        <v>61</v>
      </c>
      <c r="C3096" s="62" t="s">
        <v>9177</v>
      </c>
      <c r="D3096" t="s">
        <v>63</v>
      </c>
      <c r="E3096" t="s">
        <v>9359</v>
      </c>
      <c r="F3096" s="61">
        <v>37142</v>
      </c>
      <c r="G3096" s="15" t="s">
        <v>73</v>
      </c>
      <c r="H3096" t="s">
        <v>9360</v>
      </c>
      <c r="I3096" s="62" t="s">
        <v>9361</v>
      </c>
      <c r="K3096" s="36" t="s">
        <v>495</v>
      </c>
      <c r="L3096" t="s">
        <v>69</v>
      </c>
      <c r="M3096" s="62" t="s">
        <v>70</v>
      </c>
      <c r="N3096" t="s">
        <v>9355</v>
      </c>
      <c r="O3096" t="str">
        <f>IFERROR(IF(Tbla_actores[[#This Row],[codigo_proyecto]]="","",_xlfn.XLOOKUP(Tbla_actores[[#This Row],[codigo_proyecto]],Proyectos!$A:$A,Proyectos!$C:$C)),"")</f>
        <v>PROYECTO "ALTOS DE LA FLORIDA – SOACHA"</v>
      </c>
    </row>
    <row r="3097" spans="1:15">
      <c r="A3097" s="10">
        <v>1002331036</v>
      </c>
      <c r="B3097" s="64" t="s">
        <v>61</v>
      </c>
      <c r="C3097" s="62" t="s">
        <v>9177</v>
      </c>
      <c r="D3097" t="s">
        <v>63</v>
      </c>
      <c r="E3097" t="s">
        <v>9362</v>
      </c>
      <c r="F3097" s="61">
        <v>37796</v>
      </c>
      <c r="G3097" s="15" t="s">
        <v>73</v>
      </c>
      <c r="H3097" t="s">
        <v>9363</v>
      </c>
      <c r="I3097" s="62" t="s">
        <v>9364</v>
      </c>
      <c r="K3097" s="36" t="s">
        <v>495</v>
      </c>
      <c r="L3097" t="s">
        <v>69</v>
      </c>
      <c r="M3097" s="62" t="s">
        <v>70</v>
      </c>
      <c r="N3097" t="s">
        <v>9355</v>
      </c>
      <c r="O3097" t="str">
        <f>IFERROR(IF(Tbla_actores[[#This Row],[codigo_proyecto]]="","",_xlfn.XLOOKUP(Tbla_actores[[#This Row],[codigo_proyecto]],Proyectos!$A:$A,Proyectos!$C:$C)),"")</f>
        <v>PROYECTO "ALTOS DE LA FLORIDA – SOACHA"</v>
      </c>
    </row>
    <row r="3098" spans="1:15">
      <c r="A3098" s="9">
        <v>1013685972</v>
      </c>
      <c r="B3098" s="63" t="s">
        <v>61</v>
      </c>
      <c r="C3098" s="62" t="s">
        <v>9177</v>
      </c>
      <c r="D3098" t="s">
        <v>63</v>
      </c>
      <c r="E3098" t="s">
        <v>9365</v>
      </c>
      <c r="F3098" s="61">
        <v>36150</v>
      </c>
      <c r="G3098" s="15" t="s">
        <v>73</v>
      </c>
      <c r="H3098" t="s">
        <v>9366</v>
      </c>
      <c r="I3098" s="62" t="s">
        <v>9367</v>
      </c>
      <c r="K3098" s="36" t="s">
        <v>495</v>
      </c>
      <c r="L3098" t="s">
        <v>69</v>
      </c>
      <c r="M3098" s="62" t="s">
        <v>70</v>
      </c>
      <c r="N3098" t="s">
        <v>9355</v>
      </c>
      <c r="O3098" t="str">
        <f>IFERROR(IF(Tbla_actores[[#This Row],[codigo_proyecto]]="","",_xlfn.XLOOKUP(Tbla_actores[[#This Row],[codigo_proyecto]],Proyectos!$A:$A,Proyectos!$C:$C)),"")</f>
        <v>PROYECTO "ALTOS DE LA FLORIDA – SOACHA"</v>
      </c>
    </row>
    <row r="3099" spans="1:15">
      <c r="A3099" s="10">
        <v>1003559237</v>
      </c>
      <c r="B3099" s="64" t="s">
        <v>61</v>
      </c>
      <c r="C3099" s="62" t="s">
        <v>9177</v>
      </c>
      <c r="D3099" t="s">
        <v>63</v>
      </c>
      <c r="E3099" t="s">
        <v>9368</v>
      </c>
      <c r="F3099" s="61">
        <v>37724</v>
      </c>
      <c r="G3099" s="15" t="s">
        <v>73</v>
      </c>
      <c r="H3099" t="s">
        <v>9369</v>
      </c>
      <c r="I3099" s="62" t="s">
        <v>9370</v>
      </c>
      <c r="K3099" s="36" t="s">
        <v>495</v>
      </c>
      <c r="L3099" t="s">
        <v>69</v>
      </c>
      <c r="M3099" s="62" t="s">
        <v>70</v>
      </c>
      <c r="N3099" t="s">
        <v>9355</v>
      </c>
      <c r="O3099" t="str">
        <f>IFERROR(IF(Tbla_actores[[#This Row],[codigo_proyecto]]="","",_xlfn.XLOOKUP(Tbla_actores[[#This Row],[codigo_proyecto]],Proyectos!$A:$A,Proyectos!$C:$C)),"")</f>
        <v>PROYECTO "ALTOS DE LA FLORIDA – SOACHA"</v>
      </c>
    </row>
    <row r="3100" spans="1:15">
      <c r="A3100" s="9">
        <v>1019152910</v>
      </c>
      <c r="B3100" s="63" t="s">
        <v>61</v>
      </c>
      <c r="C3100" s="62" t="s">
        <v>9177</v>
      </c>
      <c r="D3100" t="s">
        <v>63</v>
      </c>
      <c r="E3100" t="s">
        <v>9371</v>
      </c>
      <c r="F3100" s="61">
        <v>36488</v>
      </c>
      <c r="G3100" s="15" t="s">
        <v>73</v>
      </c>
      <c r="H3100" t="s">
        <v>9372</v>
      </c>
      <c r="I3100" s="62" t="s">
        <v>9373</v>
      </c>
      <c r="K3100" s="36" t="s">
        <v>495</v>
      </c>
      <c r="L3100" t="s">
        <v>69</v>
      </c>
      <c r="M3100" s="62" t="s">
        <v>70</v>
      </c>
      <c r="N3100" t="s">
        <v>9355</v>
      </c>
      <c r="O3100" t="str">
        <f>IFERROR(IF(Tbla_actores[[#This Row],[codigo_proyecto]]="","",_xlfn.XLOOKUP(Tbla_actores[[#This Row],[codigo_proyecto]],Proyectos!$A:$A,Proyectos!$C:$C)),"")</f>
        <v>PROYECTO "ALTOS DE LA FLORIDA – SOACHA"</v>
      </c>
    </row>
    <row r="3101" spans="1:15">
      <c r="A3101" s="10">
        <v>1013101210</v>
      </c>
      <c r="B3101" s="64" t="s">
        <v>61</v>
      </c>
      <c r="C3101" s="62" t="s">
        <v>9177</v>
      </c>
      <c r="D3101" t="s">
        <v>63</v>
      </c>
      <c r="E3101" t="s">
        <v>9374</v>
      </c>
      <c r="F3101" s="61">
        <v>38236</v>
      </c>
      <c r="G3101" s="15" t="s">
        <v>73</v>
      </c>
      <c r="H3101" t="s">
        <v>9375</v>
      </c>
      <c r="I3101" s="62" t="s">
        <v>9376</v>
      </c>
      <c r="K3101" s="36" t="s">
        <v>495</v>
      </c>
      <c r="L3101" t="s">
        <v>69</v>
      </c>
      <c r="M3101" s="62" t="s">
        <v>70</v>
      </c>
      <c r="N3101" t="s">
        <v>9355</v>
      </c>
      <c r="O3101" t="str">
        <f>IFERROR(IF(Tbla_actores[[#This Row],[codigo_proyecto]]="","",_xlfn.XLOOKUP(Tbla_actores[[#This Row],[codigo_proyecto]],Proyectos!$A:$A,Proyectos!$C:$C)),"")</f>
        <v>PROYECTO "ALTOS DE LA FLORIDA – SOACHA"</v>
      </c>
    </row>
    <row r="3102" spans="1:15">
      <c r="A3102" s="9">
        <v>1000594849</v>
      </c>
      <c r="B3102" s="63" t="s">
        <v>61</v>
      </c>
      <c r="C3102" s="62" t="s">
        <v>9177</v>
      </c>
      <c r="D3102" t="s">
        <v>63</v>
      </c>
      <c r="E3102" t="s">
        <v>9377</v>
      </c>
      <c r="F3102" s="61">
        <v>37850</v>
      </c>
      <c r="G3102" s="15" t="s">
        <v>73</v>
      </c>
      <c r="H3102" t="s">
        <v>9378</v>
      </c>
      <c r="I3102" s="62" t="s">
        <v>9379</v>
      </c>
      <c r="K3102" s="36" t="s">
        <v>495</v>
      </c>
      <c r="L3102" t="s">
        <v>69</v>
      </c>
      <c r="M3102" s="62" t="s">
        <v>70</v>
      </c>
      <c r="N3102" t="s">
        <v>9355</v>
      </c>
      <c r="O3102" t="str">
        <f>IFERROR(IF(Tbla_actores[[#This Row],[codigo_proyecto]]="","",_xlfn.XLOOKUP(Tbla_actores[[#This Row],[codigo_proyecto]],Proyectos!$A:$A,Proyectos!$C:$C)),"")</f>
        <v>PROYECTO "ALTOS DE LA FLORIDA – SOACHA"</v>
      </c>
    </row>
    <row r="3103" spans="1:15">
      <c r="A3103" s="10">
        <v>1002528560</v>
      </c>
      <c r="B3103" s="64" t="s">
        <v>61</v>
      </c>
      <c r="C3103" s="62" t="s">
        <v>9177</v>
      </c>
      <c r="D3103" t="s">
        <v>63</v>
      </c>
      <c r="E3103" t="s">
        <v>9380</v>
      </c>
      <c r="F3103" s="61">
        <v>37562</v>
      </c>
      <c r="G3103" s="15" t="s">
        <v>73</v>
      </c>
      <c r="H3103" t="s">
        <v>9381</v>
      </c>
      <c r="I3103" s="62" t="s">
        <v>9382</v>
      </c>
      <c r="K3103" s="36" t="s">
        <v>495</v>
      </c>
      <c r="L3103" t="s">
        <v>69</v>
      </c>
      <c r="M3103" s="62" t="s">
        <v>70</v>
      </c>
      <c r="N3103" t="s">
        <v>9355</v>
      </c>
      <c r="O3103" t="str">
        <f>IFERROR(IF(Tbla_actores[[#This Row],[codigo_proyecto]]="","",_xlfn.XLOOKUP(Tbla_actores[[#This Row],[codigo_proyecto]],Proyectos!$A:$A,Proyectos!$C:$C)),"")</f>
        <v>PROYECTO "ALTOS DE LA FLORIDA – SOACHA"</v>
      </c>
    </row>
    <row r="3104" spans="1:15">
      <c r="A3104" s="9">
        <v>1006877007</v>
      </c>
      <c r="B3104" s="63" t="s">
        <v>61</v>
      </c>
      <c r="C3104" s="62" t="s">
        <v>9177</v>
      </c>
      <c r="D3104" t="s">
        <v>63</v>
      </c>
      <c r="E3104" t="s">
        <v>9383</v>
      </c>
      <c r="F3104" s="61">
        <v>37782</v>
      </c>
      <c r="G3104" s="15" t="s">
        <v>73</v>
      </c>
      <c r="H3104" t="s">
        <v>9384</v>
      </c>
      <c r="I3104" s="62" t="s">
        <v>9385</v>
      </c>
      <c r="K3104" s="36" t="s">
        <v>495</v>
      </c>
      <c r="L3104" t="s">
        <v>69</v>
      </c>
      <c r="M3104" s="62" t="s">
        <v>70</v>
      </c>
      <c r="N3104" t="s">
        <v>9355</v>
      </c>
      <c r="O3104" t="str">
        <f>IFERROR(IF(Tbla_actores[[#This Row],[codigo_proyecto]]="","",_xlfn.XLOOKUP(Tbla_actores[[#This Row],[codigo_proyecto]],Proyectos!$A:$A,Proyectos!$C:$C)),"")</f>
        <v>PROYECTO "ALTOS DE LA FLORIDA – SOACHA"</v>
      </c>
    </row>
    <row r="3105" spans="1:15">
      <c r="A3105" s="10">
        <v>1007973368</v>
      </c>
      <c r="B3105" s="64" t="s">
        <v>61</v>
      </c>
      <c r="C3105" s="62" t="s">
        <v>9177</v>
      </c>
      <c r="D3105" t="s">
        <v>63</v>
      </c>
      <c r="E3105" t="s">
        <v>9386</v>
      </c>
      <c r="F3105" s="61">
        <v>37845</v>
      </c>
      <c r="G3105" s="15" t="s">
        <v>73</v>
      </c>
      <c r="H3105" t="s">
        <v>9387</v>
      </c>
      <c r="I3105" s="62" t="s">
        <v>9388</v>
      </c>
      <c r="K3105" s="36" t="s">
        <v>495</v>
      </c>
      <c r="L3105" t="s">
        <v>69</v>
      </c>
      <c r="M3105" s="62" t="s">
        <v>70</v>
      </c>
      <c r="N3105" t="s">
        <v>9355</v>
      </c>
      <c r="O3105" t="str">
        <f>IFERROR(IF(Tbla_actores[[#This Row],[codigo_proyecto]]="","",_xlfn.XLOOKUP(Tbla_actores[[#This Row],[codigo_proyecto]],Proyectos!$A:$A,Proyectos!$C:$C)),"")</f>
        <v>PROYECTO "ALTOS DE LA FLORIDA – SOACHA"</v>
      </c>
    </row>
    <row r="3106" spans="1:15">
      <c r="A3106" s="9">
        <v>1001094932</v>
      </c>
      <c r="B3106" s="63" t="s">
        <v>61</v>
      </c>
      <c r="C3106" s="62" t="s">
        <v>9177</v>
      </c>
      <c r="D3106" t="s">
        <v>63</v>
      </c>
      <c r="E3106" t="s">
        <v>9389</v>
      </c>
      <c r="F3106" s="61">
        <v>37593</v>
      </c>
      <c r="G3106" s="15" t="s">
        <v>73</v>
      </c>
      <c r="H3106" t="s">
        <v>9390</v>
      </c>
      <c r="I3106" s="62" t="s">
        <v>9391</v>
      </c>
      <c r="K3106" s="36" t="s">
        <v>495</v>
      </c>
      <c r="L3106" t="s">
        <v>69</v>
      </c>
      <c r="M3106" s="62" t="s">
        <v>70</v>
      </c>
      <c r="N3106" t="s">
        <v>9355</v>
      </c>
      <c r="O3106" t="str">
        <f>IFERROR(IF(Tbla_actores[[#This Row],[codigo_proyecto]]="","",_xlfn.XLOOKUP(Tbla_actores[[#This Row],[codigo_proyecto]],Proyectos!$A:$A,Proyectos!$C:$C)),"")</f>
        <v>PROYECTO "ALTOS DE LA FLORIDA – SOACHA"</v>
      </c>
    </row>
    <row r="3107" spans="1:15">
      <c r="A3107" s="10">
        <v>1041973720</v>
      </c>
      <c r="B3107" s="64" t="s">
        <v>61</v>
      </c>
      <c r="C3107" s="62" t="s">
        <v>9177</v>
      </c>
      <c r="D3107" t="s">
        <v>63</v>
      </c>
      <c r="E3107" t="s">
        <v>9392</v>
      </c>
      <c r="F3107" s="61">
        <v>38290</v>
      </c>
      <c r="G3107" s="15" t="s">
        <v>73</v>
      </c>
      <c r="H3107" t="s">
        <v>9393</v>
      </c>
      <c r="I3107" s="62" t="s">
        <v>9394</v>
      </c>
      <c r="K3107" s="36" t="s">
        <v>495</v>
      </c>
      <c r="L3107" t="s">
        <v>69</v>
      </c>
      <c r="M3107" s="62" t="s">
        <v>70</v>
      </c>
      <c r="N3107" t="s">
        <v>9355</v>
      </c>
      <c r="O3107" t="str">
        <f>IFERROR(IF(Tbla_actores[[#This Row],[codigo_proyecto]]="","",_xlfn.XLOOKUP(Tbla_actores[[#This Row],[codigo_proyecto]],Proyectos!$A:$A,Proyectos!$C:$C)),"")</f>
        <v>PROYECTO "ALTOS DE LA FLORIDA – SOACHA"</v>
      </c>
    </row>
    <row r="3108" spans="1:15">
      <c r="A3108" s="9">
        <v>1022435408</v>
      </c>
      <c r="B3108" s="63" t="s">
        <v>61</v>
      </c>
      <c r="C3108" s="62" t="s">
        <v>9177</v>
      </c>
      <c r="D3108" t="s">
        <v>63</v>
      </c>
      <c r="E3108" t="s">
        <v>9395</v>
      </c>
      <c r="F3108" s="61">
        <v>35921</v>
      </c>
      <c r="G3108" s="15" t="s">
        <v>65</v>
      </c>
      <c r="H3108" t="s">
        <v>9396</v>
      </c>
      <c r="I3108" s="62" t="s">
        <v>9397</v>
      </c>
      <c r="K3108" s="36" t="s">
        <v>495</v>
      </c>
      <c r="L3108" t="s">
        <v>69</v>
      </c>
      <c r="M3108" s="62" t="s">
        <v>70</v>
      </c>
      <c r="N3108" t="s">
        <v>9355</v>
      </c>
      <c r="O3108" t="str">
        <f>IFERROR(IF(Tbla_actores[[#This Row],[codigo_proyecto]]="","",_xlfn.XLOOKUP(Tbla_actores[[#This Row],[codigo_proyecto]],Proyectos!$A:$A,Proyectos!$C:$C)),"")</f>
        <v>PROYECTO "ALTOS DE LA FLORIDA – SOACHA"</v>
      </c>
    </row>
    <row r="3109" spans="1:15">
      <c r="A3109" s="10">
        <v>1000017718</v>
      </c>
      <c r="B3109" s="64" t="s">
        <v>61</v>
      </c>
      <c r="C3109" s="62" t="s">
        <v>9177</v>
      </c>
      <c r="D3109" t="s">
        <v>63</v>
      </c>
      <c r="E3109" t="s">
        <v>9398</v>
      </c>
      <c r="F3109" s="61">
        <v>36926</v>
      </c>
      <c r="G3109" s="15" t="s">
        <v>73</v>
      </c>
      <c r="H3109" t="s">
        <v>9399</v>
      </c>
      <c r="I3109" s="62" t="s">
        <v>9400</v>
      </c>
      <c r="K3109" s="36" t="s">
        <v>495</v>
      </c>
      <c r="L3109" t="s">
        <v>69</v>
      </c>
      <c r="M3109" s="62" t="s">
        <v>70</v>
      </c>
      <c r="N3109" t="s">
        <v>9355</v>
      </c>
      <c r="O3109" t="str">
        <f>IFERROR(IF(Tbla_actores[[#This Row],[codigo_proyecto]]="","",_xlfn.XLOOKUP(Tbla_actores[[#This Row],[codigo_proyecto]],Proyectos!$A:$A,Proyectos!$C:$C)),"")</f>
        <v>PROYECTO "ALTOS DE LA FLORIDA – SOACHA"</v>
      </c>
    </row>
    <row r="3110" spans="1:15">
      <c r="A3110" s="9">
        <v>1081053413</v>
      </c>
      <c r="B3110" s="63" t="s">
        <v>61</v>
      </c>
      <c r="C3110" s="62" t="s">
        <v>9177</v>
      </c>
      <c r="D3110" t="s">
        <v>63</v>
      </c>
      <c r="E3110" t="s">
        <v>9401</v>
      </c>
      <c r="F3110" s="61">
        <v>38303</v>
      </c>
      <c r="G3110" s="15" t="s">
        <v>73</v>
      </c>
      <c r="H3110" t="s">
        <v>9402</v>
      </c>
      <c r="I3110" s="62" t="s">
        <v>9403</v>
      </c>
      <c r="K3110" s="36" t="s">
        <v>495</v>
      </c>
      <c r="L3110" t="s">
        <v>69</v>
      </c>
      <c r="M3110" s="62" t="s">
        <v>70</v>
      </c>
      <c r="N3110" t="s">
        <v>9355</v>
      </c>
      <c r="O3110" t="str">
        <f>IFERROR(IF(Tbla_actores[[#This Row],[codigo_proyecto]]="","",_xlfn.XLOOKUP(Tbla_actores[[#This Row],[codigo_proyecto]],Proyectos!$A:$A,Proyectos!$C:$C)),"")</f>
        <v>PROYECTO "ALTOS DE LA FLORIDA – SOACHA"</v>
      </c>
    </row>
    <row r="3111" spans="1:15">
      <c r="A3111" s="10">
        <v>1001078111</v>
      </c>
      <c r="B3111" s="64" t="s">
        <v>61</v>
      </c>
      <c r="C3111" s="62" t="s">
        <v>9177</v>
      </c>
      <c r="D3111" t="s">
        <v>63</v>
      </c>
      <c r="E3111" t="s">
        <v>9404</v>
      </c>
      <c r="F3111" s="61">
        <v>37812</v>
      </c>
      <c r="G3111" s="15" t="s">
        <v>73</v>
      </c>
      <c r="H3111" t="s">
        <v>9405</v>
      </c>
      <c r="I3111" s="62" t="s">
        <v>9406</v>
      </c>
      <c r="K3111" s="36" t="s">
        <v>495</v>
      </c>
      <c r="L3111" t="s">
        <v>69</v>
      </c>
      <c r="M3111" s="62" t="s">
        <v>70</v>
      </c>
      <c r="N3111" t="s">
        <v>9355</v>
      </c>
      <c r="O3111" t="str">
        <f>IFERROR(IF(Tbla_actores[[#This Row],[codigo_proyecto]]="","",_xlfn.XLOOKUP(Tbla_actores[[#This Row],[codigo_proyecto]],Proyectos!$A:$A,Proyectos!$C:$C)),"")</f>
        <v>PROYECTO "ALTOS DE LA FLORIDA – SOACHA"</v>
      </c>
    </row>
    <row r="3112" spans="1:15">
      <c r="A3112" s="9">
        <v>1081272683</v>
      </c>
      <c r="B3112" s="63" t="s">
        <v>61</v>
      </c>
      <c r="C3112" s="62" t="s">
        <v>9177</v>
      </c>
      <c r="D3112" t="s">
        <v>63</v>
      </c>
      <c r="E3112" t="s">
        <v>9407</v>
      </c>
      <c r="F3112" s="61">
        <v>38042</v>
      </c>
      <c r="G3112" s="15" t="s">
        <v>73</v>
      </c>
      <c r="H3112" t="s">
        <v>9408</v>
      </c>
      <c r="I3112" s="62" t="s">
        <v>9409</v>
      </c>
      <c r="K3112" s="36" t="s">
        <v>495</v>
      </c>
      <c r="L3112" t="s">
        <v>69</v>
      </c>
      <c r="M3112" s="62" t="s">
        <v>70</v>
      </c>
      <c r="N3112" t="s">
        <v>9355</v>
      </c>
      <c r="O3112" t="str">
        <f>IFERROR(IF(Tbla_actores[[#This Row],[codigo_proyecto]]="","",_xlfn.XLOOKUP(Tbla_actores[[#This Row],[codigo_proyecto]],Proyectos!$A:$A,Proyectos!$C:$C)),"")</f>
        <v>PROYECTO "ALTOS DE LA FLORIDA – SOACHA"</v>
      </c>
    </row>
    <row r="3113" spans="1:15">
      <c r="A3113" s="10">
        <v>1083867829</v>
      </c>
      <c r="B3113" s="64" t="s">
        <v>61</v>
      </c>
      <c r="C3113" s="62" t="s">
        <v>9177</v>
      </c>
      <c r="D3113" t="s">
        <v>63</v>
      </c>
      <c r="E3113" t="s">
        <v>9410</v>
      </c>
      <c r="F3113" s="61">
        <v>38226</v>
      </c>
      <c r="G3113" s="15" t="s">
        <v>73</v>
      </c>
      <c r="H3113" t="s">
        <v>9411</v>
      </c>
      <c r="I3113" s="62" t="s">
        <v>9412</v>
      </c>
      <c r="K3113" s="36" t="s">
        <v>495</v>
      </c>
      <c r="L3113" t="s">
        <v>69</v>
      </c>
      <c r="M3113" s="62" t="s">
        <v>70</v>
      </c>
      <c r="N3113" t="s">
        <v>9355</v>
      </c>
      <c r="O3113" t="str">
        <f>IFERROR(IF(Tbla_actores[[#This Row],[codigo_proyecto]]="","",_xlfn.XLOOKUP(Tbla_actores[[#This Row],[codigo_proyecto]],Proyectos!$A:$A,Proyectos!$C:$C)),"")</f>
        <v>PROYECTO "ALTOS DE LA FLORIDA – SOACHA"</v>
      </c>
    </row>
    <row r="3114" spans="1:15">
      <c r="A3114" s="9">
        <v>1027281355</v>
      </c>
      <c r="B3114" s="63" t="s">
        <v>61</v>
      </c>
      <c r="C3114" s="62" t="s">
        <v>9177</v>
      </c>
      <c r="D3114" t="s">
        <v>63</v>
      </c>
      <c r="E3114" t="s">
        <v>9413</v>
      </c>
      <c r="F3114" s="61">
        <v>38421</v>
      </c>
      <c r="G3114" s="15" t="s">
        <v>73</v>
      </c>
      <c r="H3114" t="s">
        <v>9414</v>
      </c>
      <c r="I3114" s="62" t="s">
        <v>9415</v>
      </c>
      <c r="K3114" s="36" t="s">
        <v>495</v>
      </c>
      <c r="L3114" t="s">
        <v>69</v>
      </c>
      <c r="M3114" s="62" t="s">
        <v>70</v>
      </c>
      <c r="N3114" t="s">
        <v>9355</v>
      </c>
      <c r="O3114" t="str">
        <f>IFERROR(IF(Tbla_actores[[#This Row],[codigo_proyecto]]="","",_xlfn.XLOOKUP(Tbla_actores[[#This Row],[codigo_proyecto]],Proyectos!$A:$A,Proyectos!$C:$C)),"")</f>
        <v>PROYECTO "ALTOS DE LA FLORIDA – SOACHA"</v>
      </c>
    </row>
    <row r="3115" spans="1:15">
      <c r="A3115" s="10">
        <v>1076902299</v>
      </c>
      <c r="B3115" s="64" t="s">
        <v>61</v>
      </c>
      <c r="C3115" s="62" t="s">
        <v>9177</v>
      </c>
      <c r="D3115" t="s">
        <v>63</v>
      </c>
      <c r="E3115" t="s">
        <v>9416</v>
      </c>
      <c r="F3115" s="61">
        <v>38075</v>
      </c>
      <c r="G3115" s="15" t="s">
        <v>73</v>
      </c>
      <c r="H3115" t="s">
        <v>9417</v>
      </c>
      <c r="I3115" s="62" t="s">
        <v>9418</v>
      </c>
      <c r="K3115" s="36" t="s">
        <v>495</v>
      </c>
      <c r="L3115" t="s">
        <v>69</v>
      </c>
      <c r="M3115" s="62" t="s">
        <v>70</v>
      </c>
      <c r="N3115" t="s">
        <v>9355</v>
      </c>
      <c r="O3115" t="str">
        <f>IFERROR(IF(Tbla_actores[[#This Row],[codigo_proyecto]]="","",_xlfn.XLOOKUP(Tbla_actores[[#This Row],[codigo_proyecto]],Proyectos!$A:$A,Proyectos!$C:$C)),"")</f>
        <v>PROYECTO "ALTOS DE LA FLORIDA – SOACHA"</v>
      </c>
    </row>
    <row r="3116" spans="1:15">
      <c r="A3116" s="9">
        <v>1046695362</v>
      </c>
      <c r="B3116" s="63" t="s">
        <v>61</v>
      </c>
      <c r="C3116" s="62" t="s">
        <v>9177</v>
      </c>
      <c r="D3116" t="s">
        <v>63</v>
      </c>
      <c r="E3116" t="s">
        <v>9419</v>
      </c>
      <c r="F3116" s="61">
        <v>38336</v>
      </c>
      <c r="G3116" s="15" t="s">
        <v>65</v>
      </c>
      <c r="H3116" t="s">
        <v>9420</v>
      </c>
      <c r="I3116" s="62" t="s">
        <v>9421</v>
      </c>
      <c r="K3116" s="36" t="s">
        <v>495</v>
      </c>
      <c r="L3116" t="s">
        <v>69</v>
      </c>
      <c r="M3116" s="62" t="s">
        <v>70</v>
      </c>
      <c r="N3116" t="s">
        <v>9355</v>
      </c>
      <c r="O3116" t="str">
        <f>IFERROR(IF(Tbla_actores[[#This Row],[codigo_proyecto]]="","",_xlfn.XLOOKUP(Tbla_actores[[#This Row],[codigo_proyecto]],Proyectos!$A:$A,Proyectos!$C:$C)),"")</f>
        <v>PROYECTO "ALTOS DE LA FLORIDA – SOACHA"</v>
      </c>
    </row>
    <row r="3117" spans="1:15">
      <c r="A3117" s="10">
        <v>1034280438</v>
      </c>
      <c r="B3117" s="64" t="s">
        <v>61</v>
      </c>
      <c r="C3117" s="62" t="s">
        <v>9177</v>
      </c>
      <c r="D3117" t="s">
        <v>63</v>
      </c>
      <c r="E3117" t="s">
        <v>9422</v>
      </c>
      <c r="F3117" s="61">
        <v>38422</v>
      </c>
      <c r="G3117" s="15" t="s">
        <v>65</v>
      </c>
      <c r="H3117" t="s">
        <v>9423</v>
      </c>
      <c r="I3117" s="62" t="s">
        <v>9424</v>
      </c>
      <c r="K3117" s="36" t="s">
        <v>169</v>
      </c>
      <c r="L3117" t="s">
        <v>69</v>
      </c>
      <c r="M3117" s="62" t="s">
        <v>170</v>
      </c>
      <c r="N3117" t="s">
        <v>9425</v>
      </c>
      <c r="O3117">
        <f>IFERROR(IF(Tbla_actores[[#This Row],[codigo_proyecto]]="","",_xlfn.XLOOKUP(Tbla_actores[[#This Row],[codigo_proyecto]],Proyectos!$A:$A,Proyectos!$C:$C)),"")</f>
        <v>0</v>
      </c>
    </row>
    <row r="3118" spans="1:15">
      <c r="A3118" s="9">
        <v>1011086770</v>
      </c>
      <c r="B3118" s="63" t="s">
        <v>61</v>
      </c>
      <c r="C3118" s="62" t="s">
        <v>9177</v>
      </c>
      <c r="D3118" t="s">
        <v>63</v>
      </c>
      <c r="E3118" t="s">
        <v>9426</v>
      </c>
      <c r="F3118" s="61">
        <v>38577</v>
      </c>
      <c r="G3118" s="15" t="s">
        <v>65</v>
      </c>
      <c r="H3118" t="s">
        <v>9427</v>
      </c>
      <c r="I3118" s="62" t="s">
        <v>9428</v>
      </c>
      <c r="K3118" s="36" t="s">
        <v>169</v>
      </c>
      <c r="L3118" t="s">
        <v>69</v>
      </c>
      <c r="M3118" s="62" t="s">
        <v>170</v>
      </c>
      <c r="N3118" t="s">
        <v>9425</v>
      </c>
      <c r="O3118">
        <f>IFERROR(IF(Tbla_actores[[#This Row],[codigo_proyecto]]="","",_xlfn.XLOOKUP(Tbla_actores[[#This Row],[codigo_proyecto]],Proyectos!$A:$A,Proyectos!$C:$C)),"")</f>
        <v>0</v>
      </c>
    </row>
    <row r="3119" spans="1:15">
      <c r="A3119" s="10">
        <v>1013036351</v>
      </c>
      <c r="B3119" s="64" t="s">
        <v>61</v>
      </c>
      <c r="C3119" s="62" t="s">
        <v>9177</v>
      </c>
      <c r="D3119" t="s">
        <v>63</v>
      </c>
      <c r="E3119" t="s">
        <v>9429</v>
      </c>
      <c r="F3119" s="61">
        <v>38143</v>
      </c>
      <c r="G3119" s="15" t="s">
        <v>65</v>
      </c>
      <c r="H3119" t="s">
        <v>9430</v>
      </c>
      <c r="I3119" s="62" t="s">
        <v>9431</v>
      </c>
      <c r="K3119" s="36" t="s">
        <v>6427</v>
      </c>
      <c r="L3119" t="s">
        <v>69</v>
      </c>
      <c r="M3119" s="62" t="s">
        <v>70</v>
      </c>
      <c r="N3119" t="s">
        <v>9432</v>
      </c>
      <c r="O3119" t="str">
        <f>IFERROR(IF(Tbla_actores[[#This Row],[codigo_proyecto]]="","",_xlfn.XLOOKUP(Tbla_actores[[#This Row],[codigo_proyecto]],Proyectos!$A:$A,Proyectos!$C:$C)),"")</f>
        <v>Proyecto de bioseguridad, información,  protocolos y procedimientos</v>
      </c>
    </row>
    <row r="3120" spans="1:15">
      <c r="A3120" s="9">
        <v>1031420137</v>
      </c>
      <c r="B3120" s="63" t="s">
        <v>61</v>
      </c>
      <c r="C3120" s="62" t="s">
        <v>9177</v>
      </c>
      <c r="D3120" t="s">
        <v>63</v>
      </c>
      <c r="E3120" t="s">
        <v>9433</v>
      </c>
      <c r="F3120" s="61">
        <v>38003</v>
      </c>
      <c r="G3120" s="15" t="s">
        <v>65</v>
      </c>
      <c r="H3120" t="s">
        <v>9434</v>
      </c>
      <c r="I3120" s="62" t="s">
        <v>9435</v>
      </c>
      <c r="K3120" s="36" t="s">
        <v>6427</v>
      </c>
      <c r="L3120" t="s">
        <v>69</v>
      </c>
      <c r="M3120" s="62" t="s">
        <v>70</v>
      </c>
      <c r="N3120" t="s">
        <v>9432</v>
      </c>
      <c r="O3120" t="str">
        <f>IFERROR(IF(Tbla_actores[[#This Row],[codigo_proyecto]]="","",_xlfn.XLOOKUP(Tbla_actores[[#This Row],[codigo_proyecto]],Proyectos!$A:$A,Proyectos!$C:$C)),"")</f>
        <v>Proyecto de bioseguridad, información,  protocolos y procedimientos</v>
      </c>
    </row>
    <row r="3121" spans="1:15">
      <c r="A3121" s="10">
        <v>1007766940</v>
      </c>
      <c r="B3121" s="64" t="s">
        <v>61</v>
      </c>
      <c r="C3121" s="62" t="s">
        <v>9177</v>
      </c>
      <c r="D3121" t="s">
        <v>63</v>
      </c>
      <c r="E3121" t="s">
        <v>9436</v>
      </c>
      <c r="F3121" s="61">
        <v>36770</v>
      </c>
      <c r="G3121" s="15" t="s">
        <v>65</v>
      </c>
      <c r="H3121" t="s">
        <v>9437</v>
      </c>
      <c r="I3121" s="62" t="s">
        <v>9438</v>
      </c>
      <c r="K3121" s="36" t="s">
        <v>169</v>
      </c>
      <c r="L3121" t="s">
        <v>69</v>
      </c>
      <c r="M3121" s="62" t="s">
        <v>170</v>
      </c>
      <c r="N3121" t="s">
        <v>9432</v>
      </c>
      <c r="O3121" t="str">
        <f>IFERROR(IF(Tbla_actores[[#This Row],[codigo_proyecto]]="","",_xlfn.XLOOKUP(Tbla_actores[[#This Row],[codigo_proyecto]],Proyectos!$A:$A,Proyectos!$C:$C)),"")</f>
        <v>Proyecto de bioseguridad, información,  protocolos y procedimientos</v>
      </c>
    </row>
    <row r="3122" spans="1:15">
      <c r="A3122" s="9">
        <v>1000942132</v>
      </c>
      <c r="B3122" s="63" t="s">
        <v>61</v>
      </c>
      <c r="C3122" s="62" t="s">
        <v>9177</v>
      </c>
      <c r="D3122" t="s">
        <v>63</v>
      </c>
      <c r="E3122" t="s">
        <v>9439</v>
      </c>
      <c r="F3122" s="61">
        <v>37925</v>
      </c>
      <c r="G3122" s="15" t="s">
        <v>73</v>
      </c>
      <c r="H3122" t="s">
        <v>9440</v>
      </c>
      <c r="I3122" s="62" t="s">
        <v>9441</v>
      </c>
      <c r="K3122" s="36" t="s">
        <v>68</v>
      </c>
      <c r="L3122" t="s">
        <v>69</v>
      </c>
      <c r="M3122" s="62" t="s">
        <v>70</v>
      </c>
      <c r="N3122" t="s">
        <v>9442</v>
      </c>
      <c r="O3122" t="str">
        <f>IFERROR(IF(Tbla_actores[[#This Row],[codigo_proyecto]]="","",_xlfn.XLOOKUP(Tbla_actores[[#This Row],[codigo_proyecto]],Proyectos!$A:$A,Proyectos!$C:$C)),"")</f>
        <v>Proyecto 4</v>
      </c>
    </row>
    <row r="3123" spans="1:15">
      <c r="A3123" s="10">
        <v>1000150155</v>
      </c>
      <c r="B3123" s="64" t="s">
        <v>61</v>
      </c>
      <c r="C3123" s="62" t="s">
        <v>9177</v>
      </c>
      <c r="D3123" t="s">
        <v>63</v>
      </c>
      <c r="E3123" t="s">
        <v>9443</v>
      </c>
      <c r="F3123" s="61">
        <v>37196</v>
      </c>
      <c r="G3123" s="15" t="s">
        <v>73</v>
      </c>
      <c r="H3123" t="s">
        <v>9444</v>
      </c>
      <c r="I3123" s="62" t="s">
        <v>9445</v>
      </c>
      <c r="K3123" s="36" t="s">
        <v>68</v>
      </c>
      <c r="L3123" t="s">
        <v>69</v>
      </c>
      <c r="M3123" s="62" t="s">
        <v>70</v>
      </c>
      <c r="N3123" t="s">
        <v>9442</v>
      </c>
      <c r="O3123" t="str">
        <f>IFERROR(IF(Tbla_actores[[#This Row],[codigo_proyecto]]="","",_xlfn.XLOOKUP(Tbla_actores[[#This Row],[codigo_proyecto]],Proyectos!$A:$A,Proyectos!$C:$C)),"")</f>
        <v>Proyecto 4</v>
      </c>
    </row>
    <row r="3124" spans="1:15">
      <c r="A3124" s="9">
        <v>1007530048</v>
      </c>
      <c r="B3124" s="63" t="s">
        <v>61</v>
      </c>
      <c r="C3124" s="62" t="s">
        <v>9177</v>
      </c>
      <c r="D3124" t="s">
        <v>63</v>
      </c>
      <c r="E3124" t="s">
        <v>9446</v>
      </c>
      <c r="F3124" s="61">
        <v>37404</v>
      </c>
      <c r="G3124" s="15" t="s">
        <v>73</v>
      </c>
      <c r="H3124" t="s">
        <v>9447</v>
      </c>
      <c r="I3124" s="62" t="s">
        <v>9448</v>
      </c>
      <c r="K3124" s="36" t="s">
        <v>68</v>
      </c>
      <c r="L3124" t="s">
        <v>69</v>
      </c>
      <c r="M3124" s="62" t="s">
        <v>70</v>
      </c>
      <c r="N3124" t="s">
        <v>9442</v>
      </c>
      <c r="O3124" t="str">
        <f>IFERROR(IF(Tbla_actores[[#This Row],[codigo_proyecto]]="","",_xlfn.XLOOKUP(Tbla_actores[[#This Row],[codigo_proyecto]],Proyectos!$A:$A,Proyectos!$C:$C)),"")</f>
        <v>Proyecto 4</v>
      </c>
    </row>
    <row r="3125" spans="1:15">
      <c r="A3125" s="10">
        <v>1025140394</v>
      </c>
      <c r="B3125" s="64" t="s">
        <v>61</v>
      </c>
      <c r="C3125" s="62" t="s">
        <v>9177</v>
      </c>
      <c r="D3125" t="s">
        <v>63</v>
      </c>
      <c r="E3125" t="s">
        <v>9449</v>
      </c>
      <c r="F3125" s="61">
        <v>38005</v>
      </c>
      <c r="G3125" s="15" t="s">
        <v>65</v>
      </c>
      <c r="H3125" t="s">
        <v>9450</v>
      </c>
      <c r="I3125" s="62" t="s">
        <v>9451</v>
      </c>
      <c r="K3125" s="36" t="s">
        <v>68</v>
      </c>
      <c r="L3125" t="s">
        <v>69</v>
      </c>
      <c r="M3125" s="62" t="s">
        <v>70</v>
      </c>
      <c r="N3125" t="s">
        <v>9442</v>
      </c>
      <c r="O3125" t="str">
        <f>IFERROR(IF(Tbla_actores[[#This Row],[codigo_proyecto]]="","",_xlfn.XLOOKUP(Tbla_actores[[#This Row],[codigo_proyecto]],Proyectos!$A:$A,Proyectos!$C:$C)),"")</f>
        <v>Proyecto 4</v>
      </c>
    </row>
    <row r="3126" spans="1:15">
      <c r="A3126" s="9">
        <v>1006860281</v>
      </c>
      <c r="B3126" s="63" t="s">
        <v>61</v>
      </c>
      <c r="C3126" s="62" t="s">
        <v>9177</v>
      </c>
      <c r="D3126" t="s">
        <v>63</v>
      </c>
      <c r="E3126" t="s">
        <v>9452</v>
      </c>
      <c r="F3126" s="61">
        <v>37798</v>
      </c>
      <c r="G3126" s="15" t="s">
        <v>73</v>
      </c>
      <c r="H3126" t="s">
        <v>9453</v>
      </c>
      <c r="I3126" s="62" t="s">
        <v>9454</v>
      </c>
      <c r="K3126" s="36" t="s">
        <v>495</v>
      </c>
      <c r="L3126" t="s">
        <v>69</v>
      </c>
      <c r="M3126" s="62" t="s">
        <v>70</v>
      </c>
      <c r="N3126" t="s">
        <v>9455</v>
      </c>
      <c r="O3126" t="str">
        <f>IFERROR(IF(Tbla_actores[[#This Row],[codigo_proyecto]]="","",_xlfn.XLOOKUP(Tbla_actores[[#This Row],[codigo_proyecto]],Proyectos!$A:$A,Proyectos!$C:$C)),"")</f>
        <v>PROYECTO
"DESARROLLO DE UN SISTEMA DE GESTIÓN DE PUENTES MUNICIPIO DE FACATATIVÁ"</v>
      </c>
    </row>
    <row r="3127" spans="1:15">
      <c r="A3127" s="10">
        <v>1005024694</v>
      </c>
      <c r="B3127" s="64" t="s">
        <v>61</v>
      </c>
      <c r="C3127" s="62" t="s">
        <v>9177</v>
      </c>
      <c r="D3127" t="s">
        <v>63</v>
      </c>
      <c r="E3127" t="s">
        <v>9456</v>
      </c>
      <c r="F3127" s="61">
        <v>37918</v>
      </c>
      <c r="G3127" s="15" t="s">
        <v>73</v>
      </c>
      <c r="H3127" t="s">
        <v>9457</v>
      </c>
      <c r="I3127" s="62" t="s">
        <v>9458</v>
      </c>
      <c r="K3127" s="36" t="s">
        <v>495</v>
      </c>
      <c r="L3127" t="s">
        <v>69</v>
      </c>
      <c r="M3127" s="62" t="s">
        <v>70</v>
      </c>
      <c r="N3127" t="s">
        <v>9455</v>
      </c>
      <c r="O3127" t="str">
        <f>IFERROR(IF(Tbla_actores[[#This Row],[codigo_proyecto]]="","",_xlfn.XLOOKUP(Tbla_actores[[#This Row],[codigo_proyecto]],Proyectos!$A:$A,Proyectos!$C:$C)),"")</f>
        <v>PROYECTO
"DESARROLLO DE UN SISTEMA DE GESTIÓN DE PUENTES MUNICIPIO DE FACATATIVÁ"</v>
      </c>
    </row>
    <row r="3128" spans="1:15">
      <c r="A3128" s="9">
        <v>1000160507</v>
      </c>
      <c r="B3128" s="63" t="s">
        <v>61</v>
      </c>
      <c r="C3128" s="62" t="s">
        <v>9177</v>
      </c>
      <c r="D3128" t="s">
        <v>63</v>
      </c>
      <c r="E3128" t="s">
        <v>9459</v>
      </c>
      <c r="F3128" s="61">
        <v>37511</v>
      </c>
      <c r="G3128" s="15" t="s">
        <v>73</v>
      </c>
      <c r="H3128" t="s">
        <v>9460</v>
      </c>
      <c r="I3128" s="62" t="s">
        <v>9461</v>
      </c>
      <c r="K3128" s="36" t="s">
        <v>495</v>
      </c>
      <c r="L3128" t="s">
        <v>69</v>
      </c>
      <c r="M3128" s="62" t="s">
        <v>70</v>
      </c>
      <c r="N3128" t="s">
        <v>9455</v>
      </c>
      <c r="O3128" t="str">
        <f>IFERROR(IF(Tbla_actores[[#This Row],[codigo_proyecto]]="","",_xlfn.XLOOKUP(Tbla_actores[[#This Row],[codigo_proyecto]],Proyectos!$A:$A,Proyectos!$C:$C)),"")</f>
        <v>PROYECTO
"DESARROLLO DE UN SISTEMA DE GESTIÓN DE PUENTES MUNICIPIO DE FACATATIVÁ"</v>
      </c>
    </row>
    <row r="3129" spans="1:15">
      <c r="A3129" s="10">
        <v>1023860954</v>
      </c>
      <c r="B3129" s="64" t="s">
        <v>61</v>
      </c>
      <c r="C3129" s="62" t="s">
        <v>9177</v>
      </c>
      <c r="D3129" t="s">
        <v>63</v>
      </c>
      <c r="E3129" t="s">
        <v>9462</v>
      </c>
      <c r="F3129" s="61">
        <v>38057</v>
      </c>
      <c r="G3129" s="15" t="s">
        <v>73</v>
      </c>
      <c r="H3129" t="s">
        <v>9463</v>
      </c>
      <c r="I3129" s="62" t="s">
        <v>9464</v>
      </c>
      <c r="K3129" s="36" t="s">
        <v>495</v>
      </c>
      <c r="L3129" t="s">
        <v>69</v>
      </c>
      <c r="M3129" s="62" t="s">
        <v>70</v>
      </c>
      <c r="N3129" t="s">
        <v>9455</v>
      </c>
      <c r="O3129" t="str">
        <f>IFERROR(IF(Tbla_actores[[#This Row],[codigo_proyecto]]="","",_xlfn.XLOOKUP(Tbla_actores[[#This Row],[codigo_proyecto]],Proyectos!$A:$A,Proyectos!$C:$C)),"")</f>
        <v>PROYECTO
"DESARROLLO DE UN SISTEMA DE GESTIÓN DE PUENTES MUNICIPIO DE FACATATIVÁ"</v>
      </c>
    </row>
    <row r="3130" spans="1:15">
      <c r="A3130" s="9">
        <v>1096800238</v>
      </c>
      <c r="B3130" s="63" t="s">
        <v>61</v>
      </c>
      <c r="C3130" s="62" t="s">
        <v>9177</v>
      </c>
      <c r="D3130" t="s">
        <v>63</v>
      </c>
      <c r="E3130" t="s">
        <v>9465</v>
      </c>
      <c r="F3130" s="61">
        <v>38127</v>
      </c>
      <c r="G3130" s="15" t="s">
        <v>65</v>
      </c>
      <c r="H3130" t="s">
        <v>9466</v>
      </c>
      <c r="I3130" s="62" t="s">
        <v>9467</v>
      </c>
      <c r="K3130" s="36" t="s">
        <v>495</v>
      </c>
      <c r="L3130" t="s">
        <v>69</v>
      </c>
      <c r="M3130" s="62" t="s">
        <v>70</v>
      </c>
      <c r="N3130" t="s">
        <v>9455</v>
      </c>
      <c r="O3130" t="str">
        <f>IFERROR(IF(Tbla_actores[[#This Row],[codigo_proyecto]]="","",_xlfn.XLOOKUP(Tbla_actores[[#This Row],[codigo_proyecto]],Proyectos!$A:$A,Proyectos!$C:$C)),"")</f>
        <v>PROYECTO
"DESARROLLO DE UN SISTEMA DE GESTIÓN DE PUENTES MUNICIPIO DE FACATATIVÁ"</v>
      </c>
    </row>
    <row r="3131" spans="1:15">
      <c r="A3131" s="10">
        <v>1014976201</v>
      </c>
      <c r="B3131" s="64" t="s">
        <v>61</v>
      </c>
      <c r="C3131" s="62" t="s">
        <v>9177</v>
      </c>
      <c r="D3131" t="s">
        <v>63</v>
      </c>
      <c r="E3131" t="s">
        <v>9468</v>
      </c>
      <c r="F3131" s="61">
        <v>37977</v>
      </c>
      <c r="G3131" s="15" t="s">
        <v>65</v>
      </c>
      <c r="H3131" t="s">
        <v>9469</v>
      </c>
      <c r="I3131" s="62" t="s">
        <v>9470</v>
      </c>
      <c r="K3131" s="36" t="s">
        <v>495</v>
      </c>
      <c r="L3131" t="s">
        <v>69</v>
      </c>
      <c r="M3131" s="62" t="s">
        <v>70</v>
      </c>
      <c r="N3131" t="s">
        <v>9455</v>
      </c>
      <c r="O3131" t="str">
        <f>IFERROR(IF(Tbla_actores[[#This Row],[codigo_proyecto]]="","",_xlfn.XLOOKUP(Tbla_actores[[#This Row],[codigo_proyecto]],Proyectos!$A:$A,Proyectos!$C:$C)),"")</f>
        <v>PROYECTO
"DESARROLLO DE UN SISTEMA DE GESTIÓN DE PUENTES MUNICIPIO DE FACATATIVÁ"</v>
      </c>
    </row>
    <row r="3132" spans="1:15">
      <c r="A3132" s="9">
        <v>1014858249</v>
      </c>
      <c r="B3132" s="63" t="s">
        <v>61</v>
      </c>
      <c r="C3132" s="62" t="s">
        <v>9177</v>
      </c>
      <c r="D3132" t="s">
        <v>63</v>
      </c>
      <c r="E3132" t="s">
        <v>9471</v>
      </c>
      <c r="F3132" s="61">
        <v>38458</v>
      </c>
      <c r="G3132" s="15" t="s">
        <v>73</v>
      </c>
      <c r="H3132" t="s">
        <v>9472</v>
      </c>
      <c r="I3132" s="62" t="s">
        <v>9473</v>
      </c>
      <c r="K3132" s="36" t="s">
        <v>68</v>
      </c>
      <c r="L3132" t="s">
        <v>69</v>
      </c>
      <c r="M3132" s="62" t="s">
        <v>70</v>
      </c>
      <c r="N3132" t="s">
        <v>9474</v>
      </c>
      <c r="O3132" t="str">
        <f>IFERROR(IF(Tbla_actores[[#This Row],[codigo_proyecto]]="","",_xlfn.XLOOKUP(Tbla_actores[[#This Row],[codigo_proyecto]],Proyectos!$A:$A,Proyectos!$C:$C)),"")</f>
        <v>Proyecto 5</v>
      </c>
    </row>
    <row r="3133" spans="1:15">
      <c r="A3133" s="10">
        <v>1058351246</v>
      </c>
      <c r="B3133" s="64" t="s">
        <v>61</v>
      </c>
      <c r="C3133" s="62" t="s">
        <v>9177</v>
      </c>
      <c r="D3133" t="s">
        <v>63</v>
      </c>
      <c r="E3133" t="s">
        <v>9475</v>
      </c>
      <c r="F3133" s="61">
        <v>38016</v>
      </c>
      <c r="G3133" s="15" t="s">
        <v>73</v>
      </c>
      <c r="H3133" t="s">
        <v>9476</v>
      </c>
      <c r="I3133" s="62" t="s">
        <v>9477</v>
      </c>
      <c r="K3133" s="36" t="s">
        <v>7671</v>
      </c>
      <c r="L3133" t="s">
        <v>69</v>
      </c>
      <c r="M3133" s="62" t="s">
        <v>70</v>
      </c>
      <c r="N3133" t="s">
        <v>9478</v>
      </c>
      <c r="O3133" t="str">
        <f>IFERROR(IF(Tbla_actores[[#This Row],[codigo_proyecto]]="","",_xlfn.XLOOKUP(Tbla_actores[[#This Row],[codigo_proyecto]],Proyectos!$A:$A,Proyectos!$C:$C)),"")</f>
        <v>Reparación de Electrodomésticos BA</v>
      </c>
    </row>
    <row r="3134" spans="1:15">
      <c r="A3134" s="9">
        <v>1014658214</v>
      </c>
      <c r="B3134" s="63" t="s">
        <v>61</v>
      </c>
      <c r="C3134" s="62" t="s">
        <v>9177</v>
      </c>
      <c r="D3134" t="s">
        <v>63</v>
      </c>
      <c r="E3134" t="s">
        <v>9479</v>
      </c>
      <c r="F3134" s="61">
        <v>38243</v>
      </c>
      <c r="G3134" s="15" t="s">
        <v>73</v>
      </c>
      <c r="H3134" t="s">
        <v>9480</v>
      </c>
      <c r="I3134" s="62" t="s">
        <v>9481</v>
      </c>
      <c r="K3134" s="36" t="s">
        <v>68</v>
      </c>
      <c r="L3134" t="s">
        <v>69</v>
      </c>
      <c r="M3134" s="62" t="s">
        <v>70</v>
      </c>
      <c r="N3134" t="s">
        <v>9474</v>
      </c>
      <c r="O3134" t="str">
        <f>IFERROR(IF(Tbla_actores[[#This Row],[codigo_proyecto]]="","",_xlfn.XLOOKUP(Tbla_actores[[#This Row],[codigo_proyecto]],Proyectos!$A:$A,Proyectos!$C:$C)),"")</f>
        <v>Proyecto 5</v>
      </c>
    </row>
    <row r="3135" spans="1:15">
      <c r="A3135" s="10">
        <v>1000835860</v>
      </c>
      <c r="B3135" s="64" t="s">
        <v>61</v>
      </c>
      <c r="C3135" s="62" t="s">
        <v>9177</v>
      </c>
      <c r="D3135" t="s">
        <v>63</v>
      </c>
      <c r="E3135" t="s">
        <v>9482</v>
      </c>
      <c r="F3135" s="61">
        <v>37726</v>
      </c>
      <c r="G3135" s="15" t="s">
        <v>65</v>
      </c>
      <c r="H3135" t="s">
        <v>9483</v>
      </c>
      <c r="I3135" s="62" t="s">
        <v>9484</v>
      </c>
      <c r="K3135" s="36" t="s">
        <v>169</v>
      </c>
      <c r="L3135" t="s">
        <v>69</v>
      </c>
      <c r="M3135" s="62" t="s">
        <v>170</v>
      </c>
      <c r="N3135" t="s">
        <v>9485</v>
      </c>
      <c r="O3135">
        <f>IFERROR(IF(Tbla_actores[[#This Row],[codigo_proyecto]]="","",_xlfn.XLOOKUP(Tbla_actores[[#This Row],[codigo_proyecto]],Proyectos!$A:$A,Proyectos!$C:$C)),"")</f>
        <v>0</v>
      </c>
    </row>
    <row r="3136" spans="1:15">
      <c r="A3136" s="9">
        <v>1031645178</v>
      </c>
      <c r="B3136" s="63" t="s">
        <v>61</v>
      </c>
      <c r="C3136" s="62" t="s">
        <v>9177</v>
      </c>
      <c r="D3136" t="s">
        <v>63</v>
      </c>
      <c r="E3136" t="s">
        <v>9486</v>
      </c>
      <c r="F3136" s="61">
        <v>38368</v>
      </c>
      <c r="G3136" s="15" t="s">
        <v>73</v>
      </c>
      <c r="H3136" t="s">
        <v>9487</v>
      </c>
      <c r="I3136" s="62" t="s">
        <v>9488</v>
      </c>
      <c r="K3136" s="36" t="s">
        <v>68</v>
      </c>
      <c r="L3136" t="s">
        <v>69</v>
      </c>
      <c r="M3136" s="62" t="s">
        <v>70</v>
      </c>
      <c r="N3136" t="s">
        <v>9474</v>
      </c>
      <c r="O3136" t="str">
        <f>IFERROR(IF(Tbla_actores[[#This Row],[codigo_proyecto]]="","",_xlfn.XLOOKUP(Tbla_actores[[#This Row],[codigo_proyecto]],Proyectos!$A:$A,Proyectos!$C:$C)),"")</f>
        <v>Proyecto 5</v>
      </c>
    </row>
    <row r="3137" spans="1:15">
      <c r="A3137" s="10">
        <v>1000835213</v>
      </c>
      <c r="B3137" s="64" t="s">
        <v>61</v>
      </c>
      <c r="C3137" s="62" t="s">
        <v>9177</v>
      </c>
      <c r="D3137" t="s">
        <v>63</v>
      </c>
      <c r="E3137" t="s">
        <v>9489</v>
      </c>
      <c r="F3137" s="61">
        <v>37531</v>
      </c>
      <c r="G3137" s="15" t="s">
        <v>73</v>
      </c>
      <c r="H3137" t="s">
        <v>9490</v>
      </c>
      <c r="I3137" s="62" t="s">
        <v>9491</v>
      </c>
      <c r="K3137" s="36" t="s">
        <v>7671</v>
      </c>
      <c r="L3137" t="s">
        <v>69</v>
      </c>
      <c r="M3137" s="62" t="s">
        <v>70</v>
      </c>
      <c r="N3137" t="s">
        <v>9478</v>
      </c>
      <c r="O3137" t="str">
        <f>IFERROR(IF(Tbla_actores[[#This Row],[codigo_proyecto]]="","",_xlfn.XLOOKUP(Tbla_actores[[#This Row],[codigo_proyecto]],Proyectos!$A:$A,Proyectos!$C:$C)),"")</f>
        <v>Reparación de Electrodomésticos BA</v>
      </c>
    </row>
    <row r="3138" spans="1:15">
      <c r="A3138" s="9">
        <v>1000718936</v>
      </c>
      <c r="B3138" s="63" t="s">
        <v>61</v>
      </c>
      <c r="C3138" s="62" t="s">
        <v>9177</v>
      </c>
      <c r="D3138" t="s">
        <v>63</v>
      </c>
      <c r="E3138" t="s">
        <v>9492</v>
      </c>
      <c r="F3138" s="61">
        <v>37788</v>
      </c>
      <c r="G3138" s="15" t="s">
        <v>73</v>
      </c>
      <c r="H3138" t="s">
        <v>9493</v>
      </c>
      <c r="I3138" s="62" t="s">
        <v>9494</v>
      </c>
      <c r="K3138" s="36" t="s">
        <v>7284</v>
      </c>
      <c r="L3138" t="s">
        <v>69</v>
      </c>
      <c r="M3138" s="62" t="s">
        <v>70</v>
      </c>
      <c r="N3138" t="s">
        <v>9495</v>
      </c>
      <c r="O3138" t="str">
        <f>IFERROR(IF(Tbla_actores[[#This Row],[codigo_proyecto]]="","",_xlfn.XLOOKUP(Tbla_actores[[#This Row],[codigo_proyecto]],Proyectos!$A:$A,Proyectos!$C:$C)),"")</f>
        <v>Clasificación y actualización  de equipos y construcción de hojas técnicas</v>
      </c>
    </row>
    <row r="3139" spans="1:15">
      <c r="A3139" s="10">
        <v>1033680897</v>
      </c>
      <c r="B3139" s="64" t="s">
        <v>61</v>
      </c>
      <c r="C3139" s="62" t="s">
        <v>9177</v>
      </c>
      <c r="D3139" t="s">
        <v>63</v>
      </c>
      <c r="E3139" t="s">
        <v>9496</v>
      </c>
      <c r="F3139" s="61">
        <v>38219</v>
      </c>
      <c r="G3139" s="15" t="s">
        <v>65</v>
      </c>
      <c r="H3139" t="s">
        <v>9497</v>
      </c>
      <c r="I3139" s="62" t="s">
        <v>9498</v>
      </c>
      <c r="K3139" s="36" t="s">
        <v>68</v>
      </c>
      <c r="L3139" t="s">
        <v>69</v>
      </c>
      <c r="M3139" s="62" t="s">
        <v>70</v>
      </c>
      <c r="N3139" t="s">
        <v>9474</v>
      </c>
      <c r="O3139" t="str">
        <f>IFERROR(IF(Tbla_actores[[#This Row],[codigo_proyecto]]="","",_xlfn.XLOOKUP(Tbla_actores[[#This Row],[codigo_proyecto]],Proyectos!$A:$A,Proyectos!$C:$C)),"")</f>
        <v>Proyecto 5</v>
      </c>
    </row>
    <row r="3140" spans="1:15">
      <c r="A3140" s="9">
        <v>1031420036</v>
      </c>
      <c r="B3140" s="63" t="s">
        <v>61</v>
      </c>
      <c r="C3140" s="62" t="s">
        <v>9177</v>
      </c>
      <c r="D3140" t="s">
        <v>63</v>
      </c>
      <c r="E3140" t="s">
        <v>9499</v>
      </c>
      <c r="F3140" s="61">
        <v>37967</v>
      </c>
      <c r="G3140" s="15" t="s">
        <v>65</v>
      </c>
      <c r="H3140" t="s">
        <v>9500</v>
      </c>
      <c r="I3140" s="62" t="s">
        <v>9501</v>
      </c>
      <c r="K3140" s="36" t="s">
        <v>68</v>
      </c>
      <c r="L3140" t="s">
        <v>69</v>
      </c>
      <c r="M3140" s="62" t="s">
        <v>70</v>
      </c>
      <c r="N3140" t="s">
        <v>9474</v>
      </c>
      <c r="O3140" t="str">
        <f>IFERROR(IF(Tbla_actores[[#This Row],[codigo_proyecto]]="","",_xlfn.XLOOKUP(Tbla_actores[[#This Row],[codigo_proyecto]],Proyectos!$A:$A,Proyectos!$C:$C)),"")</f>
        <v>Proyecto 5</v>
      </c>
    </row>
    <row r="3141" spans="1:15">
      <c r="A3141" s="10">
        <v>1003844458</v>
      </c>
      <c r="B3141" s="64" t="s">
        <v>61</v>
      </c>
      <c r="C3141" s="62" t="s">
        <v>9177</v>
      </c>
      <c r="D3141" t="s">
        <v>63</v>
      </c>
      <c r="E3141" t="s">
        <v>9502</v>
      </c>
      <c r="F3141" s="61">
        <v>37933</v>
      </c>
      <c r="G3141" s="15" t="s">
        <v>65</v>
      </c>
      <c r="H3141" t="s">
        <v>9503</v>
      </c>
      <c r="I3141" s="62" t="s">
        <v>9504</v>
      </c>
      <c r="K3141" s="36" t="s">
        <v>7671</v>
      </c>
      <c r="L3141" t="s">
        <v>69</v>
      </c>
      <c r="M3141" s="62" t="s">
        <v>70</v>
      </c>
      <c r="N3141" t="s">
        <v>9478</v>
      </c>
      <c r="O3141" t="str">
        <f>IFERROR(IF(Tbla_actores[[#This Row],[codigo_proyecto]]="","",_xlfn.XLOOKUP(Tbla_actores[[#This Row],[codigo_proyecto]],Proyectos!$A:$A,Proyectos!$C:$C)),"")</f>
        <v>Reparación de Electrodomésticos BA</v>
      </c>
    </row>
    <row r="3142" spans="1:15">
      <c r="A3142" s="9">
        <v>1122918643</v>
      </c>
      <c r="B3142" s="63" t="s">
        <v>61</v>
      </c>
      <c r="C3142" s="62" t="s">
        <v>9177</v>
      </c>
      <c r="D3142" t="s">
        <v>63</v>
      </c>
      <c r="E3142" t="s">
        <v>9505</v>
      </c>
      <c r="F3142" s="61">
        <v>38088</v>
      </c>
      <c r="G3142" s="15" t="s">
        <v>65</v>
      </c>
      <c r="H3142" t="s">
        <v>9506</v>
      </c>
      <c r="I3142" s="62" t="s">
        <v>9507</v>
      </c>
      <c r="K3142" s="36" t="s">
        <v>1489</v>
      </c>
      <c r="L3142" t="s">
        <v>69</v>
      </c>
      <c r="M3142" s="62" t="s">
        <v>70</v>
      </c>
      <c r="N3142" t="s">
        <v>9478</v>
      </c>
      <c r="O3142" t="str">
        <f>IFERROR(IF(Tbla_actores[[#This Row],[codigo_proyecto]]="","",_xlfn.XLOOKUP(Tbla_actores[[#This Row],[codigo_proyecto]],Proyectos!$A:$A,Proyectos!$C:$C)),"")</f>
        <v>Reparación de Electrodomésticos BA</v>
      </c>
    </row>
    <row r="3143" spans="1:15">
      <c r="A3143" s="10">
        <v>1036448457</v>
      </c>
      <c r="B3143" s="64" t="s">
        <v>61</v>
      </c>
      <c r="C3143" s="62" t="s">
        <v>9177</v>
      </c>
      <c r="D3143" t="s">
        <v>63</v>
      </c>
      <c r="E3143" t="s">
        <v>9508</v>
      </c>
      <c r="F3143" s="61">
        <v>38216</v>
      </c>
      <c r="G3143" s="15" t="s">
        <v>65</v>
      </c>
      <c r="H3143" t="s">
        <v>9509</v>
      </c>
      <c r="I3143" s="62" t="s">
        <v>9510</v>
      </c>
      <c r="K3143" s="36" t="s">
        <v>68</v>
      </c>
      <c r="L3143" t="s">
        <v>69</v>
      </c>
      <c r="M3143" s="62" t="s">
        <v>70</v>
      </c>
      <c r="N3143" t="s">
        <v>9474</v>
      </c>
      <c r="O3143" t="str">
        <f>IFERROR(IF(Tbla_actores[[#This Row],[codigo_proyecto]]="","",_xlfn.XLOOKUP(Tbla_actores[[#This Row],[codigo_proyecto]],Proyectos!$A:$A,Proyectos!$C:$C)),"")</f>
        <v>Proyecto 5</v>
      </c>
    </row>
    <row r="3144" spans="1:15">
      <c r="A3144" s="9">
        <v>1020722843</v>
      </c>
      <c r="B3144" s="63" t="s">
        <v>61</v>
      </c>
      <c r="C3144" s="62" t="s">
        <v>9177</v>
      </c>
      <c r="D3144" t="s">
        <v>63</v>
      </c>
      <c r="E3144" t="s">
        <v>9511</v>
      </c>
      <c r="F3144" s="61">
        <v>38426</v>
      </c>
      <c r="G3144" s="15" t="s">
        <v>65</v>
      </c>
      <c r="H3144" t="s">
        <v>9512</v>
      </c>
      <c r="I3144" s="62" t="s">
        <v>9513</v>
      </c>
      <c r="K3144" s="36" t="s">
        <v>68</v>
      </c>
      <c r="L3144" t="s">
        <v>69</v>
      </c>
      <c r="M3144" s="62" t="s">
        <v>70</v>
      </c>
      <c r="N3144" t="s">
        <v>9474</v>
      </c>
      <c r="O3144" t="str">
        <f>IFERROR(IF(Tbla_actores[[#This Row],[codigo_proyecto]]="","",_xlfn.XLOOKUP(Tbla_actores[[#This Row],[codigo_proyecto]],Proyectos!$A:$A,Proyectos!$C:$C)),"")</f>
        <v>Proyecto 5</v>
      </c>
    </row>
    <row r="3145" spans="1:15">
      <c r="A3145" s="10">
        <v>1029980534</v>
      </c>
      <c r="B3145" s="64" t="s">
        <v>61</v>
      </c>
      <c r="C3145" s="62" t="s">
        <v>9177</v>
      </c>
      <c r="D3145" t="s">
        <v>63</v>
      </c>
      <c r="E3145" t="s">
        <v>9514</v>
      </c>
      <c r="F3145" s="61">
        <v>38431</v>
      </c>
      <c r="G3145" s="15" t="s">
        <v>65</v>
      </c>
      <c r="H3145" t="s">
        <v>9515</v>
      </c>
      <c r="I3145" s="62" t="s">
        <v>9516</v>
      </c>
      <c r="K3145" s="36" t="s">
        <v>6427</v>
      </c>
      <c r="L3145" t="s">
        <v>69</v>
      </c>
      <c r="M3145" s="62" t="s">
        <v>70</v>
      </c>
      <c r="N3145" t="s">
        <v>9495</v>
      </c>
      <c r="O3145" t="str">
        <f>IFERROR(IF(Tbla_actores[[#This Row],[codigo_proyecto]]="","",_xlfn.XLOOKUP(Tbla_actores[[#This Row],[codigo_proyecto]],Proyectos!$A:$A,Proyectos!$C:$C)),"")</f>
        <v>Clasificación y actualización  de equipos y construcción de hojas técnicas</v>
      </c>
    </row>
    <row r="3146" spans="1:15">
      <c r="A3146" s="9">
        <v>1074129174</v>
      </c>
      <c r="B3146" s="63" t="s">
        <v>61</v>
      </c>
      <c r="C3146" s="62" t="s">
        <v>9177</v>
      </c>
      <c r="D3146" t="s">
        <v>63</v>
      </c>
      <c r="E3146" t="s">
        <v>9517</v>
      </c>
      <c r="F3146" s="61">
        <v>38473</v>
      </c>
      <c r="G3146" s="15" t="s">
        <v>73</v>
      </c>
      <c r="H3146" t="s">
        <v>9518</v>
      </c>
      <c r="I3146" s="62" t="s">
        <v>9519</v>
      </c>
      <c r="K3146" s="36" t="s">
        <v>68</v>
      </c>
      <c r="L3146" t="s">
        <v>69</v>
      </c>
      <c r="M3146" s="62" t="s">
        <v>70</v>
      </c>
      <c r="N3146" t="s">
        <v>9474</v>
      </c>
      <c r="O3146" t="str">
        <f>IFERROR(IF(Tbla_actores[[#This Row],[codigo_proyecto]]="","",_xlfn.XLOOKUP(Tbla_actores[[#This Row],[codigo_proyecto]],Proyectos!$A:$A,Proyectos!$C:$C)),"")</f>
        <v>Proyecto 5</v>
      </c>
    </row>
    <row r="3147" spans="1:15">
      <c r="A3147" s="10">
        <v>1000862008</v>
      </c>
      <c r="B3147" s="64" t="s">
        <v>61</v>
      </c>
      <c r="C3147" s="62" t="s">
        <v>9177</v>
      </c>
      <c r="D3147" t="s">
        <v>63</v>
      </c>
      <c r="E3147" t="s">
        <v>9520</v>
      </c>
      <c r="F3147" s="61">
        <v>37396</v>
      </c>
      <c r="G3147" s="15" t="s">
        <v>73</v>
      </c>
      <c r="H3147" t="s">
        <v>9521</v>
      </c>
      <c r="I3147" s="62" t="s">
        <v>9522</v>
      </c>
      <c r="K3147" s="36" t="s">
        <v>6427</v>
      </c>
      <c r="L3147" t="s">
        <v>69</v>
      </c>
      <c r="M3147" s="62" t="s">
        <v>70</v>
      </c>
      <c r="N3147" t="s">
        <v>9495</v>
      </c>
      <c r="O3147" t="str">
        <f>IFERROR(IF(Tbla_actores[[#This Row],[codigo_proyecto]]="","",_xlfn.XLOOKUP(Tbla_actores[[#This Row],[codigo_proyecto]],Proyectos!$A:$A,Proyectos!$C:$C)),"")</f>
        <v>Clasificación y actualización  de equipos y construcción de hojas técnicas</v>
      </c>
    </row>
    <row r="3148" spans="1:15">
      <c r="A3148" s="9">
        <v>1014736925</v>
      </c>
      <c r="B3148" s="63" t="s">
        <v>61</v>
      </c>
      <c r="C3148" s="62" t="s">
        <v>9177</v>
      </c>
      <c r="D3148" t="s">
        <v>63</v>
      </c>
      <c r="E3148" t="s">
        <v>9523</v>
      </c>
      <c r="F3148" s="61">
        <v>38128</v>
      </c>
      <c r="G3148" s="15" t="s">
        <v>73</v>
      </c>
      <c r="H3148" t="s">
        <v>9524</v>
      </c>
      <c r="I3148" s="62" t="s">
        <v>9525</v>
      </c>
      <c r="K3148" s="36" t="s">
        <v>68</v>
      </c>
      <c r="L3148" t="s">
        <v>69</v>
      </c>
      <c r="M3148" s="62" t="s">
        <v>70</v>
      </c>
      <c r="N3148" t="s">
        <v>9474</v>
      </c>
      <c r="O3148" t="str">
        <f>IFERROR(IF(Tbla_actores[[#This Row],[codigo_proyecto]]="","",_xlfn.XLOOKUP(Tbla_actores[[#This Row],[codigo_proyecto]],Proyectos!$A:$A,Proyectos!$C:$C)),"")</f>
        <v>Proyecto 5</v>
      </c>
    </row>
    <row r="3149" spans="1:15">
      <c r="A3149" s="10">
        <v>1019603935</v>
      </c>
      <c r="B3149" s="64" t="s">
        <v>61</v>
      </c>
      <c r="C3149" s="62" t="s">
        <v>9177</v>
      </c>
      <c r="D3149" t="s">
        <v>63</v>
      </c>
      <c r="E3149" t="s">
        <v>9526</v>
      </c>
      <c r="F3149" s="61">
        <v>38476</v>
      </c>
      <c r="G3149" s="15" t="s">
        <v>65</v>
      </c>
      <c r="H3149" t="s">
        <v>9111</v>
      </c>
      <c r="I3149" s="62" t="s">
        <v>9112</v>
      </c>
      <c r="K3149" s="36" t="s">
        <v>68</v>
      </c>
      <c r="L3149" t="s">
        <v>69</v>
      </c>
      <c r="M3149" s="62" t="s">
        <v>70</v>
      </c>
      <c r="N3149" t="s">
        <v>9474</v>
      </c>
      <c r="O3149" t="str">
        <f>IFERROR(IF(Tbla_actores[[#This Row],[codigo_proyecto]]="","",_xlfn.XLOOKUP(Tbla_actores[[#This Row],[codigo_proyecto]],Proyectos!$A:$A,Proyectos!$C:$C)),"")</f>
        <v>Proyecto 5</v>
      </c>
    </row>
    <row r="3150" spans="1:15">
      <c r="A3150" s="9">
        <v>1107835204</v>
      </c>
      <c r="B3150" s="63" t="s">
        <v>61</v>
      </c>
      <c r="C3150" s="62" t="s">
        <v>9177</v>
      </c>
      <c r="D3150" t="s">
        <v>63</v>
      </c>
      <c r="E3150" t="s">
        <v>9527</v>
      </c>
      <c r="F3150" s="61">
        <v>38081</v>
      </c>
      <c r="G3150" s="15" t="s">
        <v>73</v>
      </c>
      <c r="H3150" t="s">
        <v>9528</v>
      </c>
      <c r="I3150" s="62" t="s">
        <v>9529</v>
      </c>
      <c r="K3150" s="36" t="s">
        <v>169</v>
      </c>
      <c r="L3150" t="s">
        <v>69</v>
      </c>
      <c r="M3150" s="62" t="s">
        <v>170</v>
      </c>
      <c r="N3150" t="s">
        <v>9485</v>
      </c>
      <c r="O3150">
        <f>IFERROR(IF(Tbla_actores[[#This Row],[codigo_proyecto]]="","",_xlfn.XLOOKUP(Tbla_actores[[#This Row],[codigo_proyecto]],Proyectos!$A:$A,Proyectos!$C:$C)),"")</f>
        <v>0</v>
      </c>
    </row>
    <row r="3151" spans="1:15">
      <c r="A3151" s="10">
        <v>1000143088</v>
      </c>
      <c r="B3151" s="64" t="s">
        <v>61</v>
      </c>
      <c r="C3151" s="62" t="s">
        <v>9177</v>
      </c>
      <c r="D3151" t="s">
        <v>63</v>
      </c>
      <c r="E3151" t="s">
        <v>9530</v>
      </c>
      <c r="F3151" s="61">
        <v>37408</v>
      </c>
      <c r="G3151" s="15" t="s">
        <v>73</v>
      </c>
      <c r="H3151" t="s">
        <v>9531</v>
      </c>
      <c r="I3151" s="62" t="s">
        <v>9532</v>
      </c>
      <c r="K3151" s="36" t="s">
        <v>68</v>
      </c>
      <c r="L3151" t="s">
        <v>69</v>
      </c>
      <c r="M3151" s="62" t="s">
        <v>70</v>
      </c>
      <c r="N3151" t="s">
        <v>9533</v>
      </c>
      <c r="O3151" t="str">
        <f>IFERROR(IF(Tbla_actores[[#This Row],[codigo_proyecto]]="","",_xlfn.XLOOKUP(Tbla_actores[[#This Row],[codigo_proyecto]],Proyectos!$A:$A,Proyectos!$C:$C)),"")</f>
        <v>Proyecto 6</v>
      </c>
    </row>
    <row r="3152" spans="1:15">
      <c r="A3152" s="9">
        <v>1032796439</v>
      </c>
      <c r="B3152" s="63" t="s">
        <v>61</v>
      </c>
      <c r="C3152" s="62" t="s">
        <v>9177</v>
      </c>
      <c r="D3152" t="s">
        <v>63</v>
      </c>
      <c r="E3152" t="s">
        <v>9534</v>
      </c>
      <c r="F3152" s="61">
        <v>38003</v>
      </c>
      <c r="G3152" s="15" t="s">
        <v>73</v>
      </c>
      <c r="H3152" t="s">
        <v>9535</v>
      </c>
      <c r="I3152" s="62" t="s">
        <v>9536</v>
      </c>
      <c r="K3152" s="36" t="s">
        <v>7284</v>
      </c>
      <c r="L3152" t="s">
        <v>69</v>
      </c>
      <c r="M3152" s="62" t="s">
        <v>70</v>
      </c>
      <c r="N3152" t="s">
        <v>9537</v>
      </c>
      <c r="O3152" t="str">
        <f>IFERROR(IF(Tbla_actores[[#This Row],[codigo_proyecto]]="","",_xlfn.XLOOKUP(Tbla_actores[[#This Row],[codigo_proyecto]],Proyectos!$A:$A,Proyectos!$C:$C)),"")</f>
        <v>Diseño y construcción  de sistemas  digitale,  visuales y manuales  para audiometría</v>
      </c>
    </row>
    <row r="3153" spans="1:15">
      <c r="A3153" s="10">
        <v>1000973353</v>
      </c>
      <c r="B3153" s="64" t="s">
        <v>61</v>
      </c>
      <c r="C3153" s="62" t="s">
        <v>9177</v>
      </c>
      <c r="D3153" t="s">
        <v>63</v>
      </c>
      <c r="E3153" t="s">
        <v>9538</v>
      </c>
      <c r="F3153" s="61">
        <v>37473</v>
      </c>
      <c r="G3153" s="15" t="s">
        <v>73</v>
      </c>
      <c r="H3153" t="s">
        <v>9539</v>
      </c>
      <c r="I3153" s="62" t="s">
        <v>9540</v>
      </c>
      <c r="K3153" s="36" t="s">
        <v>7284</v>
      </c>
      <c r="L3153" t="s">
        <v>69</v>
      </c>
      <c r="M3153" s="62" t="s">
        <v>70</v>
      </c>
      <c r="N3153" t="s">
        <v>9537</v>
      </c>
      <c r="O3153" t="str">
        <f>IFERROR(IF(Tbla_actores[[#This Row],[codigo_proyecto]]="","",_xlfn.XLOOKUP(Tbla_actores[[#This Row],[codigo_proyecto]],Proyectos!$A:$A,Proyectos!$C:$C)),"")</f>
        <v>Diseño y construcción  de sistemas  digitale,  visuales y manuales  para audiometría</v>
      </c>
    </row>
    <row r="3154" spans="1:15">
      <c r="A3154" s="9">
        <v>1032876584</v>
      </c>
      <c r="B3154" s="63" t="s">
        <v>61</v>
      </c>
      <c r="C3154" s="62" t="s">
        <v>9177</v>
      </c>
      <c r="D3154" t="s">
        <v>63</v>
      </c>
      <c r="E3154" t="s">
        <v>9541</v>
      </c>
      <c r="F3154" s="61">
        <v>38363</v>
      </c>
      <c r="G3154" s="15" t="s">
        <v>73</v>
      </c>
      <c r="H3154" t="s">
        <v>9542</v>
      </c>
      <c r="I3154" s="62" t="s">
        <v>9543</v>
      </c>
      <c r="K3154" s="36" t="s">
        <v>68</v>
      </c>
      <c r="L3154" t="s">
        <v>69</v>
      </c>
      <c r="M3154" s="62" t="s">
        <v>70</v>
      </c>
      <c r="N3154" t="s">
        <v>9544</v>
      </c>
      <c r="O3154" t="str">
        <f>IFERROR(IF(Tbla_actores[[#This Row],[codigo_proyecto]]="","",_xlfn.XLOOKUP(Tbla_actores[[#This Row],[codigo_proyecto]],Proyectos!$A:$A,Proyectos!$C:$C)),"")</f>
        <v>Proyecto 7</v>
      </c>
    </row>
    <row r="3155" spans="1:15">
      <c r="A3155" s="10">
        <v>1000256302</v>
      </c>
      <c r="B3155" s="64" t="s">
        <v>61</v>
      </c>
      <c r="C3155" s="62" t="s">
        <v>9177</v>
      </c>
      <c r="D3155" t="s">
        <v>63</v>
      </c>
      <c r="E3155" t="s">
        <v>9545</v>
      </c>
      <c r="F3155" s="61">
        <v>37756</v>
      </c>
      <c r="G3155" s="15" t="s">
        <v>73</v>
      </c>
      <c r="H3155" t="s">
        <v>9546</v>
      </c>
      <c r="I3155" s="62" t="s">
        <v>9547</v>
      </c>
      <c r="K3155" s="36" t="s">
        <v>68</v>
      </c>
      <c r="L3155" t="s">
        <v>69</v>
      </c>
      <c r="M3155" s="62" t="s">
        <v>70</v>
      </c>
      <c r="N3155" t="s">
        <v>9544</v>
      </c>
      <c r="O3155" t="str">
        <f>IFERROR(IF(Tbla_actores[[#This Row],[codigo_proyecto]]="","",_xlfn.XLOOKUP(Tbla_actores[[#This Row],[codigo_proyecto]],Proyectos!$A:$A,Proyectos!$C:$C)),"")</f>
        <v>Proyecto 7</v>
      </c>
    </row>
    <row r="3156" spans="1:15">
      <c r="A3156" s="9">
        <v>1001285415</v>
      </c>
      <c r="B3156" s="63" t="s">
        <v>61</v>
      </c>
      <c r="C3156" s="62" t="s">
        <v>9177</v>
      </c>
      <c r="D3156" t="s">
        <v>63</v>
      </c>
      <c r="E3156" t="s">
        <v>9548</v>
      </c>
      <c r="F3156" s="61">
        <v>37343</v>
      </c>
      <c r="G3156" s="15" t="s">
        <v>73</v>
      </c>
      <c r="H3156" t="s">
        <v>9549</v>
      </c>
      <c r="I3156" s="62" t="s">
        <v>9550</v>
      </c>
      <c r="K3156" s="36" t="s">
        <v>68</v>
      </c>
      <c r="L3156" t="s">
        <v>69</v>
      </c>
      <c r="M3156" s="62" t="s">
        <v>70</v>
      </c>
      <c r="N3156" t="s">
        <v>9544</v>
      </c>
      <c r="O3156" t="str">
        <f>IFERROR(IF(Tbla_actores[[#This Row],[codigo_proyecto]]="","",_xlfn.XLOOKUP(Tbla_actores[[#This Row],[codigo_proyecto]],Proyectos!$A:$A,Proyectos!$C:$C)),"")</f>
        <v>Proyecto 7</v>
      </c>
    </row>
    <row r="3157" spans="1:15">
      <c r="A3157" s="10">
        <v>1014976653</v>
      </c>
      <c r="B3157" s="64" t="s">
        <v>61</v>
      </c>
      <c r="C3157" s="62" t="s">
        <v>9177</v>
      </c>
      <c r="D3157" t="s">
        <v>63</v>
      </c>
      <c r="E3157" t="s">
        <v>9551</v>
      </c>
      <c r="F3157" s="61">
        <v>38082</v>
      </c>
      <c r="G3157" s="15" t="s">
        <v>73</v>
      </c>
      <c r="H3157" t="s">
        <v>9552</v>
      </c>
      <c r="I3157" s="62" t="s">
        <v>9553</v>
      </c>
      <c r="K3157" s="36" t="s">
        <v>68</v>
      </c>
      <c r="L3157" t="s">
        <v>69</v>
      </c>
      <c r="M3157" s="62" t="s">
        <v>70</v>
      </c>
      <c r="N3157" t="s">
        <v>9544</v>
      </c>
      <c r="O3157" t="str">
        <f>IFERROR(IF(Tbla_actores[[#This Row],[codigo_proyecto]]="","",_xlfn.XLOOKUP(Tbla_actores[[#This Row],[codigo_proyecto]],Proyectos!$A:$A,Proyectos!$C:$C)),"")</f>
        <v>Proyecto 7</v>
      </c>
    </row>
    <row r="3158" spans="1:15">
      <c r="A3158" s="9">
        <v>1001187817</v>
      </c>
      <c r="B3158" s="63" t="s">
        <v>61</v>
      </c>
      <c r="C3158" s="62" t="s">
        <v>9177</v>
      </c>
      <c r="D3158" t="s">
        <v>63</v>
      </c>
      <c r="E3158" t="s">
        <v>9554</v>
      </c>
      <c r="F3158" s="61">
        <v>37366</v>
      </c>
      <c r="G3158" s="15" t="s">
        <v>73</v>
      </c>
      <c r="H3158" t="s">
        <v>9555</v>
      </c>
      <c r="I3158" s="62" t="s">
        <v>9556</v>
      </c>
      <c r="K3158" s="36" t="s">
        <v>68</v>
      </c>
      <c r="L3158" t="s">
        <v>69</v>
      </c>
      <c r="M3158" s="62" t="s">
        <v>70</v>
      </c>
      <c r="N3158" t="s">
        <v>9544</v>
      </c>
      <c r="O3158" t="str">
        <f>IFERROR(IF(Tbla_actores[[#This Row],[codigo_proyecto]]="","",_xlfn.XLOOKUP(Tbla_actores[[#This Row],[codigo_proyecto]],Proyectos!$A:$A,Proyectos!$C:$C)),"")</f>
        <v>Proyecto 7</v>
      </c>
    </row>
    <row r="3159" spans="1:15">
      <c r="A3159" s="10">
        <v>1109184325</v>
      </c>
      <c r="B3159" s="64" t="s">
        <v>61</v>
      </c>
      <c r="C3159" s="62" t="s">
        <v>9177</v>
      </c>
      <c r="D3159" t="s">
        <v>63</v>
      </c>
      <c r="E3159" t="s">
        <v>9557</v>
      </c>
      <c r="F3159" s="61">
        <v>38069</v>
      </c>
      <c r="G3159" s="15" t="s">
        <v>73</v>
      </c>
      <c r="H3159" t="s">
        <v>9558</v>
      </c>
      <c r="I3159" s="62" t="s">
        <v>9559</v>
      </c>
      <c r="K3159" s="36" t="s">
        <v>7671</v>
      </c>
      <c r="L3159" t="s">
        <v>69</v>
      </c>
      <c r="M3159" s="62" t="s">
        <v>70</v>
      </c>
      <c r="N3159" t="s">
        <v>9544</v>
      </c>
      <c r="O3159" t="str">
        <f>IFERROR(IF(Tbla_actores[[#This Row],[codigo_proyecto]]="","",_xlfn.XLOOKUP(Tbla_actores[[#This Row],[codigo_proyecto]],Proyectos!$A:$A,Proyectos!$C:$C)),"")</f>
        <v>Proyecto 7</v>
      </c>
    </row>
    <row r="3160" spans="1:15">
      <c r="A3160" s="9">
        <v>1120818066</v>
      </c>
      <c r="B3160" s="63" t="s">
        <v>61</v>
      </c>
      <c r="C3160" s="62" t="s">
        <v>9177</v>
      </c>
      <c r="D3160" t="s">
        <v>63</v>
      </c>
      <c r="E3160" t="s">
        <v>9560</v>
      </c>
      <c r="F3160" s="61">
        <v>38205</v>
      </c>
      <c r="G3160" s="15" t="s">
        <v>65</v>
      </c>
      <c r="H3160" t="s">
        <v>9561</v>
      </c>
      <c r="I3160" s="62" t="s">
        <v>9562</v>
      </c>
      <c r="K3160" s="36" t="s">
        <v>7671</v>
      </c>
      <c r="L3160" t="s">
        <v>69</v>
      </c>
      <c r="M3160" s="62" t="s">
        <v>70</v>
      </c>
      <c r="N3160" t="s">
        <v>9563</v>
      </c>
      <c r="O3160" t="str">
        <f>IFERROR(IF(Tbla_actores[[#This Row],[codigo_proyecto]]="","",_xlfn.XLOOKUP(Tbla_actores[[#This Row],[codigo_proyecto]],Proyectos!$A:$A,Proyectos!$C:$C)),"")</f>
        <v>Reparación equipos y refuerzo escolar</v>
      </c>
    </row>
    <row r="3161" spans="1:15">
      <c r="A3161" s="10">
        <v>1003540449</v>
      </c>
      <c r="B3161" s="64" t="s">
        <v>61</v>
      </c>
      <c r="C3161" s="62" t="s">
        <v>9177</v>
      </c>
      <c r="D3161" t="s">
        <v>63</v>
      </c>
      <c r="E3161" t="s">
        <v>9564</v>
      </c>
      <c r="F3161" s="61">
        <v>37264</v>
      </c>
      <c r="G3161" s="15" t="s">
        <v>73</v>
      </c>
      <c r="H3161" t="s">
        <v>9565</v>
      </c>
      <c r="I3161" s="62" t="s">
        <v>9566</v>
      </c>
      <c r="K3161" s="36" t="s">
        <v>7671</v>
      </c>
      <c r="L3161" t="s">
        <v>69</v>
      </c>
      <c r="M3161" s="62" t="s">
        <v>70</v>
      </c>
      <c r="N3161" t="s">
        <v>9563</v>
      </c>
      <c r="O3161" t="str">
        <f>IFERROR(IF(Tbla_actores[[#This Row],[codigo_proyecto]]="","",_xlfn.XLOOKUP(Tbla_actores[[#This Row],[codigo_proyecto]],Proyectos!$A:$A,Proyectos!$C:$C)),"")</f>
        <v>Reparación equipos y refuerzo escolar</v>
      </c>
    </row>
    <row r="3162" spans="1:15">
      <c r="A3162" s="9">
        <v>1125348073</v>
      </c>
      <c r="B3162" s="63" t="s">
        <v>61</v>
      </c>
      <c r="C3162" s="62" t="s">
        <v>9177</v>
      </c>
      <c r="D3162" t="s">
        <v>63</v>
      </c>
      <c r="E3162" t="s">
        <v>9567</v>
      </c>
      <c r="F3162" s="61">
        <v>38361</v>
      </c>
      <c r="G3162" s="15" t="s">
        <v>65</v>
      </c>
      <c r="H3162" t="s">
        <v>9568</v>
      </c>
      <c r="I3162" s="62" t="s">
        <v>9569</v>
      </c>
      <c r="K3162" s="36" t="s">
        <v>169</v>
      </c>
      <c r="L3162" t="s">
        <v>69</v>
      </c>
      <c r="M3162" s="62" t="s">
        <v>170</v>
      </c>
      <c r="N3162" t="s">
        <v>9570</v>
      </c>
      <c r="O3162">
        <f>IFERROR(IF(Tbla_actores[[#This Row],[codigo_proyecto]]="","",_xlfn.XLOOKUP(Tbla_actores[[#This Row],[codigo_proyecto]],Proyectos!$A:$A,Proyectos!$C:$C)),"")</f>
        <v>0</v>
      </c>
    </row>
    <row r="3163" spans="1:15">
      <c r="A3163" s="10">
        <v>1054283752</v>
      </c>
      <c r="B3163" s="64" t="s">
        <v>61</v>
      </c>
      <c r="C3163" s="62" t="s">
        <v>9177</v>
      </c>
      <c r="D3163" t="s">
        <v>63</v>
      </c>
      <c r="E3163" t="s">
        <v>9571</v>
      </c>
      <c r="F3163" s="61">
        <v>38734</v>
      </c>
      <c r="G3163" s="15" t="s">
        <v>65</v>
      </c>
      <c r="H3163" t="s">
        <v>9572</v>
      </c>
      <c r="I3163" s="62" t="s">
        <v>9573</v>
      </c>
      <c r="K3163" s="36" t="s">
        <v>169</v>
      </c>
      <c r="L3163" t="s">
        <v>69</v>
      </c>
      <c r="M3163" s="62" t="s">
        <v>170</v>
      </c>
      <c r="N3163" t="s">
        <v>9570</v>
      </c>
      <c r="O3163">
        <f>IFERROR(IF(Tbla_actores[[#This Row],[codigo_proyecto]]="","",_xlfn.XLOOKUP(Tbla_actores[[#This Row],[codigo_proyecto]],Proyectos!$A:$A,Proyectos!$C:$C)),"")</f>
        <v>0</v>
      </c>
    </row>
    <row r="3164" spans="1:15">
      <c r="A3164" s="9">
        <v>1043962934</v>
      </c>
      <c r="B3164" s="63" t="s">
        <v>61</v>
      </c>
      <c r="C3164" s="62" t="s">
        <v>9177</v>
      </c>
      <c r="D3164" t="s">
        <v>63</v>
      </c>
      <c r="E3164" t="s">
        <v>9574</v>
      </c>
      <c r="F3164" s="61">
        <v>38155</v>
      </c>
      <c r="G3164" s="15" t="s">
        <v>65</v>
      </c>
      <c r="H3164" t="s">
        <v>9575</v>
      </c>
      <c r="I3164" s="62" t="s">
        <v>9576</v>
      </c>
      <c r="K3164" s="36" t="s">
        <v>68</v>
      </c>
      <c r="L3164" t="s">
        <v>69</v>
      </c>
      <c r="M3164" s="62" t="s">
        <v>70</v>
      </c>
      <c r="N3164" t="s">
        <v>9577</v>
      </c>
      <c r="O3164" t="str">
        <f>IFERROR(IF(Tbla_actores[[#This Row],[codigo_proyecto]]="","",_xlfn.XLOOKUP(Tbla_actores[[#This Row],[codigo_proyecto]],Proyectos!$A:$A,Proyectos!$C:$C)),"")</f>
        <v>Proyecto 20</v>
      </c>
    </row>
    <row r="3165" spans="1:15">
      <c r="A3165" s="10">
        <v>1000942034</v>
      </c>
      <c r="B3165" s="64" t="s">
        <v>61</v>
      </c>
      <c r="C3165" s="62" t="s">
        <v>9177</v>
      </c>
      <c r="D3165" t="s">
        <v>63</v>
      </c>
      <c r="E3165" t="s">
        <v>9578</v>
      </c>
      <c r="F3165" s="61">
        <v>37799</v>
      </c>
      <c r="G3165" s="15" t="s">
        <v>73</v>
      </c>
      <c r="H3165" t="s">
        <v>9579</v>
      </c>
      <c r="I3165" s="62" t="s">
        <v>9580</v>
      </c>
      <c r="K3165" s="36" t="s">
        <v>68</v>
      </c>
      <c r="L3165" t="s">
        <v>69</v>
      </c>
      <c r="M3165" s="62" t="s">
        <v>70</v>
      </c>
      <c r="N3165" t="s">
        <v>9577</v>
      </c>
      <c r="O3165" t="str">
        <f>IFERROR(IF(Tbla_actores[[#This Row],[codigo_proyecto]]="","",_xlfn.XLOOKUP(Tbla_actores[[#This Row],[codigo_proyecto]],Proyectos!$A:$A,Proyectos!$C:$C)),"")</f>
        <v>Proyecto 20</v>
      </c>
    </row>
    <row r="3166" spans="1:15">
      <c r="A3166" s="9">
        <v>1019603944</v>
      </c>
      <c r="B3166" s="63" t="s">
        <v>61</v>
      </c>
      <c r="C3166" s="62" t="s">
        <v>9177</v>
      </c>
      <c r="D3166" t="s">
        <v>63</v>
      </c>
      <c r="E3166" t="s">
        <v>9581</v>
      </c>
      <c r="F3166" s="61">
        <v>38509</v>
      </c>
      <c r="G3166" s="15" t="s">
        <v>73</v>
      </c>
      <c r="H3166" t="s">
        <v>9582</v>
      </c>
      <c r="I3166" s="62" t="s">
        <v>9583</v>
      </c>
      <c r="K3166" s="36" t="s">
        <v>68</v>
      </c>
      <c r="L3166" t="s">
        <v>69</v>
      </c>
      <c r="M3166" s="62" t="s">
        <v>70</v>
      </c>
      <c r="N3166" t="s">
        <v>9584</v>
      </c>
      <c r="O3166" t="str">
        <f>IFERROR(IF(Tbla_actores[[#This Row],[codigo_proyecto]]="","",_xlfn.XLOOKUP(Tbla_actores[[#This Row],[codigo_proyecto]],Proyectos!$A:$A,Proyectos!$C:$C)),"")</f>
        <v>Proyecto 13</v>
      </c>
    </row>
    <row r="3167" spans="1:15">
      <c r="A3167" s="10">
        <v>1025321192</v>
      </c>
      <c r="B3167" s="64" t="s">
        <v>61</v>
      </c>
      <c r="C3167" s="62" t="s">
        <v>9177</v>
      </c>
      <c r="D3167" t="s">
        <v>63</v>
      </c>
      <c r="E3167" t="s">
        <v>9585</v>
      </c>
      <c r="F3167" s="61">
        <v>38342</v>
      </c>
      <c r="G3167" s="15" t="s">
        <v>65</v>
      </c>
      <c r="H3167" t="s">
        <v>9586</v>
      </c>
      <c r="I3167" s="62" t="s">
        <v>9587</v>
      </c>
      <c r="K3167" s="36" t="s">
        <v>68</v>
      </c>
      <c r="L3167" t="s">
        <v>69</v>
      </c>
      <c r="M3167" s="62" t="s">
        <v>70</v>
      </c>
      <c r="N3167" t="s">
        <v>9584</v>
      </c>
      <c r="O3167" t="str">
        <f>IFERROR(IF(Tbla_actores[[#This Row],[codigo_proyecto]]="","",_xlfn.XLOOKUP(Tbla_actores[[#This Row],[codigo_proyecto]],Proyectos!$A:$A,Proyectos!$C:$C)),"")</f>
        <v>Proyecto 13</v>
      </c>
    </row>
    <row r="3168" spans="1:15">
      <c r="A3168" s="9">
        <v>1014658502</v>
      </c>
      <c r="B3168" s="63" t="s">
        <v>61</v>
      </c>
      <c r="C3168" s="62" t="s">
        <v>9177</v>
      </c>
      <c r="D3168" t="s">
        <v>63</v>
      </c>
      <c r="E3168" t="s">
        <v>9588</v>
      </c>
      <c r="F3168" s="61">
        <v>38260</v>
      </c>
      <c r="G3168" s="15" t="s">
        <v>73</v>
      </c>
      <c r="H3168" t="s">
        <v>9589</v>
      </c>
      <c r="I3168" s="62" t="s">
        <v>9590</v>
      </c>
      <c r="K3168" s="36" t="s">
        <v>68</v>
      </c>
      <c r="L3168" t="s">
        <v>69</v>
      </c>
      <c r="M3168" s="62" t="s">
        <v>70</v>
      </c>
      <c r="N3168" t="s">
        <v>9584</v>
      </c>
      <c r="O3168" t="str">
        <f>IFERROR(IF(Tbla_actores[[#This Row],[codigo_proyecto]]="","",_xlfn.XLOOKUP(Tbla_actores[[#This Row],[codigo_proyecto]],Proyectos!$A:$A,Proyectos!$C:$C)),"")</f>
        <v>Proyecto 13</v>
      </c>
    </row>
    <row r="3169" spans="1:15">
      <c r="A3169" s="10">
        <v>1000852071</v>
      </c>
      <c r="B3169" s="64" t="s">
        <v>61</v>
      </c>
      <c r="C3169" s="62" t="s">
        <v>9177</v>
      </c>
      <c r="D3169" t="s">
        <v>63</v>
      </c>
      <c r="E3169" t="s">
        <v>9591</v>
      </c>
      <c r="F3169" s="61">
        <v>37894</v>
      </c>
      <c r="G3169" s="15" t="s">
        <v>73</v>
      </c>
      <c r="H3169" t="s">
        <v>9592</v>
      </c>
      <c r="I3169" s="62" t="s">
        <v>9593</v>
      </c>
      <c r="K3169" s="36" t="s">
        <v>6427</v>
      </c>
      <c r="L3169" t="s">
        <v>69</v>
      </c>
      <c r="M3169" s="62" t="s">
        <v>70</v>
      </c>
      <c r="N3169" t="s">
        <v>9594</v>
      </c>
      <c r="O3169" t="str">
        <f>IFERROR(IF(Tbla_actores[[#This Row],[codigo_proyecto]]="","",_xlfn.XLOOKUP(Tbla_actores[[#This Row],[codigo_proyecto]],Proyectos!$A:$A,Proyectos!$C:$C)),"")</f>
        <v>Dispositivo para el control de  refigerios y eventos</v>
      </c>
    </row>
    <row r="3170" spans="1:15">
      <c r="A3170" s="9">
        <v>1103739689</v>
      </c>
      <c r="B3170" s="63" t="s">
        <v>61</v>
      </c>
      <c r="C3170" s="62" t="s">
        <v>9177</v>
      </c>
      <c r="D3170" t="s">
        <v>63</v>
      </c>
      <c r="E3170" t="s">
        <v>9595</v>
      </c>
      <c r="F3170" s="61">
        <v>38396</v>
      </c>
      <c r="G3170" s="15" t="s">
        <v>65</v>
      </c>
      <c r="H3170" t="s">
        <v>9596</v>
      </c>
      <c r="I3170" s="62" t="s">
        <v>9597</v>
      </c>
      <c r="K3170" s="36" t="s">
        <v>7284</v>
      </c>
      <c r="L3170" t="s">
        <v>69</v>
      </c>
      <c r="M3170" s="62" t="s">
        <v>70</v>
      </c>
      <c r="N3170" t="s">
        <v>9594</v>
      </c>
      <c r="O3170" t="str">
        <f>IFERROR(IF(Tbla_actores[[#This Row],[codigo_proyecto]]="","",_xlfn.XLOOKUP(Tbla_actores[[#This Row],[codigo_proyecto]],Proyectos!$A:$A,Proyectos!$C:$C)),"")</f>
        <v>Dispositivo para el control de  refigerios y eventos</v>
      </c>
    </row>
    <row r="3171" spans="1:15">
      <c r="A3171" s="10">
        <v>1019603104</v>
      </c>
      <c r="B3171" s="64" t="s">
        <v>61</v>
      </c>
      <c r="C3171" s="62" t="s">
        <v>9177</v>
      </c>
      <c r="D3171" t="s">
        <v>63</v>
      </c>
      <c r="E3171" t="s">
        <v>9598</v>
      </c>
      <c r="F3171" s="61">
        <v>38246</v>
      </c>
      <c r="G3171" s="15" t="s">
        <v>73</v>
      </c>
      <c r="H3171" t="s">
        <v>9599</v>
      </c>
      <c r="I3171" s="62" t="s">
        <v>9600</v>
      </c>
      <c r="K3171" s="36" t="s">
        <v>7284</v>
      </c>
      <c r="L3171" t="s">
        <v>69</v>
      </c>
      <c r="M3171" s="62" t="s">
        <v>70</v>
      </c>
      <c r="N3171" t="s">
        <v>9601</v>
      </c>
      <c r="O3171" t="str">
        <f>IFERROR(IF(Tbla_actores[[#This Row],[codigo_proyecto]]="","",_xlfn.XLOOKUP(Tbla_actores[[#This Row],[codigo_proyecto]],Proyectos!$A:$A,Proyectos!$C:$C)),"")</f>
        <v xml:space="preserve">Mejoramiento de caminador  versión 2 y diseño de nuevo caminador para niños </v>
      </c>
    </row>
    <row r="3172" spans="1:15">
      <c r="A3172" s="9">
        <v>1003395239</v>
      </c>
      <c r="B3172" s="63" t="s">
        <v>61</v>
      </c>
      <c r="C3172" s="62" t="s">
        <v>9177</v>
      </c>
      <c r="D3172" t="s">
        <v>63</v>
      </c>
      <c r="E3172" t="s">
        <v>9602</v>
      </c>
      <c r="F3172" s="61">
        <v>37312</v>
      </c>
      <c r="G3172" s="15" t="s">
        <v>73</v>
      </c>
      <c r="H3172" t="s">
        <v>9603</v>
      </c>
      <c r="I3172" s="62" t="s">
        <v>9604</v>
      </c>
      <c r="K3172" s="36" t="s">
        <v>6427</v>
      </c>
      <c r="L3172" t="s">
        <v>69</v>
      </c>
      <c r="M3172" s="62" t="s">
        <v>70</v>
      </c>
      <c r="N3172" t="s">
        <v>9601</v>
      </c>
      <c r="O3172" t="str">
        <f>IFERROR(IF(Tbla_actores[[#This Row],[codigo_proyecto]]="","",_xlfn.XLOOKUP(Tbla_actores[[#This Row],[codigo_proyecto]],Proyectos!$A:$A,Proyectos!$C:$C)),"")</f>
        <v xml:space="preserve">Mejoramiento de caminador  versión 2 y diseño de nuevo caminador para niños </v>
      </c>
    </row>
    <row r="3173" spans="1:15">
      <c r="A3173" s="10">
        <v>1003803406</v>
      </c>
      <c r="B3173" s="64" t="s">
        <v>61</v>
      </c>
      <c r="C3173" s="62" t="s">
        <v>9177</v>
      </c>
      <c r="D3173" t="s">
        <v>63</v>
      </c>
      <c r="E3173" t="s">
        <v>9605</v>
      </c>
      <c r="F3173" s="61">
        <v>36959</v>
      </c>
      <c r="G3173" s="15" t="s">
        <v>73</v>
      </c>
      <c r="H3173" t="s">
        <v>9606</v>
      </c>
      <c r="I3173" s="62" t="s">
        <v>9607</v>
      </c>
      <c r="K3173" s="36" t="s">
        <v>6427</v>
      </c>
      <c r="L3173" t="s">
        <v>69</v>
      </c>
      <c r="M3173" s="62" t="s">
        <v>70</v>
      </c>
      <c r="N3173" t="s">
        <v>9601</v>
      </c>
      <c r="O3173" t="str">
        <f>IFERROR(IF(Tbla_actores[[#This Row],[codigo_proyecto]]="","",_xlfn.XLOOKUP(Tbla_actores[[#This Row],[codigo_proyecto]],Proyectos!$A:$A,Proyectos!$C:$C)),"")</f>
        <v xml:space="preserve">Mejoramiento de caminador  versión 2 y diseño de nuevo caminador para niños </v>
      </c>
    </row>
    <row r="3174" spans="1:15">
      <c r="A3174" s="9">
        <v>1005024960</v>
      </c>
      <c r="B3174" s="63" t="s">
        <v>61</v>
      </c>
      <c r="C3174" s="62" t="s">
        <v>9177</v>
      </c>
      <c r="D3174" t="s">
        <v>63</v>
      </c>
      <c r="E3174" t="s">
        <v>9608</v>
      </c>
      <c r="F3174" s="61">
        <v>37906</v>
      </c>
      <c r="G3174" s="15" t="s">
        <v>65</v>
      </c>
      <c r="H3174" t="s">
        <v>9609</v>
      </c>
      <c r="I3174" s="62" t="s">
        <v>9610</v>
      </c>
      <c r="K3174" s="36" t="s">
        <v>6427</v>
      </c>
      <c r="L3174" t="s">
        <v>69</v>
      </c>
      <c r="M3174" s="62" t="s">
        <v>70</v>
      </c>
      <c r="N3174" t="s">
        <v>9601</v>
      </c>
      <c r="O3174" t="str">
        <f>IFERROR(IF(Tbla_actores[[#This Row],[codigo_proyecto]]="","",_xlfn.XLOOKUP(Tbla_actores[[#This Row],[codigo_proyecto]],Proyectos!$A:$A,Proyectos!$C:$C)),"")</f>
        <v xml:space="preserve">Mejoramiento de caminador  versión 2 y diseño de nuevo caminador para niños </v>
      </c>
    </row>
    <row r="3175" spans="1:15">
      <c r="A3175" s="10">
        <v>1096700623</v>
      </c>
      <c r="B3175" s="64" t="s">
        <v>61</v>
      </c>
      <c r="C3175" s="62" t="s">
        <v>9177</v>
      </c>
      <c r="D3175" t="s">
        <v>63</v>
      </c>
      <c r="E3175" t="s">
        <v>9611</v>
      </c>
      <c r="F3175" s="61">
        <v>38357</v>
      </c>
      <c r="G3175" s="15" t="s">
        <v>73</v>
      </c>
      <c r="H3175" t="s">
        <v>9612</v>
      </c>
      <c r="I3175" s="62" t="s">
        <v>9613</v>
      </c>
      <c r="K3175" s="36" t="s">
        <v>7284</v>
      </c>
      <c r="L3175" t="s">
        <v>69</v>
      </c>
      <c r="M3175" s="62" t="s">
        <v>70</v>
      </c>
      <c r="N3175" t="s">
        <v>9601</v>
      </c>
      <c r="O3175" t="str">
        <f>IFERROR(IF(Tbla_actores[[#This Row],[codigo_proyecto]]="","",_xlfn.XLOOKUP(Tbla_actores[[#This Row],[codigo_proyecto]],Proyectos!$A:$A,Proyectos!$C:$C)),"")</f>
        <v xml:space="preserve">Mejoramiento de caminador  versión 2 y diseño de nuevo caminador para niños </v>
      </c>
    </row>
    <row r="3176" spans="1:15">
      <c r="A3176" s="9">
        <v>1000408838</v>
      </c>
      <c r="B3176" s="63" t="s">
        <v>61</v>
      </c>
      <c r="C3176" s="62" t="s">
        <v>9177</v>
      </c>
      <c r="D3176" t="s">
        <v>63</v>
      </c>
      <c r="E3176" t="s">
        <v>8170</v>
      </c>
      <c r="F3176" s="61">
        <v>36660</v>
      </c>
      <c r="G3176" s="15" t="s">
        <v>73</v>
      </c>
      <c r="H3176" t="s">
        <v>8171</v>
      </c>
      <c r="I3176" s="62" t="s">
        <v>8172</v>
      </c>
      <c r="K3176" s="36" t="s">
        <v>169</v>
      </c>
      <c r="L3176" t="s">
        <v>69</v>
      </c>
      <c r="M3176" s="62" t="s">
        <v>70</v>
      </c>
      <c r="N3176" t="s">
        <v>9614</v>
      </c>
      <c r="O3176">
        <f>IFERROR(IF(Tbla_actores[[#This Row],[codigo_proyecto]]="","",_xlfn.XLOOKUP(Tbla_actores[[#This Row],[codigo_proyecto]],Proyectos!$A:$A,Proyectos!$C:$C)),"")</f>
        <v>0</v>
      </c>
    </row>
    <row r="3177" spans="1:15">
      <c r="A3177" s="10">
        <v>1105461102</v>
      </c>
      <c r="B3177" s="64" t="s">
        <v>61</v>
      </c>
      <c r="C3177" s="62" t="s">
        <v>9177</v>
      </c>
      <c r="D3177" t="s">
        <v>63</v>
      </c>
      <c r="E3177" t="s">
        <v>9615</v>
      </c>
      <c r="F3177" s="61">
        <v>38287</v>
      </c>
      <c r="G3177" s="15" t="s">
        <v>73</v>
      </c>
      <c r="H3177" t="s">
        <v>9616</v>
      </c>
      <c r="I3177" s="62" t="s">
        <v>9617</v>
      </c>
      <c r="K3177" s="36" t="s">
        <v>169</v>
      </c>
      <c r="L3177" t="s">
        <v>69</v>
      </c>
      <c r="M3177" s="62" t="s">
        <v>170</v>
      </c>
      <c r="N3177" t="s">
        <v>9614</v>
      </c>
      <c r="O3177">
        <f>IFERROR(IF(Tbla_actores[[#This Row],[codigo_proyecto]]="","",_xlfn.XLOOKUP(Tbla_actores[[#This Row],[codigo_proyecto]],Proyectos!$A:$A,Proyectos!$C:$C)),"")</f>
        <v>0</v>
      </c>
    </row>
    <row r="3178" spans="1:15">
      <c r="A3178" s="9">
        <v>1014738509</v>
      </c>
      <c r="B3178" s="63" t="s">
        <v>61</v>
      </c>
      <c r="C3178" s="62" t="s">
        <v>9177</v>
      </c>
      <c r="D3178" t="s">
        <v>63</v>
      </c>
      <c r="E3178" t="s">
        <v>9618</v>
      </c>
      <c r="F3178" s="61">
        <v>38518</v>
      </c>
      <c r="G3178" s="15" t="s">
        <v>65</v>
      </c>
      <c r="H3178" t="s">
        <v>9619</v>
      </c>
      <c r="I3178" s="62" t="s">
        <v>9620</v>
      </c>
      <c r="K3178" s="36" t="s">
        <v>169</v>
      </c>
      <c r="L3178" t="s">
        <v>69</v>
      </c>
      <c r="M3178" s="62" t="s">
        <v>170</v>
      </c>
      <c r="N3178" t="s">
        <v>9614</v>
      </c>
      <c r="O3178">
        <f>IFERROR(IF(Tbla_actores[[#This Row],[codigo_proyecto]]="","",_xlfn.XLOOKUP(Tbla_actores[[#This Row],[codigo_proyecto]],Proyectos!$A:$A,Proyectos!$C:$C)),"")</f>
        <v>0</v>
      </c>
    </row>
    <row r="3179" spans="1:15">
      <c r="A3179" s="10">
        <v>1000578291</v>
      </c>
      <c r="B3179" s="64" t="s">
        <v>61</v>
      </c>
      <c r="C3179" s="62" t="s">
        <v>9177</v>
      </c>
      <c r="D3179" t="s">
        <v>63</v>
      </c>
      <c r="E3179" t="s">
        <v>9621</v>
      </c>
      <c r="F3179" s="61">
        <v>36848</v>
      </c>
      <c r="G3179" s="15" t="s">
        <v>65</v>
      </c>
      <c r="H3179" t="s">
        <v>9622</v>
      </c>
      <c r="I3179" s="62" t="s">
        <v>9623</v>
      </c>
      <c r="K3179" s="36" t="s">
        <v>169</v>
      </c>
      <c r="L3179" t="s">
        <v>69</v>
      </c>
      <c r="M3179" s="62" t="s">
        <v>170</v>
      </c>
      <c r="N3179" t="s">
        <v>9614</v>
      </c>
      <c r="O3179">
        <f>IFERROR(IF(Tbla_actores[[#This Row],[codigo_proyecto]]="","",_xlfn.XLOOKUP(Tbla_actores[[#This Row],[codigo_proyecto]],Proyectos!$A:$A,Proyectos!$C:$C)),"")</f>
        <v>0</v>
      </c>
    </row>
    <row r="3180" spans="1:15">
      <c r="A3180" s="9">
        <v>1053325008</v>
      </c>
      <c r="B3180" s="63" t="s">
        <v>61</v>
      </c>
      <c r="C3180" s="62" t="s">
        <v>9177</v>
      </c>
      <c r="D3180" t="s">
        <v>63</v>
      </c>
      <c r="E3180" t="s">
        <v>9624</v>
      </c>
      <c r="F3180" s="61">
        <v>38320</v>
      </c>
      <c r="G3180" s="15" t="s">
        <v>65</v>
      </c>
      <c r="H3180" t="s">
        <v>9625</v>
      </c>
      <c r="I3180" s="62" t="s">
        <v>9626</v>
      </c>
      <c r="K3180" s="36" t="s">
        <v>68</v>
      </c>
      <c r="L3180" t="s">
        <v>69</v>
      </c>
      <c r="M3180" s="62" t="s">
        <v>70</v>
      </c>
      <c r="N3180" t="s">
        <v>9627</v>
      </c>
      <c r="O3180" t="str">
        <f>IFERROR(IF(Tbla_actores[[#This Row],[codigo_proyecto]]="","",_xlfn.XLOOKUP(Tbla_actores[[#This Row],[codigo_proyecto]],Proyectos!$A:$A,Proyectos!$C:$C)),"")</f>
        <v>Proyecto 7</v>
      </c>
    </row>
    <row r="3181" spans="1:15">
      <c r="A3181" s="10">
        <v>1003475593</v>
      </c>
      <c r="B3181" s="64" t="s">
        <v>61</v>
      </c>
      <c r="C3181" s="62" t="s">
        <v>9177</v>
      </c>
      <c r="D3181" t="s">
        <v>63</v>
      </c>
      <c r="E3181" t="s">
        <v>9628</v>
      </c>
      <c r="F3181" s="61">
        <v>37348</v>
      </c>
      <c r="G3181" s="15" t="s">
        <v>73</v>
      </c>
      <c r="H3181" t="s">
        <v>9629</v>
      </c>
      <c r="I3181" s="62" t="s">
        <v>9630</v>
      </c>
      <c r="K3181" s="36" t="s">
        <v>68</v>
      </c>
      <c r="L3181" t="s">
        <v>69</v>
      </c>
      <c r="M3181" s="62" t="s">
        <v>70</v>
      </c>
      <c r="N3181" t="s">
        <v>9627</v>
      </c>
      <c r="O3181" t="str">
        <f>IFERROR(IF(Tbla_actores[[#This Row],[codigo_proyecto]]="","",_xlfn.XLOOKUP(Tbla_actores[[#This Row],[codigo_proyecto]],Proyectos!$A:$A,Proyectos!$C:$C)),"")</f>
        <v>Proyecto 7</v>
      </c>
    </row>
    <row r="3182" spans="1:15">
      <c r="A3182" s="9">
        <v>1007828071</v>
      </c>
      <c r="B3182" s="63" t="s">
        <v>61</v>
      </c>
      <c r="C3182" s="62" t="s">
        <v>9177</v>
      </c>
      <c r="D3182" t="s">
        <v>63</v>
      </c>
      <c r="E3182" t="s">
        <v>9631</v>
      </c>
      <c r="F3182" s="61">
        <v>37427</v>
      </c>
      <c r="G3182" s="15" t="s">
        <v>73</v>
      </c>
      <c r="H3182" t="s">
        <v>9632</v>
      </c>
      <c r="I3182" s="62" t="s">
        <v>9633</v>
      </c>
      <c r="K3182" s="36" t="s">
        <v>7671</v>
      </c>
      <c r="L3182" t="s">
        <v>69</v>
      </c>
      <c r="M3182" s="62" t="s">
        <v>70</v>
      </c>
      <c r="N3182" t="s">
        <v>9634</v>
      </c>
      <c r="O3182" t="str">
        <f>IFERROR(IF(Tbla_actores[[#This Row],[codigo_proyecto]]="","",_xlfn.XLOOKUP(Tbla_actores[[#This Row],[codigo_proyecto]],Proyectos!$A:$A,Proyectos!$C:$C)),"")</f>
        <v>Reparación de Electrodomésticos FSI</v>
      </c>
    </row>
    <row r="3183" spans="1:15">
      <c r="A3183" s="10">
        <v>1013577542</v>
      </c>
      <c r="B3183" s="64" t="s">
        <v>61</v>
      </c>
      <c r="C3183" s="62" t="s">
        <v>9177</v>
      </c>
      <c r="D3183" t="s">
        <v>63</v>
      </c>
      <c r="E3183" t="s">
        <v>9635</v>
      </c>
      <c r="F3183" s="61">
        <v>38056</v>
      </c>
      <c r="G3183" s="15" t="s">
        <v>73</v>
      </c>
      <c r="H3183" t="s">
        <v>9636</v>
      </c>
      <c r="I3183" s="62" t="s">
        <v>9637</v>
      </c>
      <c r="K3183" s="36" t="s">
        <v>7671</v>
      </c>
      <c r="L3183" t="s">
        <v>69</v>
      </c>
      <c r="M3183" s="62" t="s">
        <v>70</v>
      </c>
      <c r="N3183" t="s">
        <v>9634</v>
      </c>
      <c r="O3183" t="str">
        <f>IFERROR(IF(Tbla_actores[[#This Row],[codigo_proyecto]]="","",_xlfn.XLOOKUP(Tbla_actores[[#This Row],[codigo_proyecto]],Proyectos!$A:$A,Proyectos!$C:$C)),"")</f>
        <v>Reparación de Electrodomésticos FSI</v>
      </c>
    </row>
    <row r="3184" spans="1:15">
      <c r="A3184" s="9">
        <v>1000464746</v>
      </c>
      <c r="B3184" s="63" t="s">
        <v>61</v>
      </c>
      <c r="C3184" s="62" t="s">
        <v>9177</v>
      </c>
      <c r="D3184" t="s">
        <v>63</v>
      </c>
      <c r="E3184" t="s">
        <v>9638</v>
      </c>
      <c r="F3184" s="61">
        <v>36683</v>
      </c>
      <c r="G3184" s="15" t="s">
        <v>73</v>
      </c>
      <c r="H3184" t="s">
        <v>9639</v>
      </c>
      <c r="I3184" s="62" t="s">
        <v>9640</v>
      </c>
      <c r="K3184" s="36" t="s">
        <v>1489</v>
      </c>
      <c r="L3184" t="s">
        <v>69</v>
      </c>
      <c r="M3184" s="62" t="s">
        <v>70</v>
      </c>
      <c r="N3184" t="s">
        <v>9634</v>
      </c>
      <c r="O3184" t="str">
        <f>IFERROR(IF(Tbla_actores[[#This Row],[codigo_proyecto]]="","",_xlfn.XLOOKUP(Tbla_actores[[#This Row],[codigo_proyecto]],Proyectos!$A:$A,Proyectos!$C:$C)),"")</f>
        <v>Reparación de Electrodomésticos FSI</v>
      </c>
    </row>
    <row r="3185" spans="1:15">
      <c r="A3185" s="10">
        <v>1021632136</v>
      </c>
      <c r="B3185" s="64" t="s">
        <v>61</v>
      </c>
      <c r="C3185" s="62" t="s">
        <v>9177</v>
      </c>
      <c r="D3185" t="s">
        <v>63</v>
      </c>
      <c r="E3185" t="s">
        <v>9641</v>
      </c>
      <c r="F3185" s="61">
        <v>38024</v>
      </c>
      <c r="G3185" s="15" t="s">
        <v>73</v>
      </c>
      <c r="H3185" t="s">
        <v>9642</v>
      </c>
      <c r="I3185" s="62" t="s">
        <v>9643</v>
      </c>
      <c r="K3185" s="36" t="s">
        <v>1489</v>
      </c>
      <c r="L3185" t="s">
        <v>69</v>
      </c>
      <c r="M3185" s="62" t="s">
        <v>70</v>
      </c>
      <c r="N3185" t="s">
        <v>9634</v>
      </c>
      <c r="O3185" t="str">
        <f>IFERROR(IF(Tbla_actores[[#This Row],[codigo_proyecto]]="","",_xlfn.XLOOKUP(Tbla_actores[[#This Row],[codigo_proyecto]],Proyectos!$A:$A,Proyectos!$C:$C)),"")</f>
        <v>Reparación de Electrodomésticos FSI</v>
      </c>
    </row>
    <row r="3186" spans="1:15">
      <c r="A3186" s="9">
        <v>1021632115</v>
      </c>
      <c r="B3186" s="63" t="s">
        <v>61</v>
      </c>
      <c r="C3186" s="62" t="s">
        <v>9177</v>
      </c>
      <c r="D3186" t="s">
        <v>63</v>
      </c>
      <c r="E3186" t="s">
        <v>9644</v>
      </c>
      <c r="F3186" s="61">
        <v>38034</v>
      </c>
      <c r="G3186" s="15" t="s">
        <v>65</v>
      </c>
      <c r="H3186" t="s">
        <v>9645</v>
      </c>
      <c r="I3186" s="62" t="s">
        <v>9646</v>
      </c>
      <c r="K3186" s="36" t="s">
        <v>1489</v>
      </c>
      <c r="L3186" t="s">
        <v>69</v>
      </c>
      <c r="M3186" s="62" t="s">
        <v>70</v>
      </c>
      <c r="N3186" t="s">
        <v>9634</v>
      </c>
      <c r="O3186" t="str">
        <f>IFERROR(IF(Tbla_actores[[#This Row],[codigo_proyecto]]="","",_xlfn.XLOOKUP(Tbla_actores[[#This Row],[codigo_proyecto]],Proyectos!$A:$A,Proyectos!$C:$C)),"")</f>
        <v>Reparación de Electrodomésticos FSI</v>
      </c>
    </row>
    <row r="3187" spans="1:15">
      <c r="A3187" s="10">
        <v>1019006362</v>
      </c>
      <c r="B3187" s="64" t="s">
        <v>61</v>
      </c>
      <c r="C3187" s="62" t="s">
        <v>9177</v>
      </c>
      <c r="D3187" t="s">
        <v>63</v>
      </c>
      <c r="E3187" t="s">
        <v>9647</v>
      </c>
      <c r="F3187" s="61">
        <v>38159</v>
      </c>
      <c r="G3187" s="15" t="s">
        <v>73</v>
      </c>
      <c r="H3187" t="s">
        <v>9648</v>
      </c>
      <c r="I3187" s="62" t="s">
        <v>9649</v>
      </c>
      <c r="K3187" s="36" t="s">
        <v>7671</v>
      </c>
      <c r="L3187" t="s">
        <v>69</v>
      </c>
      <c r="M3187" s="62" t="s">
        <v>70</v>
      </c>
      <c r="N3187" t="s">
        <v>9634</v>
      </c>
      <c r="O3187" t="str">
        <f>IFERROR(IF(Tbla_actores[[#This Row],[codigo_proyecto]]="","",_xlfn.XLOOKUP(Tbla_actores[[#This Row],[codigo_proyecto]],Proyectos!$A:$A,Proyectos!$C:$C)),"")</f>
        <v>Reparación de Electrodomésticos FSI</v>
      </c>
    </row>
    <row r="3188" spans="1:15">
      <c r="A3188" s="9">
        <v>1000287860</v>
      </c>
      <c r="B3188" s="63" t="s">
        <v>61</v>
      </c>
      <c r="C3188" s="62" t="s">
        <v>9177</v>
      </c>
      <c r="D3188" t="s">
        <v>63</v>
      </c>
      <c r="E3188" t="s">
        <v>9650</v>
      </c>
      <c r="F3188" s="61">
        <v>37744</v>
      </c>
      <c r="G3188" s="15" t="s">
        <v>73</v>
      </c>
      <c r="H3188" t="s">
        <v>9651</v>
      </c>
      <c r="I3188" s="62" t="s">
        <v>9652</v>
      </c>
      <c r="K3188" s="36" t="s">
        <v>68</v>
      </c>
      <c r="L3188" t="s">
        <v>69</v>
      </c>
      <c r="M3188" s="62" t="s">
        <v>70</v>
      </c>
      <c r="N3188" t="s">
        <v>9653</v>
      </c>
      <c r="O3188" t="str">
        <f>IFERROR(IF(Tbla_actores[[#This Row],[codigo_proyecto]]="","",_xlfn.XLOOKUP(Tbla_actores[[#This Row],[codigo_proyecto]],Proyectos!$A:$A,Proyectos!$C:$C)),"")</f>
        <v>Proyecto 8</v>
      </c>
    </row>
    <row r="3189" spans="1:15">
      <c r="A3189" s="10">
        <v>1092526255</v>
      </c>
      <c r="B3189" s="64" t="s">
        <v>61</v>
      </c>
      <c r="C3189" s="62" t="s">
        <v>9177</v>
      </c>
      <c r="D3189" t="s">
        <v>63</v>
      </c>
      <c r="E3189" t="s">
        <v>9654</v>
      </c>
      <c r="F3189" s="61">
        <v>38276</v>
      </c>
      <c r="G3189" s="15" t="s">
        <v>73</v>
      </c>
      <c r="H3189" t="s">
        <v>9655</v>
      </c>
      <c r="I3189" s="62" t="s">
        <v>9656</v>
      </c>
      <c r="K3189" s="36" t="s">
        <v>6427</v>
      </c>
      <c r="L3189" t="s">
        <v>69</v>
      </c>
      <c r="M3189" s="62" t="s">
        <v>70</v>
      </c>
      <c r="N3189" t="s">
        <v>9657</v>
      </c>
      <c r="O3189" t="str">
        <f>IFERROR(IF(Tbla_actores[[#This Row],[codigo_proyecto]]="","",_xlfn.XLOOKUP(Tbla_actores[[#This Row],[codigo_proyecto]],Proyectos!$A:$A,Proyectos!$C:$C)),"")</f>
        <v>Diseño  final de prótesis mecánica transhumeral y próteiss transradial</v>
      </c>
    </row>
    <row r="3190" spans="1:15">
      <c r="A3190" s="9">
        <v>1001299245</v>
      </c>
      <c r="B3190" s="63" t="s">
        <v>61</v>
      </c>
      <c r="C3190" s="62" t="s">
        <v>9177</v>
      </c>
      <c r="D3190" t="s">
        <v>63</v>
      </c>
      <c r="E3190" t="s">
        <v>9658</v>
      </c>
      <c r="F3190" s="61">
        <v>37751</v>
      </c>
      <c r="G3190" s="15" t="s">
        <v>73</v>
      </c>
      <c r="H3190" t="s">
        <v>9659</v>
      </c>
      <c r="I3190" s="62" t="s">
        <v>9660</v>
      </c>
      <c r="K3190" s="36" t="s">
        <v>7284</v>
      </c>
      <c r="L3190" t="s">
        <v>69</v>
      </c>
      <c r="M3190" s="62" t="s">
        <v>70</v>
      </c>
      <c r="N3190" t="s">
        <v>9657</v>
      </c>
      <c r="O3190" t="str">
        <f>IFERROR(IF(Tbla_actores[[#This Row],[codigo_proyecto]]="","",_xlfn.XLOOKUP(Tbla_actores[[#This Row],[codigo_proyecto]],Proyectos!$A:$A,Proyectos!$C:$C)),"")</f>
        <v>Diseño  final de prótesis mecánica transhumeral y próteiss transradial</v>
      </c>
    </row>
    <row r="3191" spans="1:15">
      <c r="A3191" s="10">
        <v>1000612661</v>
      </c>
      <c r="B3191" s="64" t="s">
        <v>61</v>
      </c>
      <c r="C3191" s="62" t="s">
        <v>9177</v>
      </c>
      <c r="D3191" t="s">
        <v>63</v>
      </c>
      <c r="E3191" t="s">
        <v>9661</v>
      </c>
      <c r="F3191" s="61">
        <v>37887</v>
      </c>
      <c r="G3191" s="15" t="s">
        <v>73</v>
      </c>
      <c r="H3191" t="s">
        <v>9662</v>
      </c>
      <c r="I3191" s="62" t="s">
        <v>9663</v>
      </c>
      <c r="K3191" s="36" t="s">
        <v>6427</v>
      </c>
      <c r="L3191" t="s">
        <v>69</v>
      </c>
      <c r="M3191" s="62" t="s">
        <v>70</v>
      </c>
      <c r="N3191" t="s">
        <v>9657</v>
      </c>
      <c r="O3191" t="str">
        <f>IFERROR(IF(Tbla_actores[[#This Row],[codigo_proyecto]]="","",_xlfn.XLOOKUP(Tbla_actores[[#This Row],[codigo_proyecto]],Proyectos!$A:$A,Proyectos!$C:$C)),"")</f>
        <v>Diseño  final de prótesis mecánica transhumeral y próteiss transradial</v>
      </c>
    </row>
    <row r="3192" spans="1:15">
      <c r="A3192" s="9">
        <v>1000271142</v>
      </c>
      <c r="B3192" s="63" t="s">
        <v>61</v>
      </c>
      <c r="C3192" s="62" t="s">
        <v>9177</v>
      </c>
      <c r="D3192" t="s">
        <v>63</v>
      </c>
      <c r="E3192" t="s">
        <v>9664</v>
      </c>
      <c r="F3192" s="61">
        <v>36965</v>
      </c>
      <c r="G3192" s="15" t="s">
        <v>73</v>
      </c>
      <c r="H3192" t="s">
        <v>9665</v>
      </c>
      <c r="I3192" s="62" t="s">
        <v>9666</v>
      </c>
      <c r="K3192" s="36" t="s">
        <v>68</v>
      </c>
      <c r="L3192" t="s">
        <v>69</v>
      </c>
      <c r="M3192" s="62" t="s">
        <v>70</v>
      </c>
      <c r="N3192" t="s">
        <v>9653</v>
      </c>
      <c r="O3192" t="str">
        <f>IFERROR(IF(Tbla_actores[[#This Row],[codigo_proyecto]]="","",_xlfn.XLOOKUP(Tbla_actores[[#This Row],[codigo_proyecto]],Proyectos!$A:$A,Proyectos!$C:$C)),"")</f>
        <v>Proyecto 8</v>
      </c>
    </row>
    <row r="3193" spans="1:15">
      <c r="A3193" s="10">
        <v>1043295315</v>
      </c>
      <c r="B3193" s="64" t="s">
        <v>61</v>
      </c>
      <c r="C3193" s="62" t="s">
        <v>9177</v>
      </c>
      <c r="D3193" t="s">
        <v>63</v>
      </c>
      <c r="E3193" t="s">
        <v>9667</v>
      </c>
      <c r="F3193" s="61">
        <v>38260</v>
      </c>
      <c r="G3193" s="15" t="s">
        <v>65</v>
      </c>
      <c r="H3193" t="s">
        <v>9668</v>
      </c>
      <c r="I3193" s="62" t="s">
        <v>9669</v>
      </c>
      <c r="K3193" s="36" t="s">
        <v>7284</v>
      </c>
      <c r="L3193" t="s">
        <v>69</v>
      </c>
      <c r="M3193" s="62" t="s">
        <v>70</v>
      </c>
      <c r="N3193" t="s">
        <v>9657</v>
      </c>
      <c r="O3193" t="str">
        <f>IFERROR(IF(Tbla_actores[[#This Row],[codigo_proyecto]]="","",_xlfn.XLOOKUP(Tbla_actores[[#This Row],[codigo_proyecto]],Proyectos!$A:$A,Proyectos!$C:$C)),"")</f>
        <v>Diseño  final de prótesis mecánica transhumeral y próteiss transradial</v>
      </c>
    </row>
    <row r="3194" spans="1:15">
      <c r="A3194" s="9">
        <v>1000335954</v>
      </c>
      <c r="B3194" s="63" t="s">
        <v>61</v>
      </c>
      <c r="C3194" s="62" t="s">
        <v>9177</v>
      </c>
      <c r="D3194" t="s">
        <v>63</v>
      </c>
      <c r="E3194" t="s">
        <v>9670</v>
      </c>
      <c r="F3194" s="61">
        <v>37907</v>
      </c>
      <c r="G3194" s="15" t="s">
        <v>73</v>
      </c>
      <c r="H3194" t="s">
        <v>9671</v>
      </c>
      <c r="I3194" s="62" t="s">
        <v>9672</v>
      </c>
      <c r="K3194" s="36" t="s">
        <v>68</v>
      </c>
      <c r="L3194" t="s">
        <v>69</v>
      </c>
      <c r="M3194" s="62" t="s">
        <v>70</v>
      </c>
      <c r="N3194" t="s">
        <v>9673</v>
      </c>
      <c r="O3194" t="str">
        <f>IFERROR(IF(Tbla_actores[[#This Row],[codigo_proyecto]]="","",_xlfn.XLOOKUP(Tbla_actores[[#This Row],[codigo_proyecto]],Proyectos!$A:$A,Proyectos!$C:$C)),"")</f>
        <v>Proyecto 9</v>
      </c>
    </row>
    <row r="3195" spans="1:15">
      <c r="A3195" s="10">
        <v>1000252593</v>
      </c>
      <c r="B3195" s="64" t="s">
        <v>61</v>
      </c>
      <c r="C3195" s="62" t="s">
        <v>9177</v>
      </c>
      <c r="D3195" t="s">
        <v>63</v>
      </c>
      <c r="E3195" t="s">
        <v>9674</v>
      </c>
      <c r="F3195" s="61">
        <v>37934</v>
      </c>
      <c r="G3195" s="15" t="s">
        <v>65</v>
      </c>
      <c r="H3195" t="s">
        <v>9675</v>
      </c>
      <c r="I3195" s="62" t="s">
        <v>9676</v>
      </c>
      <c r="K3195" s="36" t="s">
        <v>68</v>
      </c>
      <c r="L3195" t="s">
        <v>69</v>
      </c>
      <c r="M3195" s="62" t="s">
        <v>70</v>
      </c>
      <c r="N3195" t="s">
        <v>9673</v>
      </c>
      <c r="O3195" t="str">
        <f>IFERROR(IF(Tbla_actores[[#This Row],[codigo_proyecto]]="","",_xlfn.XLOOKUP(Tbla_actores[[#This Row],[codigo_proyecto]],Proyectos!$A:$A,Proyectos!$C:$C)),"")</f>
        <v>Proyecto 9</v>
      </c>
    </row>
    <row r="3196" spans="1:15">
      <c r="A3196" s="9">
        <v>1000150754</v>
      </c>
      <c r="B3196" s="63" t="s">
        <v>61</v>
      </c>
      <c r="C3196" s="62" t="s">
        <v>9177</v>
      </c>
      <c r="D3196" t="s">
        <v>63</v>
      </c>
      <c r="E3196" t="s">
        <v>9677</v>
      </c>
      <c r="F3196" s="61">
        <v>37771</v>
      </c>
      <c r="G3196" s="15" t="s">
        <v>73</v>
      </c>
      <c r="H3196" t="s">
        <v>9678</v>
      </c>
      <c r="I3196" s="62" t="s">
        <v>9679</v>
      </c>
      <c r="K3196" s="36" t="s">
        <v>68</v>
      </c>
      <c r="L3196" t="s">
        <v>69</v>
      </c>
      <c r="M3196" s="62" t="s">
        <v>70</v>
      </c>
      <c r="N3196" t="s">
        <v>9680</v>
      </c>
      <c r="O3196" t="str">
        <f>IFERROR(IF(Tbla_actores[[#This Row],[codigo_proyecto]]="","",_xlfn.XLOOKUP(Tbla_actores[[#This Row],[codigo_proyecto]],Proyectos!$A:$A,Proyectos!$C:$C)),"")</f>
        <v>Proyecto 23</v>
      </c>
    </row>
    <row r="3197" spans="1:15">
      <c r="A3197" s="10">
        <v>520217</v>
      </c>
      <c r="B3197" s="64" t="s">
        <v>61</v>
      </c>
      <c r="C3197" s="62" t="s">
        <v>9177</v>
      </c>
      <c r="D3197" t="s">
        <v>63</v>
      </c>
      <c r="E3197" t="s">
        <v>9681</v>
      </c>
      <c r="F3197" s="61">
        <v>38219</v>
      </c>
      <c r="G3197" s="15" t="s">
        <v>73</v>
      </c>
      <c r="H3197" t="s">
        <v>9682</v>
      </c>
      <c r="I3197" s="62" t="s">
        <v>9683</v>
      </c>
      <c r="K3197" s="36" t="s">
        <v>68</v>
      </c>
      <c r="L3197" t="s">
        <v>69</v>
      </c>
      <c r="M3197" s="62" t="s">
        <v>70</v>
      </c>
      <c r="N3197" t="s">
        <v>9680</v>
      </c>
      <c r="O3197" t="str">
        <f>IFERROR(IF(Tbla_actores[[#This Row],[codigo_proyecto]]="","",_xlfn.XLOOKUP(Tbla_actores[[#This Row],[codigo_proyecto]],Proyectos!$A:$A,Proyectos!$C:$C)),"")</f>
        <v>Proyecto 23</v>
      </c>
    </row>
    <row r="3198" spans="1:15">
      <c r="A3198" s="9">
        <v>1023082849</v>
      </c>
      <c r="B3198" s="63" t="s">
        <v>61</v>
      </c>
      <c r="C3198" s="62" t="s">
        <v>9177</v>
      </c>
      <c r="D3198" t="s">
        <v>63</v>
      </c>
      <c r="E3198" t="s">
        <v>9684</v>
      </c>
      <c r="F3198" s="61">
        <v>38335</v>
      </c>
      <c r="G3198" s="15" t="s">
        <v>73</v>
      </c>
      <c r="H3198" t="s">
        <v>9685</v>
      </c>
      <c r="I3198" s="62" t="s">
        <v>9686</v>
      </c>
      <c r="K3198" s="36" t="s">
        <v>68</v>
      </c>
      <c r="L3198" t="s">
        <v>69</v>
      </c>
      <c r="M3198" s="62" t="s">
        <v>70</v>
      </c>
      <c r="N3198" t="s">
        <v>9680</v>
      </c>
      <c r="O3198" t="str">
        <f>IFERROR(IF(Tbla_actores[[#This Row],[codigo_proyecto]]="","",_xlfn.XLOOKUP(Tbla_actores[[#This Row],[codigo_proyecto]],Proyectos!$A:$A,Proyectos!$C:$C)),"")</f>
        <v>Proyecto 23</v>
      </c>
    </row>
    <row r="3199" spans="1:15">
      <c r="A3199" s="10">
        <v>1043663932</v>
      </c>
      <c r="B3199" s="64" t="s">
        <v>61</v>
      </c>
      <c r="C3199" s="62" t="s">
        <v>9177</v>
      </c>
      <c r="D3199" t="s">
        <v>63</v>
      </c>
      <c r="E3199" t="s">
        <v>9687</v>
      </c>
      <c r="F3199" s="61">
        <v>38345</v>
      </c>
      <c r="G3199" s="15" t="s">
        <v>65</v>
      </c>
      <c r="H3199" t="s">
        <v>9688</v>
      </c>
      <c r="I3199" s="62" t="s">
        <v>9689</v>
      </c>
      <c r="K3199" s="36" t="s">
        <v>68</v>
      </c>
      <c r="L3199" t="s">
        <v>69</v>
      </c>
      <c r="M3199" s="62" t="s">
        <v>70</v>
      </c>
      <c r="N3199" t="s">
        <v>9680</v>
      </c>
      <c r="O3199" t="str">
        <f>IFERROR(IF(Tbla_actores[[#This Row],[codigo_proyecto]]="","",_xlfn.XLOOKUP(Tbla_actores[[#This Row],[codigo_proyecto]],Proyectos!$A:$A,Proyectos!$C:$C)),"")</f>
        <v>Proyecto 23</v>
      </c>
    </row>
    <row r="3200" spans="1:15">
      <c r="A3200" s="9">
        <v>1126243913</v>
      </c>
      <c r="B3200" s="63" t="s">
        <v>61</v>
      </c>
      <c r="C3200" s="62" t="s">
        <v>9177</v>
      </c>
      <c r="D3200" t="s">
        <v>63</v>
      </c>
      <c r="E3200" t="s">
        <v>9690</v>
      </c>
      <c r="F3200" s="61">
        <v>37802</v>
      </c>
      <c r="G3200" s="15" t="s">
        <v>65</v>
      </c>
      <c r="H3200" t="s">
        <v>9691</v>
      </c>
      <c r="I3200" s="62" t="s">
        <v>9692</v>
      </c>
      <c r="K3200" s="36" t="s">
        <v>6427</v>
      </c>
      <c r="L3200" t="s">
        <v>69</v>
      </c>
      <c r="M3200" s="62" t="s">
        <v>70</v>
      </c>
      <c r="N3200" t="s">
        <v>9693</v>
      </c>
      <c r="O3200" t="str">
        <f>IFERROR(IF(Tbla_actores[[#This Row],[codigo_proyecto]]="","",_xlfn.XLOOKUP(Tbla_actores[[#This Row],[codigo_proyecto]],Proyectos!$A:$A,Proyectos!$C:$C)),"")</f>
        <v>Construcción de herramienta para bitácoras  de enfermeras</v>
      </c>
    </row>
    <row r="3201" spans="1:15">
      <c r="A3201" s="10">
        <v>1013261283</v>
      </c>
      <c r="B3201" s="64" t="s">
        <v>61</v>
      </c>
      <c r="C3201" s="62" t="s">
        <v>9177</v>
      </c>
      <c r="D3201" t="s">
        <v>63</v>
      </c>
      <c r="E3201" t="s">
        <v>9694</v>
      </c>
      <c r="F3201" s="61">
        <v>38779</v>
      </c>
      <c r="G3201" s="15" t="s">
        <v>65</v>
      </c>
      <c r="H3201" t="s">
        <v>9695</v>
      </c>
      <c r="I3201" s="62" t="s">
        <v>9696</v>
      </c>
      <c r="K3201" s="36" t="s">
        <v>169</v>
      </c>
      <c r="L3201" t="s">
        <v>69</v>
      </c>
      <c r="M3201" s="62" t="s">
        <v>170</v>
      </c>
      <c r="N3201" t="s">
        <v>9697</v>
      </c>
      <c r="O3201">
        <f>IFERROR(IF(Tbla_actores[[#This Row],[codigo_proyecto]]="","",_xlfn.XLOOKUP(Tbla_actores[[#This Row],[codigo_proyecto]],Proyectos!$A:$A,Proyectos!$C:$C)),"")</f>
        <v>0</v>
      </c>
    </row>
    <row r="3202" spans="1:15">
      <c r="A3202" s="9">
        <v>1013106695</v>
      </c>
      <c r="B3202" s="63" t="s">
        <v>61</v>
      </c>
      <c r="C3202" s="62" t="s">
        <v>9177</v>
      </c>
      <c r="D3202" t="s">
        <v>63</v>
      </c>
      <c r="E3202" t="s">
        <v>9698</v>
      </c>
      <c r="F3202" s="61">
        <v>38646</v>
      </c>
      <c r="G3202" s="15" t="s">
        <v>65</v>
      </c>
      <c r="H3202" t="s">
        <v>9699</v>
      </c>
      <c r="I3202" s="62" t="s">
        <v>9700</v>
      </c>
      <c r="K3202" s="36" t="s">
        <v>169</v>
      </c>
      <c r="L3202" t="s">
        <v>69</v>
      </c>
      <c r="M3202" s="62" t="s">
        <v>170</v>
      </c>
      <c r="N3202" t="s">
        <v>9697</v>
      </c>
      <c r="O3202">
        <f>IFERROR(IF(Tbla_actores[[#This Row],[codigo_proyecto]]="","",_xlfn.XLOOKUP(Tbla_actores[[#This Row],[codigo_proyecto]],Proyectos!$A:$A,Proyectos!$C:$C)),"")</f>
        <v>0</v>
      </c>
    </row>
    <row r="3203" spans="1:15">
      <c r="A3203" s="10">
        <v>1010130187</v>
      </c>
      <c r="B3203" s="64" t="s">
        <v>61</v>
      </c>
      <c r="C3203" s="62" t="s">
        <v>9177</v>
      </c>
      <c r="D3203" t="s">
        <v>63</v>
      </c>
      <c r="E3203" t="s">
        <v>9701</v>
      </c>
      <c r="F3203" s="61">
        <v>37129</v>
      </c>
      <c r="G3203" s="15" t="s">
        <v>65</v>
      </c>
      <c r="H3203" t="s">
        <v>9702</v>
      </c>
      <c r="I3203" s="62" t="s">
        <v>9703</v>
      </c>
      <c r="K3203" s="36" t="s">
        <v>169</v>
      </c>
      <c r="L3203" t="s">
        <v>69</v>
      </c>
      <c r="M3203" s="62" t="s">
        <v>170</v>
      </c>
      <c r="N3203" t="s">
        <v>9704</v>
      </c>
      <c r="O3203" t="str">
        <f>IFERROR(IF(Tbla_actores[[#This Row],[codigo_proyecto]]="","",_xlfn.XLOOKUP(Tbla_actores[[#This Row],[codigo_proyecto]],Proyectos!$A:$A,Proyectos!$C:$C)),"")</f>
        <v>Apoyo organizacional a la JAC del Barrio Doña Liliana</v>
      </c>
    </row>
    <row r="3204" spans="1:15">
      <c r="A3204" s="9">
        <v>1006973340</v>
      </c>
      <c r="B3204" s="63" t="s">
        <v>61</v>
      </c>
      <c r="C3204" s="62" t="s">
        <v>9177</v>
      </c>
      <c r="D3204" t="s">
        <v>63</v>
      </c>
      <c r="E3204" t="s">
        <v>9705</v>
      </c>
      <c r="F3204" s="61">
        <v>37584</v>
      </c>
      <c r="G3204" s="15" t="s">
        <v>65</v>
      </c>
      <c r="H3204" t="s">
        <v>9706</v>
      </c>
      <c r="I3204" s="62" t="s">
        <v>9707</v>
      </c>
      <c r="K3204" s="36" t="s">
        <v>169</v>
      </c>
      <c r="L3204" t="s">
        <v>69</v>
      </c>
      <c r="M3204" s="62" t="s">
        <v>170</v>
      </c>
      <c r="N3204" t="s">
        <v>9704</v>
      </c>
      <c r="O3204" t="str">
        <f>IFERROR(IF(Tbla_actores[[#This Row],[codigo_proyecto]]="","",_xlfn.XLOOKUP(Tbla_actores[[#This Row],[codigo_proyecto]],Proyectos!$A:$A,Proyectos!$C:$C)),"")</f>
        <v>Apoyo organizacional a la JAC del Barrio Doña Liliana</v>
      </c>
    </row>
    <row r="3205" spans="1:15">
      <c r="A3205" s="10">
        <v>1000941966</v>
      </c>
      <c r="B3205" s="64" t="s">
        <v>61</v>
      </c>
      <c r="C3205" s="62" t="s">
        <v>9177</v>
      </c>
      <c r="D3205" t="s">
        <v>63</v>
      </c>
      <c r="E3205" t="s">
        <v>9708</v>
      </c>
      <c r="F3205" s="61">
        <v>37922</v>
      </c>
      <c r="G3205" s="15" t="s">
        <v>73</v>
      </c>
      <c r="H3205" t="s">
        <v>9709</v>
      </c>
      <c r="I3205" s="62" t="s">
        <v>9710</v>
      </c>
      <c r="K3205" s="36" t="s">
        <v>169</v>
      </c>
      <c r="L3205" t="s">
        <v>69</v>
      </c>
      <c r="M3205" s="62" t="s">
        <v>170</v>
      </c>
      <c r="N3205" t="s">
        <v>9704</v>
      </c>
      <c r="O3205" t="str">
        <f>IFERROR(IF(Tbla_actores[[#This Row],[codigo_proyecto]]="","",_xlfn.XLOOKUP(Tbla_actores[[#This Row],[codigo_proyecto]],Proyectos!$A:$A,Proyectos!$C:$C)),"")</f>
        <v>Apoyo organizacional a la JAC del Barrio Doña Liliana</v>
      </c>
    </row>
    <row r="3206" spans="1:15">
      <c r="A3206" s="9">
        <v>1034517102</v>
      </c>
      <c r="B3206" s="63" t="s">
        <v>61</v>
      </c>
      <c r="C3206" s="62" t="s">
        <v>9177</v>
      </c>
      <c r="D3206" t="s">
        <v>63</v>
      </c>
      <c r="E3206" t="s">
        <v>9711</v>
      </c>
      <c r="F3206" s="61">
        <v>38712</v>
      </c>
      <c r="G3206" s="15" t="s">
        <v>65</v>
      </c>
      <c r="H3206" t="s">
        <v>9712</v>
      </c>
      <c r="I3206" s="62" t="s">
        <v>9713</v>
      </c>
      <c r="K3206" s="36" t="s">
        <v>169</v>
      </c>
      <c r="L3206" t="s">
        <v>69</v>
      </c>
      <c r="M3206" s="62" t="s">
        <v>170</v>
      </c>
      <c r="N3206" t="s">
        <v>9704</v>
      </c>
      <c r="O3206" t="str">
        <f>IFERROR(IF(Tbla_actores[[#This Row],[codigo_proyecto]]="","",_xlfn.XLOOKUP(Tbla_actores[[#This Row],[codigo_proyecto]],Proyectos!$A:$A,Proyectos!$C:$C)),"")</f>
        <v>Apoyo organizacional a la JAC del Barrio Doña Liliana</v>
      </c>
    </row>
    <row r="3207" spans="1:15">
      <c r="A3207" s="10">
        <v>1013257962</v>
      </c>
      <c r="B3207" s="64" t="s">
        <v>61</v>
      </c>
      <c r="C3207" s="62" t="s">
        <v>9177</v>
      </c>
      <c r="D3207" t="s">
        <v>63</v>
      </c>
      <c r="E3207" t="s">
        <v>9714</v>
      </c>
      <c r="F3207" s="61">
        <v>38245</v>
      </c>
      <c r="G3207" s="15" t="s">
        <v>65</v>
      </c>
      <c r="H3207" t="s">
        <v>9715</v>
      </c>
      <c r="I3207" s="62" t="s">
        <v>9716</v>
      </c>
      <c r="K3207" s="36" t="s">
        <v>169</v>
      </c>
      <c r="L3207" t="s">
        <v>69</v>
      </c>
      <c r="M3207" s="62" t="s">
        <v>170</v>
      </c>
      <c r="N3207" t="s">
        <v>9704</v>
      </c>
      <c r="O3207" t="str">
        <f>IFERROR(IF(Tbla_actores[[#This Row],[codigo_proyecto]]="","",_xlfn.XLOOKUP(Tbla_actores[[#This Row],[codigo_proyecto]],Proyectos!$A:$A,Proyectos!$C:$C)),"")</f>
        <v>Apoyo organizacional a la JAC del Barrio Doña Liliana</v>
      </c>
    </row>
    <row r="3208" spans="1:15">
      <c r="A3208" s="9">
        <v>1014859573</v>
      </c>
      <c r="B3208" s="63" t="s">
        <v>61</v>
      </c>
      <c r="C3208" s="62" t="s">
        <v>9177</v>
      </c>
      <c r="D3208" t="s">
        <v>63</v>
      </c>
      <c r="E3208" t="s">
        <v>9717</v>
      </c>
      <c r="F3208" s="61">
        <v>38596</v>
      </c>
      <c r="G3208" s="15" t="s">
        <v>65</v>
      </c>
      <c r="H3208" t="s">
        <v>9718</v>
      </c>
      <c r="I3208" s="62" t="s">
        <v>9719</v>
      </c>
      <c r="K3208" s="36" t="s">
        <v>169</v>
      </c>
      <c r="L3208" t="s">
        <v>69</v>
      </c>
      <c r="M3208" s="62" t="s">
        <v>170</v>
      </c>
      <c r="N3208" t="s">
        <v>9720</v>
      </c>
      <c r="O3208" t="str">
        <f>IFERROR(IF(Tbla_actores[[#This Row],[codigo_proyecto]]="","",_xlfn.XLOOKUP(Tbla_actores[[#This Row],[codigo_proyecto]],Proyectos!$A:$A,Proyectos!$C:$C)),"")</f>
        <v>DIAGNOSTICO Y PROPUESTA DESARROLLO SOSTENIBLE</v>
      </c>
    </row>
    <row r="3209" spans="1:15">
      <c r="A3209" s="10">
        <v>1021632940</v>
      </c>
      <c r="B3209" s="64" t="s">
        <v>61</v>
      </c>
      <c r="C3209" s="62" t="s">
        <v>9177</v>
      </c>
      <c r="D3209" t="s">
        <v>63</v>
      </c>
      <c r="E3209" t="s">
        <v>9721</v>
      </c>
      <c r="F3209" s="61">
        <v>38231</v>
      </c>
      <c r="G3209" s="15" t="s">
        <v>65</v>
      </c>
      <c r="H3209" t="s">
        <v>9722</v>
      </c>
      <c r="I3209" s="62" t="s">
        <v>9723</v>
      </c>
      <c r="K3209" s="36" t="s">
        <v>169</v>
      </c>
      <c r="L3209" t="s">
        <v>69</v>
      </c>
      <c r="M3209" s="62" t="s">
        <v>170</v>
      </c>
      <c r="N3209" t="s">
        <v>9724</v>
      </c>
      <c r="O3209" t="str">
        <f>IFERROR(IF(Tbla_actores[[#This Row],[codigo_proyecto]]="","",_xlfn.XLOOKUP(Tbla_actores[[#This Row],[codigo_proyecto]],Proyectos!$A:$A,Proyectos!$C:$C)),"")</f>
        <v>Manual de Funciones para el Colegio</v>
      </c>
    </row>
    <row r="3210" spans="1:15">
      <c r="A3210" s="9">
        <v>1025060739</v>
      </c>
      <c r="B3210" s="63" t="s">
        <v>61</v>
      </c>
      <c r="C3210" s="62" t="s">
        <v>9177</v>
      </c>
      <c r="D3210" t="s">
        <v>63</v>
      </c>
      <c r="E3210" t="s">
        <v>9725</v>
      </c>
      <c r="F3210" s="61">
        <v>38265</v>
      </c>
      <c r="G3210" s="15" t="s">
        <v>65</v>
      </c>
      <c r="H3210" t="s">
        <v>9726</v>
      </c>
      <c r="I3210" s="62" t="s">
        <v>9727</v>
      </c>
      <c r="K3210" s="36" t="s">
        <v>169</v>
      </c>
      <c r="L3210" t="s">
        <v>69</v>
      </c>
      <c r="M3210" s="62" t="s">
        <v>170</v>
      </c>
      <c r="N3210" t="s">
        <v>9728</v>
      </c>
      <c r="O3210" t="str">
        <f>IFERROR(IF(Tbla_actores[[#This Row],[codigo_proyecto]]="","",_xlfn.XLOOKUP(Tbla_actores[[#This Row],[codigo_proyecto]],Proyectos!$A:$A,Proyectos!$C:$C)),"")</f>
        <v>Camino de Paz en los Barrios Altos de Usme</v>
      </c>
    </row>
    <row r="3211" spans="1:15">
      <c r="A3211" s="10">
        <v>1139424043</v>
      </c>
      <c r="B3211" s="64" t="s">
        <v>61</v>
      </c>
      <c r="C3211" s="62" t="s">
        <v>9177</v>
      </c>
      <c r="D3211" t="s">
        <v>63</v>
      </c>
      <c r="E3211" t="s">
        <v>9729</v>
      </c>
      <c r="F3211" s="61">
        <v>38530</v>
      </c>
      <c r="G3211" s="15" t="s">
        <v>65</v>
      </c>
      <c r="H3211" t="s">
        <v>9730</v>
      </c>
      <c r="I3211" s="62" t="s">
        <v>9731</v>
      </c>
      <c r="K3211" s="36" t="s">
        <v>169</v>
      </c>
      <c r="L3211" t="s">
        <v>69</v>
      </c>
      <c r="M3211" s="62" t="s">
        <v>170</v>
      </c>
      <c r="N3211" t="s">
        <v>9720</v>
      </c>
      <c r="O3211" t="str">
        <f>IFERROR(IF(Tbla_actores[[#This Row],[codigo_proyecto]]="","",_xlfn.XLOOKUP(Tbla_actores[[#This Row],[codigo_proyecto]],Proyectos!$A:$A,Proyectos!$C:$C)),"")</f>
        <v>DIAGNOSTICO Y PROPUESTA DESARROLLO SOSTENIBLE</v>
      </c>
    </row>
    <row r="3212" spans="1:15">
      <c r="A3212" s="9">
        <v>1019983690</v>
      </c>
      <c r="B3212" s="63" t="s">
        <v>61</v>
      </c>
      <c r="C3212" s="62" t="s">
        <v>9177</v>
      </c>
      <c r="D3212" t="s">
        <v>63</v>
      </c>
      <c r="E3212" t="s">
        <v>9732</v>
      </c>
      <c r="F3212" s="61">
        <v>38201</v>
      </c>
      <c r="G3212" s="15" t="s">
        <v>65</v>
      </c>
      <c r="H3212" t="s">
        <v>9733</v>
      </c>
      <c r="I3212" s="62" t="s">
        <v>9734</v>
      </c>
      <c r="K3212" s="36" t="s">
        <v>68</v>
      </c>
      <c r="L3212" t="s">
        <v>69</v>
      </c>
      <c r="M3212" s="62" t="s">
        <v>70</v>
      </c>
      <c r="N3212" t="s">
        <v>9735</v>
      </c>
      <c r="O3212" t="str">
        <f>IFERROR(IF(Tbla_actores[[#This Row],[codigo_proyecto]]="","",_xlfn.XLOOKUP(Tbla_actores[[#This Row],[codigo_proyecto]],Proyectos!$A:$A,Proyectos!$C:$C)),"")</f>
        <v>OFICINA DE RESPONSABILIDAD SOCIAL</v>
      </c>
    </row>
    <row r="3213" spans="1:15">
      <c r="A3213" s="10">
        <v>1013257822</v>
      </c>
      <c r="B3213" s="64" t="s">
        <v>61</v>
      </c>
      <c r="C3213" s="62" t="s">
        <v>9177</v>
      </c>
      <c r="D3213" t="s">
        <v>63</v>
      </c>
      <c r="E3213" t="s">
        <v>9736</v>
      </c>
      <c r="F3213" s="61">
        <v>38243</v>
      </c>
      <c r="G3213" s="15" t="s">
        <v>73</v>
      </c>
      <c r="H3213" t="s">
        <v>9737</v>
      </c>
      <c r="I3213" s="62" t="s">
        <v>9738</v>
      </c>
      <c r="K3213" s="36" t="s">
        <v>68</v>
      </c>
      <c r="L3213" t="s">
        <v>69</v>
      </c>
      <c r="M3213" s="62" t="s">
        <v>70</v>
      </c>
      <c r="N3213" t="s">
        <v>9739</v>
      </c>
      <c r="O3213" t="str">
        <f>IFERROR(IF(Tbla_actores[[#This Row],[codigo_proyecto]]="","",_xlfn.XLOOKUP(Tbla_actores[[#This Row],[codigo_proyecto]],Proyectos!$A:$A,Proyectos!$C:$C)),"")</f>
        <v>Red Juvenil Ignaciana</v>
      </c>
    </row>
    <row r="3214" spans="1:15">
      <c r="A3214" s="9">
        <v>1000378206</v>
      </c>
      <c r="B3214" s="63" t="s">
        <v>61</v>
      </c>
      <c r="C3214" s="62" t="s">
        <v>9177</v>
      </c>
      <c r="D3214" t="s">
        <v>63</v>
      </c>
      <c r="E3214" t="s">
        <v>9740</v>
      </c>
      <c r="F3214" s="61">
        <v>37826</v>
      </c>
      <c r="G3214" s="15" t="s">
        <v>73</v>
      </c>
      <c r="H3214" t="s">
        <v>9741</v>
      </c>
      <c r="I3214" s="62" t="s">
        <v>9742</v>
      </c>
      <c r="K3214" s="36" t="s">
        <v>169</v>
      </c>
      <c r="L3214" t="s">
        <v>69</v>
      </c>
      <c r="M3214" s="62" t="s">
        <v>170</v>
      </c>
      <c r="N3214" t="s">
        <v>9743</v>
      </c>
      <c r="O3214" t="str">
        <f>IFERROR(IF(Tbla_actores[[#This Row],[codigo_proyecto]]="","",_xlfn.XLOOKUP(Tbla_actores[[#This Row],[codigo_proyecto]],Proyectos!$A:$A,Proyectos!$C:$C)),"")</f>
        <v>Las huertas como camino a la Ecología Integral</v>
      </c>
    </row>
    <row r="3215" spans="1:15">
      <c r="A3215" s="10">
        <v>1015994295</v>
      </c>
      <c r="B3215" s="64" t="s">
        <v>61</v>
      </c>
      <c r="C3215" s="62" t="s">
        <v>9177</v>
      </c>
      <c r="D3215" t="s">
        <v>63</v>
      </c>
      <c r="E3215" t="s">
        <v>9744</v>
      </c>
      <c r="F3215" s="61">
        <v>38096</v>
      </c>
      <c r="G3215" s="15" t="s">
        <v>65</v>
      </c>
      <c r="H3215" t="s">
        <v>9745</v>
      </c>
      <c r="I3215" s="62" t="s">
        <v>9746</v>
      </c>
      <c r="K3215" s="36" t="s">
        <v>495</v>
      </c>
      <c r="L3215" t="s">
        <v>69</v>
      </c>
      <c r="M3215" s="62" t="s">
        <v>70</v>
      </c>
      <c r="N3215" t="s">
        <v>9747</v>
      </c>
      <c r="O3215" t="str">
        <f>IFERROR(IF(Tbla_actores[[#This Row],[codigo_proyecto]]="","",_xlfn.XLOOKUP(Tbla_actores[[#This Row],[codigo_proyecto]],Proyectos!$A:$A,Proyectos!$C:$C)),"")</f>
        <v>PROYECTO
“APOYO A LAS ACTIVIDADES DEL PROYECTO SOCIAL DE LA FACULTAD DE INGENIERIA – PROSOFI”</v>
      </c>
    </row>
    <row r="3216" spans="1:15">
      <c r="A3216" s="9">
        <v>1034657399</v>
      </c>
      <c r="B3216" s="63" t="s">
        <v>61</v>
      </c>
      <c r="C3216" s="62" t="s">
        <v>9177</v>
      </c>
      <c r="D3216" t="s">
        <v>63</v>
      </c>
      <c r="E3216" t="s">
        <v>9748</v>
      </c>
      <c r="F3216" s="61">
        <v>38224</v>
      </c>
      <c r="G3216" s="15" t="s">
        <v>73</v>
      </c>
      <c r="H3216" t="s">
        <v>9749</v>
      </c>
      <c r="I3216" s="62" t="s">
        <v>9750</v>
      </c>
      <c r="K3216" s="36" t="s">
        <v>7671</v>
      </c>
      <c r="L3216" t="s">
        <v>69</v>
      </c>
      <c r="M3216" s="62" t="s">
        <v>70</v>
      </c>
      <c r="N3216" t="s">
        <v>9751</v>
      </c>
      <c r="O3216" t="str">
        <f>IFERROR(IF(Tbla_actores[[#This Row],[codigo_proyecto]]="","",_xlfn.XLOOKUP(Tbla_actores[[#This Row],[codigo_proyecto]],Proyectos!$A:$A,Proyectos!$C:$C)),"")</f>
        <v>Reparación de Equipos de Computo CSGH</v>
      </c>
    </row>
    <row r="3217" spans="1:15">
      <c r="A3217" s="10">
        <v>1014858176</v>
      </c>
      <c r="B3217" s="64" t="s">
        <v>61</v>
      </c>
      <c r="C3217" s="62" t="s">
        <v>9177</v>
      </c>
      <c r="D3217" t="s">
        <v>63</v>
      </c>
      <c r="E3217" t="s">
        <v>9752</v>
      </c>
      <c r="F3217" s="61">
        <v>38450</v>
      </c>
      <c r="G3217" s="15" t="s">
        <v>65</v>
      </c>
      <c r="H3217" t="s">
        <v>9753</v>
      </c>
      <c r="I3217" s="62" t="s">
        <v>9754</v>
      </c>
      <c r="K3217" s="36" t="s">
        <v>169</v>
      </c>
      <c r="L3217" t="s">
        <v>69</v>
      </c>
      <c r="M3217" s="62" t="s">
        <v>170</v>
      </c>
      <c r="N3217" t="s">
        <v>9743</v>
      </c>
      <c r="O3217" t="str">
        <f>IFERROR(IF(Tbla_actores[[#This Row],[codigo_proyecto]]="","",_xlfn.XLOOKUP(Tbla_actores[[#This Row],[codigo_proyecto]],Proyectos!$A:$A,Proyectos!$C:$C)),"")</f>
        <v>Las huertas como camino a la Ecología Integral</v>
      </c>
    </row>
    <row r="3218" spans="1:15">
      <c r="A3218" s="9">
        <v>1095300448</v>
      </c>
      <c r="B3218" s="63" t="s">
        <v>61</v>
      </c>
      <c r="C3218" s="62" t="s">
        <v>9177</v>
      </c>
      <c r="D3218" t="s">
        <v>63</v>
      </c>
      <c r="E3218" t="s">
        <v>9755</v>
      </c>
      <c r="F3218" s="61">
        <v>38339</v>
      </c>
      <c r="G3218" s="15" t="s">
        <v>73</v>
      </c>
      <c r="H3218" t="s">
        <v>9756</v>
      </c>
      <c r="I3218" s="62" t="s">
        <v>9757</v>
      </c>
      <c r="K3218" s="36" t="s">
        <v>68</v>
      </c>
      <c r="L3218" t="s">
        <v>69</v>
      </c>
      <c r="M3218" s="62" t="s">
        <v>70</v>
      </c>
      <c r="N3218" t="s">
        <v>9735</v>
      </c>
      <c r="O3218" t="str">
        <f>IFERROR(IF(Tbla_actores[[#This Row],[codigo_proyecto]]="","",_xlfn.XLOOKUP(Tbla_actores[[#This Row],[codigo_proyecto]],Proyectos!$A:$A,Proyectos!$C:$C)),"")</f>
        <v>OFICINA DE RESPONSABILIDAD SOCIAL</v>
      </c>
    </row>
    <row r="3219" spans="1:15">
      <c r="A3219" s="10">
        <v>1021392936</v>
      </c>
      <c r="B3219" s="64" t="s">
        <v>61</v>
      </c>
      <c r="C3219" s="62" t="s">
        <v>9177</v>
      </c>
      <c r="D3219" t="s">
        <v>63</v>
      </c>
      <c r="E3219" t="s">
        <v>9758</v>
      </c>
      <c r="F3219" s="61">
        <v>38119</v>
      </c>
      <c r="G3219" s="15" t="s">
        <v>73</v>
      </c>
      <c r="H3219" t="s">
        <v>9759</v>
      </c>
      <c r="I3219" s="62" t="s">
        <v>9760</v>
      </c>
      <c r="K3219" s="36" t="s">
        <v>495</v>
      </c>
      <c r="L3219" t="s">
        <v>69</v>
      </c>
      <c r="M3219" s="62" t="s">
        <v>70</v>
      </c>
      <c r="N3219" t="s">
        <v>9747</v>
      </c>
      <c r="O3219" t="str">
        <f>IFERROR(IF(Tbla_actores[[#This Row],[codigo_proyecto]]="","",_xlfn.XLOOKUP(Tbla_actores[[#This Row],[codigo_proyecto]],Proyectos!$A:$A,Proyectos!$C:$C)),"")</f>
        <v>PROYECTO
“APOYO A LAS ACTIVIDADES DEL PROYECTO SOCIAL DE LA FACULTAD DE INGENIERIA – PROSOFI”</v>
      </c>
    </row>
    <row r="3220" spans="1:15">
      <c r="A3220" s="9">
        <v>1126807965</v>
      </c>
      <c r="B3220" s="63" t="s">
        <v>61</v>
      </c>
      <c r="C3220" s="62" t="s">
        <v>9177</v>
      </c>
      <c r="D3220" t="s">
        <v>63</v>
      </c>
      <c r="E3220" t="s">
        <v>9761</v>
      </c>
      <c r="F3220" s="61">
        <v>38519</v>
      </c>
      <c r="G3220" s="15" t="s">
        <v>65</v>
      </c>
      <c r="H3220" t="s">
        <v>9762</v>
      </c>
      <c r="I3220" s="62" t="s">
        <v>9763</v>
      </c>
      <c r="K3220" s="36" t="s">
        <v>169</v>
      </c>
      <c r="L3220" t="s">
        <v>69</v>
      </c>
      <c r="M3220" s="62" t="s">
        <v>170</v>
      </c>
      <c r="N3220" t="s">
        <v>9724</v>
      </c>
      <c r="O3220" t="str">
        <f>IFERROR(IF(Tbla_actores[[#This Row],[codigo_proyecto]]="","",_xlfn.XLOOKUP(Tbla_actores[[#This Row],[codigo_proyecto]],Proyectos!$A:$A,Proyectos!$C:$C)),"")</f>
        <v>Manual de Funciones para el Colegio</v>
      </c>
    </row>
    <row r="3221" spans="1:15">
      <c r="A3221" s="10">
        <v>1000049794</v>
      </c>
      <c r="B3221" s="64" t="s">
        <v>61</v>
      </c>
      <c r="C3221" s="62" t="s">
        <v>9177</v>
      </c>
      <c r="D3221" t="s">
        <v>63</v>
      </c>
      <c r="E3221" t="s">
        <v>9764</v>
      </c>
      <c r="F3221" s="61">
        <v>37793</v>
      </c>
      <c r="G3221" s="15" t="s">
        <v>73</v>
      </c>
      <c r="H3221" t="s">
        <v>9765</v>
      </c>
      <c r="I3221" s="62" t="s">
        <v>9766</v>
      </c>
      <c r="K3221" s="36" t="s">
        <v>169</v>
      </c>
      <c r="L3221" t="s">
        <v>69</v>
      </c>
      <c r="M3221" s="62" t="s">
        <v>170</v>
      </c>
      <c r="N3221" t="s">
        <v>9724</v>
      </c>
      <c r="O3221" t="str">
        <f>IFERROR(IF(Tbla_actores[[#This Row],[codigo_proyecto]]="","",_xlfn.XLOOKUP(Tbla_actores[[#This Row],[codigo_proyecto]],Proyectos!$A:$A,Proyectos!$C:$C)),"")</f>
        <v>Manual de Funciones para el Colegio</v>
      </c>
    </row>
    <row r="3222" spans="1:15">
      <c r="A3222" s="9">
        <v>1000179913</v>
      </c>
      <c r="B3222" s="63" t="s">
        <v>61</v>
      </c>
      <c r="C3222" s="62" t="s">
        <v>9177</v>
      </c>
      <c r="D3222" t="s">
        <v>63</v>
      </c>
      <c r="E3222" t="s">
        <v>9767</v>
      </c>
      <c r="F3222" s="61">
        <v>37947</v>
      </c>
      <c r="G3222" s="15" t="s">
        <v>73</v>
      </c>
      <c r="H3222" t="s">
        <v>9768</v>
      </c>
      <c r="I3222" s="62" t="s">
        <v>9769</v>
      </c>
      <c r="K3222" s="36" t="s">
        <v>169</v>
      </c>
      <c r="L3222" t="s">
        <v>69</v>
      </c>
      <c r="M3222" s="62" t="s">
        <v>170</v>
      </c>
      <c r="N3222" t="s">
        <v>9770</v>
      </c>
      <c r="O3222" t="str">
        <f>IFERROR(IF(Tbla_actores[[#This Row],[codigo_proyecto]]="","",_xlfn.XLOOKUP(Tbla_actores[[#This Row],[codigo_proyecto]],Proyectos!$A:$A,Proyectos!$C:$C)),"")</f>
        <v>15 años de PROSOFI en comunidades</v>
      </c>
    </row>
    <row r="3223" spans="1:15">
      <c r="A3223" s="10">
        <v>1014856790</v>
      </c>
      <c r="B3223" s="64" t="s">
        <v>61</v>
      </c>
      <c r="C3223" s="62" t="s">
        <v>9177</v>
      </c>
      <c r="D3223" t="s">
        <v>63</v>
      </c>
      <c r="E3223" t="s">
        <v>9771</v>
      </c>
      <c r="F3223" s="61">
        <v>38142</v>
      </c>
      <c r="G3223" s="15" t="s">
        <v>73</v>
      </c>
      <c r="H3223" t="s">
        <v>9772</v>
      </c>
      <c r="I3223" s="62" t="s">
        <v>9773</v>
      </c>
      <c r="K3223" s="36" t="s">
        <v>169</v>
      </c>
      <c r="L3223" t="s">
        <v>69</v>
      </c>
      <c r="M3223" s="62" t="s">
        <v>170</v>
      </c>
      <c r="N3223" t="s">
        <v>9728</v>
      </c>
      <c r="O3223" t="str">
        <f>IFERROR(IF(Tbla_actores[[#This Row],[codigo_proyecto]]="","",_xlfn.XLOOKUP(Tbla_actores[[#This Row],[codigo_proyecto]],Proyectos!$A:$A,Proyectos!$C:$C)),"")</f>
        <v>Camino de Paz en los Barrios Altos de Usme</v>
      </c>
    </row>
    <row r="3224" spans="1:15">
      <c r="A3224" s="9">
        <v>1000941330</v>
      </c>
      <c r="B3224" s="63" t="s">
        <v>61</v>
      </c>
      <c r="C3224" s="62" t="s">
        <v>9177</v>
      </c>
      <c r="D3224" t="s">
        <v>63</v>
      </c>
      <c r="E3224" t="s">
        <v>9774</v>
      </c>
      <c r="F3224" s="61">
        <v>37188</v>
      </c>
      <c r="G3224" s="15" t="s">
        <v>73</v>
      </c>
      <c r="H3224" t="s">
        <v>9775</v>
      </c>
      <c r="I3224" s="62" t="s">
        <v>9776</v>
      </c>
      <c r="K3224" s="36" t="s">
        <v>68</v>
      </c>
      <c r="L3224" t="s">
        <v>69</v>
      </c>
      <c r="M3224" s="62" t="s">
        <v>70</v>
      </c>
      <c r="N3224" t="s">
        <v>9739</v>
      </c>
      <c r="O3224" t="str">
        <f>IFERROR(IF(Tbla_actores[[#This Row],[codigo_proyecto]]="","",_xlfn.XLOOKUP(Tbla_actores[[#This Row],[codigo_proyecto]],Proyectos!$A:$A,Proyectos!$C:$C)),"")</f>
        <v>Red Juvenil Ignaciana</v>
      </c>
    </row>
    <row r="3225" spans="1:15">
      <c r="A3225" s="10">
        <v>1013036377</v>
      </c>
      <c r="B3225" s="64" t="s">
        <v>61</v>
      </c>
      <c r="C3225" s="62" t="s">
        <v>9177</v>
      </c>
      <c r="D3225" t="s">
        <v>63</v>
      </c>
      <c r="E3225" t="s">
        <v>9777</v>
      </c>
      <c r="F3225" s="61">
        <v>38159</v>
      </c>
      <c r="G3225" s="15" t="s">
        <v>73</v>
      </c>
      <c r="H3225" t="s">
        <v>9778</v>
      </c>
      <c r="I3225" s="62" t="s">
        <v>9779</v>
      </c>
      <c r="K3225" s="36" t="s">
        <v>7671</v>
      </c>
      <c r="L3225" t="s">
        <v>69</v>
      </c>
      <c r="M3225" s="62" t="s">
        <v>70</v>
      </c>
      <c r="N3225" t="s">
        <v>9751</v>
      </c>
      <c r="O3225" t="str">
        <f>IFERROR(IF(Tbla_actores[[#This Row],[codigo_proyecto]]="","",_xlfn.XLOOKUP(Tbla_actores[[#This Row],[codigo_proyecto]],Proyectos!$A:$A,Proyectos!$C:$C)),"")</f>
        <v>Reparación de Equipos de Computo CSGH</v>
      </c>
    </row>
    <row r="3226" spans="1:15">
      <c r="A3226" s="9">
        <v>1010129905</v>
      </c>
      <c r="B3226" s="63" t="s">
        <v>61</v>
      </c>
      <c r="C3226" s="62" t="s">
        <v>9177</v>
      </c>
      <c r="D3226" t="s">
        <v>63</v>
      </c>
      <c r="E3226" t="s">
        <v>9780</v>
      </c>
      <c r="F3226" s="61">
        <v>38021</v>
      </c>
      <c r="G3226" s="15" t="s">
        <v>73</v>
      </c>
      <c r="H3226" t="s">
        <v>9781</v>
      </c>
      <c r="I3226" s="62" t="s">
        <v>9782</v>
      </c>
      <c r="K3226" s="36" t="s">
        <v>68</v>
      </c>
      <c r="L3226" t="s">
        <v>69</v>
      </c>
      <c r="M3226" s="62" t="s">
        <v>70</v>
      </c>
      <c r="N3226" t="s">
        <v>9783</v>
      </c>
      <c r="O3226" t="str">
        <f>IFERROR(IF(Tbla_actores[[#This Row],[codigo_proyecto]]="","",_xlfn.XLOOKUP(Tbla_actores[[#This Row],[codigo_proyecto]],Proyectos!$A:$A,Proyectos!$C:$C)),"")</f>
        <v>PROSOFI - SAN CAYETANO</v>
      </c>
    </row>
    <row r="3227" spans="1:15">
      <c r="A3227" s="10">
        <v>1030537315</v>
      </c>
      <c r="B3227" s="64" t="s">
        <v>61</v>
      </c>
      <c r="C3227" s="62" t="s">
        <v>9177</v>
      </c>
      <c r="D3227" t="s">
        <v>63</v>
      </c>
      <c r="E3227" t="s">
        <v>9784</v>
      </c>
      <c r="F3227" s="61">
        <v>38496</v>
      </c>
      <c r="G3227" s="15" t="s">
        <v>65</v>
      </c>
      <c r="H3227" t="s">
        <v>9785</v>
      </c>
      <c r="I3227" s="62" t="s">
        <v>9786</v>
      </c>
      <c r="K3227" s="36" t="s">
        <v>7671</v>
      </c>
      <c r="L3227" t="s">
        <v>69</v>
      </c>
      <c r="M3227" s="62" t="s">
        <v>70</v>
      </c>
      <c r="N3227" t="s">
        <v>9751</v>
      </c>
      <c r="O3227" t="str">
        <f>IFERROR(IF(Tbla_actores[[#This Row],[codigo_proyecto]]="","",_xlfn.XLOOKUP(Tbla_actores[[#This Row],[codigo_proyecto]],Proyectos!$A:$A,Proyectos!$C:$C)),"")</f>
        <v>Reparación de Equipos de Computo CSGH</v>
      </c>
    </row>
    <row r="3228" spans="1:15">
      <c r="A3228" s="9">
        <v>1034658729</v>
      </c>
      <c r="B3228" s="63" t="s">
        <v>61</v>
      </c>
      <c r="C3228" s="62" t="s">
        <v>9177</v>
      </c>
      <c r="D3228" t="s">
        <v>63</v>
      </c>
      <c r="E3228" t="s">
        <v>9787</v>
      </c>
      <c r="F3228" s="61">
        <v>38544</v>
      </c>
      <c r="G3228" s="15" t="s">
        <v>65</v>
      </c>
      <c r="H3228" t="s">
        <v>9788</v>
      </c>
      <c r="I3228" s="62" t="s">
        <v>9789</v>
      </c>
      <c r="K3228" s="36" t="s">
        <v>169</v>
      </c>
      <c r="L3228" t="s">
        <v>69</v>
      </c>
      <c r="M3228" s="62" t="s">
        <v>170</v>
      </c>
      <c r="N3228" t="s">
        <v>9720</v>
      </c>
      <c r="O3228" t="str">
        <f>IFERROR(IF(Tbla_actores[[#This Row],[codigo_proyecto]]="","",_xlfn.XLOOKUP(Tbla_actores[[#This Row],[codigo_proyecto]],Proyectos!$A:$A,Proyectos!$C:$C)),"")</f>
        <v>DIAGNOSTICO Y PROPUESTA DESARROLLO SOSTENIBLE</v>
      </c>
    </row>
    <row r="3229" spans="1:15">
      <c r="A3229" s="10">
        <v>1032937688</v>
      </c>
      <c r="B3229" s="64" t="s">
        <v>61</v>
      </c>
      <c r="C3229" s="62" t="s">
        <v>9177</v>
      </c>
      <c r="D3229" t="s">
        <v>63</v>
      </c>
      <c r="E3229" t="s">
        <v>9790</v>
      </c>
      <c r="F3229" s="61">
        <v>38314</v>
      </c>
      <c r="G3229" s="15" t="s">
        <v>65</v>
      </c>
      <c r="H3229" t="s">
        <v>9791</v>
      </c>
      <c r="I3229" s="62" t="s">
        <v>9792</v>
      </c>
      <c r="K3229" s="36" t="s">
        <v>169</v>
      </c>
      <c r="L3229" t="s">
        <v>69</v>
      </c>
      <c r="M3229" s="62" t="s">
        <v>170</v>
      </c>
      <c r="N3229" t="s">
        <v>9770</v>
      </c>
      <c r="O3229" t="str">
        <f>IFERROR(IF(Tbla_actores[[#This Row],[codigo_proyecto]]="","",_xlfn.XLOOKUP(Tbla_actores[[#This Row],[codigo_proyecto]],Proyectos!$A:$A,Proyectos!$C:$C)),"")</f>
        <v>15 años de PROSOFI en comunidades</v>
      </c>
    </row>
    <row r="3230" spans="1:15">
      <c r="A3230" s="9">
        <v>1025070419</v>
      </c>
      <c r="B3230" s="63" t="s">
        <v>61</v>
      </c>
      <c r="C3230" s="62" t="s">
        <v>9177</v>
      </c>
      <c r="D3230" t="s">
        <v>63</v>
      </c>
      <c r="E3230" t="s">
        <v>9793</v>
      </c>
      <c r="F3230" s="61">
        <v>38100</v>
      </c>
      <c r="G3230" s="15" t="s">
        <v>73</v>
      </c>
      <c r="H3230" t="s">
        <v>9794</v>
      </c>
      <c r="I3230" s="62" t="s">
        <v>9795</v>
      </c>
      <c r="K3230" s="36" t="s">
        <v>68</v>
      </c>
      <c r="L3230" t="s">
        <v>69</v>
      </c>
      <c r="M3230" s="62" t="s">
        <v>70</v>
      </c>
      <c r="N3230" t="s">
        <v>9739</v>
      </c>
      <c r="O3230" t="str">
        <f>IFERROR(IF(Tbla_actores[[#This Row],[codigo_proyecto]]="","",_xlfn.XLOOKUP(Tbla_actores[[#This Row],[codigo_proyecto]],Proyectos!$A:$A,Proyectos!$C:$C)),"")</f>
        <v>Red Juvenil Ignaciana</v>
      </c>
    </row>
    <row r="3231" spans="1:15">
      <c r="A3231" s="10">
        <v>1066084037</v>
      </c>
      <c r="B3231" s="64" t="s">
        <v>61</v>
      </c>
      <c r="C3231" s="62" t="s">
        <v>9177</v>
      </c>
      <c r="D3231" t="s">
        <v>63</v>
      </c>
      <c r="E3231" t="s">
        <v>9796</v>
      </c>
      <c r="F3231" s="61">
        <v>38622</v>
      </c>
      <c r="G3231" s="15" t="s">
        <v>73</v>
      </c>
      <c r="H3231" t="s">
        <v>9797</v>
      </c>
      <c r="I3231" s="62" t="s">
        <v>9798</v>
      </c>
      <c r="K3231" s="36" t="s">
        <v>7671</v>
      </c>
      <c r="L3231" t="s">
        <v>69</v>
      </c>
      <c r="M3231" s="62" t="s">
        <v>70</v>
      </c>
      <c r="N3231" t="s">
        <v>9751</v>
      </c>
      <c r="O3231" t="str">
        <f>IFERROR(IF(Tbla_actores[[#This Row],[codigo_proyecto]]="","",_xlfn.XLOOKUP(Tbla_actores[[#This Row],[codigo_proyecto]],Proyectos!$A:$A,Proyectos!$C:$C)),"")</f>
        <v>Reparación de Equipos de Computo CSGH</v>
      </c>
    </row>
    <row r="3232" spans="1:15">
      <c r="A3232" s="9">
        <v>1108558466</v>
      </c>
      <c r="B3232" s="63" t="s">
        <v>61</v>
      </c>
      <c r="C3232" s="62" t="s">
        <v>9177</v>
      </c>
      <c r="D3232" t="s">
        <v>63</v>
      </c>
      <c r="E3232" t="s">
        <v>9799</v>
      </c>
      <c r="F3232" s="61">
        <v>38043</v>
      </c>
      <c r="G3232" s="15" t="s">
        <v>73</v>
      </c>
      <c r="H3232" t="s">
        <v>9800</v>
      </c>
      <c r="I3232" s="62" t="s">
        <v>9801</v>
      </c>
      <c r="K3232" s="36" t="s">
        <v>68</v>
      </c>
      <c r="L3232" t="s">
        <v>69</v>
      </c>
      <c r="M3232" s="62" t="s">
        <v>70</v>
      </c>
      <c r="N3232" t="s">
        <v>9802</v>
      </c>
      <c r="O3232" t="str">
        <f>IFERROR(IF(Tbla_actores[[#This Row],[codigo_proyecto]]="","",_xlfn.XLOOKUP(Tbla_actores[[#This Row],[codigo_proyecto]],Proyectos!$A:$A,Proyectos!$C:$C)),"")</f>
        <v>PROGRAMA SOCIAL VIDAS MÓVILES (JAVERIANA)</v>
      </c>
    </row>
    <row r="3233" spans="1:15" ht="30">
      <c r="A3233" s="10">
        <v>8100368</v>
      </c>
      <c r="B3233" s="64" t="s">
        <v>61</v>
      </c>
      <c r="C3233" s="62" t="s">
        <v>9177</v>
      </c>
      <c r="D3233" t="s">
        <v>63</v>
      </c>
      <c r="E3233" t="s">
        <v>9803</v>
      </c>
      <c r="F3233" s="61">
        <v>37688</v>
      </c>
      <c r="G3233" s="15" t="s">
        <v>73</v>
      </c>
      <c r="H3233" t="s">
        <v>9804</v>
      </c>
      <c r="I3233" s="62" t="s">
        <v>9805</v>
      </c>
      <c r="K3233" s="36" t="s">
        <v>9806</v>
      </c>
      <c r="L3233" t="s">
        <v>69</v>
      </c>
      <c r="M3233" s="62" t="s">
        <v>170</v>
      </c>
      <c r="N3233" t="s">
        <v>9728</v>
      </c>
      <c r="O3233" t="str">
        <f>IFERROR(IF(Tbla_actores[[#This Row],[codigo_proyecto]]="","",_xlfn.XLOOKUP(Tbla_actores[[#This Row],[codigo_proyecto]],Proyectos!$A:$A,Proyectos!$C:$C)),"")</f>
        <v>Camino de Paz en los Barrios Altos de Usme</v>
      </c>
    </row>
    <row r="3234" spans="1:15">
      <c r="A3234" s="9">
        <v>1000287643</v>
      </c>
      <c r="B3234" s="63" t="s">
        <v>61</v>
      </c>
      <c r="C3234" s="62" t="s">
        <v>9177</v>
      </c>
      <c r="D3234" t="s">
        <v>63</v>
      </c>
      <c r="E3234" t="s">
        <v>9807</v>
      </c>
      <c r="F3234" s="61">
        <v>37548</v>
      </c>
      <c r="G3234" s="15" t="s">
        <v>65</v>
      </c>
      <c r="H3234" t="s">
        <v>9808</v>
      </c>
      <c r="I3234" s="62" t="s">
        <v>9809</v>
      </c>
      <c r="K3234" s="36" t="s">
        <v>495</v>
      </c>
      <c r="L3234" t="s">
        <v>69</v>
      </c>
      <c r="M3234" s="62" t="s">
        <v>70</v>
      </c>
      <c r="N3234" t="s">
        <v>9810</v>
      </c>
      <c r="O3234" t="str">
        <f>IFERROR(IF(Tbla_actores[[#This Row],[codigo_proyecto]]="","",_xlfn.XLOOKUP(Tbla_actores[[#This Row],[codigo_proyecto]],Proyectos!$A:$A,Proyectos!$C:$C)),"")</f>
        <v>PROYECTO
“ESTUDIO DE ESTABILIDAD ESTRUCTURAL DEL TEMPLO Y CASA CURAL EN CARACOLÍ – CIUDAD BOLÍVAR”</v>
      </c>
    </row>
    <row r="3235" spans="1:15">
      <c r="A3235" s="10">
        <v>1038099313</v>
      </c>
      <c r="B3235" s="64" t="s">
        <v>61</v>
      </c>
      <c r="C3235" s="62" t="s">
        <v>9177</v>
      </c>
      <c r="D3235" t="s">
        <v>63</v>
      </c>
      <c r="E3235" t="s">
        <v>9811</v>
      </c>
      <c r="F3235" s="61">
        <v>38591</v>
      </c>
      <c r="G3235" s="15" t="s">
        <v>73</v>
      </c>
      <c r="H3235" t="s">
        <v>9812</v>
      </c>
      <c r="I3235" s="62" t="s">
        <v>9813</v>
      </c>
      <c r="K3235" s="36" t="s">
        <v>169</v>
      </c>
      <c r="L3235" t="s">
        <v>69</v>
      </c>
      <c r="M3235" s="62" t="s">
        <v>170</v>
      </c>
      <c r="N3235" t="s">
        <v>9814</v>
      </c>
      <c r="O3235" t="str">
        <f>IFERROR(IF(Tbla_actores[[#This Row],[codigo_proyecto]]="","",_xlfn.XLOOKUP(Tbla_actores[[#This Row],[codigo_proyecto]],Proyectos!$A:$A,Proyectos!$C:$C)),"")</f>
        <v>CAPACITACION EMPRENDIMIENTO</v>
      </c>
    </row>
    <row r="3236" spans="1:15">
      <c r="A3236" s="9">
        <v>1057978763</v>
      </c>
      <c r="B3236" s="63" t="s">
        <v>61</v>
      </c>
      <c r="C3236" s="62" t="s">
        <v>9177</v>
      </c>
      <c r="D3236" t="s">
        <v>63</v>
      </c>
      <c r="E3236" t="s">
        <v>9815</v>
      </c>
      <c r="F3236" s="61">
        <v>38460</v>
      </c>
      <c r="G3236" s="15" t="s">
        <v>73</v>
      </c>
      <c r="H3236" t="s">
        <v>9816</v>
      </c>
      <c r="I3236" s="62" t="s">
        <v>9817</v>
      </c>
      <c r="K3236" s="36" t="s">
        <v>7671</v>
      </c>
      <c r="L3236" t="s">
        <v>69</v>
      </c>
      <c r="M3236" s="62" t="s">
        <v>70</v>
      </c>
      <c r="N3236" t="s">
        <v>9751</v>
      </c>
      <c r="O3236" t="str">
        <f>IFERROR(IF(Tbla_actores[[#This Row],[codigo_proyecto]]="","",_xlfn.XLOOKUP(Tbla_actores[[#This Row],[codigo_proyecto]],Proyectos!$A:$A,Proyectos!$C:$C)),"")</f>
        <v>Reparación de Equipos de Computo CSGH</v>
      </c>
    </row>
    <row r="3237" spans="1:15">
      <c r="A3237" s="10">
        <v>1122920474</v>
      </c>
      <c r="B3237" s="64" t="s">
        <v>61</v>
      </c>
      <c r="C3237" s="62" t="s">
        <v>9177</v>
      </c>
      <c r="D3237" t="s">
        <v>63</v>
      </c>
      <c r="E3237" t="s">
        <v>9818</v>
      </c>
      <c r="F3237" s="61">
        <v>38336</v>
      </c>
      <c r="G3237" s="15" t="s">
        <v>73</v>
      </c>
      <c r="H3237" t="s">
        <v>9819</v>
      </c>
      <c r="I3237" s="62" t="s">
        <v>9820</v>
      </c>
      <c r="K3237" s="36" t="s">
        <v>68</v>
      </c>
      <c r="L3237" t="s">
        <v>69</v>
      </c>
      <c r="M3237" s="62" t="s">
        <v>70</v>
      </c>
      <c r="N3237" t="s">
        <v>9735</v>
      </c>
      <c r="O3237" t="str">
        <f>IFERROR(IF(Tbla_actores[[#This Row],[codigo_proyecto]]="","",_xlfn.XLOOKUP(Tbla_actores[[#This Row],[codigo_proyecto]],Proyectos!$A:$A,Proyectos!$C:$C)),"")</f>
        <v>OFICINA DE RESPONSABILIDAD SOCIAL</v>
      </c>
    </row>
    <row r="3238" spans="1:15">
      <c r="A3238" s="9">
        <v>1097491162</v>
      </c>
      <c r="B3238" s="63" t="s">
        <v>61</v>
      </c>
      <c r="C3238" s="62" t="s">
        <v>9177</v>
      </c>
      <c r="D3238" t="s">
        <v>63</v>
      </c>
      <c r="E3238" t="s">
        <v>9821</v>
      </c>
      <c r="F3238" s="61">
        <v>38548</v>
      </c>
      <c r="G3238" s="15" t="s">
        <v>73</v>
      </c>
      <c r="H3238" t="s">
        <v>9822</v>
      </c>
      <c r="I3238" s="62" t="s">
        <v>9823</v>
      </c>
      <c r="K3238" s="36" t="s">
        <v>169</v>
      </c>
      <c r="L3238" t="s">
        <v>69</v>
      </c>
      <c r="M3238" s="62" t="s">
        <v>170</v>
      </c>
      <c r="N3238" t="s">
        <v>9814</v>
      </c>
      <c r="O3238" t="str">
        <f>IFERROR(IF(Tbla_actores[[#This Row],[codigo_proyecto]]="","",_xlfn.XLOOKUP(Tbla_actores[[#This Row],[codigo_proyecto]],Proyectos!$A:$A,Proyectos!$C:$C)),"")</f>
        <v>CAPACITACION EMPRENDIMIENTO</v>
      </c>
    </row>
    <row r="3239" spans="1:15">
      <c r="A3239" s="10">
        <v>1001084287</v>
      </c>
      <c r="B3239" s="64" t="s">
        <v>61</v>
      </c>
      <c r="C3239" s="62" t="s">
        <v>9177</v>
      </c>
      <c r="D3239" t="s">
        <v>63</v>
      </c>
      <c r="E3239" t="s">
        <v>9824</v>
      </c>
      <c r="F3239" s="61">
        <v>37289</v>
      </c>
      <c r="G3239" s="15" t="s">
        <v>73</v>
      </c>
      <c r="H3239" t="s">
        <v>9825</v>
      </c>
      <c r="I3239" s="62" t="s">
        <v>9826</v>
      </c>
      <c r="K3239" s="36" t="s">
        <v>495</v>
      </c>
      <c r="L3239" t="s">
        <v>69</v>
      </c>
      <c r="M3239" s="62" t="s">
        <v>70</v>
      </c>
      <c r="N3239" t="s">
        <v>9747</v>
      </c>
      <c r="O3239" t="str">
        <f>IFERROR(IF(Tbla_actores[[#This Row],[codigo_proyecto]]="","",_xlfn.XLOOKUP(Tbla_actores[[#This Row],[codigo_proyecto]],Proyectos!$A:$A,Proyectos!$C:$C)),"")</f>
        <v>PROYECTO
“APOYO A LAS ACTIVIDADES DEL PROYECTO SOCIAL DE LA FACULTAD DE INGENIERIA – PROSOFI”</v>
      </c>
    </row>
    <row r="3240" spans="1:15">
      <c r="A3240" s="9">
        <v>1014978324</v>
      </c>
      <c r="B3240" s="63" t="s">
        <v>61</v>
      </c>
      <c r="C3240" s="62" t="s">
        <v>9177</v>
      </c>
      <c r="D3240" t="s">
        <v>63</v>
      </c>
      <c r="E3240" t="s">
        <v>9827</v>
      </c>
      <c r="F3240" s="61">
        <v>38439</v>
      </c>
      <c r="G3240" s="15" t="s">
        <v>73</v>
      </c>
      <c r="H3240" t="s">
        <v>9828</v>
      </c>
      <c r="I3240" s="62" t="s">
        <v>9829</v>
      </c>
      <c r="K3240" s="36" t="s">
        <v>169</v>
      </c>
      <c r="L3240" t="s">
        <v>69</v>
      </c>
      <c r="M3240" s="62" t="s">
        <v>170</v>
      </c>
      <c r="N3240" t="s">
        <v>9814</v>
      </c>
      <c r="O3240" t="str">
        <f>IFERROR(IF(Tbla_actores[[#This Row],[codigo_proyecto]]="","",_xlfn.XLOOKUP(Tbla_actores[[#This Row],[codigo_proyecto]],Proyectos!$A:$A,Proyectos!$C:$C)),"")</f>
        <v>CAPACITACION EMPRENDIMIENTO</v>
      </c>
    </row>
    <row r="3241" spans="1:15">
      <c r="A3241" s="10">
        <v>1016912203</v>
      </c>
      <c r="B3241" s="64" t="s">
        <v>61</v>
      </c>
      <c r="C3241" s="62" t="s">
        <v>9177</v>
      </c>
      <c r="D3241" t="s">
        <v>63</v>
      </c>
      <c r="E3241" t="s">
        <v>9830</v>
      </c>
      <c r="F3241" s="61">
        <v>38226</v>
      </c>
      <c r="G3241" s="15" t="s">
        <v>73</v>
      </c>
      <c r="H3241" t="s">
        <v>9831</v>
      </c>
      <c r="I3241" s="62" t="s">
        <v>9832</v>
      </c>
      <c r="K3241" s="36" t="s">
        <v>68</v>
      </c>
      <c r="L3241" t="s">
        <v>69</v>
      </c>
      <c r="M3241" s="62" t="s">
        <v>70</v>
      </c>
      <c r="N3241" t="s">
        <v>9735</v>
      </c>
      <c r="O3241" t="str">
        <f>IFERROR(IF(Tbla_actores[[#This Row],[codigo_proyecto]]="","",_xlfn.XLOOKUP(Tbla_actores[[#This Row],[codigo_proyecto]],Proyectos!$A:$A,Proyectos!$C:$C)),"")</f>
        <v>OFICINA DE RESPONSABILIDAD SOCIAL</v>
      </c>
    </row>
    <row r="3242" spans="1:15">
      <c r="A3242" s="9">
        <v>1023082457</v>
      </c>
      <c r="B3242" s="63" t="s">
        <v>61</v>
      </c>
      <c r="C3242" s="62" t="s">
        <v>9177</v>
      </c>
      <c r="D3242" t="s">
        <v>63</v>
      </c>
      <c r="E3242" t="s">
        <v>9833</v>
      </c>
      <c r="F3242" s="61">
        <v>38158</v>
      </c>
      <c r="G3242" s="15" t="s">
        <v>73</v>
      </c>
      <c r="H3242" t="s">
        <v>9834</v>
      </c>
      <c r="I3242" s="62" t="s">
        <v>9835</v>
      </c>
      <c r="K3242" s="36" t="s">
        <v>495</v>
      </c>
      <c r="L3242" t="s">
        <v>69</v>
      </c>
      <c r="M3242" s="62" t="s">
        <v>70</v>
      </c>
      <c r="N3242" t="s">
        <v>9747</v>
      </c>
      <c r="O3242" t="str">
        <f>IFERROR(IF(Tbla_actores[[#This Row],[codigo_proyecto]]="","",_xlfn.XLOOKUP(Tbla_actores[[#This Row],[codigo_proyecto]],Proyectos!$A:$A,Proyectos!$C:$C)),"")</f>
        <v>PROYECTO
“APOYO A LAS ACTIVIDADES DEL PROYECTO SOCIAL DE LA FACULTAD DE INGENIERIA – PROSOFI”</v>
      </c>
    </row>
    <row r="3243" spans="1:15">
      <c r="A3243" s="10">
        <v>1029980478</v>
      </c>
      <c r="B3243" s="64" t="s">
        <v>61</v>
      </c>
      <c r="C3243" s="62" t="s">
        <v>9177</v>
      </c>
      <c r="D3243" t="s">
        <v>63</v>
      </c>
      <c r="E3243" t="s">
        <v>9836</v>
      </c>
      <c r="F3243" s="61">
        <v>38418</v>
      </c>
      <c r="G3243" s="15" t="s">
        <v>73</v>
      </c>
      <c r="H3243" t="s">
        <v>9837</v>
      </c>
      <c r="I3243" s="62" t="s">
        <v>9838</v>
      </c>
      <c r="K3243" s="36" t="s">
        <v>169</v>
      </c>
      <c r="L3243" t="s">
        <v>69</v>
      </c>
      <c r="M3243" s="62" t="s">
        <v>170</v>
      </c>
      <c r="N3243" t="s">
        <v>9770</v>
      </c>
      <c r="O3243" t="str">
        <f>IFERROR(IF(Tbla_actores[[#This Row],[codigo_proyecto]]="","",_xlfn.XLOOKUP(Tbla_actores[[#This Row],[codigo_proyecto]],Proyectos!$A:$A,Proyectos!$C:$C)),"")</f>
        <v>15 años de PROSOFI en comunidades</v>
      </c>
    </row>
    <row r="3244" spans="1:15">
      <c r="A3244" s="9">
        <v>1019987342</v>
      </c>
      <c r="B3244" s="63" t="s">
        <v>61</v>
      </c>
      <c r="C3244" s="62" t="s">
        <v>9177</v>
      </c>
      <c r="D3244" t="s">
        <v>63</v>
      </c>
      <c r="E3244" t="s">
        <v>9839</v>
      </c>
      <c r="F3244" s="61">
        <v>38686</v>
      </c>
      <c r="G3244" s="15" t="s">
        <v>73</v>
      </c>
      <c r="H3244" t="s">
        <v>9840</v>
      </c>
      <c r="I3244" s="62" t="s">
        <v>9841</v>
      </c>
      <c r="K3244" s="36" t="s">
        <v>169</v>
      </c>
      <c r="L3244" t="s">
        <v>69</v>
      </c>
      <c r="M3244" s="62" t="s">
        <v>170</v>
      </c>
      <c r="N3244" t="s">
        <v>9814</v>
      </c>
      <c r="O3244" t="str">
        <f>IFERROR(IF(Tbla_actores[[#This Row],[codigo_proyecto]]="","",_xlfn.XLOOKUP(Tbla_actores[[#This Row],[codigo_proyecto]],Proyectos!$A:$A,Proyectos!$C:$C)),"")</f>
        <v>CAPACITACION EMPRENDIMIENTO</v>
      </c>
    </row>
    <row r="3245" spans="1:15">
      <c r="A3245" s="10">
        <v>1048437485</v>
      </c>
      <c r="B3245" s="64" t="s">
        <v>61</v>
      </c>
      <c r="C3245" s="62" t="s">
        <v>9177</v>
      </c>
      <c r="D3245" t="s">
        <v>63</v>
      </c>
      <c r="E3245" t="s">
        <v>9842</v>
      </c>
      <c r="F3245" s="61">
        <v>38457</v>
      </c>
      <c r="G3245" s="15" t="s">
        <v>73</v>
      </c>
      <c r="H3245" t="s">
        <v>9843</v>
      </c>
      <c r="I3245" s="62" t="s">
        <v>9844</v>
      </c>
      <c r="K3245" s="36" t="s">
        <v>169</v>
      </c>
      <c r="L3245" t="s">
        <v>69</v>
      </c>
      <c r="M3245" s="62" t="s">
        <v>170</v>
      </c>
      <c r="N3245" t="s">
        <v>9814</v>
      </c>
      <c r="O3245" t="str">
        <f>IFERROR(IF(Tbla_actores[[#This Row],[codigo_proyecto]]="","",_xlfn.XLOOKUP(Tbla_actores[[#This Row],[codigo_proyecto]],Proyectos!$A:$A,Proyectos!$C:$C)),"")</f>
        <v>CAPACITACION EMPRENDIMIENTO</v>
      </c>
    </row>
    <row r="3246" spans="1:15">
      <c r="A3246" s="9">
        <v>1019762494</v>
      </c>
      <c r="B3246" s="63" t="s">
        <v>61</v>
      </c>
      <c r="C3246" s="62" t="s">
        <v>9177</v>
      </c>
      <c r="D3246" t="s">
        <v>63</v>
      </c>
      <c r="E3246" t="s">
        <v>9845</v>
      </c>
      <c r="F3246" s="61">
        <v>38237</v>
      </c>
      <c r="G3246" s="15" t="s">
        <v>73</v>
      </c>
      <c r="H3246" t="s">
        <v>9846</v>
      </c>
      <c r="I3246" s="62" t="s">
        <v>9847</v>
      </c>
      <c r="K3246" s="36" t="s">
        <v>169</v>
      </c>
      <c r="L3246" t="s">
        <v>69</v>
      </c>
      <c r="M3246" s="62" t="s">
        <v>170</v>
      </c>
      <c r="N3246" t="s">
        <v>9848</v>
      </c>
      <c r="O3246" t="str">
        <f>IFERROR(IF(Tbla_actores[[#This Row],[codigo_proyecto]]="","",_xlfn.XLOOKUP(Tbla_actores[[#This Row],[codigo_proyecto]],Proyectos!$A:$A,Proyectos!$C:$C)),"")</f>
        <v>Estrategias para lograr equilibrio económico</v>
      </c>
    </row>
    <row r="3247" spans="1:15">
      <c r="A3247" s="10">
        <v>1002459950</v>
      </c>
      <c r="B3247" s="64" t="s">
        <v>61</v>
      </c>
      <c r="C3247" s="62" t="s">
        <v>9177</v>
      </c>
      <c r="D3247" t="s">
        <v>63</v>
      </c>
      <c r="E3247" t="s">
        <v>9849</v>
      </c>
      <c r="F3247" s="61">
        <v>37642</v>
      </c>
      <c r="G3247" s="15" t="s">
        <v>73</v>
      </c>
      <c r="H3247" t="s">
        <v>9850</v>
      </c>
      <c r="I3247" s="62" t="s">
        <v>9851</v>
      </c>
      <c r="K3247" s="36" t="s">
        <v>1489</v>
      </c>
      <c r="L3247" t="s">
        <v>69</v>
      </c>
      <c r="M3247" s="62" t="s">
        <v>70</v>
      </c>
      <c r="N3247" t="s">
        <v>9852</v>
      </c>
      <c r="O3247" t="str">
        <f>IFERROR(IF(Tbla_actores[[#This Row],[codigo_proyecto]]="","",_xlfn.XLOOKUP(Tbla_actores[[#This Row],[codigo_proyecto]],Proyectos!$A:$A,Proyectos!$C:$C)),"")</f>
        <v>Campus Accesible - Inclusión y Diversidad</v>
      </c>
    </row>
    <row r="3248" spans="1:15">
      <c r="A3248" s="9">
        <v>1014737952</v>
      </c>
      <c r="B3248" s="63" t="s">
        <v>61</v>
      </c>
      <c r="C3248" s="62" t="s">
        <v>9177</v>
      </c>
      <c r="D3248" t="s">
        <v>63</v>
      </c>
      <c r="E3248" t="s">
        <v>9853</v>
      </c>
      <c r="F3248" s="61">
        <v>38371</v>
      </c>
      <c r="G3248" s="15" t="s">
        <v>73</v>
      </c>
      <c r="H3248" t="s">
        <v>9854</v>
      </c>
      <c r="I3248" s="62" t="s">
        <v>9855</v>
      </c>
      <c r="K3248" s="36" t="s">
        <v>169</v>
      </c>
      <c r="L3248" t="s">
        <v>69</v>
      </c>
      <c r="M3248" s="62" t="s">
        <v>170</v>
      </c>
      <c r="N3248" t="s">
        <v>9856</v>
      </c>
      <c r="O3248" t="str">
        <f>IFERROR(IF(Tbla_actores[[#This Row],[codigo_proyecto]]="","",_xlfn.XLOOKUP(Tbla_actores[[#This Row],[codigo_proyecto]],Proyectos!$A:$A,Proyectos!$C:$C)),"")</f>
        <v>VIDAS MÓVILES</v>
      </c>
    </row>
    <row r="3249" spans="1:15">
      <c r="A3249" s="10">
        <v>1025061205</v>
      </c>
      <c r="B3249" s="64" t="s">
        <v>61</v>
      </c>
      <c r="C3249" s="62" t="s">
        <v>9177</v>
      </c>
      <c r="D3249" t="s">
        <v>63</v>
      </c>
      <c r="E3249" t="s">
        <v>9857</v>
      </c>
      <c r="F3249" s="61">
        <v>38474</v>
      </c>
      <c r="G3249" s="15" t="s">
        <v>73</v>
      </c>
      <c r="H3249" t="s">
        <v>9858</v>
      </c>
      <c r="I3249" s="62" t="s">
        <v>9859</v>
      </c>
      <c r="K3249" s="36" t="s">
        <v>169</v>
      </c>
      <c r="L3249" t="s">
        <v>69</v>
      </c>
      <c r="M3249" s="62" t="s">
        <v>170</v>
      </c>
      <c r="N3249" t="s">
        <v>9856</v>
      </c>
      <c r="O3249" t="str">
        <f>IFERROR(IF(Tbla_actores[[#This Row],[codigo_proyecto]]="","",_xlfn.XLOOKUP(Tbla_actores[[#This Row],[codigo_proyecto]],Proyectos!$A:$A,Proyectos!$C:$C)),"")</f>
        <v>VIDAS MÓVILES</v>
      </c>
    </row>
    <row r="3250" spans="1:15">
      <c r="A3250" s="9">
        <v>1006860212</v>
      </c>
      <c r="B3250" s="63" t="s">
        <v>61</v>
      </c>
      <c r="C3250" s="62" t="s">
        <v>9177</v>
      </c>
      <c r="D3250" t="s">
        <v>63</v>
      </c>
      <c r="E3250" t="s">
        <v>9860</v>
      </c>
      <c r="F3250" s="61">
        <v>37930</v>
      </c>
      <c r="G3250" s="15" t="s">
        <v>73</v>
      </c>
      <c r="H3250" t="s">
        <v>9861</v>
      </c>
      <c r="I3250" s="62" t="s">
        <v>9862</v>
      </c>
      <c r="K3250" s="36" t="s">
        <v>495</v>
      </c>
      <c r="L3250" t="s">
        <v>69</v>
      </c>
      <c r="M3250" s="62" t="s">
        <v>70</v>
      </c>
      <c r="N3250" t="s">
        <v>9747</v>
      </c>
      <c r="O3250" t="str">
        <f>IFERROR(IF(Tbla_actores[[#This Row],[codigo_proyecto]]="","",_xlfn.XLOOKUP(Tbla_actores[[#This Row],[codigo_proyecto]],Proyectos!$A:$A,Proyectos!$C:$C)),"")</f>
        <v>PROYECTO
“APOYO A LAS ACTIVIDADES DEL PROYECTO SOCIAL DE LA FACULTAD DE INGENIERIA – PROSOFI”</v>
      </c>
    </row>
    <row r="3251" spans="1:15">
      <c r="A3251" s="10">
        <v>1014858056</v>
      </c>
      <c r="B3251" s="64" t="s">
        <v>61</v>
      </c>
      <c r="C3251" s="62" t="s">
        <v>9177</v>
      </c>
      <c r="D3251" t="s">
        <v>63</v>
      </c>
      <c r="E3251" t="s">
        <v>9863</v>
      </c>
      <c r="F3251" s="61">
        <v>38437</v>
      </c>
      <c r="G3251" s="15" t="s">
        <v>73</v>
      </c>
      <c r="H3251" t="s">
        <v>9864</v>
      </c>
      <c r="I3251" s="62" t="s">
        <v>9865</v>
      </c>
      <c r="K3251" s="36" t="s">
        <v>68</v>
      </c>
      <c r="L3251" t="s">
        <v>69</v>
      </c>
      <c r="M3251" s="62" t="s">
        <v>70</v>
      </c>
      <c r="N3251" t="s">
        <v>9866</v>
      </c>
      <c r="O3251" t="str">
        <f>IFERROR(IF(Tbla_actores[[#This Row],[codigo_proyecto]]="","",_xlfn.XLOOKUP(Tbla_actores[[#This Row],[codigo_proyecto]],Proyectos!$A:$A,Proyectos!$C:$C)),"")</f>
        <v>PROSOFI - CONSULTORIO CONTABLE</v>
      </c>
    </row>
    <row r="3252" spans="1:15">
      <c r="A3252" s="9">
        <v>1000150650</v>
      </c>
      <c r="B3252" s="63" t="s">
        <v>61</v>
      </c>
      <c r="C3252" s="62" t="s">
        <v>9177</v>
      </c>
      <c r="D3252" t="s">
        <v>63</v>
      </c>
      <c r="E3252" t="s">
        <v>9867</v>
      </c>
      <c r="F3252" s="61">
        <v>37678</v>
      </c>
      <c r="G3252" s="15" t="s">
        <v>73</v>
      </c>
      <c r="H3252" t="s">
        <v>9868</v>
      </c>
      <c r="I3252" s="62" t="s">
        <v>9869</v>
      </c>
      <c r="K3252" s="36" t="s">
        <v>495</v>
      </c>
      <c r="L3252" t="s">
        <v>69</v>
      </c>
      <c r="M3252" s="62" t="s">
        <v>70</v>
      </c>
      <c r="N3252" t="s">
        <v>9747</v>
      </c>
      <c r="O3252" t="str">
        <f>IFERROR(IF(Tbla_actores[[#This Row],[codigo_proyecto]]="","",_xlfn.XLOOKUP(Tbla_actores[[#This Row],[codigo_proyecto]],Proyectos!$A:$A,Proyectos!$C:$C)),"")</f>
        <v>PROYECTO
“APOYO A LAS ACTIVIDADES DEL PROYECTO SOCIAL DE LA FACULTAD DE INGENIERIA – PROSOFI”</v>
      </c>
    </row>
    <row r="3253" spans="1:15">
      <c r="A3253" s="10">
        <v>1105461296</v>
      </c>
      <c r="B3253" s="64" t="s">
        <v>61</v>
      </c>
      <c r="C3253" s="62" t="s">
        <v>9177</v>
      </c>
      <c r="D3253" t="s">
        <v>63</v>
      </c>
      <c r="E3253" t="s">
        <v>9870</v>
      </c>
      <c r="F3253" s="61">
        <v>38342</v>
      </c>
      <c r="G3253" s="15" t="s">
        <v>73</v>
      </c>
      <c r="H3253" t="s">
        <v>9871</v>
      </c>
      <c r="I3253" s="62" t="s">
        <v>9872</v>
      </c>
      <c r="K3253" s="36" t="s">
        <v>169</v>
      </c>
      <c r="L3253" t="s">
        <v>69</v>
      </c>
      <c r="M3253" s="62" t="s">
        <v>170</v>
      </c>
      <c r="N3253" t="s">
        <v>9814</v>
      </c>
      <c r="O3253" t="str">
        <f>IFERROR(IF(Tbla_actores[[#This Row],[codigo_proyecto]]="","",_xlfn.XLOOKUP(Tbla_actores[[#This Row],[codigo_proyecto]],Proyectos!$A:$A,Proyectos!$C:$C)),"")</f>
        <v>CAPACITACION EMPRENDIMIENTO</v>
      </c>
    </row>
    <row r="3254" spans="1:15">
      <c r="A3254" s="9">
        <v>1034776765</v>
      </c>
      <c r="B3254" s="63" t="s">
        <v>61</v>
      </c>
      <c r="C3254" s="62" t="s">
        <v>9177</v>
      </c>
      <c r="D3254" t="s">
        <v>63</v>
      </c>
      <c r="E3254" t="s">
        <v>9873</v>
      </c>
      <c r="F3254" s="61">
        <v>38111</v>
      </c>
      <c r="G3254" s="15" t="s">
        <v>65</v>
      </c>
      <c r="H3254" t="s">
        <v>9874</v>
      </c>
      <c r="I3254" s="62" t="s">
        <v>9875</v>
      </c>
      <c r="K3254" s="36" t="s">
        <v>68</v>
      </c>
      <c r="L3254" t="s">
        <v>69</v>
      </c>
      <c r="M3254" s="62" t="s">
        <v>70</v>
      </c>
      <c r="N3254" t="s">
        <v>9739</v>
      </c>
      <c r="O3254" t="str">
        <f>IFERROR(IF(Tbla_actores[[#This Row],[codigo_proyecto]]="","",_xlfn.XLOOKUP(Tbla_actores[[#This Row],[codigo_proyecto]],Proyectos!$A:$A,Proyectos!$C:$C)),"")</f>
        <v>Red Juvenil Ignaciana</v>
      </c>
    </row>
    <row r="3255" spans="1:15">
      <c r="A3255" s="10">
        <v>1011080627</v>
      </c>
      <c r="B3255" s="64" t="s">
        <v>61</v>
      </c>
      <c r="C3255" s="62" t="s">
        <v>9177</v>
      </c>
      <c r="D3255" t="s">
        <v>63</v>
      </c>
      <c r="E3255" t="s">
        <v>9876</v>
      </c>
      <c r="F3255" s="61">
        <v>38271</v>
      </c>
      <c r="G3255" s="15" t="s">
        <v>65</v>
      </c>
      <c r="H3255" t="s">
        <v>9877</v>
      </c>
      <c r="I3255" s="62" t="s">
        <v>9878</v>
      </c>
      <c r="K3255" s="36" t="s">
        <v>169</v>
      </c>
      <c r="L3255" t="s">
        <v>69</v>
      </c>
      <c r="M3255" s="62" t="s">
        <v>170</v>
      </c>
      <c r="N3255" t="s">
        <v>9770</v>
      </c>
      <c r="O3255" t="str">
        <f>IFERROR(IF(Tbla_actores[[#This Row],[codigo_proyecto]]="","",_xlfn.XLOOKUP(Tbla_actores[[#This Row],[codigo_proyecto]],Proyectos!$A:$A,Proyectos!$C:$C)),"")</f>
        <v>15 años de PROSOFI en comunidades</v>
      </c>
    </row>
    <row r="3256" spans="1:15">
      <c r="A3256" s="9">
        <v>1016912217</v>
      </c>
      <c r="B3256" s="63" t="s">
        <v>61</v>
      </c>
      <c r="C3256" s="62" t="s">
        <v>9177</v>
      </c>
      <c r="D3256" t="s">
        <v>63</v>
      </c>
      <c r="E3256" t="s">
        <v>9879</v>
      </c>
      <c r="F3256" s="61">
        <v>38247</v>
      </c>
      <c r="G3256" s="15" t="s">
        <v>65</v>
      </c>
      <c r="H3256" t="s">
        <v>9880</v>
      </c>
      <c r="I3256" s="62" t="s">
        <v>9881</v>
      </c>
      <c r="K3256" s="36" t="s">
        <v>169</v>
      </c>
      <c r="L3256" t="s">
        <v>69</v>
      </c>
      <c r="M3256" s="62" t="s">
        <v>170</v>
      </c>
      <c r="N3256" t="s">
        <v>9848</v>
      </c>
      <c r="O3256" t="str">
        <f>IFERROR(IF(Tbla_actores[[#This Row],[codigo_proyecto]]="","",_xlfn.XLOOKUP(Tbla_actores[[#This Row],[codigo_proyecto]],Proyectos!$A:$A,Proyectos!$C:$C)),"")</f>
        <v>Estrategias para lograr equilibrio económico</v>
      </c>
    </row>
    <row r="3257" spans="1:15">
      <c r="A3257" s="10">
        <v>1000519478</v>
      </c>
      <c r="B3257" s="64" t="s">
        <v>61</v>
      </c>
      <c r="C3257" s="62" t="s">
        <v>9177</v>
      </c>
      <c r="D3257" t="s">
        <v>63</v>
      </c>
      <c r="E3257" t="s">
        <v>9882</v>
      </c>
      <c r="F3257" s="61">
        <v>37582</v>
      </c>
      <c r="G3257" s="15" t="s">
        <v>73</v>
      </c>
      <c r="H3257" t="s">
        <v>9883</v>
      </c>
      <c r="I3257" s="62" t="s">
        <v>9884</v>
      </c>
      <c r="K3257" s="36" t="s">
        <v>169</v>
      </c>
      <c r="L3257" t="s">
        <v>69</v>
      </c>
      <c r="M3257" s="62" t="s">
        <v>170</v>
      </c>
      <c r="N3257" t="s">
        <v>9814</v>
      </c>
      <c r="O3257" t="str">
        <f>IFERROR(IF(Tbla_actores[[#This Row],[codigo_proyecto]]="","",_xlfn.XLOOKUP(Tbla_actores[[#This Row],[codigo_proyecto]],Proyectos!$A:$A,Proyectos!$C:$C)),"")</f>
        <v>CAPACITACION EMPRENDIMIENTO</v>
      </c>
    </row>
    <row r="3258" spans="1:15">
      <c r="A3258" s="9">
        <v>1000287500</v>
      </c>
      <c r="B3258" s="63" t="s">
        <v>61</v>
      </c>
      <c r="C3258" s="62" t="s">
        <v>9177</v>
      </c>
      <c r="D3258" t="s">
        <v>63</v>
      </c>
      <c r="E3258" t="s">
        <v>9885</v>
      </c>
      <c r="F3258" s="61">
        <v>37618</v>
      </c>
      <c r="G3258" s="15" t="s">
        <v>73</v>
      </c>
      <c r="H3258" t="s">
        <v>9886</v>
      </c>
      <c r="I3258" s="62" t="s">
        <v>9887</v>
      </c>
      <c r="K3258" s="36" t="s">
        <v>7671</v>
      </c>
      <c r="L3258" t="s">
        <v>69</v>
      </c>
      <c r="M3258" s="62" t="s">
        <v>70</v>
      </c>
      <c r="N3258" t="s">
        <v>9888</v>
      </c>
      <c r="O3258" t="str">
        <f>IFERROR(IF(Tbla_actores[[#This Row],[codigo_proyecto]]="","",_xlfn.XLOOKUP(Tbla_actores[[#This Row],[codigo_proyecto]],Proyectos!$A:$A,Proyectos!$C:$C)),"")</f>
        <v>SAN CAYETANO ROBOTÍCA</v>
      </c>
    </row>
    <row r="3259" spans="1:15">
      <c r="A3259" s="10">
        <v>1002394267</v>
      </c>
      <c r="B3259" s="64" t="s">
        <v>61</v>
      </c>
      <c r="C3259" s="62" t="s">
        <v>9177</v>
      </c>
      <c r="D3259" t="s">
        <v>63</v>
      </c>
      <c r="E3259" t="s">
        <v>9889</v>
      </c>
      <c r="F3259" s="61">
        <v>37907</v>
      </c>
      <c r="G3259" s="15" t="s">
        <v>73</v>
      </c>
      <c r="H3259" t="s">
        <v>9890</v>
      </c>
      <c r="I3259" s="62" t="s">
        <v>9891</v>
      </c>
      <c r="K3259" s="36" t="s">
        <v>169</v>
      </c>
      <c r="L3259" t="s">
        <v>69</v>
      </c>
      <c r="M3259" s="62" t="s">
        <v>170</v>
      </c>
      <c r="N3259" t="s">
        <v>9814</v>
      </c>
      <c r="O3259" t="str">
        <f>IFERROR(IF(Tbla_actores[[#This Row],[codigo_proyecto]]="","",_xlfn.XLOOKUP(Tbla_actores[[#This Row],[codigo_proyecto]],Proyectos!$A:$A,Proyectos!$C:$C)),"")</f>
        <v>CAPACITACION EMPRENDIMIENTO</v>
      </c>
    </row>
    <row r="3260" spans="1:15">
      <c r="A3260" s="9">
        <v>1034516574</v>
      </c>
      <c r="B3260" s="63" t="s">
        <v>61</v>
      </c>
      <c r="C3260" s="62" t="s">
        <v>9177</v>
      </c>
      <c r="D3260" t="s">
        <v>63</v>
      </c>
      <c r="E3260" t="s">
        <v>9892</v>
      </c>
      <c r="F3260" s="61">
        <v>38349</v>
      </c>
      <c r="G3260" s="15" t="s">
        <v>73</v>
      </c>
      <c r="H3260" t="s">
        <v>9893</v>
      </c>
      <c r="I3260" s="62" t="s">
        <v>9894</v>
      </c>
      <c r="K3260" s="36" t="s">
        <v>68</v>
      </c>
      <c r="L3260" t="s">
        <v>69</v>
      </c>
      <c r="M3260" s="62" t="s">
        <v>70</v>
      </c>
      <c r="N3260" t="s">
        <v>9895</v>
      </c>
      <c r="O3260" t="str">
        <f>IFERROR(IF(Tbla_actores[[#This Row],[codigo_proyecto]]="","",_xlfn.XLOOKUP(Tbla_actores[[#This Row],[codigo_proyecto]],Proyectos!$A:$A,Proyectos!$C:$C)),"")</f>
        <v>Proyección Social Ingeniería</v>
      </c>
    </row>
    <row r="3261" spans="1:15">
      <c r="A3261" s="10">
        <v>1032797134</v>
      </c>
      <c r="B3261" s="64" t="s">
        <v>61</v>
      </c>
      <c r="C3261" s="62" t="s">
        <v>9177</v>
      </c>
      <c r="D3261" t="s">
        <v>63</v>
      </c>
      <c r="E3261" t="s">
        <v>9896</v>
      </c>
      <c r="F3261" s="61">
        <v>38146</v>
      </c>
      <c r="G3261" s="15" t="s">
        <v>65</v>
      </c>
      <c r="H3261" t="s">
        <v>9897</v>
      </c>
      <c r="I3261" s="62" t="s">
        <v>9898</v>
      </c>
      <c r="K3261" s="36" t="s">
        <v>7671</v>
      </c>
      <c r="L3261" t="s">
        <v>69</v>
      </c>
      <c r="M3261" s="62" t="s">
        <v>70</v>
      </c>
      <c r="N3261" t="s">
        <v>9888</v>
      </c>
      <c r="O3261" t="str">
        <f>IFERROR(IF(Tbla_actores[[#This Row],[codigo_proyecto]]="","",_xlfn.XLOOKUP(Tbla_actores[[#This Row],[codigo_proyecto]],Proyectos!$A:$A,Proyectos!$C:$C)),"")</f>
        <v>SAN CAYETANO ROBOTÍCA</v>
      </c>
    </row>
    <row r="3262" spans="1:15" ht="30">
      <c r="A3262" s="9">
        <v>8098544</v>
      </c>
      <c r="B3262" s="63" t="s">
        <v>61</v>
      </c>
      <c r="C3262" s="62" t="s">
        <v>9177</v>
      </c>
      <c r="D3262" t="s">
        <v>63</v>
      </c>
      <c r="E3262" t="s">
        <v>9899</v>
      </c>
      <c r="F3262" s="61" t="s">
        <v>1433</v>
      </c>
      <c r="G3262" s="15" t="s">
        <v>1433</v>
      </c>
      <c r="H3262" t="s">
        <v>1433</v>
      </c>
      <c r="I3262" s="62" t="s">
        <v>1433</v>
      </c>
      <c r="K3262" s="36" t="s">
        <v>9806</v>
      </c>
      <c r="L3262" t="s">
        <v>69</v>
      </c>
      <c r="M3262" s="62" t="s">
        <v>2558</v>
      </c>
      <c r="N3262" t="s">
        <v>9724</v>
      </c>
      <c r="O3262" t="str">
        <f>IFERROR(IF(Tbla_actores[[#This Row],[codigo_proyecto]]="","",_xlfn.XLOOKUP(Tbla_actores[[#This Row],[codigo_proyecto]],Proyectos!$A:$A,Proyectos!$C:$C)),"")</f>
        <v>Manual de Funciones para el Colegio</v>
      </c>
    </row>
    <row r="3263" spans="1:15">
      <c r="A3263" s="10">
        <v>1101682232</v>
      </c>
      <c r="B3263" s="64" t="s">
        <v>61</v>
      </c>
      <c r="C3263" s="62" t="s">
        <v>9177</v>
      </c>
      <c r="D3263" t="s">
        <v>63</v>
      </c>
      <c r="E3263" t="s">
        <v>9900</v>
      </c>
      <c r="F3263" s="61">
        <v>38016</v>
      </c>
      <c r="G3263" s="15" t="s">
        <v>65</v>
      </c>
      <c r="H3263" t="s">
        <v>9901</v>
      </c>
      <c r="I3263" s="62" t="s">
        <v>9902</v>
      </c>
      <c r="K3263" s="36" t="s">
        <v>495</v>
      </c>
      <c r="L3263" t="s">
        <v>69</v>
      </c>
      <c r="M3263" s="62" t="s">
        <v>70</v>
      </c>
      <c r="N3263" t="s">
        <v>9810</v>
      </c>
      <c r="O3263" t="str">
        <f>IFERROR(IF(Tbla_actores[[#This Row],[codigo_proyecto]]="","",_xlfn.XLOOKUP(Tbla_actores[[#This Row],[codigo_proyecto]],Proyectos!$A:$A,Proyectos!$C:$C)),"")</f>
        <v>PROYECTO
“ESTUDIO DE ESTABILIDAD ESTRUCTURAL DEL TEMPLO Y CASA CURAL EN CARACOLÍ – CIUDAD BOLÍVAR”</v>
      </c>
    </row>
    <row r="3264" spans="1:15">
      <c r="A3264" s="9">
        <v>1071062072</v>
      </c>
      <c r="B3264" s="63" t="s">
        <v>61</v>
      </c>
      <c r="C3264" s="62" t="s">
        <v>9177</v>
      </c>
      <c r="D3264" t="s">
        <v>63</v>
      </c>
      <c r="E3264" t="s">
        <v>9903</v>
      </c>
      <c r="F3264" s="61">
        <v>38023</v>
      </c>
      <c r="G3264" s="15" t="s">
        <v>65</v>
      </c>
      <c r="H3264" t="s">
        <v>9904</v>
      </c>
      <c r="I3264" s="62" t="s">
        <v>9905</v>
      </c>
      <c r="K3264" s="36" t="s">
        <v>169</v>
      </c>
      <c r="L3264" t="s">
        <v>69</v>
      </c>
      <c r="M3264" s="62" t="s">
        <v>170</v>
      </c>
      <c r="N3264" t="s">
        <v>9720</v>
      </c>
      <c r="O3264" t="str">
        <f>IFERROR(IF(Tbla_actores[[#This Row],[codigo_proyecto]]="","",_xlfn.XLOOKUP(Tbla_actores[[#This Row],[codigo_proyecto]],Proyectos!$A:$A,Proyectos!$C:$C)),"")</f>
        <v>DIAGNOSTICO Y PROPUESTA DESARROLLO SOSTENIBLE</v>
      </c>
    </row>
    <row r="3265" spans="1:15">
      <c r="A3265" s="10">
        <v>1007438199</v>
      </c>
      <c r="B3265" s="64" t="s">
        <v>61</v>
      </c>
      <c r="C3265" s="62" t="s">
        <v>9177</v>
      </c>
      <c r="D3265" t="s">
        <v>63</v>
      </c>
      <c r="E3265" t="s">
        <v>9906</v>
      </c>
      <c r="F3265" s="61">
        <v>37965</v>
      </c>
      <c r="G3265" s="15" t="s">
        <v>65</v>
      </c>
      <c r="H3265" t="s">
        <v>9907</v>
      </c>
      <c r="I3265" s="62" t="s">
        <v>9908</v>
      </c>
      <c r="K3265" s="36" t="s">
        <v>169</v>
      </c>
      <c r="L3265" t="s">
        <v>69</v>
      </c>
      <c r="M3265" s="62" t="s">
        <v>170</v>
      </c>
      <c r="N3265" t="s">
        <v>9743</v>
      </c>
      <c r="O3265" t="str">
        <f>IFERROR(IF(Tbla_actores[[#This Row],[codigo_proyecto]]="","",_xlfn.XLOOKUP(Tbla_actores[[#This Row],[codigo_proyecto]],Proyectos!$A:$A,Proyectos!$C:$C)),"")</f>
        <v>Las huertas como camino a la Ecología Integral</v>
      </c>
    </row>
    <row r="3266" spans="1:15" ht="30">
      <c r="A3266" s="9">
        <v>6180855</v>
      </c>
      <c r="B3266" s="63" t="s">
        <v>61</v>
      </c>
      <c r="C3266" s="62" t="s">
        <v>9177</v>
      </c>
      <c r="D3266" t="s">
        <v>63</v>
      </c>
      <c r="E3266" t="s">
        <v>9909</v>
      </c>
      <c r="F3266" s="61" t="s">
        <v>1433</v>
      </c>
      <c r="G3266" s="15" t="s">
        <v>1433</v>
      </c>
      <c r="H3266" t="s">
        <v>1433</v>
      </c>
      <c r="I3266" s="62" t="s">
        <v>1433</v>
      </c>
      <c r="K3266" s="36" t="s">
        <v>9806</v>
      </c>
      <c r="L3266" t="s">
        <v>69</v>
      </c>
      <c r="M3266" s="62" t="s">
        <v>2558</v>
      </c>
      <c r="N3266" t="s">
        <v>9743</v>
      </c>
      <c r="O3266" t="str">
        <f>IFERROR(IF(Tbla_actores[[#This Row],[codigo_proyecto]]="","",_xlfn.XLOOKUP(Tbla_actores[[#This Row],[codigo_proyecto]],Proyectos!$A:$A,Proyectos!$C:$C)),"")</f>
        <v>Las huertas como camino a la Ecología Integral</v>
      </c>
    </row>
    <row r="3267" spans="1:15">
      <c r="A3267" s="10">
        <v>1007530212</v>
      </c>
      <c r="B3267" s="64" t="s">
        <v>61</v>
      </c>
      <c r="C3267" s="62" t="s">
        <v>9177</v>
      </c>
      <c r="D3267" t="s">
        <v>63</v>
      </c>
      <c r="E3267" t="s">
        <v>9910</v>
      </c>
      <c r="F3267" s="61">
        <v>37756</v>
      </c>
      <c r="G3267" s="15" t="s">
        <v>65</v>
      </c>
      <c r="H3267" t="s">
        <v>9911</v>
      </c>
      <c r="I3267" s="62" t="s">
        <v>9912</v>
      </c>
      <c r="K3267" s="36" t="s">
        <v>169</v>
      </c>
      <c r="L3267" t="s">
        <v>69</v>
      </c>
      <c r="M3267" s="62" t="s">
        <v>170</v>
      </c>
      <c r="N3267" t="s">
        <v>9724</v>
      </c>
      <c r="O3267" t="str">
        <f>IFERROR(IF(Tbla_actores[[#This Row],[codigo_proyecto]]="","",_xlfn.XLOOKUP(Tbla_actores[[#This Row],[codigo_proyecto]],Proyectos!$A:$A,Proyectos!$C:$C)),"")</f>
        <v>Manual de Funciones para el Colegio</v>
      </c>
    </row>
    <row r="3268" spans="1:15">
      <c r="A3268" s="9">
        <v>1000288154</v>
      </c>
      <c r="B3268" s="63" t="s">
        <v>61</v>
      </c>
      <c r="C3268" s="62" t="s">
        <v>9177</v>
      </c>
      <c r="D3268" t="s">
        <v>63</v>
      </c>
      <c r="E3268" t="s">
        <v>9913</v>
      </c>
      <c r="F3268" s="61">
        <v>37815</v>
      </c>
      <c r="G3268" s="15" t="s">
        <v>73</v>
      </c>
      <c r="H3268" t="s">
        <v>9914</v>
      </c>
      <c r="I3268" s="62" t="s">
        <v>9915</v>
      </c>
      <c r="K3268" s="36" t="s">
        <v>68</v>
      </c>
      <c r="L3268" t="s">
        <v>69</v>
      </c>
      <c r="M3268" s="62" t="s">
        <v>70</v>
      </c>
      <c r="N3268" t="s">
        <v>9735</v>
      </c>
      <c r="O3268" t="str">
        <f>IFERROR(IF(Tbla_actores[[#This Row],[codigo_proyecto]]="","",_xlfn.XLOOKUP(Tbla_actores[[#This Row],[codigo_proyecto]],Proyectos!$A:$A,Proyectos!$C:$C)),"")</f>
        <v>OFICINA DE RESPONSABILIDAD SOCIAL</v>
      </c>
    </row>
    <row r="3269" spans="1:15">
      <c r="A3269" s="10">
        <v>1055312082</v>
      </c>
      <c r="B3269" s="64" t="s">
        <v>61</v>
      </c>
      <c r="C3269" s="62" t="s">
        <v>9177</v>
      </c>
      <c r="D3269" t="s">
        <v>63</v>
      </c>
      <c r="E3269" t="s">
        <v>9916</v>
      </c>
      <c r="F3269" s="61">
        <v>38164</v>
      </c>
      <c r="G3269" s="15" t="s">
        <v>73</v>
      </c>
      <c r="H3269" t="s">
        <v>9917</v>
      </c>
      <c r="I3269" s="62" t="s">
        <v>9918</v>
      </c>
      <c r="K3269" s="36" t="s">
        <v>68</v>
      </c>
      <c r="L3269" t="s">
        <v>69</v>
      </c>
      <c r="M3269" s="62" t="s">
        <v>70</v>
      </c>
      <c r="N3269" t="s">
        <v>9919</v>
      </c>
      <c r="O3269" t="str">
        <f>IFERROR(IF(Tbla_actores[[#This Row],[codigo_proyecto]]="","",_xlfn.XLOOKUP(Tbla_actores[[#This Row],[codigo_proyecto]],Proyectos!$A:$A,Proyectos!$C:$C)),"")</f>
        <v>PROSOFI</v>
      </c>
    </row>
    <row r="3270" spans="1:15">
      <c r="A3270" s="9">
        <v>1013006147</v>
      </c>
      <c r="B3270" s="63" t="s">
        <v>61</v>
      </c>
      <c r="C3270" s="62" t="s">
        <v>9177</v>
      </c>
      <c r="D3270" t="s">
        <v>63</v>
      </c>
      <c r="E3270" t="s">
        <v>9920</v>
      </c>
      <c r="F3270" s="61">
        <v>38158</v>
      </c>
      <c r="G3270" s="15" t="s">
        <v>73</v>
      </c>
      <c r="H3270" t="s">
        <v>9921</v>
      </c>
      <c r="I3270" s="62" t="s">
        <v>9922</v>
      </c>
      <c r="K3270" s="36" t="s">
        <v>7671</v>
      </c>
      <c r="L3270" t="s">
        <v>69</v>
      </c>
      <c r="M3270" s="62" t="s">
        <v>70</v>
      </c>
      <c r="N3270" t="s">
        <v>9888</v>
      </c>
      <c r="O3270" t="str">
        <f>IFERROR(IF(Tbla_actores[[#This Row],[codigo_proyecto]]="","",_xlfn.XLOOKUP(Tbla_actores[[#This Row],[codigo_proyecto]],Proyectos!$A:$A,Proyectos!$C:$C)),"")</f>
        <v>SAN CAYETANO ROBOTÍCA</v>
      </c>
    </row>
    <row r="3271" spans="1:15">
      <c r="A3271" s="10">
        <v>1013097274</v>
      </c>
      <c r="B3271" s="64" t="s">
        <v>61</v>
      </c>
      <c r="C3271" s="62" t="s">
        <v>9177</v>
      </c>
      <c r="D3271" t="s">
        <v>63</v>
      </c>
      <c r="E3271" t="s">
        <v>9923</v>
      </c>
      <c r="F3271" s="61">
        <v>37966</v>
      </c>
      <c r="G3271" s="15" t="s">
        <v>65</v>
      </c>
      <c r="H3271" t="s">
        <v>9924</v>
      </c>
      <c r="I3271" s="62" t="s">
        <v>9925</v>
      </c>
      <c r="K3271" s="36" t="s">
        <v>1489</v>
      </c>
      <c r="L3271" t="s">
        <v>69</v>
      </c>
      <c r="M3271" s="62" t="s">
        <v>70</v>
      </c>
      <c r="N3271" t="s">
        <v>9852</v>
      </c>
      <c r="O3271" t="str">
        <f>IFERROR(IF(Tbla_actores[[#This Row],[codigo_proyecto]]="","",_xlfn.XLOOKUP(Tbla_actores[[#This Row],[codigo_proyecto]],Proyectos!$A:$A,Proyectos!$C:$C)),"")</f>
        <v>Campus Accesible - Inclusión y Diversidad</v>
      </c>
    </row>
    <row r="3272" spans="1:15">
      <c r="A3272" s="9">
        <v>1001345675</v>
      </c>
      <c r="B3272" s="63" t="s">
        <v>61</v>
      </c>
      <c r="C3272" s="62" t="s">
        <v>9177</v>
      </c>
      <c r="D3272" t="s">
        <v>63</v>
      </c>
      <c r="E3272" t="s">
        <v>9926</v>
      </c>
      <c r="F3272" s="61">
        <v>37925</v>
      </c>
      <c r="G3272" s="15" t="s">
        <v>65</v>
      </c>
      <c r="H3272" t="s">
        <v>9927</v>
      </c>
      <c r="I3272" s="62" t="s">
        <v>9928</v>
      </c>
      <c r="K3272" s="36" t="s">
        <v>495</v>
      </c>
      <c r="L3272" t="s">
        <v>69</v>
      </c>
      <c r="M3272" s="62" t="s">
        <v>70</v>
      </c>
      <c r="N3272" t="s">
        <v>9747</v>
      </c>
      <c r="O3272" t="str">
        <f>IFERROR(IF(Tbla_actores[[#This Row],[codigo_proyecto]]="","",_xlfn.XLOOKUP(Tbla_actores[[#This Row],[codigo_proyecto]],Proyectos!$A:$A,Proyectos!$C:$C)),"")</f>
        <v>PROYECTO
“APOYO A LAS ACTIVIDADES DEL PROYECTO SOCIAL DE LA FACULTAD DE INGENIERIA – PROSOFI”</v>
      </c>
    </row>
    <row r="3273" spans="1:15">
      <c r="A3273" s="10">
        <v>1011081872</v>
      </c>
      <c r="B3273" s="64" t="s">
        <v>61</v>
      </c>
      <c r="C3273" s="62" t="s">
        <v>9177</v>
      </c>
      <c r="D3273" t="s">
        <v>63</v>
      </c>
      <c r="E3273" t="s">
        <v>9929</v>
      </c>
      <c r="F3273" s="61">
        <v>38383</v>
      </c>
      <c r="G3273" s="15" t="s">
        <v>73</v>
      </c>
      <c r="H3273" t="s">
        <v>9930</v>
      </c>
      <c r="I3273" s="62" t="s">
        <v>9931</v>
      </c>
      <c r="K3273" s="36" t="s">
        <v>68</v>
      </c>
      <c r="L3273" t="s">
        <v>69</v>
      </c>
      <c r="M3273" s="62" t="s">
        <v>70</v>
      </c>
      <c r="N3273" t="s">
        <v>9895</v>
      </c>
      <c r="O3273" t="str">
        <f>IFERROR(IF(Tbla_actores[[#This Row],[codigo_proyecto]]="","",_xlfn.XLOOKUP(Tbla_actores[[#This Row],[codigo_proyecto]],Proyectos!$A:$A,Proyectos!$C:$C)),"")</f>
        <v>Proyección Social Ingeniería</v>
      </c>
    </row>
    <row r="3274" spans="1:15">
      <c r="A3274" s="9">
        <v>1019602600</v>
      </c>
      <c r="B3274" s="63" t="s">
        <v>61</v>
      </c>
      <c r="C3274" s="62" t="s">
        <v>9177</v>
      </c>
      <c r="D3274" t="s">
        <v>63</v>
      </c>
      <c r="E3274" t="s">
        <v>9932</v>
      </c>
      <c r="F3274" s="61">
        <v>38095</v>
      </c>
      <c r="G3274" s="15" t="s">
        <v>73</v>
      </c>
      <c r="H3274" t="s">
        <v>9933</v>
      </c>
      <c r="I3274" s="62" t="s">
        <v>9934</v>
      </c>
      <c r="K3274" s="36" t="s">
        <v>7671</v>
      </c>
      <c r="L3274" t="s">
        <v>69</v>
      </c>
      <c r="M3274" s="62" t="s">
        <v>170</v>
      </c>
      <c r="N3274" t="s">
        <v>9728</v>
      </c>
      <c r="O3274" t="str">
        <f>IFERROR(IF(Tbla_actores[[#This Row],[codigo_proyecto]]="","",_xlfn.XLOOKUP(Tbla_actores[[#This Row],[codigo_proyecto]],Proyectos!$A:$A,Proyectos!$C:$C)),"")</f>
        <v>Camino de Paz en los Barrios Altos de Usme</v>
      </c>
    </row>
    <row r="3275" spans="1:15">
      <c r="A3275" s="10">
        <v>1011087766</v>
      </c>
      <c r="B3275" s="64" t="s">
        <v>61</v>
      </c>
      <c r="C3275" s="62" t="s">
        <v>9177</v>
      </c>
      <c r="D3275" t="s">
        <v>63</v>
      </c>
      <c r="E3275" t="s">
        <v>9935</v>
      </c>
      <c r="F3275" s="61">
        <v>38609</v>
      </c>
      <c r="G3275" s="15" t="s">
        <v>73</v>
      </c>
      <c r="H3275" t="s">
        <v>9936</v>
      </c>
      <c r="I3275" s="62" t="s">
        <v>9937</v>
      </c>
      <c r="K3275" s="36" t="s">
        <v>169</v>
      </c>
      <c r="L3275" t="s">
        <v>69</v>
      </c>
      <c r="M3275" s="62" t="s">
        <v>170</v>
      </c>
      <c r="N3275" t="s">
        <v>9814</v>
      </c>
      <c r="O3275" t="str">
        <f>IFERROR(IF(Tbla_actores[[#This Row],[codigo_proyecto]]="","",_xlfn.XLOOKUP(Tbla_actores[[#This Row],[codigo_proyecto]],Proyectos!$A:$A,Proyectos!$C:$C)),"")</f>
        <v>CAPACITACION EMPRENDIMIENTO</v>
      </c>
    </row>
    <row r="3276" spans="1:15">
      <c r="A3276" s="9">
        <v>1007604072</v>
      </c>
      <c r="B3276" s="63" t="s">
        <v>61</v>
      </c>
      <c r="C3276" s="62" t="s">
        <v>9177</v>
      </c>
      <c r="D3276" t="s">
        <v>63</v>
      </c>
      <c r="E3276" t="s">
        <v>9938</v>
      </c>
      <c r="F3276" s="61">
        <v>37800</v>
      </c>
      <c r="G3276" s="15" t="s">
        <v>73</v>
      </c>
      <c r="H3276" t="s">
        <v>9939</v>
      </c>
      <c r="I3276" s="62" t="s">
        <v>9940</v>
      </c>
      <c r="K3276" s="36" t="s">
        <v>7671</v>
      </c>
      <c r="L3276" t="s">
        <v>69</v>
      </c>
      <c r="M3276" s="62" t="s">
        <v>70</v>
      </c>
      <c r="N3276" t="s">
        <v>9888</v>
      </c>
      <c r="O3276" t="str">
        <f>IFERROR(IF(Tbla_actores[[#This Row],[codigo_proyecto]]="","",_xlfn.XLOOKUP(Tbla_actores[[#This Row],[codigo_proyecto]],Proyectos!$A:$A,Proyectos!$C:$C)),"")</f>
        <v>SAN CAYETANO ROBOTÍCA</v>
      </c>
    </row>
    <row r="3277" spans="1:15">
      <c r="A3277" s="10">
        <v>1027801475</v>
      </c>
      <c r="B3277" s="64" t="s">
        <v>61</v>
      </c>
      <c r="C3277" s="62" t="s">
        <v>9177</v>
      </c>
      <c r="D3277" t="s">
        <v>63</v>
      </c>
      <c r="E3277" t="s">
        <v>9941</v>
      </c>
      <c r="F3277" s="61">
        <v>38368</v>
      </c>
      <c r="G3277" s="15" t="s">
        <v>73</v>
      </c>
      <c r="H3277" t="s">
        <v>9942</v>
      </c>
      <c r="I3277" s="62" t="s">
        <v>9943</v>
      </c>
      <c r="K3277" s="36" t="s">
        <v>68</v>
      </c>
      <c r="L3277" t="s">
        <v>69</v>
      </c>
      <c r="M3277" s="62" t="s">
        <v>70</v>
      </c>
      <c r="N3277" t="s">
        <v>9802</v>
      </c>
      <c r="O3277" t="str">
        <f>IFERROR(IF(Tbla_actores[[#This Row],[codigo_proyecto]]="","",_xlfn.XLOOKUP(Tbla_actores[[#This Row],[codigo_proyecto]],Proyectos!$A:$A,Proyectos!$C:$C)),"")</f>
        <v>PROGRAMA SOCIAL VIDAS MÓVILES (JAVERIANA)</v>
      </c>
    </row>
    <row r="3278" spans="1:15">
      <c r="A3278" s="9">
        <v>1099736456</v>
      </c>
      <c r="B3278" s="63" t="s">
        <v>61</v>
      </c>
      <c r="C3278" s="62" t="s">
        <v>9177</v>
      </c>
      <c r="D3278" t="s">
        <v>63</v>
      </c>
      <c r="E3278" t="s">
        <v>9944</v>
      </c>
      <c r="F3278" s="61">
        <v>38486</v>
      </c>
      <c r="G3278" s="15" t="s">
        <v>73</v>
      </c>
      <c r="H3278" t="s">
        <v>9945</v>
      </c>
      <c r="I3278" s="62" t="s">
        <v>9946</v>
      </c>
      <c r="K3278" s="36" t="s">
        <v>169</v>
      </c>
      <c r="L3278" t="s">
        <v>69</v>
      </c>
      <c r="M3278" s="62" t="s">
        <v>170</v>
      </c>
      <c r="N3278" t="s">
        <v>9856</v>
      </c>
      <c r="O3278" t="str">
        <f>IFERROR(IF(Tbla_actores[[#This Row],[codigo_proyecto]]="","",_xlfn.XLOOKUP(Tbla_actores[[#This Row],[codigo_proyecto]],Proyectos!$A:$A,Proyectos!$C:$C)),"")</f>
        <v>VIDAS MÓVILES</v>
      </c>
    </row>
    <row r="3279" spans="1:15">
      <c r="A3279" s="10">
        <v>1001218709</v>
      </c>
      <c r="B3279" s="64" t="s">
        <v>61</v>
      </c>
      <c r="C3279" s="62" t="s">
        <v>9177</v>
      </c>
      <c r="D3279" t="s">
        <v>63</v>
      </c>
      <c r="E3279" t="s">
        <v>9947</v>
      </c>
      <c r="F3279" s="61">
        <v>37237</v>
      </c>
      <c r="G3279" s="15" t="s">
        <v>73</v>
      </c>
      <c r="H3279" t="s">
        <v>9948</v>
      </c>
      <c r="I3279" s="62" t="s">
        <v>9949</v>
      </c>
      <c r="K3279" s="36" t="s">
        <v>495</v>
      </c>
      <c r="L3279" t="s">
        <v>69</v>
      </c>
      <c r="M3279" s="62" t="s">
        <v>70</v>
      </c>
      <c r="N3279" t="s">
        <v>9747</v>
      </c>
      <c r="O3279" t="str">
        <f>IFERROR(IF(Tbla_actores[[#This Row],[codigo_proyecto]]="","",_xlfn.XLOOKUP(Tbla_actores[[#This Row],[codigo_proyecto]],Proyectos!$A:$A,Proyectos!$C:$C)),"")</f>
        <v>PROYECTO
“APOYO A LAS ACTIVIDADES DEL PROYECTO SOCIAL DE LA FACULTAD DE INGENIERIA – PROSOFI”</v>
      </c>
    </row>
    <row r="3280" spans="1:15">
      <c r="A3280" s="9">
        <v>1025061103</v>
      </c>
      <c r="B3280" s="63" t="s">
        <v>61</v>
      </c>
      <c r="C3280" s="62" t="s">
        <v>9177</v>
      </c>
      <c r="D3280" t="s">
        <v>63</v>
      </c>
      <c r="E3280" t="s">
        <v>9950</v>
      </c>
      <c r="F3280" s="61">
        <v>38433</v>
      </c>
      <c r="G3280" s="15" t="s">
        <v>73</v>
      </c>
      <c r="H3280" t="s">
        <v>9951</v>
      </c>
      <c r="I3280" s="62" t="s">
        <v>9952</v>
      </c>
      <c r="K3280" s="36" t="s">
        <v>169</v>
      </c>
      <c r="L3280" t="s">
        <v>69</v>
      </c>
      <c r="M3280" s="62" t="s">
        <v>170</v>
      </c>
      <c r="N3280" t="s">
        <v>9848</v>
      </c>
      <c r="O3280" t="str">
        <f>IFERROR(IF(Tbla_actores[[#This Row],[codigo_proyecto]]="","",_xlfn.XLOOKUP(Tbla_actores[[#This Row],[codigo_proyecto]],Proyectos!$A:$A,Proyectos!$C:$C)),"")</f>
        <v>Estrategias para lograr equilibrio económico</v>
      </c>
    </row>
    <row r="3281" spans="1:15">
      <c r="A3281" s="10">
        <v>1000007875</v>
      </c>
      <c r="B3281" s="64" t="s">
        <v>61</v>
      </c>
      <c r="C3281" s="62" t="s">
        <v>9177</v>
      </c>
      <c r="D3281" t="s">
        <v>63</v>
      </c>
      <c r="E3281" t="s">
        <v>9953</v>
      </c>
      <c r="F3281" s="61">
        <v>37942</v>
      </c>
      <c r="G3281" s="15" t="s">
        <v>65</v>
      </c>
      <c r="H3281" t="s">
        <v>9954</v>
      </c>
      <c r="I3281" s="62" t="s">
        <v>9955</v>
      </c>
      <c r="K3281" s="36" t="s">
        <v>495</v>
      </c>
      <c r="L3281" t="s">
        <v>69</v>
      </c>
      <c r="M3281" s="62" t="s">
        <v>70</v>
      </c>
      <c r="N3281" t="s">
        <v>9747</v>
      </c>
      <c r="O3281" t="str">
        <f>IFERROR(IF(Tbla_actores[[#This Row],[codigo_proyecto]]="","",_xlfn.XLOOKUP(Tbla_actores[[#This Row],[codigo_proyecto]],Proyectos!$A:$A,Proyectos!$C:$C)),"")</f>
        <v>PROYECTO
“APOYO A LAS ACTIVIDADES DEL PROYECTO SOCIAL DE LA FACULTAD DE INGENIERIA – PROSOFI”</v>
      </c>
    </row>
    <row r="3282" spans="1:15">
      <c r="A3282" s="9">
        <v>1027281403</v>
      </c>
      <c r="B3282" s="63" t="s">
        <v>61</v>
      </c>
      <c r="C3282" s="62" t="s">
        <v>9177</v>
      </c>
      <c r="D3282" t="s">
        <v>63</v>
      </c>
      <c r="E3282" t="s">
        <v>9956</v>
      </c>
      <c r="F3282" s="61">
        <v>38457</v>
      </c>
      <c r="G3282" s="15" t="s">
        <v>65</v>
      </c>
      <c r="H3282" t="s">
        <v>9957</v>
      </c>
      <c r="I3282" s="62" t="s">
        <v>9958</v>
      </c>
      <c r="K3282" s="36" t="s">
        <v>169</v>
      </c>
      <c r="L3282" t="s">
        <v>69</v>
      </c>
      <c r="M3282" s="62" t="s">
        <v>170</v>
      </c>
      <c r="N3282" t="s">
        <v>9848</v>
      </c>
      <c r="O3282" t="str">
        <f>IFERROR(IF(Tbla_actores[[#This Row],[codigo_proyecto]]="","",_xlfn.XLOOKUP(Tbla_actores[[#This Row],[codigo_proyecto]],Proyectos!$A:$A,Proyectos!$C:$C)),"")</f>
        <v>Estrategias para lograr equilibrio económico</v>
      </c>
    </row>
    <row r="3283" spans="1:15">
      <c r="A3283" s="10">
        <v>1030528205</v>
      </c>
      <c r="B3283" s="64" t="s">
        <v>61</v>
      </c>
      <c r="C3283" s="62" t="s">
        <v>9177</v>
      </c>
      <c r="D3283" t="s">
        <v>63</v>
      </c>
      <c r="E3283" t="s">
        <v>9959</v>
      </c>
      <c r="F3283" s="61">
        <v>38239</v>
      </c>
      <c r="G3283" s="15" t="s">
        <v>73</v>
      </c>
      <c r="H3283" t="s">
        <v>9960</v>
      </c>
      <c r="I3283" s="62" t="s">
        <v>9961</v>
      </c>
      <c r="K3283" s="36" t="s">
        <v>68</v>
      </c>
      <c r="L3283" t="s">
        <v>69</v>
      </c>
      <c r="M3283" s="62" t="s">
        <v>70</v>
      </c>
      <c r="N3283" t="s">
        <v>9962</v>
      </c>
      <c r="O3283" t="str">
        <f>IFERROR(IF(Tbla_actores[[#This Row],[codigo_proyecto]]="","",_xlfn.XLOOKUP(Tbla_actores[[#This Row],[codigo_proyecto]],Proyectos!$A:$A,Proyectos!$C:$C)),"")</f>
        <v>Proyecto 14</v>
      </c>
    </row>
    <row r="3284" spans="1:15">
      <c r="A3284" s="9">
        <v>1001316581</v>
      </c>
      <c r="B3284" s="63" t="s">
        <v>61</v>
      </c>
      <c r="C3284" s="62" t="s">
        <v>9177</v>
      </c>
      <c r="D3284" t="s">
        <v>63</v>
      </c>
      <c r="E3284" t="s">
        <v>9963</v>
      </c>
      <c r="F3284" s="61">
        <v>37914</v>
      </c>
      <c r="G3284" s="15" t="s">
        <v>73</v>
      </c>
      <c r="H3284" t="s">
        <v>9964</v>
      </c>
      <c r="I3284" s="62" t="s">
        <v>9965</v>
      </c>
      <c r="K3284" s="36" t="s">
        <v>68</v>
      </c>
      <c r="L3284" t="s">
        <v>69</v>
      </c>
      <c r="M3284" s="62" t="s">
        <v>70</v>
      </c>
      <c r="N3284" t="s">
        <v>9962</v>
      </c>
      <c r="O3284" t="str">
        <f>IFERROR(IF(Tbla_actores[[#This Row],[codigo_proyecto]]="","",_xlfn.XLOOKUP(Tbla_actores[[#This Row],[codigo_proyecto]],Proyectos!$A:$A,Proyectos!$C:$C)),"")</f>
        <v>Proyecto 14</v>
      </c>
    </row>
    <row r="3285" spans="1:15">
      <c r="A3285" s="10">
        <v>1097490079</v>
      </c>
      <c r="B3285" s="64" t="s">
        <v>61</v>
      </c>
      <c r="C3285" s="62" t="s">
        <v>9177</v>
      </c>
      <c r="D3285" t="s">
        <v>63</v>
      </c>
      <c r="E3285" t="s">
        <v>9966</v>
      </c>
      <c r="F3285" s="61">
        <v>38335</v>
      </c>
      <c r="G3285" s="15" t="s">
        <v>73</v>
      </c>
      <c r="H3285" t="s">
        <v>9967</v>
      </c>
      <c r="I3285" s="62" t="s">
        <v>9968</v>
      </c>
      <c r="K3285" s="36" t="s">
        <v>68</v>
      </c>
      <c r="L3285" t="s">
        <v>69</v>
      </c>
      <c r="M3285" s="62" t="s">
        <v>70</v>
      </c>
      <c r="N3285" t="s">
        <v>9962</v>
      </c>
      <c r="O3285" t="str">
        <f>IFERROR(IF(Tbla_actores[[#This Row],[codigo_proyecto]]="","",_xlfn.XLOOKUP(Tbla_actores[[#This Row],[codigo_proyecto]],Proyectos!$A:$A,Proyectos!$C:$C)),"")</f>
        <v>Proyecto 14</v>
      </c>
    </row>
    <row r="3286" spans="1:15">
      <c r="A3286" s="9">
        <v>1014978163</v>
      </c>
      <c r="B3286" s="63" t="s">
        <v>61</v>
      </c>
      <c r="C3286" s="62" t="s">
        <v>9177</v>
      </c>
      <c r="D3286" t="s">
        <v>63</v>
      </c>
      <c r="E3286" t="s">
        <v>9969</v>
      </c>
      <c r="F3286" s="61">
        <v>38399</v>
      </c>
      <c r="G3286" s="15" t="s">
        <v>73</v>
      </c>
      <c r="H3286" t="s">
        <v>9970</v>
      </c>
      <c r="I3286" s="62" t="s">
        <v>9971</v>
      </c>
      <c r="K3286" s="36" t="s">
        <v>68</v>
      </c>
      <c r="L3286" t="s">
        <v>69</v>
      </c>
      <c r="M3286" s="62" t="s">
        <v>70</v>
      </c>
      <c r="N3286" t="s">
        <v>9962</v>
      </c>
      <c r="O3286" t="str">
        <f>IFERROR(IF(Tbla_actores[[#This Row],[codigo_proyecto]]="","",_xlfn.XLOOKUP(Tbla_actores[[#This Row],[codigo_proyecto]],Proyectos!$A:$A,Proyectos!$C:$C)),"")</f>
        <v>Proyecto 14</v>
      </c>
    </row>
    <row r="3287" spans="1:15">
      <c r="A3287" s="10">
        <v>1000338924</v>
      </c>
      <c r="B3287" s="64" t="s">
        <v>61</v>
      </c>
      <c r="C3287" s="62" t="s">
        <v>9177</v>
      </c>
      <c r="D3287" t="s">
        <v>63</v>
      </c>
      <c r="E3287" t="s">
        <v>9972</v>
      </c>
      <c r="F3287" s="61">
        <v>37893</v>
      </c>
      <c r="G3287" s="15" t="s">
        <v>73</v>
      </c>
      <c r="H3287" t="s">
        <v>9973</v>
      </c>
      <c r="I3287" s="62" t="s">
        <v>9974</v>
      </c>
      <c r="K3287" s="36" t="s">
        <v>68</v>
      </c>
      <c r="L3287" t="s">
        <v>69</v>
      </c>
      <c r="M3287" s="62" t="s">
        <v>70</v>
      </c>
      <c r="N3287" t="s">
        <v>9962</v>
      </c>
      <c r="O3287" t="str">
        <f>IFERROR(IF(Tbla_actores[[#This Row],[codigo_proyecto]]="","",_xlfn.XLOOKUP(Tbla_actores[[#This Row],[codigo_proyecto]],Proyectos!$A:$A,Proyectos!$C:$C)),"")</f>
        <v>Proyecto 14</v>
      </c>
    </row>
    <row r="3288" spans="1:15">
      <c r="A3288" s="9">
        <v>1097490714</v>
      </c>
      <c r="B3288" s="63" t="s">
        <v>61</v>
      </c>
      <c r="C3288" s="62" t="s">
        <v>9177</v>
      </c>
      <c r="D3288" t="s">
        <v>63</v>
      </c>
      <c r="E3288" t="s">
        <v>9975</v>
      </c>
      <c r="F3288" s="61">
        <v>38475</v>
      </c>
      <c r="G3288" s="15" t="s">
        <v>73</v>
      </c>
      <c r="H3288" t="s">
        <v>9976</v>
      </c>
      <c r="I3288" s="62" t="s">
        <v>9977</v>
      </c>
      <c r="K3288" s="36" t="s">
        <v>169</v>
      </c>
      <c r="L3288" t="s">
        <v>69</v>
      </c>
      <c r="M3288" s="62" t="s">
        <v>170</v>
      </c>
      <c r="N3288" t="s">
        <v>9978</v>
      </c>
      <c r="O3288">
        <f>IFERROR(IF(Tbla_actores[[#This Row],[codigo_proyecto]]="","",_xlfn.XLOOKUP(Tbla_actores[[#This Row],[codigo_proyecto]],Proyectos!$A:$A,Proyectos!$C:$C)),"")</f>
        <v>0</v>
      </c>
    </row>
    <row r="3289" spans="1:15">
      <c r="A3289" s="10">
        <v>1013580258</v>
      </c>
      <c r="B3289" s="64" t="s">
        <v>61</v>
      </c>
      <c r="C3289" s="62" t="s">
        <v>9177</v>
      </c>
      <c r="D3289" t="s">
        <v>63</v>
      </c>
      <c r="E3289" t="s">
        <v>9979</v>
      </c>
      <c r="F3289" s="61">
        <v>38188</v>
      </c>
      <c r="G3289" s="15" t="s">
        <v>73</v>
      </c>
      <c r="H3289" t="s">
        <v>9980</v>
      </c>
      <c r="I3289" s="62" t="s">
        <v>9981</v>
      </c>
      <c r="K3289" s="36" t="s">
        <v>68</v>
      </c>
      <c r="L3289" t="s">
        <v>69</v>
      </c>
      <c r="M3289" s="62" t="s">
        <v>70</v>
      </c>
      <c r="N3289" t="s">
        <v>9962</v>
      </c>
      <c r="O3289" t="str">
        <f>IFERROR(IF(Tbla_actores[[#This Row],[codigo_proyecto]]="","",_xlfn.XLOOKUP(Tbla_actores[[#This Row],[codigo_proyecto]],Proyectos!$A:$A,Proyectos!$C:$C)),"")</f>
        <v>Proyecto 14</v>
      </c>
    </row>
    <row r="3290" spans="1:15">
      <c r="A3290" s="9">
        <v>1029643905</v>
      </c>
      <c r="B3290" s="63" t="s">
        <v>61</v>
      </c>
      <c r="C3290" s="62" t="s">
        <v>9177</v>
      </c>
      <c r="D3290" t="s">
        <v>63</v>
      </c>
      <c r="E3290" t="s">
        <v>9982</v>
      </c>
      <c r="F3290" s="61">
        <v>38807</v>
      </c>
      <c r="G3290" s="15" t="s">
        <v>65</v>
      </c>
      <c r="H3290" t="s">
        <v>9983</v>
      </c>
      <c r="I3290" s="62" t="s">
        <v>9984</v>
      </c>
      <c r="K3290" s="36" t="s">
        <v>169</v>
      </c>
      <c r="L3290" t="s">
        <v>69</v>
      </c>
      <c r="M3290" s="62" t="s">
        <v>170</v>
      </c>
      <c r="N3290" t="s">
        <v>9978</v>
      </c>
      <c r="O3290">
        <f>IFERROR(IF(Tbla_actores[[#This Row],[codigo_proyecto]]="","",_xlfn.XLOOKUP(Tbla_actores[[#This Row],[codigo_proyecto]],Proyectos!$A:$A,Proyectos!$C:$C)),"")</f>
        <v>0</v>
      </c>
    </row>
    <row r="3291" spans="1:15">
      <c r="A3291" s="10">
        <v>1193145802</v>
      </c>
      <c r="B3291" s="64" t="s">
        <v>61</v>
      </c>
      <c r="C3291" s="62" t="s">
        <v>9985</v>
      </c>
      <c r="D3291" t="s">
        <v>63</v>
      </c>
      <c r="E3291" t="s">
        <v>9986</v>
      </c>
      <c r="F3291" s="61">
        <v>37163</v>
      </c>
      <c r="G3291" s="15" t="s">
        <v>73</v>
      </c>
      <c r="H3291" t="s">
        <v>9987</v>
      </c>
      <c r="I3291" s="62" t="s">
        <v>9988</v>
      </c>
      <c r="K3291" s="36" t="s">
        <v>1489</v>
      </c>
      <c r="L3291" t="s">
        <v>69</v>
      </c>
      <c r="M3291" s="62" t="s">
        <v>70</v>
      </c>
      <c r="N3291" t="s">
        <v>9989</v>
      </c>
      <c r="O3291" t="str">
        <f>IFERROR(IF(Tbla_actores[[#This Row],[codigo_proyecto]]="","",_xlfn.XLOOKUP(Tbla_actores[[#This Row],[codigo_proyecto]],Proyectos!$A:$A,Proyectos!$C:$C)),"")</f>
        <v>Sistema Antiescape en dispositivos de cuidado residencial</v>
      </c>
    </row>
    <row r="3292" spans="1:15">
      <c r="A3292" s="9">
        <v>1101260125</v>
      </c>
      <c r="B3292" s="63" t="s">
        <v>61</v>
      </c>
      <c r="C3292" s="62" t="s">
        <v>9985</v>
      </c>
      <c r="D3292" t="s">
        <v>63</v>
      </c>
      <c r="E3292" t="s">
        <v>9990</v>
      </c>
      <c r="F3292" s="61">
        <v>38038</v>
      </c>
      <c r="G3292" s="15" t="s">
        <v>65</v>
      </c>
      <c r="H3292" t="s">
        <v>9991</v>
      </c>
      <c r="I3292" s="62" t="s">
        <v>9992</v>
      </c>
      <c r="K3292" s="36" t="s">
        <v>7671</v>
      </c>
      <c r="L3292" t="s">
        <v>69</v>
      </c>
      <c r="M3292" s="62" t="s">
        <v>70</v>
      </c>
      <c r="N3292" t="s">
        <v>9989</v>
      </c>
      <c r="O3292" t="str">
        <f>IFERROR(IF(Tbla_actores[[#This Row],[codigo_proyecto]]="","",_xlfn.XLOOKUP(Tbla_actores[[#This Row],[codigo_proyecto]],Proyectos!$A:$A,Proyectos!$C:$C)),"")</f>
        <v>Sistema Antiescape en dispositivos de cuidado residencial</v>
      </c>
    </row>
    <row r="3293" spans="1:15">
      <c r="A3293" s="10">
        <v>1019842160</v>
      </c>
      <c r="B3293" s="64" t="s">
        <v>61</v>
      </c>
      <c r="C3293" s="62" t="s">
        <v>9985</v>
      </c>
      <c r="D3293" t="s">
        <v>63</v>
      </c>
      <c r="E3293" t="s">
        <v>9993</v>
      </c>
      <c r="F3293" s="61">
        <v>38084</v>
      </c>
      <c r="G3293" s="15" t="s">
        <v>65</v>
      </c>
      <c r="H3293" t="s">
        <v>9994</v>
      </c>
      <c r="I3293" s="62" t="s">
        <v>9995</v>
      </c>
      <c r="K3293" s="36" t="s">
        <v>7671</v>
      </c>
      <c r="L3293" t="s">
        <v>69</v>
      </c>
      <c r="M3293" s="62" t="s">
        <v>70</v>
      </c>
      <c r="N3293" t="s">
        <v>9989</v>
      </c>
      <c r="O3293" t="str">
        <f>IFERROR(IF(Tbla_actores[[#This Row],[codigo_proyecto]]="","",_xlfn.XLOOKUP(Tbla_actores[[#This Row],[codigo_proyecto]],Proyectos!$A:$A,Proyectos!$C:$C)),"")</f>
        <v>Sistema Antiescape en dispositivos de cuidado residencial</v>
      </c>
    </row>
    <row r="3294" spans="1:15">
      <c r="A3294" s="9">
        <v>1021632596</v>
      </c>
      <c r="B3294" s="63" t="s">
        <v>61</v>
      </c>
      <c r="C3294" s="62" t="s">
        <v>9985</v>
      </c>
      <c r="D3294" t="s">
        <v>63</v>
      </c>
      <c r="E3294" t="s">
        <v>9996</v>
      </c>
      <c r="F3294" s="61">
        <v>38153</v>
      </c>
      <c r="G3294" s="15" t="s">
        <v>73</v>
      </c>
      <c r="H3294" t="s">
        <v>9997</v>
      </c>
      <c r="I3294" s="62" t="s">
        <v>9998</v>
      </c>
      <c r="K3294" s="36" t="s">
        <v>6427</v>
      </c>
      <c r="L3294" t="s">
        <v>69</v>
      </c>
      <c r="M3294" s="62" t="s">
        <v>70</v>
      </c>
      <c r="N3294" t="s">
        <v>9989</v>
      </c>
      <c r="O3294" t="str">
        <f>IFERROR(IF(Tbla_actores[[#This Row],[codigo_proyecto]]="","",_xlfn.XLOOKUP(Tbla_actores[[#This Row],[codigo_proyecto]],Proyectos!$A:$A,Proyectos!$C:$C)),"")</f>
        <v>Sistema Antiescape en dispositivos de cuidado residencial</v>
      </c>
    </row>
    <row r="3295" spans="1:15">
      <c r="A3295" s="10">
        <v>1014477348</v>
      </c>
      <c r="B3295" s="64" t="s">
        <v>61</v>
      </c>
      <c r="C3295" s="62" t="s">
        <v>9985</v>
      </c>
      <c r="D3295" t="s">
        <v>63</v>
      </c>
      <c r="E3295" t="s">
        <v>9999</v>
      </c>
      <c r="F3295" s="61">
        <v>38255</v>
      </c>
      <c r="G3295" s="15" t="s">
        <v>73</v>
      </c>
      <c r="H3295" t="s">
        <v>10000</v>
      </c>
      <c r="I3295" s="62" t="s">
        <v>10001</v>
      </c>
      <c r="K3295" s="36" t="s">
        <v>7671</v>
      </c>
      <c r="L3295" t="s">
        <v>69</v>
      </c>
      <c r="M3295" s="62" t="s">
        <v>70</v>
      </c>
      <c r="N3295" t="s">
        <v>9989</v>
      </c>
      <c r="O3295" t="str">
        <f>IFERROR(IF(Tbla_actores[[#This Row],[codigo_proyecto]]="","",_xlfn.XLOOKUP(Tbla_actores[[#This Row],[codigo_proyecto]],Proyectos!$A:$A,Proyectos!$C:$C)),"")</f>
        <v>Sistema Antiescape en dispositivos de cuidado residencial</v>
      </c>
    </row>
    <row r="3296" spans="1:15">
      <c r="A3296" s="9">
        <v>1025060811</v>
      </c>
      <c r="B3296" s="63" t="s">
        <v>61</v>
      </c>
      <c r="C3296" s="62" t="s">
        <v>9985</v>
      </c>
      <c r="D3296" t="s">
        <v>63</v>
      </c>
      <c r="E3296" t="s">
        <v>10002</v>
      </c>
      <c r="F3296" s="61">
        <v>38294</v>
      </c>
      <c r="G3296" s="15" t="s">
        <v>65</v>
      </c>
      <c r="H3296" t="s">
        <v>10003</v>
      </c>
      <c r="I3296" s="62" t="s">
        <v>10004</v>
      </c>
      <c r="K3296" s="36" t="s">
        <v>1489</v>
      </c>
      <c r="L3296" t="s">
        <v>69</v>
      </c>
      <c r="M3296" s="62" t="s">
        <v>70</v>
      </c>
      <c r="N3296" t="s">
        <v>9989</v>
      </c>
      <c r="O3296" t="str">
        <f>IFERROR(IF(Tbla_actores[[#This Row],[codigo_proyecto]]="","",_xlfn.XLOOKUP(Tbla_actores[[#This Row],[codigo_proyecto]],Proyectos!$A:$A,Proyectos!$C:$C)),"")</f>
        <v>Sistema Antiescape en dispositivos de cuidado residencial</v>
      </c>
    </row>
    <row r="3297" spans="1:15">
      <c r="A3297" s="10">
        <v>1192804848</v>
      </c>
      <c r="B3297" s="64" t="s">
        <v>61</v>
      </c>
      <c r="C3297" s="62" t="s">
        <v>9985</v>
      </c>
      <c r="D3297" t="s">
        <v>63</v>
      </c>
      <c r="E3297" t="s">
        <v>10005</v>
      </c>
      <c r="F3297" s="61">
        <v>36698</v>
      </c>
      <c r="G3297" s="15" t="s">
        <v>73</v>
      </c>
      <c r="H3297" t="s">
        <v>10006</v>
      </c>
      <c r="I3297" s="62" t="s">
        <v>10007</v>
      </c>
      <c r="K3297" s="36" t="s">
        <v>1489</v>
      </c>
      <c r="L3297" t="s">
        <v>69</v>
      </c>
      <c r="M3297" s="62" t="s">
        <v>70</v>
      </c>
      <c r="N3297" t="s">
        <v>10008</v>
      </c>
      <c r="O3297" t="str">
        <f>IFERROR(IF(Tbla_actores[[#This Row],[codigo_proyecto]]="","",_xlfn.XLOOKUP(Tbla_actores[[#This Row],[codigo_proyecto]],Proyectos!$A:$A,Proyectos!$C:$C)),"")</f>
        <v>Reparación de Electrodomésticos BA</v>
      </c>
    </row>
    <row r="3298" spans="1:15">
      <c r="A3298" s="9">
        <v>1006553983</v>
      </c>
      <c r="B3298" s="63" t="s">
        <v>61</v>
      </c>
      <c r="C3298" s="62" t="s">
        <v>9985</v>
      </c>
      <c r="D3298" t="s">
        <v>63</v>
      </c>
      <c r="E3298" t="s">
        <v>10009</v>
      </c>
      <c r="F3298" s="61">
        <v>37457</v>
      </c>
      <c r="G3298" s="15" t="s">
        <v>73</v>
      </c>
      <c r="H3298" t="s">
        <v>10010</v>
      </c>
      <c r="I3298" s="62" t="s">
        <v>10011</v>
      </c>
      <c r="K3298" s="36" t="s">
        <v>1489</v>
      </c>
      <c r="L3298" t="s">
        <v>69</v>
      </c>
      <c r="M3298" s="62" t="s">
        <v>70</v>
      </c>
      <c r="N3298" t="s">
        <v>10008</v>
      </c>
      <c r="O3298" t="str">
        <f>IFERROR(IF(Tbla_actores[[#This Row],[codigo_proyecto]]="","",_xlfn.XLOOKUP(Tbla_actores[[#This Row],[codigo_proyecto]],Proyectos!$A:$A,Proyectos!$C:$C)),"")</f>
        <v>Reparación de Electrodomésticos BA</v>
      </c>
    </row>
    <row r="3299" spans="1:15">
      <c r="A3299" s="10">
        <v>1000795004</v>
      </c>
      <c r="B3299" s="64" t="s">
        <v>61</v>
      </c>
      <c r="C3299" s="62" t="s">
        <v>9985</v>
      </c>
      <c r="D3299" t="s">
        <v>63</v>
      </c>
      <c r="E3299" t="s">
        <v>10012</v>
      </c>
      <c r="F3299" s="61">
        <v>37761</v>
      </c>
      <c r="G3299" s="15" t="s">
        <v>73</v>
      </c>
      <c r="H3299" t="s">
        <v>10013</v>
      </c>
      <c r="I3299" s="62" t="s">
        <v>10014</v>
      </c>
      <c r="K3299" s="36" t="s">
        <v>1489</v>
      </c>
      <c r="L3299" t="s">
        <v>69</v>
      </c>
      <c r="M3299" s="62" t="s">
        <v>70</v>
      </c>
      <c r="N3299" t="s">
        <v>10008</v>
      </c>
      <c r="O3299" t="str">
        <f>IFERROR(IF(Tbla_actores[[#This Row],[codigo_proyecto]]="","",_xlfn.XLOOKUP(Tbla_actores[[#This Row],[codigo_proyecto]],Proyectos!$A:$A,Proyectos!$C:$C)),"")</f>
        <v>Reparación de Electrodomésticos BA</v>
      </c>
    </row>
    <row r="3300" spans="1:15">
      <c r="A3300" s="9">
        <v>1000036708</v>
      </c>
      <c r="B3300" s="63" t="s">
        <v>61</v>
      </c>
      <c r="C3300" s="62" t="s">
        <v>9985</v>
      </c>
      <c r="D3300" t="s">
        <v>63</v>
      </c>
      <c r="E3300" t="s">
        <v>10015</v>
      </c>
      <c r="F3300" s="61">
        <v>37908</v>
      </c>
      <c r="G3300" s="15" t="s">
        <v>73</v>
      </c>
      <c r="H3300" t="s">
        <v>10016</v>
      </c>
      <c r="I3300" s="62" t="s">
        <v>10017</v>
      </c>
      <c r="K3300" s="36" t="s">
        <v>1489</v>
      </c>
      <c r="L3300" t="s">
        <v>69</v>
      </c>
      <c r="M3300" s="62" t="s">
        <v>70</v>
      </c>
      <c r="N3300" t="s">
        <v>10008</v>
      </c>
      <c r="O3300" t="str">
        <f>IFERROR(IF(Tbla_actores[[#This Row],[codigo_proyecto]]="","",_xlfn.XLOOKUP(Tbla_actores[[#This Row],[codigo_proyecto]],Proyectos!$A:$A,Proyectos!$C:$C)),"")</f>
        <v>Reparación de Electrodomésticos BA</v>
      </c>
    </row>
    <row r="3301" spans="1:15">
      <c r="A3301" s="10">
        <v>1018405342</v>
      </c>
      <c r="B3301" s="64" t="s">
        <v>61</v>
      </c>
      <c r="C3301" s="62" t="s">
        <v>9985</v>
      </c>
      <c r="D3301" t="s">
        <v>63</v>
      </c>
      <c r="E3301" t="s">
        <v>10018</v>
      </c>
      <c r="F3301" s="61">
        <v>38223</v>
      </c>
      <c r="G3301" s="15" t="s">
        <v>73</v>
      </c>
      <c r="H3301" t="s">
        <v>10019</v>
      </c>
      <c r="I3301" s="62" t="s">
        <v>10020</v>
      </c>
      <c r="K3301" s="36" t="s">
        <v>1489</v>
      </c>
      <c r="L3301" t="s">
        <v>69</v>
      </c>
      <c r="M3301" s="62" t="s">
        <v>70</v>
      </c>
      <c r="N3301" t="s">
        <v>10008</v>
      </c>
      <c r="O3301" t="str">
        <f>IFERROR(IF(Tbla_actores[[#This Row],[codigo_proyecto]]="","",_xlfn.XLOOKUP(Tbla_actores[[#This Row],[codigo_proyecto]],Proyectos!$A:$A,Proyectos!$C:$C)),"")</f>
        <v>Reparación de Electrodomésticos BA</v>
      </c>
    </row>
    <row r="3302" spans="1:15">
      <c r="A3302" s="9">
        <v>1000593889</v>
      </c>
      <c r="B3302" s="63" t="s">
        <v>61</v>
      </c>
      <c r="C3302" s="62" t="s">
        <v>9985</v>
      </c>
      <c r="D3302" t="s">
        <v>63</v>
      </c>
      <c r="E3302" t="s">
        <v>10021</v>
      </c>
      <c r="F3302" s="61">
        <v>37354</v>
      </c>
      <c r="G3302" s="15" t="s">
        <v>73</v>
      </c>
      <c r="H3302" t="s">
        <v>10022</v>
      </c>
      <c r="I3302" s="62" t="s">
        <v>10023</v>
      </c>
      <c r="K3302" s="36" t="s">
        <v>1489</v>
      </c>
      <c r="L3302" t="s">
        <v>69</v>
      </c>
      <c r="M3302" s="62" t="s">
        <v>70</v>
      </c>
      <c r="N3302" t="s">
        <v>10024</v>
      </c>
      <c r="O3302" t="str">
        <f>IFERROR(IF(Tbla_actores[[#This Row],[codigo_proyecto]]="","",_xlfn.XLOOKUP(Tbla_actores[[#This Row],[codigo_proyecto]],Proyectos!$A:$A,Proyectos!$C:$C)),"")</f>
        <v>Reparación de Electrodomésticos FSI</v>
      </c>
    </row>
    <row r="3303" spans="1:15">
      <c r="A3303" s="10">
        <v>1000796005</v>
      </c>
      <c r="B3303" s="64" t="s">
        <v>61</v>
      </c>
      <c r="C3303" s="62" t="s">
        <v>9985</v>
      </c>
      <c r="D3303" t="s">
        <v>63</v>
      </c>
      <c r="E3303" t="s">
        <v>10025</v>
      </c>
      <c r="F3303" s="61">
        <v>37452</v>
      </c>
      <c r="G3303" s="15" t="s">
        <v>73</v>
      </c>
      <c r="H3303" t="s">
        <v>10026</v>
      </c>
      <c r="I3303" s="62" t="s">
        <v>10027</v>
      </c>
      <c r="K3303" s="36" t="s">
        <v>1489</v>
      </c>
      <c r="L3303" t="s">
        <v>69</v>
      </c>
      <c r="M3303" s="62" t="s">
        <v>70</v>
      </c>
      <c r="N3303" t="s">
        <v>10024</v>
      </c>
      <c r="O3303" t="str">
        <f>IFERROR(IF(Tbla_actores[[#This Row],[codigo_proyecto]]="","",_xlfn.XLOOKUP(Tbla_actores[[#This Row],[codigo_proyecto]],Proyectos!$A:$A,Proyectos!$C:$C)),"")</f>
        <v>Reparación de Electrodomésticos FSI</v>
      </c>
    </row>
    <row r="3304" spans="1:15">
      <c r="A3304" s="9">
        <v>1000240267</v>
      </c>
      <c r="B3304" s="63" t="s">
        <v>61</v>
      </c>
      <c r="C3304" s="62" t="s">
        <v>9985</v>
      </c>
      <c r="D3304" t="s">
        <v>63</v>
      </c>
      <c r="E3304" t="s">
        <v>10028</v>
      </c>
      <c r="F3304" s="61">
        <v>36739</v>
      </c>
      <c r="G3304" s="15" t="s">
        <v>73</v>
      </c>
      <c r="H3304" t="s">
        <v>10029</v>
      </c>
      <c r="I3304" s="62" t="s">
        <v>10030</v>
      </c>
      <c r="K3304" s="36" t="s">
        <v>7671</v>
      </c>
      <c r="L3304" t="s">
        <v>69</v>
      </c>
      <c r="M3304" s="62" t="s">
        <v>70</v>
      </c>
      <c r="N3304" t="s">
        <v>10024</v>
      </c>
      <c r="O3304" t="str">
        <f>IFERROR(IF(Tbla_actores[[#This Row],[codigo_proyecto]]="","",_xlfn.XLOOKUP(Tbla_actores[[#This Row],[codigo_proyecto]],Proyectos!$A:$A,Proyectos!$C:$C)),"")</f>
        <v>Reparación de Electrodomésticos FSI</v>
      </c>
    </row>
    <row r="3305" spans="1:15">
      <c r="A3305" s="10">
        <v>1021633087</v>
      </c>
      <c r="B3305" s="64" t="s">
        <v>61</v>
      </c>
      <c r="C3305" s="62" t="s">
        <v>9985</v>
      </c>
      <c r="D3305" t="s">
        <v>63</v>
      </c>
      <c r="E3305" t="s">
        <v>10031</v>
      </c>
      <c r="F3305" s="61">
        <v>38266</v>
      </c>
      <c r="G3305" s="15" t="s">
        <v>73</v>
      </c>
      <c r="H3305" t="s">
        <v>10032</v>
      </c>
      <c r="I3305" s="62" t="s">
        <v>10033</v>
      </c>
      <c r="K3305" s="36" t="s">
        <v>1489</v>
      </c>
      <c r="L3305" t="s">
        <v>69</v>
      </c>
      <c r="M3305" s="62" t="s">
        <v>70</v>
      </c>
      <c r="N3305" t="s">
        <v>10024</v>
      </c>
      <c r="O3305" t="str">
        <f>IFERROR(IF(Tbla_actores[[#This Row],[codigo_proyecto]]="","",_xlfn.XLOOKUP(Tbla_actores[[#This Row],[codigo_proyecto]],Proyectos!$A:$A,Proyectos!$C:$C)),"")</f>
        <v>Reparación de Electrodomésticos FSI</v>
      </c>
    </row>
    <row r="3306" spans="1:15">
      <c r="A3306" s="9">
        <v>1097489811</v>
      </c>
      <c r="B3306" s="63" t="s">
        <v>61</v>
      </c>
      <c r="C3306" s="62" t="s">
        <v>9985</v>
      </c>
      <c r="D3306" t="s">
        <v>63</v>
      </c>
      <c r="E3306" t="s">
        <v>10034</v>
      </c>
      <c r="F3306" s="61">
        <v>38330</v>
      </c>
      <c r="G3306" s="15" t="s">
        <v>73</v>
      </c>
      <c r="H3306" t="s">
        <v>10035</v>
      </c>
      <c r="I3306" s="62" t="s">
        <v>10036</v>
      </c>
      <c r="K3306" s="36" t="s">
        <v>1489</v>
      </c>
      <c r="L3306" t="s">
        <v>69</v>
      </c>
      <c r="M3306" s="62" t="s">
        <v>70</v>
      </c>
      <c r="N3306" t="s">
        <v>10024</v>
      </c>
      <c r="O3306" t="str">
        <f>IFERROR(IF(Tbla_actores[[#This Row],[codigo_proyecto]]="","",_xlfn.XLOOKUP(Tbla_actores[[#This Row],[codigo_proyecto]],Proyectos!$A:$A,Proyectos!$C:$C)),"")</f>
        <v>Reparación de Electrodomésticos FSI</v>
      </c>
    </row>
    <row r="3307" spans="1:15" ht="30">
      <c r="A3307" s="10">
        <v>1000372198</v>
      </c>
      <c r="B3307" s="64" t="s">
        <v>61</v>
      </c>
      <c r="C3307" s="62" t="s">
        <v>9985</v>
      </c>
      <c r="D3307" t="s">
        <v>63</v>
      </c>
      <c r="E3307" t="s">
        <v>10037</v>
      </c>
      <c r="F3307" s="61">
        <v>36797</v>
      </c>
      <c r="G3307" s="15" t="s">
        <v>73</v>
      </c>
      <c r="H3307" t="s">
        <v>10038</v>
      </c>
      <c r="I3307" s="62" t="s">
        <v>10039</v>
      </c>
      <c r="K3307" s="36" t="s">
        <v>10040</v>
      </c>
      <c r="L3307" t="s">
        <v>69</v>
      </c>
      <c r="M3307" s="62" t="s">
        <v>70</v>
      </c>
      <c r="N3307" t="s">
        <v>10041</v>
      </c>
      <c r="O3307" t="str">
        <f>IFERROR(IF(Tbla_actores[[#This Row],[codigo_proyecto]]="","",_xlfn.XLOOKUP(Tbla_actores[[#This Row],[codigo_proyecto]],Proyectos!$A:$A,Proyectos!$C:$C)),"")</f>
        <v>Campus Accesible - Inclusión y Diversidad</v>
      </c>
    </row>
    <row r="3308" spans="1:15">
      <c r="A3308" s="9">
        <v>1034516049</v>
      </c>
      <c r="B3308" s="63" t="s">
        <v>61</v>
      </c>
      <c r="C3308" s="62" t="s">
        <v>9985</v>
      </c>
      <c r="D3308" t="s">
        <v>63</v>
      </c>
      <c r="E3308" t="s">
        <v>10042</v>
      </c>
      <c r="F3308" s="61">
        <v>37947</v>
      </c>
      <c r="G3308" s="15" t="s">
        <v>73</v>
      </c>
      <c r="H3308" t="s">
        <v>10043</v>
      </c>
      <c r="I3308" s="62" t="s">
        <v>10044</v>
      </c>
      <c r="K3308" s="36" t="s">
        <v>7671</v>
      </c>
      <c r="L3308" t="s">
        <v>69</v>
      </c>
      <c r="M3308" s="62" t="s">
        <v>70</v>
      </c>
      <c r="N3308" t="s">
        <v>10041</v>
      </c>
      <c r="O3308" t="str">
        <f>IFERROR(IF(Tbla_actores[[#This Row],[codigo_proyecto]]="","",_xlfn.XLOOKUP(Tbla_actores[[#This Row],[codigo_proyecto]],Proyectos!$A:$A,Proyectos!$C:$C)),"")</f>
        <v>Campus Accesible - Inclusión y Diversidad</v>
      </c>
    </row>
    <row r="3309" spans="1:15">
      <c r="A3309" s="10">
        <v>1034397535</v>
      </c>
      <c r="B3309" s="64" t="s">
        <v>61</v>
      </c>
      <c r="C3309" s="62" t="s">
        <v>9985</v>
      </c>
      <c r="D3309" t="s">
        <v>63</v>
      </c>
      <c r="E3309" t="s">
        <v>10045</v>
      </c>
      <c r="F3309" s="61">
        <v>38299</v>
      </c>
      <c r="G3309" s="15" t="s">
        <v>73</v>
      </c>
      <c r="H3309" t="s">
        <v>10046</v>
      </c>
      <c r="I3309" s="62" t="s">
        <v>10047</v>
      </c>
      <c r="K3309" s="36" t="s">
        <v>1489</v>
      </c>
      <c r="L3309" t="s">
        <v>69</v>
      </c>
      <c r="M3309" s="62" t="s">
        <v>70</v>
      </c>
      <c r="N3309" t="s">
        <v>10041</v>
      </c>
      <c r="O3309" t="str">
        <f>IFERROR(IF(Tbla_actores[[#This Row],[codigo_proyecto]]="","",_xlfn.XLOOKUP(Tbla_actores[[#This Row],[codigo_proyecto]],Proyectos!$A:$A,Proyectos!$C:$C)),"")</f>
        <v>Campus Accesible - Inclusión y Diversidad</v>
      </c>
    </row>
    <row r="3310" spans="1:15">
      <c r="A3310" s="9">
        <v>1032467508</v>
      </c>
      <c r="B3310" s="63" t="s">
        <v>61</v>
      </c>
      <c r="C3310" s="62" t="s">
        <v>10048</v>
      </c>
      <c r="D3310" t="s">
        <v>63</v>
      </c>
      <c r="E3310" t="s">
        <v>10049</v>
      </c>
      <c r="F3310" s="61">
        <v>34662</v>
      </c>
      <c r="G3310" s="15" t="s">
        <v>73</v>
      </c>
      <c r="H3310" t="s">
        <v>10050</v>
      </c>
      <c r="I3310" s="62" t="s">
        <v>10051</v>
      </c>
      <c r="K3310" s="36" t="s">
        <v>169</v>
      </c>
      <c r="L3310" t="s">
        <v>69</v>
      </c>
      <c r="M3310" s="62" t="s">
        <v>170</v>
      </c>
      <c r="N3310" t="s">
        <v>10052</v>
      </c>
      <c r="O3310" t="str">
        <f>IFERROR(IF(Tbla_actores[[#This Row],[codigo_proyecto]]="","",_xlfn.XLOOKUP(Tbla_actores[[#This Row],[codigo_proyecto]],Proyectos!$A:$A,Proyectos!$C:$C)),"")</f>
        <v>Diseño  de procesos y procedimientos</v>
      </c>
    </row>
    <row r="3311" spans="1:15">
      <c r="A3311" s="10">
        <v>1021632982</v>
      </c>
      <c r="B3311" s="64" t="s">
        <v>61</v>
      </c>
      <c r="C3311" s="62" t="s">
        <v>10048</v>
      </c>
      <c r="D3311" t="s">
        <v>63</v>
      </c>
      <c r="E3311" t="s">
        <v>10053</v>
      </c>
      <c r="F3311" s="61">
        <v>38243</v>
      </c>
      <c r="G3311" s="15" t="s">
        <v>73</v>
      </c>
      <c r="H3311" t="s">
        <v>10054</v>
      </c>
      <c r="I3311" s="62" t="s">
        <v>10055</v>
      </c>
      <c r="K3311" s="36" t="s">
        <v>1489</v>
      </c>
      <c r="L3311" t="s">
        <v>69</v>
      </c>
      <c r="M3311" s="62" t="s">
        <v>70</v>
      </c>
      <c r="N3311" t="s">
        <v>10056</v>
      </c>
      <c r="O3311" t="str">
        <f>IFERROR(IF(Tbla_actores[[#This Row],[codigo_proyecto]]="","",_xlfn.XLOOKUP(Tbla_actores[[#This Row],[codigo_proyecto]],Proyectos!$A:$A,Proyectos!$C:$C)),"")</f>
        <v>Diagnodtico de necesidades de asesoría técnica para las labores de cuidado</v>
      </c>
    </row>
    <row r="3312" spans="1:15">
      <c r="A3312" s="9">
        <v>1010005628</v>
      </c>
      <c r="B3312" s="63" t="s">
        <v>61</v>
      </c>
      <c r="C3312" s="62" t="s">
        <v>10048</v>
      </c>
      <c r="D3312" t="s">
        <v>63</v>
      </c>
      <c r="E3312" t="s">
        <v>10057</v>
      </c>
      <c r="F3312" s="61">
        <v>37977</v>
      </c>
      <c r="G3312" s="15" t="s">
        <v>73</v>
      </c>
      <c r="H3312" t="s">
        <v>10058</v>
      </c>
      <c r="I3312" s="62" t="s">
        <v>10059</v>
      </c>
      <c r="K3312" s="36" t="s">
        <v>495</v>
      </c>
      <c r="L3312" t="s">
        <v>69</v>
      </c>
      <c r="M3312" s="62" t="s">
        <v>70</v>
      </c>
      <c r="N3312" t="s">
        <v>10060</v>
      </c>
      <c r="O3312" t="str">
        <f>IFERROR(IF(Tbla_actores[[#This Row],[codigo_proyecto]]="","",_xlfn.XLOOKUP(Tbla_actores[[#This Row],[codigo_proyecto]],Proyectos!$A:$A,Proyectos!$C:$C)),"")</f>
        <v>PROYECTO
“CAPACITACIÓN EN CONSTRUCCIÓN-CAMACOL”</v>
      </c>
    </row>
    <row r="3313" spans="1:15">
      <c r="A3313" s="10">
        <v>1003864563</v>
      </c>
      <c r="B3313" s="64" t="s">
        <v>61</v>
      </c>
      <c r="C3313" s="62" t="s">
        <v>10048</v>
      </c>
      <c r="D3313" t="s">
        <v>63</v>
      </c>
      <c r="E3313" t="s">
        <v>10061</v>
      </c>
      <c r="F3313" s="61">
        <v>37484</v>
      </c>
      <c r="G3313" s="15" t="s">
        <v>73</v>
      </c>
      <c r="H3313" t="s">
        <v>10062</v>
      </c>
      <c r="I3313" s="62" t="s">
        <v>10063</v>
      </c>
      <c r="K3313" s="36" t="s">
        <v>495</v>
      </c>
      <c r="L3313" t="s">
        <v>69</v>
      </c>
      <c r="M3313" s="62" t="s">
        <v>70</v>
      </c>
      <c r="N3313" t="s">
        <v>10060</v>
      </c>
      <c r="O3313" t="str">
        <f>IFERROR(IF(Tbla_actores[[#This Row],[codigo_proyecto]]="","",_xlfn.XLOOKUP(Tbla_actores[[#This Row],[codigo_proyecto]],Proyectos!$A:$A,Proyectos!$C:$C)),"")</f>
        <v>PROYECTO
“CAPACITACIÓN EN CONSTRUCCIÓN-CAMACOL”</v>
      </c>
    </row>
    <row r="3314" spans="1:15">
      <c r="A3314" s="9">
        <v>1193520245</v>
      </c>
      <c r="B3314" s="63" t="s">
        <v>61</v>
      </c>
      <c r="C3314" s="62" t="s">
        <v>10048</v>
      </c>
      <c r="D3314" t="s">
        <v>63</v>
      </c>
      <c r="E3314" t="s">
        <v>10064</v>
      </c>
      <c r="F3314" s="61">
        <v>36481</v>
      </c>
      <c r="G3314" s="15" t="s">
        <v>73</v>
      </c>
      <c r="H3314" t="s">
        <v>10065</v>
      </c>
      <c r="I3314" s="62" t="s">
        <v>10066</v>
      </c>
      <c r="K3314" s="36" t="s">
        <v>495</v>
      </c>
      <c r="L3314" t="s">
        <v>69</v>
      </c>
      <c r="M3314" s="62" t="s">
        <v>70</v>
      </c>
      <c r="N3314" t="s">
        <v>10060</v>
      </c>
      <c r="O3314" t="str">
        <f>IFERROR(IF(Tbla_actores[[#This Row],[codigo_proyecto]]="","",_xlfn.XLOOKUP(Tbla_actores[[#This Row],[codigo_proyecto]],Proyectos!$A:$A,Proyectos!$C:$C)),"")</f>
        <v>PROYECTO
“CAPACITACIÓN EN CONSTRUCCIÓN-CAMACOL”</v>
      </c>
    </row>
    <row r="3315" spans="1:15">
      <c r="A3315" s="10">
        <v>1000287476</v>
      </c>
      <c r="B3315" s="64" t="s">
        <v>61</v>
      </c>
      <c r="C3315" s="62" t="s">
        <v>10048</v>
      </c>
      <c r="D3315" t="s">
        <v>63</v>
      </c>
      <c r="E3315" t="s">
        <v>10067</v>
      </c>
      <c r="F3315" s="61">
        <v>37437</v>
      </c>
      <c r="G3315" s="15" t="s">
        <v>73</v>
      </c>
      <c r="H3315" t="s">
        <v>10068</v>
      </c>
      <c r="I3315" s="62" t="s">
        <v>10069</v>
      </c>
      <c r="K3315" s="36" t="s">
        <v>495</v>
      </c>
      <c r="L3315" t="s">
        <v>69</v>
      </c>
      <c r="M3315" s="62" t="s">
        <v>70</v>
      </c>
      <c r="N3315" t="s">
        <v>10060</v>
      </c>
      <c r="O3315" t="str">
        <f>IFERROR(IF(Tbla_actores[[#This Row],[codigo_proyecto]]="","",_xlfn.XLOOKUP(Tbla_actores[[#This Row],[codigo_proyecto]],Proyectos!$A:$A,Proyectos!$C:$C)),"")</f>
        <v>PROYECTO
“CAPACITACIÓN EN CONSTRUCCIÓN-CAMACOL”</v>
      </c>
    </row>
    <row r="3316" spans="1:15">
      <c r="A3316" s="9">
        <v>1007698525</v>
      </c>
      <c r="B3316" s="63" t="s">
        <v>61</v>
      </c>
      <c r="C3316" s="62" t="s">
        <v>10048</v>
      </c>
      <c r="D3316" t="s">
        <v>63</v>
      </c>
      <c r="E3316" t="s">
        <v>10070</v>
      </c>
      <c r="F3316" s="61">
        <v>36754</v>
      </c>
      <c r="G3316" s="15" t="s">
        <v>73</v>
      </c>
      <c r="H3316" t="s">
        <v>10071</v>
      </c>
      <c r="I3316" s="62" t="s">
        <v>10072</v>
      </c>
      <c r="K3316" s="36" t="s">
        <v>495</v>
      </c>
      <c r="L3316" t="s">
        <v>69</v>
      </c>
      <c r="M3316" s="62" t="s">
        <v>70</v>
      </c>
      <c r="N3316" t="s">
        <v>10060</v>
      </c>
      <c r="O3316" t="str">
        <f>IFERROR(IF(Tbla_actores[[#This Row],[codigo_proyecto]]="","",_xlfn.XLOOKUP(Tbla_actores[[#This Row],[codigo_proyecto]],Proyectos!$A:$A,Proyectos!$C:$C)),"")</f>
        <v>PROYECTO
“CAPACITACIÓN EN CONSTRUCCIÓN-CAMACOL”</v>
      </c>
    </row>
    <row r="3317" spans="1:15">
      <c r="A3317" s="10">
        <v>1003397273</v>
      </c>
      <c r="B3317" s="64" t="s">
        <v>61</v>
      </c>
      <c r="C3317" s="62" t="s">
        <v>10048</v>
      </c>
      <c r="D3317" t="s">
        <v>63</v>
      </c>
      <c r="E3317" t="s">
        <v>10073</v>
      </c>
      <c r="F3317" s="61">
        <v>37411</v>
      </c>
      <c r="G3317" s="15" t="s">
        <v>65</v>
      </c>
      <c r="H3317" t="s">
        <v>10074</v>
      </c>
      <c r="I3317" s="62" t="s">
        <v>10075</v>
      </c>
      <c r="K3317" s="36" t="s">
        <v>495</v>
      </c>
      <c r="L3317" t="s">
        <v>69</v>
      </c>
      <c r="M3317" s="62" t="s">
        <v>70</v>
      </c>
      <c r="N3317" t="s">
        <v>10076</v>
      </c>
      <c r="O3317" t="str">
        <f>IFERROR(IF(Tbla_actores[[#This Row],[codigo_proyecto]]="","",_xlfn.XLOOKUP(Tbla_actores[[#This Row],[codigo_proyecto]],Proyectos!$A:$A,Proyectos!$C:$C)),"")</f>
        <v>PROYECTO
“APOYO A LAS ACTIVIDADES DEL PROYECTO SOCIAL DE LA FACULTAD DE INGENIERIA – PROSOFI”</v>
      </c>
    </row>
    <row r="3318" spans="1:15">
      <c r="A3318" s="9">
        <v>1010163035</v>
      </c>
      <c r="B3318" s="63" t="s">
        <v>61</v>
      </c>
      <c r="C3318" s="62" t="s">
        <v>10048</v>
      </c>
      <c r="D3318" t="s">
        <v>63</v>
      </c>
      <c r="E3318" t="s">
        <v>10077</v>
      </c>
      <c r="F3318" s="61">
        <v>38100</v>
      </c>
      <c r="G3318" s="15" t="s">
        <v>73</v>
      </c>
      <c r="H3318" t="s">
        <v>10078</v>
      </c>
      <c r="I3318" s="62" t="s">
        <v>10079</v>
      </c>
      <c r="K3318" s="36" t="s">
        <v>68</v>
      </c>
      <c r="L3318" t="s">
        <v>69</v>
      </c>
      <c r="M3318" s="62" t="s">
        <v>70</v>
      </c>
      <c r="N3318" t="s">
        <v>10080</v>
      </c>
      <c r="O3318" t="str">
        <f>IFERROR(IF(Tbla_actores[[#This Row],[codigo_proyecto]]="","",_xlfn.XLOOKUP(Tbla_actores[[#This Row],[codigo_proyecto]],Proyectos!$A:$A,Proyectos!$C:$C)),"")</f>
        <v>Proyecto 1</v>
      </c>
    </row>
    <row r="3319" spans="1:15">
      <c r="A3319" s="10">
        <v>1052411260</v>
      </c>
      <c r="B3319" s="64" t="s">
        <v>61</v>
      </c>
      <c r="C3319" s="62" t="s">
        <v>10048</v>
      </c>
      <c r="D3319" t="s">
        <v>63</v>
      </c>
      <c r="E3319" t="s">
        <v>10081</v>
      </c>
      <c r="F3319" s="61">
        <v>35714</v>
      </c>
      <c r="G3319" s="15" t="s">
        <v>73</v>
      </c>
      <c r="H3319" t="s">
        <v>10082</v>
      </c>
      <c r="I3319" s="62" t="s">
        <v>10083</v>
      </c>
      <c r="K3319" s="36" t="s">
        <v>68</v>
      </c>
      <c r="L3319" t="s">
        <v>69</v>
      </c>
      <c r="M3319" s="62" t="s">
        <v>70</v>
      </c>
      <c r="N3319" t="s">
        <v>10084</v>
      </c>
      <c r="O3319" t="str">
        <f>IFERROR(IF(Tbla_actores[[#This Row],[codigo_proyecto]]="","",_xlfn.XLOOKUP(Tbla_actores[[#This Row],[codigo_proyecto]],Proyectos!$A:$A,Proyectos!$C:$C)),"")</f>
        <v>Proyecto 5</v>
      </c>
    </row>
    <row r="3320" spans="1:15">
      <c r="A3320" s="9">
        <v>1034281129</v>
      </c>
      <c r="B3320" s="63" t="s">
        <v>61</v>
      </c>
      <c r="C3320" s="62" t="s">
        <v>10048</v>
      </c>
      <c r="D3320" t="s">
        <v>63</v>
      </c>
      <c r="E3320" t="s">
        <v>10085</v>
      </c>
      <c r="F3320" s="61">
        <v>38492</v>
      </c>
      <c r="G3320" s="15" t="s">
        <v>73</v>
      </c>
      <c r="H3320" t="s">
        <v>10086</v>
      </c>
      <c r="I3320" s="62" t="s">
        <v>10087</v>
      </c>
      <c r="K3320" s="36" t="s">
        <v>68</v>
      </c>
      <c r="L3320" t="s">
        <v>69</v>
      </c>
      <c r="M3320" s="62" t="s">
        <v>70</v>
      </c>
      <c r="N3320" t="s">
        <v>10084</v>
      </c>
      <c r="O3320" t="str">
        <f>IFERROR(IF(Tbla_actores[[#This Row],[codigo_proyecto]]="","",_xlfn.XLOOKUP(Tbla_actores[[#This Row],[codigo_proyecto]],Proyectos!$A:$A,Proyectos!$C:$C)),"")</f>
        <v>Proyecto 5</v>
      </c>
    </row>
    <row r="3321" spans="1:15">
      <c r="A3321" s="10">
        <v>1016593252</v>
      </c>
      <c r="B3321" s="64" t="s">
        <v>61</v>
      </c>
      <c r="C3321" s="62" t="s">
        <v>10048</v>
      </c>
      <c r="D3321" t="s">
        <v>63</v>
      </c>
      <c r="E3321" t="s">
        <v>10088</v>
      </c>
      <c r="F3321" s="61">
        <v>38207</v>
      </c>
      <c r="G3321" s="15" t="s">
        <v>65</v>
      </c>
      <c r="H3321" t="s">
        <v>10089</v>
      </c>
      <c r="I3321" s="62" t="s">
        <v>10090</v>
      </c>
      <c r="K3321" s="36" t="s">
        <v>68</v>
      </c>
      <c r="L3321" t="s">
        <v>69</v>
      </c>
      <c r="M3321" s="62" t="s">
        <v>70</v>
      </c>
      <c r="N3321" t="s">
        <v>10084</v>
      </c>
      <c r="O3321" t="str">
        <f>IFERROR(IF(Tbla_actores[[#This Row],[codigo_proyecto]]="","",_xlfn.XLOOKUP(Tbla_actores[[#This Row],[codigo_proyecto]],Proyectos!$A:$A,Proyectos!$C:$C)),"")</f>
        <v>Proyecto 5</v>
      </c>
    </row>
    <row r="3322" spans="1:15">
      <c r="A3322" s="9">
        <v>1011321085</v>
      </c>
      <c r="B3322" s="63" t="s">
        <v>61</v>
      </c>
      <c r="C3322" s="62" t="s">
        <v>10048</v>
      </c>
      <c r="D3322" t="s">
        <v>63</v>
      </c>
      <c r="E3322" t="s">
        <v>10091</v>
      </c>
      <c r="F3322" s="61">
        <v>38365</v>
      </c>
      <c r="G3322" s="15" t="s">
        <v>73</v>
      </c>
      <c r="H3322" t="s">
        <v>10092</v>
      </c>
      <c r="I3322" s="62" t="s">
        <v>10093</v>
      </c>
      <c r="K3322" s="36" t="s">
        <v>68</v>
      </c>
      <c r="L3322" t="s">
        <v>69</v>
      </c>
      <c r="M3322" s="62" t="s">
        <v>70</v>
      </c>
      <c r="N3322" t="s">
        <v>10094</v>
      </c>
      <c r="O3322" t="str">
        <f>IFERROR(IF(Tbla_actores[[#This Row],[codigo_proyecto]]="","",_xlfn.XLOOKUP(Tbla_actores[[#This Row],[codigo_proyecto]],Proyectos!$A:$A,Proyectos!$C:$C)),"")</f>
        <v>Proyecto 6</v>
      </c>
    </row>
    <row r="3323" spans="1:15">
      <c r="A3323" s="10">
        <v>1106226260</v>
      </c>
      <c r="B3323" s="64" t="s">
        <v>61</v>
      </c>
      <c r="C3323" s="62" t="s">
        <v>10048</v>
      </c>
      <c r="D3323" t="s">
        <v>63</v>
      </c>
      <c r="E3323" t="s">
        <v>10095</v>
      </c>
      <c r="F3323" s="61">
        <v>38175</v>
      </c>
      <c r="G3323" s="15" t="s">
        <v>65</v>
      </c>
      <c r="H3323" t="s">
        <v>10096</v>
      </c>
      <c r="I3323" s="62" t="s">
        <v>10097</v>
      </c>
      <c r="K3323" s="36" t="s">
        <v>1489</v>
      </c>
      <c r="L3323" t="s">
        <v>69</v>
      </c>
      <c r="M3323" s="62" t="s">
        <v>70</v>
      </c>
      <c r="N3323" t="s">
        <v>10056</v>
      </c>
      <c r="O3323" t="str">
        <f>IFERROR(IF(Tbla_actores[[#This Row],[codigo_proyecto]]="","",_xlfn.XLOOKUP(Tbla_actores[[#This Row],[codigo_proyecto]],Proyectos!$A:$A,Proyectos!$C:$C)),"")</f>
        <v>Diagnodtico de necesidades de asesoría técnica para las labores de cuidado</v>
      </c>
    </row>
    <row r="3324" spans="1:15">
      <c r="A3324" s="9">
        <v>1025061228</v>
      </c>
      <c r="B3324" s="63" t="s">
        <v>61</v>
      </c>
      <c r="C3324" s="62" t="s">
        <v>10048</v>
      </c>
      <c r="D3324" t="s">
        <v>63</v>
      </c>
      <c r="E3324" t="s">
        <v>10098</v>
      </c>
      <c r="F3324" s="61">
        <v>38442</v>
      </c>
      <c r="G3324" s="15" t="s">
        <v>73</v>
      </c>
      <c r="H3324" t="s">
        <v>10099</v>
      </c>
      <c r="I3324" s="62" t="s">
        <v>10100</v>
      </c>
      <c r="K3324" s="36" t="s">
        <v>169</v>
      </c>
      <c r="L3324" t="s">
        <v>69</v>
      </c>
      <c r="M3324" s="62" t="s">
        <v>170</v>
      </c>
      <c r="N3324" t="s">
        <v>10101</v>
      </c>
      <c r="O3324" t="str">
        <f>IFERROR(IF(Tbla_actores[[#This Row],[codigo_proyecto]]="","",_xlfn.XLOOKUP(Tbla_actores[[#This Row],[codigo_proyecto]],Proyectos!$A:$A,Proyectos!$C:$C)),"")</f>
        <v>Mejoramiento procesos administrativos.</v>
      </c>
    </row>
    <row r="3325" spans="1:15">
      <c r="A3325" s="10">
        <v>1013106535</v>
      </c>
      <c r="B3325" s="64" t="s">
        <v>61</v>
      </c>
      <c r="C3325" s="62" t="s">
        <v>10048</v>
      </c>
      <c r="D3325" t="s">
        <v>63</v>
      </c>
      <c r="E3325" t="s">
        <v>10102</v>
      </c>
      <c r="F3325" s="61">
        <v>38594</v>
      </c>
      <c r="G3325" s="15" t="s">
        <v>73</v>
      </c>
      <c r="H3325" t="s">
        <v>10103</v>
      </c>
      <c r="I3325" s="62" t="s">
        <v>10104</v>
      </c>
      <c r="K3325" s="36" t="s">
        <v>169</v>
      </c>
      <c r="L3325" t="s">
        <v>69</v>
      </c>
      <c r="M3325" s="62" t="s">
        <v>170</v>
      </c>
      <c r="N3325" t="s">
        <v>10101</v>
      </c>
      <c r="O3325" t="str">
        <f>IFERROR(IF(Tbla_actores[[#This Row],[codigo_proyecto]]="","",_xlfn.XLOOKUP(Tbla_actores[[#This Row],[codigo_proyecto]],Proyectos!$A:$A,Proyectos!$C:$C)),"")</f>
        <v>Mejoramiento procesos administrativos.</v>
      </c>
    </row>
    <row r="3326" spans="1:15">
      <c r="A3326" s="9">
        <v>1001097708</v>
      </c>
      <c r="B3326" s="63" t="s">
        <v>61</v>
      </c>
      <c r="C3326" s="62" t="s">
        <v>10048</v>
      </c>
      <c r="D3326" t="s">
        <v>63</v>
      </c>
      <c r="E3326" t="s">
        <v>10105</v>
      </c>
      <c r="F3326" s="61">
        <v>36971</v>
      </c>
      <c r="G3326" s="15" t="s">
        <v>73</v>
      </c>
      <c r="H3326" t="s">
        <v>8474</v>
      </c>
      <c r="I3326" s="62" t="s">
        <v>8475</v>
      </c>
      <c r="K3326" s="36" t="s">
        <v>7284</v>
      </c>
      <c r="L3326" t="s">
        <v>69</v>
      </c>
      <c r="M3326" s="62" t="s">
        <v>70</v>
      </c>
      <c r="N3326" t="s">
        <v>10106</v>
      </c>
      <c r="O3326" t="str">
        <f>IFERROR(IF(Tbla_actores[[#This Row],[codigo_proyecto]]="","",_xlfn.XLOOKUP(Tbla_actores[[#This Row],[codigo_proyecto]],Proyectos!$A:$A,Proyectos!$C:$C)),"")</f>
        <v>Diseño  final de prótesis mecánica transhumeral y próteiss transradial</v>
      </c>
    </row>
    <row r="3327" spans="1:15">
      <c r="A3327" s="10">
        <v>1011320455</v>
      </c>
      <c r="B3327" s="64" t="s">
        <v>61</v>
      </c>
      <c r="C3327" s="62" t="s">
        <v>10048</v>
      </c>
      <c r="D3327" t="s">
        <v>63</v>
      </c>
      <c r="E3327" t="s">
        <v>10107</v>
      </c>
      <c r="F3327" s="61">
        <v>38138</v>
      </c>
      <c r="G3327" s="15" t="s">
        <v>73</v>
      </c>
      <c r="H3327" t="s">
        <v>10108</v>
      </c>
      <c r="I3327" s="62" t="s">
        <v>10109</v>
      </c>
      <c r="K3327" s="36" t="s">
        <v>169</v>
      </c>
      <c r="L3327" t="s">
        <v>69</v>
      </c>
      <c r="M3327" s="62" t="s">
        <v>170</v>
      </c>
      <c r="N3327" t="s">
        <v>10110</v>
      </c>
      <c r="O3327" t="str">
        <f>IFERROR(IF(Tbla_actores[[#This Row],[codigo_proyecto]]="","",_xlfn.XLOOKUP(Tbla_actores[[#This Row],[codigo_proyecto]],Proyectos!$A:$A,Proyectos!$C:$C)),"")</f>
        <v xml:space="preserve">Mesa de Reconciliación y Justicia. </v>
      </c>
    </row>
    <row r="3328" spans="1:15">
      <c r="A3328" s="9">
        <v>1015482154</v>
      </c>
      <c r="B3328" s="63" t="s">
        <v>61</v>
      </c>
      <c r="C3328" s="62" t="s">
        <v>10048</v>
      </c>
      <c r="D3328" t="s">
        <v>63</v>
      </c>
      <c r="E3328" t="s">
        <v>10111</v>
      </c>
      <c r="F3328" s="61">
        <v>36181</v>
      </c>
      <c r="G3328" s="15" t="s">
        <v>73</v>
      </c>
      <c r="H3328" t="s">
        <v>10112</v>
      </c>
      <c r="I3328" s="62" t="s">
        <v>10113</v>
      </c>
      <c r="K3328" s="36" t="s">
        <v>68</v>
      </c>
      <c r="L3328" t="s">
        <v>69</v>
      </c>
      <c r="M3328" s="62" t="s">
        <v>70</v>
      </c>
      <c r="N3328" t="s">
        <v>10114</v>
      </c>
      <c r="O3328" t="str">
        <f>IFERROR(IF(Tbla_actores[[#This Row],[codigo_proyecto]]="","",_xlfn.XLOOKUP(Tbla_actores[[#This Row],[codigo_proyecto]],Proyectos!$A:$A,Proyectos!$C:$C)),"")</f>
        <v>PROSOFI - SAN CAYETANO</v>
      </c>
    </row>
    <row r="3329" spans="1:15">
      <c r="A3329" s="10">
        <v>1000719392</v>
      </c>
      <c r="B3329" s="64" t="s">
        <v>61</v>
      </c>
      <c r="C3329" s="62" t="s">
        <v>10048</v>
      </c>
      <c r="D3329" t="s">
        <v>63</v>
      </c>
      <c r="E3329" t="s">
        <v>10115</v>
      </c>
      <c r="F3329" s="61">
        <v>37420</v>
      </c>
      <c r="G3329" s="15" t="s">
        <v>73</v>
      </c>
      <c r="H3329" t="s">
        <v>10116</v>
      </c>
      <c r="I3329" s="62" t="s">
        <v>10117</v>
      </c>
      <c r="K3329" s="36" t="s">
        <v>68</v>
      </c>
      <c r="L3329" t="s">
        <v>69</v>
      </c>
      <c r="M3329" s="62" t="s">
        <v>70</v>
      </c>
      <c r="N3329" t="s">
        <v>10118</v>
      </c>
      <c r="O3329" t="str">
        <f>IFERROR(IF(Tbla_actores[[#This Row],[codigo_proyecto]]="","",_xlfn.XLOOKUP(Tbla_actores[[#This Row],[codigo_proyecto]],Proyectos!$A:$A,Proyectos!$C:$C)),"")</f>
        <v>OFICINA DE RESPONSABILIDAD SOCIAL</v>
      </c>
    </row>
    <row r="3330" spans="1:15">
      <c r="A3330" s="9">
        <v>1001201292</v>
      </c>
      <c r="B3330" s="63" t="s">
        <v>61</v>
      </c>
      <c r="C3330" s="62" t="s">
        <v>10048</v>
      </c>
      <c r="D3330" t="s">
        <v>63</v>
      </c>
      <c r="E3330" t="s">
        <v>10119</v>
      </c>
      <c r="F3330" s="61">
        <v>37838</v>
      </c>
      <c r="G3330" s="15" t="s">
        <v>73</v>
      </c>
      <c r="H3330" t="s">
        <v>10120</v>
      </c>
      <c r="I3330" s="62" t="s">
        <v>10121</v>
      </c>
      <c r="K3330" s="36" t="s">
        <v>495</v>
      </c>
      <c r="L3330" t="s">
        <v>69</v>
      </c>
      <c r="M3330" s="62" t="s">
        <v>70</v>
      </c>
      <c r="N3330" t="s">
        <v>10076</v>
      </c>
      <c r="O3330" t="str">
        <f>IFERROR(IF(Tbla_actores[[#This Row],[codigo_proyecto]]="","",_xlfn.XLOOKUP(Tbla_actores[[#This Row],[codigo_proyecto]],Proyectos!$A:$A,Proyectos!$C:$C)),"")</f>
        <v>PROYECTO
“APOYO A LAS ACTIVIDADES DEL PROYECTO SOCIAL DE LA FACULTAD DE INGENIERIA – PROSOFI”</v>
      </c>
    </row>
    <row r="3331" spans="1:15">
      <c r="A3331" s="10">
        <v>1034396049</v>
      </c>
      <c r="B3331" s="64" t="s">
        <v>61</v>
      </c>
      <c r="C3331" s="62" t="s">
        <v>10048</v>
      </c>
      <c r="D3331" t="s">
        <v>63</v>
      </c>
      <c r="E3331" t="s">
        <v>10122</v>
      </c>
      <c r="F3331" s="61">
        <v>37956</v>
      </c>
      <c r="G3331" s="15" t="s">
        <v>73</v>
      </c>
      <c r="H3331" t="s">
        <v>10123</v>
      </c>
      <c r="I3331" s="62" t="s">
        <v>10124</v>
      </c>
      <c r="K3331" s="36" t="s">
        <v>68</v>
      </c>
      <c r="L3331" t="s">
        <v>69</v>
      </c>
      <c r="M3331" s="62" t="s">
        <v>70</v>
      </c>
      <c r="N3331" t="s">
        <v>10125</v>
      </c>
      <c r="O3331" t="str">
        <f>IFERROR(IF(Tbla_actores[[#This Row],[codigo_proyecto]]="","",_xlfn.XLOOKUP(Tbla_actores[[#This Row],[codigo_proyecto]],Proyectos!$A:$A,Proyectos!$C:$C)),"")</f>
        <v>PROSOFI - TYWA KHE</v>
      </c>
    </row>
    <row r="3332" spans="1:15">
      <c r="A3332" s="9">
        <v>1043663932</v>
      </c>
      <c r="B3332" s="63" t="s">
        <v>61</v>
      </c>
      <c r="C3332" s="62" t="s">
        <v>10048</v>
      </c>
      <c r="D3332" t="s">
        <v>63</v>
      </c>
      <c r="E3332" t="s">
        <v>9687</v>
      </c>
      <c r="F3332" s="61">
        <v>38345</v>
      </c>
      <c r="G3332" s="15" t="s">
        <v>65</v>
      </c>
      <c r="H3332" t="s">
        <v>9688</v>
      </c>
      <c r="I3332" s="62" t="s">
        <v>9689</v>
      </c>
      <c r="K3332" s="36" t="s">
        <v>169</v>
      </c>
      <c r="L3332" t="s">
        <v>69</v>
      </c>
      <c r="M3332" s="62" t="s">
        <v>70</v>
      </c>
      <c r="N3332" t="s">
        <v>10126</v>
      </c>
      <c r="O3332" t="str">
        <f>IFERROR(IF(Tbla_actores[[#This Row],[codigo_proyecto]]="","",_xlfn.XLOOKUP(Tbla_actores[[#This Row],[codigo_proyecto]],Proyectos!$A:$A,Proyectos!$C:$C)),"")</f>
        <v>Alianzas para logar aportes a los ODS</v>
      </c>
    </row>
    <row r="3333" spans="1:15">
      <c r="A3333" s="10">
        <v>1027280400</v>
      </c>
      <c r="B3333" s="64" t="s">
        <v>61</v>
      </c>
      <c r="C3333" s="62" t="s">
        <v>10048</v>
      </c>
      <c r="D3333" t="s">
        <v>63</v>
      </c>
      <c r="E3333" t="s">
        <v>10127</v>
      </c>
      <c r="F3333" s="61">
        <v>38068</v>
      </c>
      <c r="G3333" s="15" t="s">
        <v>73</v>
      </c>
      <c r="H3333" t="s">
        <v>10128</v>
      </c>
      <c r="I3333" s="62" t="s">
        <v>10129</v>
      </c>
      <c r="K3333" s="36" t="s">
        <v>68</v>
      </c>
      <c r="L3333" t="s">
        <v>69</v>
      </c>
      <c r="M3333" s="62" t="s">
        <v>70</v>
      </c>
      <c r="N3333" t="s">
        <v>10130</v>
      </c>
      <c r="O3333" t="str">
        <f>IFERROR(IF(Tbla_actores[[#This Row],[codigo_proyecto]]="","",_xlfn.XLOOKUP(Tbla_actores[[#This Row],[codigo_proyecto]],Proyectos!$A:$A,Proyectos!$C:$C)),"")</f>
        <v>KIWI</v>
      </c>
    </row>
    <row r="3334" spans="1:15">
      <c r="A3334" s="9">
        <v>1000032137</v>
      </c>
      <c r="B3334" s="63" t="s">
        <v>61</v>
      </c>
      <c r="C3334" s="62" t="s">
        <v>10048</v>
      </c>
      <c r="D3334" t="s">
        <v>63</v>
      </c>
      <c r="E3334" t="s">
        <v>10131</v>
      </c>
      <c r="F3334" s="61">
        <v>36549</v>
      </c>
      <c r="G3334" s="15" t="s">
        <v>73</v>
      </c>
      <c r="H3334" t="s">
        <v>10132</v>
      </c>
      <c r="I3334" s="62" t="s">
        <v>10133</v>
      </c>
      <c r="K3334" s="36" t="s">
        <v>495</v>
      </c>
      <c r="L3334" t="s">
        <v>69</v>
      </c>
      <c r="M3334" s="62" t="s">
        <v>70</v>
      </c>
      <c r="N3334" t="s">
        <v>10076</v>
      </c>
      <c r="O3334" t="str">
        <f>IFERROR(IF(Tbla_actores[[#This Row],[codigo_proyecto]]="","",_xlfn.XLOOKUP(Tbla_actores[[#This Row],[codigo_proyecto]],Proyectos!$A:$A,Proyectos!$C:$C)),"")</f>
        <v>PROYECTO
“APOYO A LAS ACTIVIDADES DEL PROYECTO SOCIAL DE LA FACULTAD DE INGENIERIA – PROSOFI”</v>
      </c>
    </row>
    <row r="3335" spans="1:15">
      <c r="A3335" s="10">
        <v>1031421867</v>
      </c>
      <c r="B3335" s="64" t="s">
        <v>61</v>
      </c>
      <c r="C3335" s="62" t="s">
        <v>10048</v>
      </c>
      <c r="D3335" t="s">
        <v>63</v>
      </c>
      <c r="E3335" t="s">
        <v>10134</v>
      </c>
      <c r="F3335" s="61">
        <v>38785</v>
      </c>
      <c r="G3335" s="15" t="s">
        <v>73</v>
      </c>
      <c r="H3335" t="s">
        <v>10135</v>
      </c>
      <c r="I3335" s="62" t="s">
        <v>10136</v>
      </c>
      <c r="K3335" s="36" t="s">
        <v>169</v>
      </c>
      <c r="L3335" t="s">
        <v>69</v>
      </c>
      <c r="M3335" s="62" t="s">
        <v>170</v>
      </c>
      <c r="N3335" t="s">
        <v>10126</v>
      </c>
      <c r="O3335" t="str">
        <f>IFERROR(IF(Tbla_actores[[#This Row],[codigo_proyecto]]="","",_xlfn.XLOOKUP(Tbla_actores[[#This Row],[codigo_proyecto]],Proyectos!$A:$A,Proyectos!$C:$C)),"")</f>
        <v>Alianzas para logar aportes a los ODS</v>
      </c>
    </row>
    <row r="3336" spans="1:15">
      <c r="A3336" s="9">
        <v>1034659992</v>
      </c>
      <c r="B3336" s="63" t="s">
        <v>61</v>
      </c>
      <c r="C3336" s="62" t="s">
        <v>10048</v>
      </c>
      <c r="D3336" t="s">
        <v>63</v>
      </c>
      <c r="E3336" t="s">
        <v>10137</v>
      </c>
      <c r="F3336" s="61">
        <v>38903</v>
      </c>
      <c r="G3336" s="15" t="s">
        <v>65</v>
      </c>
      <c r="H3336" t="s">
        <v>10138</v>
      </c>
      <c r="I3336" s="62" t="s">
        <v>10139</v>
      </c>
      <c r="K3336" s="36" t="s">
        <v>169</v>
      </c>
      <c r="L3336" t="s">
        <v>69</v>
      </c>
      <c r="M3336" s="62" t="s">
        <v>170</v>
      </c>
      <c r="N3336" t="s">
        <v>10140</v>
      </c>
      <c r="O3336" t="str">
        <f>IFERROR(IF(Tbla_actores[[#This Row],[codigo_proyecto]]="","",_xlfn.XLOOKUP(Tbla_actores[[#This Row],[codigo_proyecto]],Proyectos!$A:$A,Proyectos!$C:$C)),"")</f>
        <v>Asesoría en el  registro de asistencia de estudiantes y generación de reportes</v>
      </c>
    </row>
    <row r="3337" spans="1:15" ht="30">
      <c r="A3337" s="10">
        <v>0</v>
      </c>
      <c r="B3337" s="64" t="s">
        <v>61</v>
      </c>
      <c r="C3337" s="62" t="s">
        <v>10048</v>
      </c>
      <c r="D3337" t="s">
        <v>63</v>
      </c>
      <c r="E3337" t="s">
        <v>10141</v>
      </c>
      <c r="F3337" s="61" t="s">
        <v>1433</v>
      </c>
      <c r="G3337" s="15" t="s">
        <v>1433</v>
      </c>
      <c r="H3337" t="s">
        <v>1433</v>
      </c>
      <c r="I3337" s="62" t="s">
        <v>1433</v>
      </c>
      <c r="K3337" s="36" t="s">
        <v>9806</v>
      </c>
      <c r="L3337" t="s">
        <v>69</v>
      </c>
      <c r="M3337" s="62" t="s">
        <v>2558</v>
      </c>
      <c r="N3337" t="s">
        <v>10142</v>
      </c>
      <c r="O3337" t="str">
        <f>IFERROR(IF(Tbla_actores[[#This Row],[codigo_proyecto]]="","",_xlfn.XLOOKUP(Tbla_actores[[#This Row],[codigo_proyecto]],Proyectos!$A:$A,Proyectos!$C:$C)),"")</f>
        <v>CAPACITACION EMPRENDIMIENTO</v>
      </c>
    </row>
    <row r="3338" spans="1:15">
      <c r="A3338" s="9">
        <v>1021664046</v>
      </c>
      <c r="B3338" s="63" t="s">
        <v>61</v>
      </c>
      <c r="C3338" s="62" t="s">
        <v>10048</v>
      </c>
      <c r="D3338" t="s">
        <v>63</v>
      </c>
      <c r="E3338" t="s">
        <v>10143</v>
      </c>
      <c r="F3338" s="61">
        <v>38125</v>
      </c>
      <c r="G3338" s="15" t="s">
        <v>65</v>
      </c>
      <c r="H3338" t="s">
        <v>10144</v>
      </c>
      <c r="I3338" s="62" t="s">
        <v>10145</v>
      </c>
      <c r="K3338" s="36" t="s">
        <v>495</v>
      </c>
      <c r="L3338" t="s">
        <v>69</v>
      </c>
      <c r="M3338" s="62" t="s">
        <v>70</v>
      </c>
      <c r="N3338" t="s">
        <v>10076</v>
      </c>
      <c r="O3338" t="str">
        <f>IFERROR(IF(Tbla_actores[[#This Row],[codigo_proyecto]]="","",_xlfn.XLOOKUP(Tbla_actores[[#This Row],[codigo_proyecto]],Proyectos!$A:$A,Proyectos!$C:$C)),"")</f>
        <v>PROYECTO
“APOYO A LAS ACTIVIDADES DEL PROYECTO SOCIAL DE LA FACULTAD DE INGENIERIA – PROSOFI”</v>
      </c>
    </row>
    <row r="3339" spans="1:15">
      <c r="A3339" s="10">
        <v>1023082400</v>
      </c>
      <c r="B3339" s="64" t="s">
        <v>61</v>
      </c>
      <c r="C3339" s="62" t="s">
        <v>10048</v>
      </c>
      <c r="D3339" t="s">
        <v>63</v>
      </c>
      <c r="E3339" t="s">
        <v>10146</v>
      </c>
      <c r="F3339" s="61">
        <v>38127</v>
      </c>
      <c r="G3339" s="15" t="s">
        <v>65</v>
      </c>
      <c r="H3339" t="s">
        <v>10147</v>
      </c>
      <c r="I3339" s="62" t="s">
        <v>10148</v>
      </c>
      <c r="K3339" s="36" t="s">
        <v>6427</v>
      </c>
      <c r="L3339" t="s">
        <v>69</v>
      </c>
      <c r="M3339" s="62" t="s">
        <v>70</v>
      </c>
      <c r="N3339" t="s">
        <v>10149</v>
      </c>
      <c r="O3339" t="str">
        <f>IFERROR(IF(Tbla_actores[[#This Row],[codigo_proyecto]]="","",_xlfn.XLOOKUP(Tbla_actores[[#This Row],[codigo_proyecto]],Proyectos!$A:$A,Proyectos!$C:$C)),"")</f>
        <v>Evaluación de residuos en la playa de Santa Marta</v>
      </c>
    </row>
    <row r="3340" spans="1:15">
      <c r="A3340" s="9">
        <v>1022327918</v>
      </c>
      <c r="B3340" s="63" t="s">
        <v>61</v>
      </c>
      <c r="C3340" s="62" t="s">
        <v>10048</v>
      </c>
      <c r="D3340" t="s">
        <v>63</v>
      </c>
      <c r="E3340" t="s">
        <v>10150</v>
      </c>
      <c r="F3340" s="61">
        <v>38325</v>
      </c>
      <c r="G3340" s="15" t="s">
        <v>65</v>
      </c>
      <c r="H3340" t="s">
        <v>10151</v>
      </c>
      <c r="I3340" s="62" t="s">
        <v>10152</v>
      </c>
      <c r="K3340" s="36" t="s">
        <v>6427</v>
      </c>
      <c r="L3340" t="s">
        <v>69</v>
      </c>
      <c r="M3340" s="62" t="s">
        <v>70</v>
      </c>
      <c r="N3340" t="s">
        <v>10149</v>
      </c>
      <c r="O3340" t="str">
        <f>IFERROR(IF(Tbla_actores[[#This Row],[codigo_proyecto]]="","",_xlfn.XLOOKUP(Tbla_actores[[#This Row],[codigo_proyecto]],Proyectos!$A:$A,Proyectos!$C:$C)),"")</f>
        <v>Evaluación de residuos en la playa de Santa Marta</v>
      </c>
    </row>
    <row r="3341" spans="1:15">
      <c r="A3341" s="10">
        <v>1000372165</v>
      </c>
      <c r="B3341" s="64" t="s">
        <v>61</v>
      </c>
      <c r="C3341" s="62" t="s">
        <v>10048</v>
      </c>
      <c r="D3341" t="s">
        <v>63</v>
      </c>
      <c r="E3341" t="s">
        <v>10153</v>
      </c>
      <c r="F3341" s="61">
        <v>36843</v>
      </c>
      <c r="G3341" s="15" t="s">
        <v>73</v>
      </c>
      <c r="H3341" t="s">
        <v>10154</v>
      </c>
      <c r="I3341" s="62" t="s">
        <v>10155</v>
      </c>
      <c r="K3341" s="36" t="s">
        <v>169</v>
      </c>
      <c r="L3341" t="s">
        <v>69</v>
      </c>
      <c r="M3341" s="62" t="s">
        <v>170</v>
      </c>
      <c r="N3341" t="s">
        <v>10052</v>
      </c>
      <c r="O3341" t="str">
        <f>IFERROR(IF(Tbla_actores[[#This Row],[codigo_proyecto]]="","",_xlfn.XLOOKUP(Tbla_actores[[#This Row],[codigo_proyecto]],Proyectos!$A:$A,Proyectos!$C:$C)),"")</f>
        <v>Diseño  de procesos y procedimientos</v>
      </c>
    </row>
    <row r="3342" spans="1:15">
      <c r="A3342" s="9">
        <v>1000287731</v>
      </c>
      <c r="B3342" s="63" t="s">
        <v>61</v>
      </c>
      <c r="C3342" s="62" t="s">
        <v>10048</v>
      </c>
      <c r="D3342" t="s">
        <v>63</v>
      </c>
      <c r="E3342" t="s">
        <v>10156</v>
      </c>
      <c r="F3342" s="61">
        <v>37668</v>
      </c>
      <c r="G3342" s="15" t="s">
        <v>73</v>
      </c>
      <c r="H3342" t="s">
        <v>10157</v>
      </c>
      <c r="I3342" s="62" t="s">
        <v>10158</v>
      </c>
      <c r="K3342" s="36" t="s">
        <v>6427</v>
      </c>
      <c r="L3342" t="s">
        <v>69</v>
      </c>
      <c r="M3342" s="62" t="s">
        <v>70</v>
      </c>
      <c r="N3342" t="s">
        <v>10149</v>
      </c>
      <c r="O3342" t="str">
        <f>IFERROR(IF(Tbla_actores[[#This Row],[codigo_proyecto]]="","",_xlfn.XLOOKUP(Tbla_actores[[#This Row],[codigo_proyecto]],Proyectos!$A:$A,Proyectos!$C:$C)),"")</f>
        <v>Evaluación de residuos en la playa de Santa Marta</v>
      </c>
    </row>
    <row r="3343" spans="1:15">
      <c r="A3343" s="10">
        <v>1192803616</v>
      </c>
      <c r="B3343" s="64" t="s">
        <v>61</v>
      </c>
      <c r="C3343" s="62" t="s">
        <v>10048</v>
      </c>
      <c r="D3343" t="s">
        <v>63</v>
      </c>
      <c r="E3343" t="s">
        <v>10159</v>
      </c>
      <c r="F3343" s="61">
        <v>37065</v>
      </c>
      <c r="G3343" s="15" t="s">
        <v>65</v>
      </c>
      <c r="H3343" t="s">
        <v>10160</v>
      </c>
      <c r="I3343" s="62" t="s">
        <v>10161</v>
      </c>
      <c r="K3343" s="36" t="s">
        <v>6427</v>
      </c>
      <c r="L3343" t="s">
        <v>69</v>
      </c>
      <c r="M3343" s="62" t="s">
        <v>70</v>
      </c>
      <c r="N3343" t="s">
        <v>10149</v>
      </c>
      <c r="O3343" t="str">
        <f>IFERROR(IF(Tbla_actores[[#This Row],[codigo_proyecto]]="","",_xlfn.XLOOKUP(Tbla_actores[[#This Row],[codigo_proyecto]],Proyectos!$A:$A,Proyectos!$C:$C)),"")</f>
        <v>Evaluación de residuos en la playa de Santa Marta</v>
      </c>
    </row>
    <row r="3344" spans="1:15">
      <c r="A3344" s="9">
        <v>1014857624</v>
      </c>
      <c r="B3344" s="63" t="s">
        <v>61</v>
      </c>
      <c r="C3344" s="62" t="s">
        <v>10048</v>
      </c>
      <c r="D3344" t="s">
        <v>63</v>
      </c>
      <c r="E3344" t="s">
        <v>10162</v>
      </c>
      <c r="F3344" s="61">
        <v>38342</v>
      </c>
      <c r="G3344" s="15" t="s">
        <v>73</v>
      </c>
      <c r="H3344" t="s">
        <v>10163</v>
      </c>
      <c r="I3344" s="62" t="s">
        <v>10164</v>
      </c>
      <c r="K3344" s="36" t="s">
        <v>169</v>
      </c>
      <c r="L3344" t="s">
        <v>69</v>
      </c>
      <c r="M3344" s="62" t="s">
        <v>170</v>
      </c>
      <c r="N3344" t="s">
        <v>10165</v>
      </c>
      <c r="O3344" t="str">
        <f>IFERROR(IF(Tbla_actores[[#This Row],[codigo_proyecto]]="","",_xlfn.XLOOKUP(Tbla_actores[[#This Row],[codigo_proyecto]],Proyectos!$A:$A,Proyectos!$C:$C)),"")</f>
        <v>PROPUESTA DE GESTION Y ANALISIS ESTRATEGICO</v>
      </c>
    </row>
    <row r="3345" spans="1:15">
      <c r="A3345" s="10">
        <v>1062427410</v>
      </c>
      <c r="B3345" s="64" t="s">
        <v>61</v>
      </c>
      <c r="C3345" s="62" t="s">
        <v>10048</v>
      </c>
      <c r="D3345" t="s">
        <v>63</v>
      </c>
      <c r="E3345" t="s">
        <v>10166</v>
      </c>
      <c r="F3345" s="61">
        <v>38347</v>
      </c>
      <c r="G3345" s="15" t="s">
        <v>73</v>
      </c>
      <c r="H3345" t="s">
        <v>10167</v>
      </c>
      <c r="I3345" s="62" t="s">
        <v>10168</v>
      </c>
      <c r="K3345" s="36" t="s">
        <v>169</v>
      </c>
      <c r="L3345" t="s">
        <v>69</v>
      </c>
      <c r="M3345" s="62" t="s">
        <v>170</v>
      </c>
      <c r="N3345" t="s">
        <v>10165</v>
      </c>
      <c r="O3345" t="str">
        <f>IFERROR(IF(Tbla_actores[[#This Row],[codigo_proyecto]]="","",_xlfn.XLOOKUP(Tbla_actores[[#This Row],[codigo_proyecto]],Proyectos!$A:$A,Proyectos!$C:$C)),"")</f>
        <v>PROPUESTA DE GESTION Y ANALISIS ESTRATEGICO</v>
      </c>
    </row>
    <row r="3346" spans="1:15">
      <c r="A3346" s="9">
        <v>1013256261</v>
      </c>
      <c r="B3346" s="63" t="s">
        <v>61</v>
      </c>
      <c r="C3346" s="62" t="s">
        <v>10048</v>
      </c>
      <c r="D3346" t="s">
        <v>63</v>
      </c>
      <c r="E3346" t="s">
        <v>10169</v>
      </c>
      <c r="F3346" s="61">
        <v>38018</v>
      </c>
      <c r="G3346" s="15" t="s">
        <v>73</v>
      </c>
      <c r="H3346" t="s">
        <v>10170</v>
      </c>
      <c r="I3346" s="62" t="s">
        <v>10171</v>
      </c>
      <c r="K3346" s="36" t="s">
        <v>169</v>
      </c>
      <c r="L3346" t="s">
        <v>69</v>
      </c>
      <c r="M3346" s="62" t="s">
        <v>170</v>
      </c>
      <c r="N3346" t="s">
        <v>10165</v>
      </c>
      <c r="O3346" t="str">
        <f>IFERROR(IF(Tbla_actores[[#This Row],[codigo_proyecto]]="","",_xlfn.XLOOKUP(Tbla_actores[[#This Row],[codigo_proyecto]],Proyectos!$A:$A,Proyectos!$C:$C)),"")</f>
        <v>PROPUESTA DE GESTION Y ANALISIS ESTRATEGICO</v>
      </c>
    </row>
    <row r="3347" spans="1:15">
      <c r="A3347" s="10">
        <v>1000180019</v>
      </c>
      <c r="B3347" s="64" t="s">
        <v>61</v>
      </c>
      <c r="C3347" s="62" t="s">
        <v>10048</v>
      </c>
      <c r="D3347" t="s">
        <v>63</v>
      </c>
      <c r="E3347" t="s">
        <v>10172</v>
      </c>
      <c r="F3347" s="61">
        <v>37173</v>
      </c>
      <c r="G3347" s="15" t="s">
        <v>73</v>
      </c>
      <c r="H3347" t="s">
        <v>10173</v>
      </c>
      <c r="I3347" s="62" t="s">
        <v>10174</v>
      </c>
      <c r="K3347" s="36" t="s">
        <v>169</v>
      </c>
      <c r="L3347" t="s">
        <v>69</v>
      </c>
      <c r="M3347" s="62" t="s">
        <v>170</v>
      </c>
      <c r="N3347" t="s">
        <v>10165</v>
      </c>
      <c r="O3347" t="str">
        <f>IFERROR(IF(Tbla_actores[[#This Row],[codigo_proyecto]]="","",_xlfn.XLOOKUP(Tbla_actores[[#This Row],[codigo_proyecto]],Proyectos!$A:$A,Proyectos!$C:$C)),"")</f>
        <v>PROPUESTA DE GESTION Y ANALISIS ESTRATEGICO</v>
      </c>
    </row>
    <row r="3348" spans="1:15">
      <c r="A3348" s="9">
        <v>1023163832</v>
      </c>
      <c r="B3348" s="63" t="s">
        <v>61</v>
      </c>
      <c r="C3348" s="62" t="s">
        <v>10048</v>
      </c>
      <c r="D3348" t="s">
        <v>63</v>
      </c>
      <c r="E3348" t="s">
        <v>10175</v>
      </c>
      <c r="F3348" s="61">
        <v>38758</v>
      </c>
      <c r="G3348" s="15" t="s">
        <v>65</v>
      </c>
      <c r="H3348" t="s">
        <v>10176</v>
      </c>
      <c r="I3348" s="62" t="s">
        <v>10177</v>
      </c>
      <c r="K3348" s="36" t="s">
        <v>169</v>
      </c>
      <c r="L3348" t="s">
        <v>69</v>
      </c>
      <c r="M3348" s="62" t="s">
        <v>170</v>
      </c>
      <c r="N3348" t="s">
        <v>10165</v>
      </c>
      <c r="O3348" t="str">
        <f>IFERROR(IF(Tbla_actores[[#This Row],[codigo_proyecto]]="","",_xlfn.XLOOKUP(Tbla_actores[[#This Row],[codigo_proyecto]],Proyectos!$A:$A,Proyectos!$C:$C)),"")</f>
        <v>PROPUESTA DE GESTION Y ANALISIS ESTRATEGICO</v>
      </c>
    </row>
    <row r="3349" spans="1:15">
      <c r="A3349" s="10">
        <v>1000078184</v>
      </c>
      <c r="B3349" s="64" t="s">
        <v>61</v>
      </c>
      <c r="C3349" s="62" t="s">
        <v>10048</v>
      </c>
      <c r="D3349" t="s">
        <v>63</v>
      </c>
      <c r="E3349" t="s">
        <v>10178</v>
      </c>
      <c r="F3349" s="61">
        <v>37218</v>
      </c>
      <c r="G3349" s="15" t="s">
        <v>73</v>
      </c>
      <c r="H3349" t="s">
        <v>10179</v>
      </c>
      <c r="I3349" s="62" t="s">
        <v>10180</v>
      </c>
      <c r="K3349" s="36" t="s">
        <v>1489</v>
      </c>
      <c r="L3349" t="s">
        <v>69</v>
      </c>
      <c r="M3349" s="62" t="s">
        <v>70</v>
      </c>
      <c r="N3349" t="s">
        <v>10181</v>
      </c>
      <c r="O3349" t="str">
        <f>IFERROR(IF(Tbla_actores[[#This Row],[codigo_proyecto]]="","",_xlfn.XLOOKUP(Tbla_actores[[#This Row],[codigo_proyecto]],Proyectos!$A:$A,Proyectos!$C:$C)),"")</f>
        <v>Reparación de Electrodomésticos BA</v>
      </c>
    </row>
    <row r="3350" spans="1:15">
      <c r="A3350" s="9">
        <v>1034397218</v>
      </c>
      <c r="B3350" s="63" t="s">
        <v>61</v>
      </c>
      <c r="C3350" s="62" t="s">
        <v>10048</v>
      </c>
      <c r="D3350" t="s">
        <v>63</v>
      </c>
      <c r="E3350" t="s">
        <v>10182</v>
      </c>
      <c r="F3350" s="61">
        <v>38216</v>
      </c>
      <c r="G3350" s="15" t="s">
        <v>73</v>
      </c>
      <c r="H3350" t="s">
        <v>10183</v>
      </c>
      <c r="I3350" s="62" t="s">
        <v>10184</v>
      </c>
      <c r="K3350" s="36" t="s">
        <v>7671</v>
      </c>
      <c r="L3350" t="s">
        <v>69</v>
      </c>
      <c r="M3350" s="62" t="s">
        <v>70</v>
      </c>
      <c r="N3350" t="s">
        <v>10185</v>
      </c>
      <c r="O3350" t="str">
        <f>IFERROR(IF(Tbla_actores[[#This Row],[codigo_proyecto]]="","",_xlfn.XLOOKUP(Tbla_actores[[#This Row],[codigo_proyecto]],Proyectos!$A:$A,Proyectos!$C:$C)),"")</f>
        <v>Sistema Antiescape en dispositivos de cuidado residencial</v>
      </c>
    </row>
    <row r="3351" spans="1:15">
      <c r="A3351" s="10">
        <v>1007976069</v>
      </c>
      <c r="B3351" s="64" t="s">
        <v>61</v>
      </c>
      <c r="C3351" s="62" t="s">
        <v>10048</v>
      </c>
      <c r="D3351" t="s">
        <v>63</v>
      </c>
      <c r="E3351" t="s">
        <v>10186</v>
      </c>
      <c r="F3351" s="61">
        <v>37638</v>
      </c>
      <c r="G3351" s="15" t="s">
        <v>73</v>
      </c>
      <c r="H3351" t="s">
        <v>10187</v>
      </c>
      <c r="I3351" s="62" t="s">
        <v>10188</v>
      </c>
      <c r="K3351" s="36" t="s">
        <v>1489</v>
      </c>
      <c r="L3351" t="s">
        <v>69</v>
      </c>
      <c r="M3351" s="62" t="s">
        <v>70</v>
      </c>
      <c r="N3351" t="s">
        <v>10189</v>
      </c>
      <c r="O3351" t="str">
        <f>IFERROR(IF(Tbla_actores[[#This Row],[codigo_proyecto]]="","",_xlfn.XLOOKUP(Tbla_actores[[#This Row],[codigo_proyecto]],Proyectos!$A:$A,Proyectos!$C:$C)),"")</f>
        <v>Reparación de Electrodomésticos FSI</v>
      </c>
    </row>
    <row r="3352" spans="1:15">
      <c r="A3352" s="9">
        <v>1027151291</v>
      </c>
      <c r="B3352" s="63" t="s">
        <v>61</v>
      </c>
      <c r="C3352" s="62" t="s">
        <v>10048</v>
      </c>
      <c r="D3352" t="s">
        <v>63</v>
      </c>
      <c r="E3352" t="s">
        <v>10190</v>
      </c>
      <c r="F3352" s="61">
        <v>38535</v>
      </c>
      <c r="G3352" s="15" t="s">
        <v>73</v>
      </c>
      <c r="H3352" t="s">
        <v>10191</v>
      </c>
      <c r="I3352" s="62" t="s">
        <v>10192</v>
      </c>
      <c r="K3352" s="36" t="s">
        <v>7671</v>
      </c>
      <c r="L3352" t="s">
        <v>69</v>
      </c>
      <c r="M3352" s="62" t="s">
        <v>70</v>
      </c>
      <c r="N3352" t="s">
        <v>10181</v>
      </c>
      <c r="O3352" t="str">
        <f>IFERROR(IF(Tbla_actores[[#This Row],[codigo_proyecto]]="","",_xlfn.XLOOKUP(Tbla_actores[[#This Row],[codigo_proyecto]],Proyectos!$A:$A,Proyectos!$C:$C)),"")</f>
        <v>Reparación de Electrodomésticos BA</v>
      </c>
    </row>
    <row r="3353" spans="1:15">
      <c r="A3353" s="10">
        <v>1091375331</v>
      </c>
      <c r="B3353" s="64" t="s">
        <v>61</v>
      </c>
      <c r="C3353" s="62" t="s">
        <v>10048</v>
      </c>
      <c r="D3353" t="s">
        <v>63</v>
      </c>
      <c r="E3353" t="s">
        <v>10193</v>
      </c>
      <c r="F3353" s="61">
        <v>37983</v>
      </c>
      <c r="G3353" s="15" t="s">
        <v>73</v>
      </c>
      <c r="H3353" t="s">
        <v>10194</v>
      </c>
      <c r="I3353" s="62" t="s">
        <v>10195</v>
      </c>
      <c r="K3353" s="36" t="s">
        <v>7671</v>
      </c>
      <c r="L3353" t="s">
        <v>69</v>
      </c>
      <c r="M3353" s="62" t="s">
        <v>70</v>
      </c>
      <c r="N3353" t="s">
        <v>10196</v>
      </c>
      <c r="O3353" t="str">
        <f>IFERROR(IF(Tbla_actores[[#This Row],[codigo_proyecto]]="","",_xlfn.XLOOKUP(Tbla_actores[[#This Row],[codigo_proyecto]],Proyectos!$A:$A,Proyectos!$C:$C)),"")</f>
        <v>Reparación equipos y refuerzo escolar</v>
      </c>
    </row>
    <row r="3354" spans="1:15">
      <c r="A3354" s="9">
        <v>1018406683</v>
      </c>
      <c r="B3354" s="63" t="s">
        <v>61</v>
      </c>
      <c r="C3354" s="62" t="s">
        <v>10048</v>
      </c>
      <c r="D3354" t="s">
        <v>63</v>
      </c>
      <c r="E3354" t="s">
        <v>10197</v>
      </c>
      <c r="F3354" s="61">
        <v>38263</v>
      </c>
      <c r="G3354" s="15" t="s">
        <v>73</v>
      </c>
      <c r="H3354" t="s">
        <v>10198</v>
      </c>
      <c r="I3354" s="62" t="s">
        <v>10199</v>
      </c>
      <c r="K3354" s="36" t="s">
        <v>495</v>
      </c>
      <c r="L3354" t="s">
        <v>69</v>
      </c>
      <c r="M3354" s="62" t="s">
        <v>70</v>
      </c>
      <c r="N3354" t="s">
        <v>10060</v>
      </c>
      <c r="O3354" t="str">
        <f>IFERROR(IF(Tbla_actores[[#This Row],[codigo_proyecto]]="","",_xlfn.XLOOKUP(Tbla_actores[[#This Row],[codigo_proyecto]],Proyectos!$A:$A,Proyectos!$C:$C)),"")</f>
        <v>PROYECTO
“CAPACITACIÓN EN CONSTRUCCIÓN-CAMACOL”</v>
      </c>
    </row>
    <row r="3355" spans="1:15">
      <c r="A3355" s="10">
        <v>1016944621</v>
      </c>
      <c r="B3355" s="64" t="s">
        <v>61</v>
      </c>
      <c r="C3355" s="62" t="s">
        <v>10048</v>
      </c>
      <c r="D3355" t="s">
        <v>63</v>
      </c>
      <c r="E3355" t="s">
        <v>10200</v>
      </c>
      <c r="F3355" s="61">
        <v>38223</v>
      </c>
      <c r="G3355" s="15" t="s">
        <v>73</v>
      </c>
      <c r="H3355" t="s">
        <v>10201</v>
      </c>
      <c r="I3355" s="62" t="s">
        <v>10202</v>
      </c>
      <c r="K3355" s="36" t="s">
        <v>495</v>
      </c>
      <c r="L3355" t="s">
        <v>69</v>
      </c>
      <c r="M3355" s="62" t="s">
        <v>70</v>
      </c>
      <c r="N3355" t="s">
        <v>10060</v>
      </c>
      <c r="O3355" t="str">
        <f>IFERROR(IF(Tbla_actores[[#This Row],[codigo_proyecto]]="","",_xlfn.XLOOKUP(Tbla_actores[[#This Row],[codigo_proyecto]],Proyectos!$A:$A,Proyectos!$C:$C)),"")</f>
        <v>PROYECTO
“CAPACITACIÓN EN CONSTRUCCIÓN-CAMACOL”</v>
      </c>
    </row>
    <row r="3356" spans="1:15">
      <c r="A3356" s="9">
        <v>1001049083</v>
      </c>
      <c r="B3356" s="63" t="s">
        <v>61</v>
      </c>
      <c r="C3356" s="62" t="s">
        <v>10048</v>
      </c>
      <c r="D3356" t="s">
        <v>63</v>
      </c>
      <c r="E3356" t="s">
        <v>10203</v>
      </c>
      <c r="F3356" s="61">
        <v>37595</v>
      </c>
      <c r="G3356" s="15" t="s">
        <v>73</v>
      </c>
      <c r="H3356" t="s">
        <v>10204</v>
      </c>
      <c r="I3356" s="62" t="s">
        <v>10205</v>
      </c>
      <c r="K3356" s="36" t="s">
        <v>495</v>
      </c>
      <c r="L3356" t="s">
        <v>69</v>
      </c>
      <c r="M3356" s="62" t="s">
        <v>70</v>
      </c>
      <c r="N3356" t="s">
        <v>10060</v>
      </c>
      <c r="O3356" t="str">
        <f>IFERROR(IF(Tbla_actores[[#This Row],[codigo_proyecto]]="","",_xlfn.XLOOKUP(Tbla_actores[[#This Row],[codigo_proyecto]],Proyectos!$A:$A,Proyectos!$C:$C)),"")</f>
        <v>PROYECTO
“CAPACITACIÓN EN CONSTRUCCIÓN-CAMACOL”</v>
      </c>
    </row>
    <row r="3357" spans="1:15">
      <c r="A3357" s="10">
        <v>1121721498</v>
      </c>
      <c r="B3357" s="64" t="s">
        <v>61</v>
      </c>
      <c r="C3357" s="62" t="s">
        <v>10048</v>
      </c>
      <c r="D3357" t="s">
        <v>63</v>
      </c>
      <c r="E3357" t="s">
        <v>10206</v>
      </c>
      <c r="F3357" s="61">
        <v>36547</v>
      </c>
      <c r="G3357" s="15" t="s">
        <v>73</v>
      </c>
      <c r="H3357" t="s">
        <v>10207</v>
      </c>
      <c r="I3357" s="62" t="s">
        <v>10208</v>
      </c>
      <c r="K3357" s="36" t="s">
        <v>495</v>
      </c>
      <c r="L3357" t="s">
        <v>69</v>
      </c>
      <c r="M3357" s="62" t="s">
        <v>70</v>
      </c>
      <c r="N3357" t="s">
        <v>10060</v>
      </c>
      <c r="O3357" t="str">
        <f>IFERROR(IF(Tbla_actores[[#This Row],[codigo_proyecto]]="","",_xlfn.XLOOKUP(Tbla_actores[[#This Row],[codigo_proyecto]],Proyectos!$A:$A,Proyectos!$C:$C)),"")</f>
        <v>PROYECTO
“CAPACITACIÓN EN CONSTRUCCIÓN-CAMACOL”</v>
      </c>
    </row>
    <row r="3358" spans="1:15">
      <c r="A3358" s="9">
        <v>1076903916</v>
      </c>
      <c r="B3358" s="63" t="s">
        <v>61</v>
      </c>
      <c r="C3358" s="62" t="s">
        <v>10048</v>
      </c>
      <c r="D3358" t="s">
        <v>63</v>
      </c>
      <c r="E3358" t="s">
        <v>10209</v>
      </c>
      <c r="F3358" s="61">
        <v>38279</v>
      </c>
      <c r="G3358" s="15" t="s">
        <v>73</v>
      </c>
      <c r="H3358" t="s">
        <v>10210</v>
      </c>
      <c r="I3358" s="62" t="s">
        <v>10211</v>
      </c>
      <c r="K3358" s="36" t="s">
        <v>495</v>
      </c>
      <c r="L3358" t="s">
        <v>69</v>
      </c>
      <c r="M3358" s="62" t="s">
        <v>70</v>
      </c>
      <c r="N3358" t="s">
        <v>10060</v>
      </c>
      <c r="O3358" t="str">
        <f>IFERROR(IF(Tbla_actores[[#This Row],[codigo_proyecto]]="","",_xlfn.XLOOKUP(Tbla_actores[[#This Row],[codigo_proyecto]],Proyectos!$A:$A,Proyectos!$C:$C)),"")</f>
        <v>PROYECTO
“CAPACITACIÓN EN CONSTRUCCIÓN-CAMACOL”</v>
      </c>
    </row>
    <row r="3359" spans="1:15">
      <c r="A3359" s="10">
        <v>1000698441</v>
      </c>
      <c r="B3359" s="64" t="s">
        <v>61</v>
      </c>
      <c r="C3359" s="62" t="s">
        <v>10048</v>
      </c>
      <c r="D3359" t="s">
        <v>63</v>
      </c>
      <c r="E3359" t="s">
        <v>10212</v>
      </c>
      <c r="F3359" s="61">
        <v>37801</v>
      </c>
      <c r="G3359" s="15" t="s">
        <v>73</v>
      </c>
      <c r="H3359" t="s">
        <v>10213</v>
      </c>
      <c r="I3359" s="62" t="s">
        <v>10214</v>
      </c>
      <c r="K3359" s="36" t="s">
        <v>495</v>
      </c>
      <c r="L3359" t="s">
        <v>69</v>
      </c>
      <c r="M3359" s="62" t="s">
        <v>70</v>
      </c>
      <c r="N3359" t="s">
        <v>10060</v>
      </c>
      <c r="O3359" t="str">
        <f>IFERROR(IF(Tbla_actores[[#This Row],[codigo_proyecto]]="","",_xlfn.XLOOKUP(Tbla_actores[[#This Row],[codigo_proyecto]],Proyectos!$A:$A,Proyectos!$C:$C)),"")</f>
        <v>PROYECTO
“CAPACITACIÓN EN CONSTRUCCIÓN-CAMACOL”</v>
      </c>
    </row>
    <row r="3360" spans="1:15">
      <c r="A3360" s="9">
        <v>1011320716</v>
      </c>
      <c r="B3360" s="63" t="s">
        <v>61</v>
      </c>
      <c r="C3360" s="62" t="s">
        <v>10048</v>
      </c>
      <c r="D3360" t="s">
        <v>63</v>
      </c>
      <c r="E3360" t="s">
        <v>10215</v>
      </c>
      <c r="F3360" s="61">
        <v>38223</v>
      </c>
      <c r="G3360" s="15" t="s">
        <v>65</v>
      </c>
      <c r="H3360" t="s">
        <v>10216</v>
      </c>
      <c r="I3360" s="62" t="s">
        <v>10217</v>
      </c>
      <c r="K3360" s="36" t="s">
        <v>495</v>
      </c>
      <c r="L3360" t="s">
        <v>69</v>
      </c>
      <c r="M3360" s="62" t="s">
        <v>70</v>
      </c>
      <c r="N3360" t="s">
        <v>10060</v>
      </c>
      <c r="O3360" t="str">
        <f>IFERROR(IF(Tbla_actores[[#This Row],[codigo_proyecto]]="","",_xlfn.XLOOKUP(Tbla_actores[[#This Row],[codigo_proyecto]],Proyectos!$A:$A,Proyectos!$C:$C)),"")</f>
        <v>PROYECTO
“CAPACITACIÓN EN CONSTRUCCIÓN-CAMACOL”</v>
      </c>
    </row>
    <row r="3361" spans="1:15">
      <c r="A3361" s="10">
        <v>1025070966</v>
      </c>
      <c r="B3361" s="64" t="s">
        <v>61</v>
      </c>
      <c r="C3361" s="62" t="s">
        <v>10048</v>
      </c>
      <c r="D3361" t="s">
        <v>63</v>
      </c>
      <c r="E3361" t="s">
        <v>10218</v>
      </c>
      <c r="F3361" s="61">
        <v>38123</v>
      </c>
      <c r="G3361" s="15" t="s">
        <v>65</v>
      </c>
      <c r="H3361" t="s">
        <v>10219</v>
      </c>
      <c r="I3361" s="62" t="s">
        <v>10220</v>
      </c>
      <c r="K3361" s="36" t="s">
        <v>495</v>
      </c>
      <c r="L3361" t="s">
        <v>69</v>
      </c>
      <c r="M3361" s="62" t="s">
        <v>70</v>
      </c>
      <c r="N3361" t="s">
        <v>10060</v>
      </c>
      <c r="O3361" t="str">
        <f>IFERROR(IF(Tbla_actores[[#This Row],[codigo_proyecto]]="","",_xlfn.XLOOKUP(Tbla_actores[[#This Row],[codigo_proyecto]],Proyectos!$A:$A,Proyectos!$C:$C)),"")</f>
        <v>PROYECTO
“CAPACITACIÓN EN CONSTRUCCIÓN-CAMACOL”</v>
      </c>
    </row>
    <row r="3362" spans="1:15">
      <c r="A3362" s="9">
        <v>1105460155</v>
      </c>
      <c r="B3362" s="63" t="s">
        <v>61</v>
      </c>
      <c r="C3362" s="62" t="s">
        <v>10048</v>
      </c>
      <c r="D3362" t="s">
        <v>63</v>
      </c>
      <c r="E3362" t="s">
        <v>10221</v>
      </c>
      <c r="F3362" s="61">
        <v>38003</v>
      </c>
      <c r="G3362" s="15" t="s">
        <v>65</v>
      </c>
      <c r="H3362" t="s">
        <v>10222</v>
      </c>
      <c r="I3362" s="62" t="s">
        <v>10223</v>
      </c>
      <c r="K3362" s="36" t="s">
        <v>495</v>
      </c>
      <c r="L3362" t="s">
        <v>69</v>
      </c>
      <c r="M3362" s="62" t="s">
        <v>70</v>
      </c>
      <c r="N3362" t="s">
        <v>10060</v>
      </c>
      <c r="O3362" t="str">
        <f>IFERROR(IF(Tbla_actores[[#This Row],[codigo_proyecto]]="","",_xlfn.XLOOKUP(Tbla_actores[[#This Row],[codigo_proyecto]],Proyectos!$A:$A,Proyectos!$C:$C)),"")</f>
        <v>PROYECTO
“CAPACITACIÓN EN CONSTRUCCIÓN-CAMACOL”</v>
      </c>
    </row>
    <row r="3363" spans="1:15">
      <c r="A3363" s="10">
        <v>1019603248</v>
      </c>
      <c r="B3363" s="64" t="s">
        <v>61</v>
      </c>
      <c r="C3363" s="62" t="s">
        <v>10048</v>
      </c>
      <c r="D3363" t="s">
        <v>63</v>
      </c>
      <c r="E3363" t="s">
        <v>10224</v>
      </c>
      <c r="F3363" s="61">
        <v>38266</v>
      </c>
      <c r="G3363" s="15" t="s">
        <v>73</v>
      </c>
      <c r="H3363" t="s">
        <v>10225</v>
      </c>
      <c r="I3363" s="62" t="s">
        <v>10226</v>
      </c>
      <c r="K3363" s="36" t="s">
        <v>7671</v>
      </c>
      <c r="L3363" t="s">
        <v>69</v>
      </c>
      <c r="M3363" s="62" t="s">
        <v>70</v>
      </c>
      <c r="N3363" t="s">
        <v>10056</v>
      </c>
      <c r="O3363" t="str">
        <f>IFERROR(IF(Tbla_actores[[#This Row],[codigo_proyecto]]="","",_xlfn.XLOOKUP(Tbla_actores[[#This Row],[codigo_proyecto]],Proyectos!$A:$A,Proyectos!$C:$C)),"")</f>
        <v>Diagnodtico de necesidades de asesoría técnica para las labores de cuidado</v>
      </c>
    </row>
    <row r="3364" spans="1:15">
      <c r="A3364" s="9">
        <v>1192814583</v>
      </c>
      <c r="B3364" s="63" t="s">
        <v>61</v>
      </c>
      <c r="C3364" s="62" t="s">
        <v>10048</v>
      </c>
      <c r="D3364" t="s">
        <v>63</v>
      </c>
      <c r="E3364" t="s">
        <v>10227</v>
      </c>
      <c r="F3364" s="61">
        <v>37066</v>
      </c>
      <c r="G3364" s="15" t="s">
        <v>73</v>
      </c>
      <c r="H3364" t="s">
        <v>10228</v>
      </c>
      <c r="I3364" s="62" t="s">
        <v>10229</v>
      </c>
      <c r="K3364" s="36" t="s">
        <v>1489</v>
      </c>
      <c r="L3364" t="s">
        <v>69</v>
      </c>
      <c r="M3364" s="62" t="s">
        <v>70</v>
      </c>
      <c r="N3364" t="s">
        <v>10185</v>
      </c>
      <c r="O3364" t="str">
        <f>IFERROR(IF(Tbla_actores[[#This Row],[codigo_proyecto]]="","",_xlfn.XLOOKUP(Tbla_actores[[#This Row],[codigo_proyecto]],Proyectos!$A:$A,Proyectos!$C:$C)),"")</f>
        <v>Sistema Antiescape en dispositivos de cuidado residencial</v>
      </c>
    </row>
    <row r="3365" spans="1:15">
      <c r="A3365" s="10">
        <v>1000033598</v>
      </c>
      <c r="B3365" s="64" t="s">
        <v>61</v>
      </c>
      <c r="C3365" s="62" t="s">
        <v>10048</v>
      </c>
      <c r="D3365" t="s">
        <v>63</v>
      </c>
      <c r="E3365" t="s">
        <v>10230</v>
      </c>
      <c r="F3365" s="61">
        <v>37726</v>
      </c>
      <c r="G3365" s="15" t="s">
        <v>73</v>
      </c>
      <c r="H3365" t="s">
        <v>10231</v>
      </c>
      <c r="I3365" s="62" t="s">
        <v>10232</v>
      </c>
      <c r="K3365" s="36" t="s">
        <v>1489</v>
      </c>
      <c r="L3365" t="s">
        <v>69</v>
      </c>
      <c r="M3365" s="62" t="s">
        <v>70</v>
      </c>
      <c r="N3365" t="s">
        <v>10189</v>
      </c>
      <c r="O3365" t="str">
        <f>IFERROR(IF(Tbla_actores[[#This Row],[codigo_proyecto]]="","",_xlfn.XLOOKUP(Tbla_actores[[#This Row],[codigo_proyecto]],Proyectos!$A:$A,Proyectos!$C:$C)),"")</f>
        <v>Reparación de Electrodomésticos FSI</v>
      </c>
    </row>
    <row r="3366" spans="1:15">
      <c r="A3366" s="9">
        <v>1003912868</v>
      </c>
      <c r="B3366" s="63" t="s">
        <v>61</v>
      </c>
      <c r="C3366" s="62" t="s">
        <v>10048</v>
      </c>
      <c r="D3366" t="s">
        <v>63</v>
      </c>
      <c r="E3366" t="s">
        <v>10233</v>
      </c>
      <c r="F3366" s="61">
        <v>37106</v>
      </c>
      <c r="G3366" s="15" t="s">
        <v>73</v>
      </c>
      <c r="H3366" t="s">
        <v>10234</v>
      </c>
      <c r="I3366" s="62" t="s">
        <v>10235</v>
      </c>
      <c r="K3366" s="36" t="s">
        <v>1489</v>
      </c>
      <c r="L3366" t="s">
        <v>69</v>
      </c>
      <c r="M3366" s="62" t="s">
        <v>70</v>
      </c>
      <c r="N3366" t="s">
        <v>10189</v>
      </c>
      <c r="O3366" t="str">
        <f>IFERROR(IF(Tbla_actores[[#This Row],[codigo_proyecto]]="","",_xlfn.XLOOKUP(Tbla_actores[[#This Row],[codigo_proyecto]],Proyectos!$A:$A,Proyectos!$C:$C)),"")</f>
        <v>Reparación de Electrodomésticos FSI</v>
      </c>
    </row>
    <row r="3367" spans="1:15">
      <c r="A3367" s="10">
        <v>1106902676</v>
      </c>
      <c r="B3367" s="64" t="s">
        <v>61</v>
      </c>
      <c r="C3367" s="62" t="s">
        <v>10048</v>
      </c>
      <c r="D3367" t="s">
        <v>63</v>
      </c>
      <c r="E3367" t="s">
        <v>10236</v>
      </c>
      <c r="F3367" s="61">
        <v>38235</v>
      </c>
      <c r="G3367" s="15" t="s">
        <v>73</v>
      </c>
      <c r="H3367" t="s">
        <v>10237</v>
      </c>
      <c r="I3367" s="62" t="s">
        <v>10238</v>
      </c>
      <c r="K3367" s="36" t="s">
        <v>7671</v>
      </c>
      <c r="L3367" t="s">
        <v>69</v>
      </c>
      <c r="M3367" s="62" t="s">
        <v>70</v>
      </c>
      <c r="N3367" t="s">
        <v>10196</v>
      </c>
      <c r="O3367" t="str">
        <f>IFERROR(IF(Tbla_actores[[#This Row],[codigo_proyecto]]="","",_xlfn.XLOOKUP(Tbla_actores[[#This Row],[codigo_proyecto]],Proyectos!$A:$A,Proyectos!$C:$C)),"")</f>
        <v>Reparación equipos y refuerzo escolar</v>
      </c>
    </row>
    <row r="3368" spans="1:15">
      <c r="A3368" s="9">
        <v>1002970443</v>
      </c>
      <c r="B3368" s="63" t="s">
        <v>61</v>
      </c>
      <c r="C3368" s="62" t="s">
        <v>10048</v>
      </c>
      <c r="D3368" t="s">
        <v>63</v>
      </c>
      <c r="E3368" t="s">
        <v>10239</v>
      </c>
      <c r="F3368" s="61">
        <v>36565</v>
      </c>
      <c r="G3368" s="15" t="s">
        <v>73</v>
      </c>
      <c r="H3368" t="s">
        <v>10240</v>
      </c>
      <c r="I3368" s="62" t="s">
        <v>10241</v>
      </c>
      <c r="K3368" s="36" t="s">
        <v>68</v>
      </c>
      <c r="L3368" t="s">
        <v>69</v>
      </c>
      <c r="M3368" s="62" t="s">
        <v>70</v>
      </c>
      <c r="N3368" t="s">
        <v>10118</v>
      </c>
      <c r="O3368" t="str">
        <f>IFERROR(IF(Tbla_actores[[#This Row],[codigo_proyecto]]="","",_xlfn.XLOOKUP(Tbla_actores[[#This Row],[codigo_proyecto]],Proyectos!$A:$A,Proyectos!$C:$C)),"")</f>
        <v>OFICINA DE RESPONSABILIDAD SOCIAL</v>
      </c>
    </row>
    <row r="3369" spans="1:15">
      <c r="A3369" s="10">
        <v>1021664488</v>
      </c>
      <c r="B3369" s="64" t="s">
        <v>61</v>
      </c>
      <c r="C3369" s="62" t="s">
        <v>10048</v>
      </c>
      <c r="D3369" t="s">
        <v>63</v>
      </c>
      <c r="E3369" t="s">
        <v>10242</v>
      </c>
      <c r="F3369" s="61">
        <v>38164</v>
      </c>
      <c r="G3369" s="15" t="s">
        <v>73</v>
      </c>
      <c r="H3369" t="s">
        <v>10243</v>
      </c>
      <c r="I3369" s="62" t="s">
        <v>10244</v>
      </c>
      <c r="K3369" s="36" t="s">
        <v>7671</v>
      </c>
      <c r="L3369" t="s">
        <v>69</v>
      </c>
      <c r="M3369" s="62" t="s">
        <v>70</v>
      </c>
      <c r="N3369" t="s">
        <v>10185</v>
      </c>
      <c r="O3369" t="str">
        <f>IFERROR(IF(Tbla_actores[[#This Row],[codigo_proyecto]]="","",_xlfn.XLOOKUP(Tbla_actores[[#This Row],[codigo_proyecto]],Proyectos!$A:$A,Proyectos!$C:$C)),"")</f>
        <v>Sistema Antiescape en dispositivos de cuidado residencial</v>
      </c>
    </row>
    <row r="3370" spans="1:15">
      <c r="A3370" s="9">
        <v>1014659688</v>
      </c>
      <c r="B3370" s="63" t="s">
        <v>61</v>
      </c>
      <c r="C3370" s="62" t="s">
        <v>10048</v>
      </c>
      <c r="D3370" t="s">
        <v>63</v>
      </c>
      <c r="E3370" t="s">
        <v>10245</v>
      </c>
      <c r="F3370" s="61">
        <v>38491</v>
      </c>
      <c r="G3370" s="15" t="s">
        <v>73</v>
      </c>
      <c r="H3370" t="s">
        <v>10246</v>
      </c>
      <c r="I3370" s="62" t="s">
        <v>10247</v>
      </c>
      <c r="K3370" s="36" t="s">
        <v>169</v>
      </c>
      <c r="L3370" t="s">
        <v>69</v>
      </c>
      <c r="M3370" s="62" t="s">
        <v>170</v>
      </c>
      <c r="N3370" t="s">
        <v>10248</v>
      </c>
      <c r="O3370" t="str">
        <f>IFERROR(IF(Tbla_actores[[#This Row],[codigo_proyecto]]="","",_xlfn.XLOOKUP(Tbla_actores[[#This Row],[codigo_proyecto]],Proyectos!$A:$A,Proyectos!$C:$C)),"")</f>
        <v>Mejoramiento procesos alistamiento prendas.</v>
      </c>
    </row>
    <row r="3371" spans="1:15">
      <c r="A3371" s="10">
        <v>1034517149</v>
      </c>
      <c r="B3371" s="64" t="s">
        <v>61</v>
      </c>
      <c r="C3371" s="62" t="s">
        <v>10048</v>
      </c>
      <c r="D3371" t="s">
        <v>63</v>
      </c>
      <c r="E3371" t="s">
        <v>10249</v>
      </c>
      <c r="F3371" s="61">
        <v>38758</v>
      </c>
      <c r="G3371" s="15" t="s">
        <v>65</v>
      </c>
      <c r="H3371" t="s">
        <v>10250</v>
      </c>
      <c r="I3371" s="62" t="s">
        <v>10251</v>
      </c>
      <c r="K3371" s="36" t="s">
        <v>169</v>
      </c>
      <c r="L3371" t="s">
        <v>69</v>
      </c>
      <c r="M3371" s="62" t="s">
        <v>170</v>
      </c>
      <c r="N3371" t="s">
        <v>10248</v>
      </c>
      <c r="O3371" t="str">
        <f>IFERROR(IF(Tbla_actores[[#This Row],[codigo_proyecto]]="","",_xlfn.XLOOKUP(Tbla_actores[[#This Row],[codigo_proyecto]],Proyectos!$A:$A,Proyectos!$C:$C)),"")</f>
        <v>Mejoramiento procesos alistamiento prendas.</v>
      </c>
    </row>
    <row r="3372" spans="1:15">
      <c r="A3372" s="9">
        <v>1010960659</v>
      </c>
      <c r="B3372" s="63" t="s">
        <v>61</v>
      </c>
      <c r="C3372" s="62" t="s">
        <v>10048</v>
      </c>
      <c r="D3372" t="s">
        <v>63</v>
      </c>
      <c r="E3372" t="s">
        <v>10252</v>
      </c>
      <c r="F3372" s="61">
        <v>38232</v>
      </c>
      <c r="G3372" s="15" t="s">
        <v>65</v>
      </c>
      <c r="H3372" t="s">
        <v>10253</v>
      </c>
      <c r="I3372" s="62" t="s">
        <v>10254</v>
      </c>
      <c r="K3372" s="36" t="s">
        <v>68</v>
      </c>
      <c r="L3372" t="s">
        <v>69</v>
      </c>
      <c r="M3372" s="62" t="s">
        <v>70</v>
      </c>
      <c r="N3372" t="s">
        <v>10255</v>
      </c>
      <c r="O3372" t="str">
        <f>IFERROR(IF(Tbla_actores[[#This Row],[codigo_proyecto]]="","",_xlfn.XLOOKUP(Tbla_actores[[#This Row],[codigo_proyecto]],Proyectos!$A:$A,Proyectos!$C:$C)),"")</f>
        <v>Proyecto 4</v>
      </c>
    </row>
    <row r="3373" spans="1:15">
      <c r="A3373" s="10">
        <v>1032939053</v>
      </c>
      <c r="B3373" s="64" t="s">
        <v>61</v>
      </c>
      <c r="C3373" s="62" t="s">
        <v>10048</v>
      </c>
      <c r="D3373" t="s">
        <v>63</v>
      </c>
      <c r="E3373" t="s">
        <v>10256</v>
      </c>
      <c r="F3373" s="61">
        <v>38671</v>
      </c>
      <c r="G3373" s="15" t="s">
        <v>65</v>
      </c>
      <c r="H3373" t="s">
        <v>10257</v>
      </c>
      <c r="I3373" s="62" t="s">
        <v>10258</v>
      </c>
      <c r="K3373" s="36" t="s">
        <v>68</v>
      </c>
      <c r="L3373" t="s">
        <v>69</v>
      </c>
      <c r="M3373" s="62" t="s">
        <v>70</v>
      </c>
      <c r="N3373" t="s">
        <v>10255</v>
      </c>
      <c r="O3373" t="str">
        <f>IFERROR(IF(Tbla_actores[[#This Row],[codigo_proyecto]]="","",_xlfn.XLOOKUP(Tbla_actores[[#This Row],[codigo_proyecto]],Proyectos!$A:$A,Proyectos!$C:$C)),"")</f>
        <v>Proyecto 4</v>
      </c>
    </row>
    <row r="3374" spans="1:15">
      <c r="A3374" s="9">
        <v>1014976826</v>
      </c>
      <c r="B3374" s="63" t="s">
        <v>61</v>
      </c>
      <c r="C3374" s="62" t="s">
        <v>10048</v>
      </c>
      <c r="D3374" t="s">
        <v>63</v>
      </c>
      <c r="E3374" t="s">
        <v>10259</v>
      </c>
      <c r="F3374" s="61">
        <v>38072</v>
      </c>
      <c r="G3374" s="15" t="s">
        <v>65</v>
      </c>
      <c r="H3374" t="s">
        <v>10260</v>
      </c>
      <c r="I3374" s="62" t="s">
        <v>10261</v>
      </c>
      <c r="K3374" s="36" t="s">
        <v>68</v>
      </c>
      <c r="L3374" t="s">
        <v>69</v>
      </c>
      <c r="M3374" s="62" t="s">
        <v>70</v>
      </c>
      <c r="N3374" t="s">
        <v>10255</v>
      </c>
      <c r="O3374" t="str">
        <f>IFERROR(IF(Tbla_actores[[#This Row],[codigo_proyecto]]="","",_xlfn.XLOOKUP(Tbla_actores[[#This Row],[codigo_proyecto]],Proyectos!$A:$A,Proyectos!$C:$C)),"")</f>
        <v>Proyecto 4</v>
      </c>
    </row>
    <row r="3375" spans="1:15">
      <c r="A3375" s="10">
        <v>1025322006</v>
      </c>
      <c r="B3375" s="64" t="s">
        <v>61</v>
      </c>
      <c r="C3375" s="62" t="s">
        <v>10048</v>
      </c>
      <c r="D3375" t="s">
        <v>63</v>
      </c>
      <c r="E3375" t="s">
        <v>10262</v>
      </c>
      <c r="F3375" s="61">
        <v>38352</v>
      </c>
      <c r="G3375" s="15" t="s">
        <v>73</v>
      </c>
      <c r="H3375" t="s">
        <v>10263</v>
      </c>
      <c r="I3375" s="62" t="s">
        <v>10264</v>
      </c>
      <c r="K3375" s="36" t="s">
        <v>68</v>
      </c>
      <c r="L3375" t="s">
        <v>69</v>
      </c>
      <c r="M3375" s="62" t="s">
        <v>70</v>
      </c>
      <c r="N3375" t="s">
        <v>10255</v>
      </c>
      <c r="O3375" t="str">
        <f>IFERROR(IF(Tbla_actores[[#This Row],[codigo_proyecto]]="","",_xlfn.XLOOKUP(Tbla_actores[[#This Row],[codigo_proyecto]],Proyectos!$A:$A,Proyectos!$C:$C)),"")</f>
        <v>Proyecto 4</v>
      </c>
    </row>
    <row r="3376" spans="1:15">
      <c r="A3376" s="9">
        <v>1014977178</v>
      </c>
      <c r="B3376" s="63" t="s">
        <v>61</v>
      </c>
      <c r="C3376" s="62" t="s">
        <v>10048</v>
      </c>
      <c r="D3376" t="s">
        <v>63</v>
      </c>
      <c r="E3376" t="s">
        <v>10265</v>
      </c>
      <c r="F3376" s="61">
        <v>38201</v>
      </c>
      <c r="G3376" s="15" t="s">
        <v>73</v>
      </c>
      <c r="H3376" t="s">
        <v>10266</v>
      </c>
      <c r="I3376" s="62" t="s">
        <v>10267</v>
      </c>
      <c r="K3376" s="36" t="s">
        <v>68</v>
      </c>
      <c r="L3376" t="s">
        <v>69</v>
      </c>
      <c r="M3376" s="62" t="s">
        <v>70</v>
      </c>
      <c r="N3376" t="s">
        <v>10268</v>
      </c>
      <c r="O3376" t="str">
        <f>IFERROR(IF(Tbla_actores[[#This Row],[codigo_proyecto]]="","",_xlfn.XLOOKUP(Tbla_actores[[#This Row],[codigo_proyecto]],Proyectos!$A:$A,Proyectos!$C:$C)),"")</f>
        <v>Proyecto 7</v>
      </c>
    </row>
    <row r="3377" spans="1:15">
      <c r="A3377" s="10">
        <v>1011081376</v>
      </c>
      <c r="B3377" s="64" t="s">
        <v>61</v>
      </c>
      <c r="C3377" s="62" t="s">
        <v>10048</v>
      </c>
      <c r="D3377" t="s">
        <v>63</v>
      </c>
      <c r="E3377" t="s">
        <v>10269</v>
      </c>
      <c r="F3377" s="61">
        <v>38377</v>
      </c>
      <c r="G3377" s="15" t="s">
        <v>73</v>
      </c>
      <c r="H3377" t="s">
        <v>10270</v>
      </c>
      <c r="I3377" s="62" t="s">
        <v>10271</v>
      </c>
      <c r="K3377" s="36" t="s">
        <v>7671</v>
      </c>
      <c r="L3377" t="s">
        <v>69</v>
      </c>
      <c r="M3377" s="62" t="s">
        <v>70</v>
      </c>
      <c r="N3377" t="s">
        <v>10196</v>
      </c>
      <c r="O3377" t="str">
        <f>IFERROR(IF(Tbla_actores[[#This Row],[codigo_proyecto]]="","",_xlfn.XLOOKUP(Tbla_actores[[#This Row],[codigo_proyecto]],Proyectos!$A:$A,Proyectos!$C:$C)),"")</f>
        <v>Reparación equipos y refuerzo escolar</v>
      </c>
    </row>
    <row r="3378" spans="1:15">
      <c r="A3378" s="9">
        <v>1123800187</v>
      </c>
      <c r="B3378" s="63" t="s">
        <v>61</v>
      </c>
      <c r="C3378" s="62" t="s">
        <v>10048</v>
      </c>
      <c r="D3378" t="s">
        <v>63</v>
      </c>
      <c r="E3378" t="s">
        <v>10272</v>
      </c>
      <c r="F3378" s="61">
        <v>38087</v>
      </c>
      <c r="G3378" s="15" t="s">
        <v>73</v>
      </c>
      <c r="H3378" t="s">
        <v>10273</v>
      </c>
      <c r="I3378" s="62" t="s">
        <v>10274</v>
      </c>
      <c r="K3378" s="36" t="s">
        <v>6427</v>
      </c>
      <c r="L3378" t="s">
        <v>69</v>
      </c>
      <c r="M3378" s="62" t="s">
        <v>70</v>
      </c>
      <c r="N3378" t="s">
        <v>10275</v>
      </c>
      <c r="O3378" t="str">
        <f>IFERROR(IF(Tbla_actores[[#This Row],[codigo_proyecto]]="","",_xlfn.XLOOKUP(Tbla_actores[[#This Row],[codigo_proyecto]],Proyectos!$A:$A,Proyectos!$C:$C)),"")</f>
        <v>Diseño y construcción de maetodologías de almacenamiento y empaque  de alimentos, distribución y manejo de residuos</v>
      </c>
    </row>
    <row r="3379" spans="1:15">
      <c r="A3379" s="10">
        <v>1002248377</v>
      </c>
      <c r="B3379" s="64" t="s">
        <v>61</v>
      </c>
      <c r="C3379" s="62" t="s">
        <v>10048</v>
      </c>
      <c r="D3379" t="s">
        <v>63</v>
      </c>
      <c r="E3379" t="s">
        <v>10276</v>
      </c>
      <c r="F3379" s="61">
        <v>36896</v>
      </c>
      <c r="G3379" s="15" t="s">
        <v>73</v>
      </c>
      <c r="H3379" t="s">
        <v>10277</v>
      </c>
      <c r="I3379" s="62" t="s">
        <v>10278</v>
      </c>
      <c r="K3379" s="36" t="s">
        <v>68</v>
      </c>
      <c r="L3379" t="s">
        <v>69</v>
      </c>
      <c r="M3379" s="62" t="s">
        <v>70</v>
      </c>
      <c r="N3379" t="s">
        <v>10279</v>
      </c>
      <c r="O3379" t="str">
        <f>IFERROR(IF(Tbla_actores[[#This Row],[codigo_proyecto]]="","",_xlfn.XLOOKUP(Tbla_actores[[#This Row],[codigo_proyecto]],Proyectos!$A:$A,Proyectos!$C:$C)),"")</f>
        <v>Proyecto 7</v>
      </c>
    </row>
    <row r="3380" spans="1:15">
      <c r="A3380" s="9">
        <v>1018406122</v>
      </c>
      <c r="B3380" s="63" t="s">
        <v>61</v>
      </c>
      <c r="C3380" s="62" t="s">
        <v>10048</v>
      </c>
      <c r="D3380" t="s">
        <v>63</v>
      </c>
      <c r="E3380" t="s">
        <v>10280</v>
      </c>
      <c r="F3380" s="61">
        <v>38261</v>
      </c>
      <c r="G3380" s="15" t="s">
        <v>73</v>
      </c>
      <c r="H3380" t="s">
        <v>10281</v>
      </c>
      <c r="I3380" s="62" t="s">
        <v>10282</v>
      </c>
      <c r="K3380" s="36" t="s">
        <v>68</v>
      </c>
      <c r="L3380" t="s">
        <v>69</v>
      </c>
      <c r="M3380" s="62" t="s">
        <v>70</v>
      </c>
      <c r="N3380" t="s">
        <v>10268</v>
      </c>
      <c r="O3380" t="str">
        <f>IFERROR(IF(Tbla_actores[[#This Row],[codigo_proyecto]]="","",_xlfn.XLOOKUP(Tbla_actores[[#This Row],[codigo_proyecto]],Proyectos!$A:$A,Proyectos!$C:$C)),"")</f>
        <v>Proyecto 7</v>
      </c>
    </row>
    <row r="3381" spans="1:15">
      <c r="A3381" s="10">
        <v>1019982257</v>
      </c>
      <c r="B3381" s="64" t="s">
        <v>61</v>
      </c>
      <c r="C3381" s="62" t="s">
        <v>10048</v>
      </c>
      <c r="D3381" t="s">
        <v>63</v>
      </c>
      <c r="E3381" t="s">
        <v>10283</v>
      </c>
      <c r="F3381" s="61">
        <v>38040</v>
      </c>
      <c r="G3381" s="15" t="s">
        <v>73</v>
      </c>
      <c r="H3381" t="s">
        <v>10284</v>
      </c>
      <c r="I3381" s="62" t="s">
        <v>10285</v>
      </c>
      <c r="K3381" s="36" t="s">
        <v>7671</v>
      </c>
      <c r="L3381" t="s">
        <v>69</v>
      </c>
      <c r="M3381" s="62" t="s">
        <v>70</v>
      </c>
      <c r="N3381" t="s">
        <v>10056</v>
      </c>
      <c r="O3381" t="str">
        <f>IFERROR(IF(Tbla_actores[[#This Row],[codigo_proyecto]]="","",_xlfn.XLOOKUP(Tbla_actores[[#This Row],[codigo_proyecto]],Proyectos!$A:$A,Proyectos!$C:$C)),"")</f>
        <v>Diagnodtico de necesidades de asesoría técnica para las labores de cuidado</v>
      </c>
    </row>
    <row r="3382" spans="1:15">
      <c r="A3382" s="9">
        <v>1001091893</v>
      </c>
      <c r="B3382" s="63" t="s">
        <v>61</v>
      </c>
      <c r="C3382" s="62" t="s">
        <v>10048</v>
      </c>
      <c r="D3382" t="s">
        <v>63</v>
      </c>
      <c r="E3382" t="s">
        <v>10286</v>
      </c>
      <c r="F3382" s="61">
        <v>37596</v>
      </c>
      <c r="G3382" s="15" t="s">
        <v>73</v>
      </c>
      <c r="H3382" t="s">
        <v>10287</v>
      </c>
      <c r="I3382" s="62" t="s">
        <v>10288</v>
      </c>
      <c r="K3382" s="36" t="s">
        <v>1489</v>
      </c>
      <c r="L3382" t="s">
        <v>69</v>
      </c>
      <c r="M3382" s="62" t="s">
        <v>70</v>
      </c>
      <c r="N3382" t="s">
        <v>10185</v>
      </c>
      <c r="O3382" t="str">
        <f>IFERROR(IF(Tbla_actores[[#This Row],[codigo_proyecto]]="","",_xlfn.XLOOKUP(Tbla_actores[[#This Row],[codigo_proyecto]],Proyectos!$A:$A,Proyectos!$C:$C)),"")</f>
        <v>Sistema Antiescape en dispositivos de cuidado residencial</v>
      </c>
    </row>
    <row r="3383" spans="1:15">
      <c r="A3383" s="10">
        <v>1027150362</v>
      </c>
      <c r="B3383" s="64" t="s">
        <v>61</v>
      </c>
      <c r="C3383" s="62" t="s">
        <v>10048</v>
      </c>
      <c r="D3383" t="s">
        <v>63</v>
      </c>
      <c r="E3383" t="s">
        <v>10289</v>
      </c>
      <c r="F3383" s="61">
        <v>38141</v>
      </c>
      <c r="G3383" s="15" t="s">
        <v>73</v>
      </c>
      <c r="H3383" t="s">
        <v>10290</v>
      </c>
      <c r="I3383" s="62" t="s">
        <v>10291</v>
      </c>
      <c r="K3383" s="36" t="s">
        <v>68</v>
      </c>
      <c r="L3383" t="s">
        <v>69</v>
      </c>
      <c r="M3383" s="62" t="s">
        <v>70</v>
      </c>
      <c r="N3383" t="s">
        <v>10279</v>
      </c>
      <c r="O3383" t="str">
        <f>IFERROR(IF(Tbla_actores[[#This Row],[codigo_proyecto]]="","",_xlfn.XLOOKUP(Tbla_actores[[#This Row],[codigo_proyecto]],Proyectos!$A:$A,Proyectos!$C:$C)),"")</f>
        <v>Proyecto 7</v>
      </c>
    </row>
    <row r="3384" spans="1:15">
      <c r="A3384" s="9">
        <v>1000519267</v>
      </c>
      <c r="B3384" s="63" t="s">
        <v>61</v>
      </c>
      <c r="C3384" s="62" t="s">
        <v>10048</v>
      </c>
      <c r="D3384" t="s">
        <v>63</v>
      </c>
      <c r="E3384" t="s">
        <v>10292</v>
      </c>
      <c r="F3384" s="61">
        <v>37605</v>
      </c>
      <c r="G3384" s="15" t="s">
        <v>73</v>
      </c>
      <c r="H3384" t="s">
        <v>10293</v>
      </c>
      <c r="I3384" s="62" t="s">
        <v>10294</v>
      </c>
      <c r="K3384" s="36" t="s">
        <v>68</v>
      </c>
      <c r="L3384" t="s">
        <v>69</v>
      </c>
      <c r="M3384" s="62" t="s">
        <v>70</v>
      </c>
      <c r="N3384" t="s">
        <v>10268</v>
      </c>
      <c r="O3384" t="str">
        <f>IFERROR(IF(Tbla_actores[[#This Row],[codigo_proyecto]]="","",_xlfn.XLOOKUP(Tbla_actores[[#This Row],[codigo_proyecto]],Proyectos!$A:$A,Proyectos!$C:$C)),"")</f>
        <v>Proyecto 7</v>
      </c>
    </row>
    <row r="3385" spans="1:15">
      <c r="A3385" s="10">
        <v>1000589203</v>
      </c>
      <c r="B3385" s="64" t="s">
        <v>61</v>
      </c>
      <c r="C3385" s="62" t="s">
        <v>10048</v>
      </c>
      <c r="D3385" t="s">
        <v>63</v>
      </c>
      <c r="E3385" t="s">
        <v>10295</v>
      </c>
      <c r="F3385" s="61">
        <v>37125</v>
      </c>
      <c r="G3385" s="15" t="s">
        <v>73</v>
      </c>
      <c r="H3385" t="s">
        <v>10296</v>
      </c>
      <c r="I3385" s="62" t="s">
        <v>10297</v>
      </c>
      <c r="K3385" s="36" t="s">
        <v>68</v>
      </c>
      <c r="L3385" t="s">
        <v>69</v>
      </c>
      <c r="M3385" s="62" t="s">
        <v>70</v>
      </c>
      <c r="N3385" t="s">
        <v>10279</v>
      </c>
      <c r="O3385" t="str">
        <f>IFERROR(IF(Tbla_actores[[#This Row],[codigo_proyecto]]="","",_xlfn.XLOOKUP(Tbla_actores[[#This Row],[codigo_proyecto]],Proyectos!$A:$A,Proyectos!$C:$C)),"")</f>
        <v>Proyecto 7</v>
      </c>
    </row>
    <row r="3386" spans="1:15">
      <c r="A3386" s="9">
        <v>1001065472</v>
      </c>
      <c r="B3386" s="63" t="s">
        <v>61</v>
      </c>
      <c r="C3386" s="62" t="s">
        <v>10048</v>
      </c>
      <c r="D3386" t="s">
        <v>63</v>
      </c>
      <c r="E3386" t="s">
        <v>10298</v>
      </c>
      <c r="F3386" s="61">
        <v>37902</v>
      </c>
      <c r="G3386" s="15" t="s">
        <v>65</v>
      </c>
      <c r="H3386" t="s">
        <v>10299</v>
      </c>
      <c r="I3386" s="62" t="s">
        <v>10300</v>
      </c>
      <c r="K3386" s="36" t="s">
        <v>6427</v>
      </c>
      <c r="L3386" t="s">
        <v>69</v>
      </c>
      <c r="M3386" s="62" t="s">
        <v>70</v>
      </c>
      <c r="N3386" t="s">
        <v>10275</v>
      </c>
      <c r="O3386" t="str">
        <f>IFERROR(IF(Tbla_actores[[#This Row],[codigo_proyecto]]="","",_xlfn.XLOOKUP(Tbla_actores[[#This Row],[codigo_proyecto]],Proyectos!$A:$A,Proyectos!$C:$C)),"")</f>
        <v>Diseño y construcción de maetodologías de almacenamiento y empaque  de alimentos, distribución y manejo de residuos</v>
      </c>
    </row>
    <row r="3387" spans="1:15">
      <c r="A3387" s="10">
        <v>1021633053</v>
      </c>
      <c r="B3387" s="64" t="s">
        <v>61</v>
      </c>
      <c r="C3387" s="62" t="s">
        <v>10048</v>
      </c>
      <c r="D3387" t="s">
        <v>63</v>
      </c>
      <c r="E3387" t="s">
        <v>10301</v>
      </c>
      <c r="F3387" s="61">
        <v>38255</v>
      </c>
      <c r="G3387" s="15" t="s">
        <v>65</v>
      </c>
      <c r="H3387" t="s">
        <v>10302</v>
      </c>
      <c r="I3387" s="62" t="s">
        <v>10303</v>
      </c>
      <c r="K3387" s="36" t="s">
        <v>68</v>
      </c>
      <c r="L3387" t="s">
        <v>69</v>
      </c>
      <c r="M3387" s="62" t="s">
        <v>70</v>
      </c>
      <c r="N3387" t="s">
        <v>10268</v>
      </c>
      <c r="O3387" t="str">
        <f>IFERROR(IF(Tbla_actores[[#This Row],[codigo_proyecto]]="","",_xlfn.XLOOKUP(Tbla_actores[[#This Row],[codigo_proyecto]],Proyectos!$A:$A,Proyectos!$C:$C)),"")</f>
        <v>Proyecto 7</v>
      </c>
    </row>
    <row r="3388" spans="1:15">
      <c r="A3388" s="9">
        <v>1000456136</v>
      </c>
      <c r="B3388" s="63" t="s">
        <v>61</v>
      </c>
      <c r="C3388" s="62" t="s">
        <v>10048</v>
      </c>
      <c r="D3388" t="s">
        <v>63</v>
      </c>
      <c r="E3388" t="s">
        <v>10304</v>
      </c>
      <c r="F3388" s="61">
        <v>37505</v>
      </c>
      <c r="G3388" s="15" t="s">
        <v>65</v>
      </c>
      <c r="H3388" t="s">
        <v>10305</v>
      </c>
      <c r="I3388" s="62" t="s">
        <v>10306</v>
      </c>
      <c r="K3388" s="36" t="s">
        <v>68</v>
      </c>
      <c r="L3388" t="s">
        <v>69</v>
      </c>
      <c r="M3388" s="62" t="s">
        <v>70</v>
      </c>
      <c r="N3388" t="s">
        <v>10279</v>
      </c>
      <c r="O3388" t="str">
        <f>IFERROR(IF(Tbla_actores[[#This Row],[codigo_proyecto]]="","",_xlfn.XLOOKUP(Tbla_actores[[#This Row],[codigo_proyecto]],Proyectos!$A:$A,Proyectos!$C:$C)),"")</f>
        <v>Proyecto 7</v>
      </c>
    </row>
    <row r="3389" spans="1:15">
      <c r="A3389" s="10">
        <v>1000611938</v>
      </c>
      <c r="B3389" s="64" t="s">
        <v>61</v>
      </c>
      <c r="C3389" s="62" t="s">
        <v>10048</v>
      </c>
      <c r="D3389" t="s">
        <v>63</v>
      </c>
      <c r="E3389" t="s">
        <v>10307</v>
      </c>
      <c r="F3389" s="61">
        <v>37879</v>
      </c>
      <c r="G3389" s="15" t="s">
        <v>73</v>
      </c>
      <c r="H3389" t="s">
        <v>10308</v>
      </c>
      <c r="I3389" s="62" t="s">
        <v>10309</v>
      </c>
      <c r="K3389" s="36" t="s">
        <v>6427</v>
      </c>
      <c r="L3389" t="s">
        <v>69</v>
      </c>
      <c r="M3389" s="62" t="s">
        <v>70</v>
      </c>
      <c r="N3389" t="s">
        <v>10275</v>
      </c>
      <c r="O3389" t="str">
        <f>IFERROR(IF(Tbla_actores[[#This Row],[codigo_proyecto]]="","",_xlfn.XLOOKUP(Tbla_actores[[#This Row],[codigo_proyecto]],Proyectos!$A:$A,Proyectos!$C:$C)),"")</f>
        <v>Diseño y construcción de maetodologías de almacenamiento y empaque  de alimentos, distribución y manejo de residuos</v>
      </c>
    </row>
    <row r="3390" spans="1:15">
      <c r="A3390" s="9">
        <v>1032797823</v>
      </c>
      <c r="B3390" s="63" t="s">
        <v>61</v>
      </c>
      <c r="C3390" s="62" t="s">
        <v>10048</v>
      </c>
      <c r="D3390" t="s">
        <v>63</v>
      </c>
      <c r="E3390" t="s">
        <v>10310</v>
      </c>
      <c r="F3390" s="61">
        <v>38252</v>
      </c>
      <c r="G3390" s="15" t="s">
        <v>65</v>
      </c>
      <c r="H3390" t="s">
        <v>10311</v>
      </c>
      <c r="I3390" s="62" t="s">
        <v>10312</v>
      </c>
      <c r="K3390" s="36" t="s">
        <v>6427</v>
      </c>
      <c r="L3390" t="s">
        <v>69</v>
      </c>
      <c r="M3390" s="62" t="s">
        <v>70</v>
      </c>
      <c r="N3390" t="s">
        <v>10275</v>
      </c>
      <c r="O3390" t="str">
        <f>IFERROR(IF(Tbla_actores[[#This Row],[codigo_proyecto]]="","",_xlfn.XLOOKUP(Tbla_actores[[#This Row],[codigo_proyecto]],Proyectos!$A:$A,Proyectos!$C:$C)),"")</f>
        <v>Diseño y construcción de maetodologías de almacenamiento y empaque  de alimentos, distribución y manejo de residuos</v>
      </c>
    </row>
    <row r="3391" spans="1:15">
      <c r="A3391" s="10">
        <v>1084450234</v>
      </c>
      <c r="B3391" s="64" t="s">
        <v>61</v>
      </c>
      <c r="C3391" s="62" t="s">
        <v>10048</v>
      </c>
      <c r="D3391" t="s">
        <v>63</v>
      </c>
      <c r="E3391" t="s">
        <v>10313</v>
      </c>
      <c r="F3391" s="61">
        <v>37920</v>
      </c>
      <c r="G3391" s="15" t="s">
        <v>73</v>
      </c>
      <c r="H3391" t="s">
        <v>10314</v>
      </c>
      <c r="I3391" s="62" t="s">
        <v>10315</v>
      </c>
      <c r="K3391" s="36" t="s">
        <v>68</v>
      </c>
      <c r="L3391" t="s">
        <v>69</v>
      </c>
      <c r="M3391" s="62" t="s">
        <v>70</v>
      </c>
      <c r="N3391" t="s">
        <v>10080</v>
      </c>
      <c r="O3391" t="str">
        <f>IFERROR(IF(Tbla_actores[[#This Row],[codigo_proyecto]]="","",_xlfn.XLOOKUP(Tbla_actores[[#This Row],[codigo_proyecto]],Proyectos!$A:$A,Proyectos!$C:$C)),"")</f>
        <v>Proyecto 1</v>
      </c>
    </row>
    <row r="3392" spans="1:15">
      <c r="A3392" s="9">
        <v>1014861178</v>
      </c>
      <c r="B3392" s="63" t="s">
        <v>61</v>
      </c>
      <c r="C3392" s="62" t="s">
        <v>10048</v>
      </c>
      <c r="D3392" t="s">
        <v>63</v>
      </c>
      <c r="E3392" t="s">
        <v>10316</v>
      </c>
      <c r="F3392" s="61">
        <v>38755</v>
      </c>
      <c r="G3392" s="15" t="s">
        <v>73</v>
      </c>
      <c r="H3392" t="s">
        <v>10317</v>
      </c>
      <c r="I3392" s="62" t="s">
        <v>10318</v>
      </c>
      <c r="K3392" s="36" t="s">
        <v>68</v>
      </c>
      <c r="L3392" t="s">
        <v>69</v>
      </c>
      <c r="M3392" s="62" t="s">
        <v>70</v>
      </c>
      <c r="N3392" t="s">
        <v>10080</v>
      </c>
      <c r="O3392" t="str">
        <f>IFERROR(IF(Tbla_actores[[#This Row],[codigo_proyecto]]="","",_xlfn.XLOOKUP(Tbla_actores[[#This Row],[codigo_proyecto]],Proyectos!$A:$A,Proyectos!$C:$C)),"")</f>
        <v>Proyecto 1</v>
      </c>
    </row>
    <row r="3393" spans="1:15">
      <c r="A3393" s="10">
        <v>1011090123</v>
      </c>
      <c r="B3393" s="64" t="s">
        <v>61</v>
      </c>
      <c r="C3393" s="62" t="s">
        <v>10048</v>
      </c>
      <c r="D3393" t="s">
        <v>63</v>
      </c>
      <c r="E3393" t="s">
        <v>10319</v>
      </c>
      <c r="F3393" s="61">
        <v>38696</v>
      </c>
      <c r="G3393" s="15" t="s">
        <v>65</v>
      </c>
      <c r="H3393" t="s">
        <v>10320</v>
      </c>
      <c r="I3393" s="62" t="s">
        <v>10321</v>
      </c>
      <c r="K3393" s="36" t="s">
        <v>68</v>
      </c>
      <c r="L3393" t="s">
        <v>69</v>
      </c>
      <c r="M3393" s="62" t="s">
        <v>70</v>
      </c>
      <c r="N3393" t="s">
        <v>10080</v>
      </c>
      <c r="O3393" t="str">
        <f>IFERROR(IF(Tbla_actores[[#This Row],[codigo_proyecto]]="","",_xlfn.XLOOKUP(Tbla_actores[[#This Row],[codigo_proyecto]],Proyectos!$A:$A,Proyectos!$C:$C)),"")</f>
        <v>Proyecto 1</v>
      </c>
    </row>
    <row r="3394" spans="1:15">
      <c r="A3394" s="9">
        <v>1032509751</v>
      </c>
      <c r="B3394" s="63" t="s">
        <v>61</v>
      </c>
      <c r="C3394" s="62" t="s">
        <v>10048</v>
      </c>
      <c r="D3394" t="s">
        <v>63</v>
      </c>
      <c r="E3394" t="s">
        <v>10322</v>
      </c>
      <c r="F3394" s="61">
        <v>38156</v>
      </c>
      <c r="G3394" s="15" t="s">
        <v>73</v>
      </c>
      <c r="H3394" t="s">
        <v>10323</v>
      </c>
      <c r="I3394" s="62" t="s">
        <v>10324</v>
      </c>
      <c r="K3394" s="36" t="s">
        <v>68</v>
      </c>
      <c r="L3394" t="s">
        <v>69</v>
      </c>
      <c r="M3394" s="62" t="s">
        <v>70</v>
      </c>
      <c r="N3394" t="s">
        <v>10084</v>
      </c>
      <c r="O3394" t="str">
        <f>IFERROR(IF(Tbla_actores[[#This Row],[codigo_proyecto]]="","",_xlfn.XLOOKUP(Tbla_actores[[#This Row],[codigo_proyecto]],Proyectos!$A:$A,Proyectos!$C:$C)),"")</f>
        <v>Proyecto 5</v>
      </c>
    </row>
    <row r="3395" spans="1:15">
      <c r="A3395" s="10">
        <v>1013036942</v>
      </c>
      <c r="B3395" s="64" t="s">
        <v>61</v>
      </c>
      <c r="C3395" s="62" t="s">
        <v>10048</v>
      </c>
      <c r="D3395" t="s">
        <v>63</v>
      </c>
      <c r="E3395" t="s">
        <v>10325</v>
      </c>
      <c r="F3395" s="61">
        <v>38045</v>
      </c>
      <c r="G3395" s="15" t="s">
        <v>73</v>
      </c>
      <c r="H3395" t="s">
        <v>10326</v>
      </c>
      <c r="I3395" s="62" t="s">
        <v>10327</v>
      </c>
      <c r="K3395" s="36" t="s">
        <v>6427</v>
      </c>
      <c r="L3395" t="s">
        <v>69</v>
      </c>
      <c r="M3395" s="62" t="s">
        <v>70</v>
      </c>
      <c r="N3395" t="s">
        <v>10328</v>
      </c>
      <c r="O3395" t="str">
        <f>IFERROR(IF(Tbla_actores[[#This Row],[codigo_proyecto]]="","",_xlfn.XLOOKUP(Tbla_actores[[#This Row],[codigo_proyecto]],Proyectos!$A:$A,Proyectos!$C:$C)),"")</f>
        <v xml:space="preserve">Elaboración y análisis de compostaje </v>
      </c>
    </row>
    <row r="3396" spans="1:15">
      <c r="A3396" s="9">
        <v>1023242196</v>
      </c>
      <c r="B3396" s="63" t="s">
        <v>61</v>
      </c>
      <c r="C3396" s="62" t="s">
        <v>10048</v>
      </c>
      <c r="D3396" t="s">
        <v>63</v>
      </c>
      <c r="E3396" t="s">
        <v>10329</v>
      </c>
      <c r="F3396" s="61">
        <v>38190</v>
      </c>
      <c r="G3396" s="15" t="s">
        <v>73</v>
      </c>
      <c r="H3396" t="s">
        <v>10330</v>
      </c>
      <c r="I3396" s="62" t="s">
        <v>10331</v>
      </c>
      <c r="K3396" s="36" t="s">
        <v>7284</v>
      </c>
      <c r="L3396" t="s">
        <v>69</v>
      </c>
      <c r="M3396" s="62" t="s">
        <v>70</v>
      </c>
      <c r="N3396" t="s">
        <v>10332</v>
      </c>
      <c r="O3396" t="str">
        <f>IFERROR(IF(Tbla_actores[[#This Row],[codigo_proyecto]]="","",_xlfn.XLOOKUP(Tbla_actores[[#This Row],[codigo_proyecto]],Proyectos!$A:$A,Proyectos!$C:$C)),"")</f>
        <v xml:space="preserve"> Diseño   de equipos y elaboración de proptotipos con sus hojas técnicas </v>
      </c>
    </row>
    <row r="3397" spans="1:15">
      <c r="A3397" s="10">
        <v>1013258451</v>
      </c>
      <c r="B3397" s="64" t="s">
        <v>61</v>
      </c>
      <c r="C3397" s="62" t="s">
        <v>10048</v>
      </c>
      <c r="D3397" t="s">
        <v>63</v>
      </c>
      <c r="E3397" t="s">
        <v>10333</v>
      </c>
      <c r="F3397" s="61">
        <v>38321</v>
      </c>
      <c r="G3397" s="15" t="s">
        <v>73</v>
      </c>
      <c r="H3397" t="s">
        <v>10334</v>
      </c>
      <c r="I3397" s="62" t="s">
        <v>10335</v>
      </c>
      <c r="K3397" s="36" t="s">
        <v>68</v>
      </c>
      <c r="L3397" t="s">
        <v>69</v>
      </c>
      <c r="M3397" s="62" t="s">
        <v>70</v>
      </c>
      <c r="N3397" t="s">
        <v>10084</v>
      </c>
      <c r="O3397" t="str">
        <f>IFERROR(IF(Tbla_actores[[#This Row],[codigo_proyecto]]="","",_xlfn.XLOOKUP(Tbla_actores[[#This Row],[codigo_proyecto]],Proyectos!$A:$A,Proyectos!$C:$C)),"")</f>
        <v>Proyecto 5</v>
      </c>
    </row>
    <row r="3398" spans="1:15">
      <c r="A3398" s="9">
        <v>1014977100</v>
      </c>
      <c r="B3398" s="63" t="s">
        <v>61</v>
      </c>
      <c r="C3398" s="62" t="s">
        <v>10048</v>
      </c>
      <c r="D3398" t="s">
        <v>63</v>
      </c>
      <c r="E3398" t="s">
        <v>10336</v>
      </c>
      <c r="F3398" s="61">
        <v>38171</v>
      </c>
      <c r="G3398" s="15" t="s">
        <v>65</v>
      </c>
      <c r="H3398" t="s">
        <v>10337</v>
      </c>
      <c r="I3398" s="62" t="s">
        <v>10338</v>
      </c>
      <c r="K3398" s="36" t="s">
        <v>7284</v>
      </c>
      <c r="L3398" t="s">
        <v>69</v>
      </c>
      <c r="M3398" s="62" t="s">
        <v>70</v>
      </c>
      <c r="N3398" t="s">
        <v>10332</v>
      </c>
      <c r="O3398" t="str">
        <f>IFERROR(IF(Tbla_actores[[#This Row],[codigo_proyecto]]="","",_xlfn.XLOOKUP(Tbla_actores[[#This Row],[codigo_proyecto]],Proyectos!$A:$A,Proyectos!$C:$C)),"")</f>
        <v xml:space="preserve"> Diseño   de equipos y elaboración de proptotipos con sus hojas técnicas </v>
      </c>
    </row>
    <row r="3399" spans="1:15">
      <c r="A3399" s="10">
        <v>1021393832</v>
      </c>
      <c r="B3399" s="64" t="s">
        <v>61</v>
      </c>
      <c r="C3399" s="62" t="s">
        <v>10048</v>
      </c>
      <c r="D3399" t="s">
        <v>63</v>
      </c>
      <c r="E3399" t="s">
        <v>10339</v>
      </c>
      <c r="F3399" s="61">
        <v>38278</v>
      </c>
      <c r="G3399" s="15" t="s">
        <v>73</v>
      </c>
      <c r="H3399" t="s">
        <v>10340</v>
      </c>
      <c r="I3399" s="62" t="s">
        <v>10341</v>
      </c>
      <c r="K3399" s="36" t="s">
        <v>7671</v>
      </c>
      <c r="L3399" t="s">
        <v>69</v>
      </c>
      <c r="M3399" s="62" t="s">
        <v>70</v>
      </c>
      <c r="N3399" t="s">
        <v>10185</v>
      </c>
      <c r="O3399" t="str">
        <f>IFERROR(IF(Tbla_actores[[#This Row],[codigo_proyecto]]="","",_xlfn.XLOOKUP(Tbla_actores[[#This Row],[codigo_proyecto]],Proyectos!$A:$A,Proyectos!$C:$C)),"")</f>
        <v>Sistema Antiescape en dispositivos de cuidado residencial</v>
      </c>
    </row>
    <row r="3400" spans="1:15">
      <c r="A3400" s="9">
        <v>1000590133</v>
      </c>
      <c r="B3400" s="63" t="s">
        <v>61</v>
      </c>
      <c r="C3400" s="62" t="s">
        <v>10048</v>
      </c>
      <c r="D3400" t="s">
        <v>63</v>
      </c>
      <c r="E3400" t="s">
        <v>10342</v>
      </c>
      <c r="F3400" s="61">
        <v>37462</v>
      </c>
      <c r="G3400" s="15" t="s">
        <v>65</v>
      </c>
      <c r="H3400" t="s">
        <v>10343</v>
      </c>
      <c r="I3400" s="62" t="s">
        <v>10344</v>
      </c>
      <c r="K3400" s="36" t="s">
        <v>7671</v>
      </c>
      <c r="L3400" t="s">
        <v>69</v>
      </c>
      <c r="M3400" s="62" t="s">
        <v>70</v>
      </c>
      <c r="N3400" t="s">
        <v>10181</v>
      </c>
      <c r="O3400" t="str">
        <f>IFERROR(IF(Tbla_actores[[#This Row],[codigo_proyecto]]="","",_xlfn.XLOOKUP(Tbla_actores[[#This Row],[codigo_proyecto]],Proyectos!$A:$A,Proyectos!$C:$C)),"")</f>
        <v>Reparación de Electrodomésticos BA</v>
      </c>
    </row>
    <row r="3401" spans="1:15">
      <c r="A3401" s="10">
        <v>1027281240</v>
      </c>
      <c r="B3401" s="64" t="s">
        <v>61</v>
      </c>
      <c r="C3401" s="62" t="s">
        <v>10048</v>
      </c>
      <c r="D3401" t="s">
        <v>63</v>
      </c>
      <c r="E3401" t="s">
        <v>10345</v>
      </c>
      <c r="F3401" s="61">
        <v>38361</v>
      </c>
      <c r="G3401" s="15" t="s">
        <v>73</v>
      </c>
      <c r="H3401" t="s">
        <v>10346</v>
      </c>
      <c r="I3401" s="62" t="s">
        <v>10347</v>
      </c>
      <c r="K3401" s="36" t="s">
        <v>68</v>
      </c>
      <c r="L3401" t="s">
        <v>69</v>
      </c>
      <c r="M3401" s="62" t="s">
        <v>70</v>
      </c>
      <c r="N3401" t="s">
        <v>10084</v>
      </c>
      <c r="O3401" t="str">
        <f>IFERROR(IF(Tbla_actores[[#This Row],[codigo_proyecto]]="","",_xlfn.XLOOKUP(Tbla_actores[[#This Row],[codigo_proyecto]],Proyectos!$A:$A,Proyectos!$C:$C)),"")</f>
        <v>Proyecto 5</v>
      </c>
    </row>
    <row r="3402" spans="1:15">
      <c r="A3402" s="9">
        <v>1070588020</v>
      </c>
      <c r="B3402" s="63" t="s">
        <v>61</v>
      </c>
      <c r="C3402" s="62" t="s">
        <v>10048</v>
      </c>
      <c r="D3402" t="s">
        <v>63</v>
      </c>
      <c r="E3402" t="s">
        <v>10348</v>
      </c>
      <c r="F3402" s="61">
        <v>38411</v>
      </c>
      <c r="G3402" s="15" t="s">
        <v>73</v>
      </c>
      <c r="H3402" t="s">
        <v>10349</v>
      </c>
      <c r="I3402" s="62" t="s">
        <v>10350</v>
      </c>
      <c r="K3402" s="36" t="s">
        <v>68</v>
      </c>
      <c r="L3402" t="s">
        <v>69</v>
      </c>
      <c r="M3402" s="62" t="s">
        <v>70</v>
      </c>
      <c r="N3402" t="s">
        <v>10084</v>
      </c>
      <c r="O3402" t="str">
        <f>IFERROR(IF(Tbla_actores[[#This Row],[codigo_proyecto]]="","",_xlfn.XLOOKUP(Tbla_actores[[#This Row],[codigo_proyecto]],Proyectos!$A:$A,Proyectos!$C:$C)),"")</f>
        <v>Proyecto 5</v>
      </c>
    </row>
    <row r="3403" spans="1:15">
      <c r="A3403" s="10">
        <v>1053442784</v>
      </c>
      <c r="B3403" s="64" t="s">
        <v>61</v>
      </c>
      <c r="C3403" s="62" t="s">
        <v>10048</v>
      </c>
      <c r="D3403" t="s">
        <v>63</v>
      </c>
      <c r="E3403" t="s">
        <v>10351</v>
      </c>
      <c r="F3403" s="61">
        <v>38456</v>
      </c>
      <c r="G3403" s="15" t="s">
        <v>73</v>
      </c>
      <c r="H3403" t="s">
        <v>10352</v>
      </c>
      <c r="I3403" s="62" t="s">
        <v>10353</v>
      </c>
      <c r="K3403" s="36" t="s">
        <v>7284</v>
      </c>
      <c r="L3403" t="s">
        <v>69</v>
      </c>
      <c r="M3403" s="62" t="s">
        <v>70</v>
      </c>
      <c r="N3403" t="s">
        <v>10332</v>
      </c>
      <c r="O3403" t="str">
        <f>IFERROR(IF(Tbla_actores[[#This Row],[codigo_proyecto]]="","",_xlfn.XLOOKUP(Tbla_actores[[#This Row],[codigo_proyecto]],Proyectos!$A:$A,Proyectos!$C:$C)),"")</f>
        <v xml:space="preserve"> Diseño   de equipos y elaboración de proptotipos con sus hojas técnicas </v>
      </c>
    </row>
    <row r="3404" spans="1:15">
      <c r="A3404" s="9">
        <v>1105461066</v>
      </c>
      <c r="B3404" s="63" t="s">
        <v>61</v>
      </c>
      <c r="C3404" s="62" t="s">
        <v>10048</v>
      </c>
      <c r="D3404" t="s">
        <v>63</v>
      </c>
      <c r="E3404" t="s">
        <v>10354</v>
      </c>
      <c r="F3404" s="61">
        <v>38275</v>
      </c>
      <c r="G3404" s="15" t="s">
        <v>73</v>
      </c>
      <c r="H3404" t="s">
        <v>10355</v>
      </c>
      <c r="I3404" s="62" t="s">
        <v>10356</v>
      </c>
      <c r="K3404" s="36" t="s">
        <v>68</v>
      </c>
      <c r="L3404" t="s">
        <v>69</v>
      </c>
      <c r="M3404" s="62" t="s">
        <v>70</v>
      </c>
      <c r="N3404" t="s">
        <v>10084</v>
      </c>
      <c r="O3404" t="str">
        <f>IFERROR(IF(Tbla_actores[[#This Row],[codigo_proyecto]]="","",_xlfn.XLOOKUP(Tbla_actores[[#This Row],[codigo_proyecto]],Proyectos!$A:$A,Proyectos!$C:$C)),"")</f>
        <v>Proyecto 5</v>
      </c>
    </row>
    <row r="3405" spans="1:15">
      <c r="A3405" s="10">
        <v>1014859015</v>
      </c>
      <c r="B3405" s="64" t="s">
        <v>61</v>
      </c>
      <c r="C3405" s="62" t="s">
        <v>10048</v>
      </c>
      <c r="D3405" t="s">
        <v>63</v>
      </c>
      <c r="E3405" t="s">
        <v>10357</v>
      </c>
      <c r="F3405" s="61">
        <v>38540</v>
      </c>
      <c r="G3405" s="15" t="s">
        <v>73</v>
      </c>
      <c r="H3405" t="s">
        <v>10358</v>
      </c>
      <c r="I3405" s="62" t="s">
        <v>10359</v>
      </c>
      <c r="K3405" s="36" t="s">
        <v>169</v>
      </c>
      <c r="L3405" t="s">
        <v>69</v>
      </c>
      <c r="M3405" s="62" t="s">
        <v>170</v>
      </c>
      <c r="N3405" t="s">
        <v>10360</v>
      </c>
      <c r="O3405" t="str">
        <f>IFERROR(IF(Tbla_actores[[#This Row],[codigo_proyecto]]="","",_xlfn.XLOOKUP(Tbla_actores[[#This Row],[codigo_proyecto]],Proyectos!$A:$A,Proyectos!$C:$C)),"")</f>
        <v>Mejoramiento procesos alistamiento alimentos.</v>
      </c>
    </row>
    <row r="3406" spans="1:15">
      <c r="A3406" s="9">
        <v>1107975070</v>
      </c>
      <c r="B3406" s="63" t="s">
        <v>61</v>
      </c>
      <c r="C3406" s="62" t="s">
        <v>10048</v>
      </c>
      <c r="D3406" t="s">
        <v>63</v>
      </c>
      <c r="E3406" t="s">
        <v>10361</v>
      </c>
      <c r="F3406" s="61">
        <v>38258</v>
      </c>
      <c r="G3406" s="15" t="s">
        <v>73</v>
      </c>
      <c r="H3406" t="s">
        <v>10362</v>
      </c>
      <c r="I3406" s="62" t="s">
        <v>10363</v>
      </c>
      <c r="K3406" s="36" t="s">
        <v>68</v>
      </c>
      <c r="L3406" t="s">
        <v>69</v>
      </c>
      <c r="M3406" s="62" t="s">
        <v>70</v>
      </c>
      <c r="N3406" t="s">
        <v>10084</v>
      </c>
      <c r="O3406" t="str">
        <f>IFERROR(IF(Tbla_actores[[#This Row],[codigo_proyecto]]="","",_xlfn.XLOOKUP(Tbla_actores[[#This Row],[codigo_proyecto]],Proyectos!$A:$A,Proyectos!$C:$C)),"")</f>
        <v>Proyecto 5</v>
      </c>
    </row>
    <row r="3407" spans="1:15">
      <c r="A3407" s="10">
        <v>1034777735</v>
      </c>
      <c r="B3407" s="64" t="s">
        <v>61</v>
      </c>
      <c r="C3407" s="62" t="s">
        <v>10048</v>
      </c>
      <c r="D3407" t="s">
        <v>63</v>
      </c>
      <c r="E3407" t="s">
        <v>10364</v>
      </c>
      <c r="F3407" s="61">
        <v>38309</v>
      </c>
      <c r="G3407" s="15" t="s">
        <v>65</v>
      </c>
      <c r="H3407" t="s">
        <v>10365</v>
      </c>
      <c r="I3407" s="62" t="s">
        <v>10366</v>
      </c>
      <c r="K3407" s="36" t="s">
        <v>7671</v>
      </c>
      <c r="L3407" t="s">
        <v>69</v>
      </c>
      <c r="M3407" s="62" t="s">
        <v>70</v>
      </c>
      <c r="N3407" t="s">
        <v>10367</v>
      </c>
      <c r="O3407" t="str">
        <f>IFERROR(IF(Tbla_actores[[#This Row],[codigo_proyecto]]="","",_xlfn.XLOOKUP(Tbla_actores[[#This Row],[codigo_proyecto]],Proyectos!$A:$A,Proyectos!$C:$C)),"")</f>
        <v>Diseño y construcción  de sistemas  digitale,  visuales y manuales  para audiometría</v>
      </c>
    </row>
    <row r="3408" spans="1:15">
      <c r="A3408" s="9">
        <v>1044211717</v>
      </c>
      <c r="B3408" s="63" t="s">
        <v>61</v>
      </c>
      <c r="C3408" s="62" t="s">
        <v>10048</v>
      </c>
      <c r="D3408" t="s">
        <v>63</v>
      </c>
      <c r="E3408" t="s">
        <v>10368</v>
      </c>
      <c r="F3408" s="61">
        <v>38237</v>
      </c>
      <c r="G3408" s="15" t="s">
        <v>65</v>
      </c>
      <c r="H3408" t="s">
        <v>10369</v>
      </c>
      <c r="I3408" s="62" t="s">
        <v>10370</v>
      </c>
      <c r="K3408" s="36" t="s">
        <v>6427</v>
      </c>
      <c r="L3408" t="s">
        <v>69</v>
      </c>
      <c r="M3408" s="62" t="s">
        <v>70</v>
      </c>
      <c r="N3408" t="s">
        <v>10328</v>
      </c>
      <c r="O3408" t="str">
        <f>IFERROR(IF(Tbla_actores[[#This Row],[codigo_proyecto]]="","",_xlfn.XLOOKUP(Tbla_actores[[#This Row],[codigo_proyecto]],Proyectos!$A:$A,Proyectos!$C:$C)),"")</f>
        <v xml:space="preserve">Elaboración y análisis de compostaje </v>
      </c>
    </row>
    <row r="3409" spans="1:15">
      <c r="A3409" s="10">
        <v>1000971388</v>
      </c>
      <c r="B3409" s="64" t="s">
        <v>61</v>
      </c>
      <c r="C3409" s="62" t="s">
        <v>10048</v>
      </c>
      <c r="D3409" t="s">
        <v>63</v>
      </c>
      <c r="E3409" t="s">
        <v>10371</v>
      </c>
      <c r="F3409" s="61">
        <v>37979</v>
      </c>
      <c r="G3409" s="15" t="s">
        <v>73</v>
      </c>
      <c r="H3409" t="s">
        <v>10372</v>
      </c>
      <c r="I3409" s="62" t="s">
        <v>10373</v>
      </c>
      <c r="K3409" s="36" t="s">
        <v>68</v>
      </c>
      <c r="L3409" t="s">
        <v>69</v>
      </c>
      <c r="M3409" s="62" t="s">
        <v>70</v>
      </c>
      <c r="N3409" t="s">
        <v>10084</v>
      </c>
      <c r="O3409" t="str">
        <f>IFERROR(IF(Tbla_actores[[#This Row],[codigo_proyecto]]="","",_xlfn.XLOOKUP(Tbla_actores[[#This Row],[codigo_proyecto]],Proyectos!$A:$A,Proyectos!$C:$C)),"")</f>
        <v>Proyecto 5</v>
      </c>
    </row>
    <row r="3410" spans="1:15">
      <c r="A3410" s="9">
        <v>1021632526</v>
      </c>
      <c r="B3410" s="63" t="s">
        <v>61</v>
      </c>
      <c r="C3410" s="62" t="s">
        <v>10048</v>
      </c>
      <c r="D3410" t="s">
        <v>63</v>
      </c>
      <c r="E3410" t="s">
        <v>10374</v>
      </c>
      <c r="F3410" s="61">
        <v>38113</v>
      </c>
      <c r="G3410" s="15" t="s">
        <v>73</v>
      </c>
      <c r="H3410" t="s">
        <v>10375</v>
      </c>
      <c r="I3410" s="62" t="s">
        <v>10376</v>
      </c>
      <c r="K3410" s="36" t="s">
        <v>6427</v>
      </c>
      <c r="L3410" t="s">
        <v>69</v>
      </c>
      <c r="M3410" s="62" t="s">
        <v>70</v>
      </c>
      <c r="N3410" t="s">
        <v>10328</v>
      </c>
      <c r="O3410" t="str">
        <f>IFERROR(IF(Tbla_actores[[#This Row],[codigo_proyecto]]="","",_xlfn.XLOOKUP(Tbla_actores[[#This Row],[codigo_proyecto]],Proyectos!$A:$A,Proyectos!$C:$C)),"")</f>
        <v xml:space="preserve">Elaboración y análisis de compostaje </v>
      </c>
    </row>
    <row r="3411" spans="1:15">
      <c r="A3411" s="10">
        <v>1018523158</v>
      </c>
      <c r="B3411" s="64" t="s">
        <v>61</v>
      </c>
      <c r="C3411" s="62" t="s">
        <v>10048</v>
      </c>
      <c r="D3411" t="s">
        <v>63</v>
      </c>
      <c r="E3411" t="s">
        <v>10377</v>
      </c>
      <c r="F3411" s="61">
        <v>38226</v>
      </c>
      <c r="G3411" s="15" t="s">
        <v>73</v>
      </c>
      <c r="H3411" t="s">
        <v>10378</v>
      </c>
      <c r="I3411" s="62" t="s">
        <v>10379</v>
      </c>
      <c r="K3411" s="36" t="s">
        <v>68</v>
      </c>
      <c r="L3411" t="s">
        <v>69</v>
      </c>
      <c r="M3411" s="62" t="s">
        <v>70</v>
      </c>
      <c r="N3411" t="s">
        <v>10084</v>
      </c>
      <c r="O3411" t="str">
        <f>IFERROR(IF(Tbla_actores[[#This Row],[codigo_proyecto]]="","",_xlfn.XLOOKUP(Tbla_actores[[#This Row],[codigo_proyecto]],Proyectos!$A:$A,Proyectos!$C:$C)),"")</f>
        <v>Proyecto 5</v>
      </c>
    </row>
    <row r="3412" spans="1:15">
      <c r="A3412" s="9">
        <v>1019842548</v>
      </c>
      <c r="B3412" s="63" t="s">
        <v>61</v>
      </c>
      <c r="C3412" s="62" t="s">
        <v>10048</v>
      </c>
      <c r="D3412" t="s">
        <v>63</v>
      </c>
      <c r="E3412" t="s">
        <v>10380</v>
      </c>
      <c r="F3412" s="61">
        <v>38657</v>
      </c>
      <c r="G3412" s="15" t="s">
        <v>73</v>
      </c>
      <c r="H3412" t="s">
        <v>10381</v>
      </c>
      <c r="I3412" s="62" t="s">
        <v>10382</v>
      </c>
      <c r="K3412" s="36" t="s">
        <v>169</v>
      </c>
      <c r="L3412" t="s">
        <v>69</v>
      </c>
      <c r="M3412" s="62" t="s">
        <v>170</v>
      </c>
      <c r="N3412" t="s">
        <v>10360</v>
      </c>
      <c r="O3412" t="str">
        <f>IFERROR(IF(Tbla_actores[[#This Row],[codigo_proyecto]]="","",_xlfn.XLOOKUP(Tbla_actores[[#This Row],[codigo_proyecto]],Proyectos!$A:$A,Proyectos!$C:$C)),"")</f>
        <v>Mejoramiento procesos alistamiento alimentos.</v>
      </c>
    </row>
    <row r="3413" spans="1:15">
      <c r="A3413" s="10">
        <v>1014180949</v>
      </c>
      <c r="B3413" s="64" t="s">
        <v>61</v>
      </c>
      <c r="C3413" s="62" t="s">
        <v>10048</v>
      </c>
      <c r="D3413" t="s">
        <v>63</v>
      </c>
      <c r="E3413" t="s">
        <v>10383</v>
      </c>
      <c r="F3413" s="61">
        <v>38307</v>
      </c>
      <c r="G3413" s="15" t="s">
        <v>73</v>
      </c>
      <c r="H3413" t="s">
        <v>10384</v>
      </c>
      <c r="I3413" s="62" t="s">
        <v>10385</v>
      </c>
      <c r="K3413" s="36" t="s">
        <v>6427</v>
      </c>
      <c r="L3413" t="s">
        <v>69</v>
      </c>
      <c r="M3413" s="62" t="s">
        <v>70</v>
      </c>
      <c r="N3413" t="s">
        <v>10328</v>
      </c>
      <c r="O3413" t="str">
        <f>IFERROR(IF(Tbla_actores[[#This Row],[codigo_proyecto]]="","",_xlfn.XLOOKUP(Tbla_actores[[#This Row],[codigo_proyecto]],Proyectos!$A:$A,Proyectos!$C:$C)),"")</f>
        <v xml:space="preserve">Elaboración y análisis de compostaje </v>
      </c>
    </row>
    <row r="3414" spans="1:15">
      <c r="A3414" s="9">
        <v>1001369663</v>
      </c>
      <c r="B3414" s="63" t="s">
        <v>61</v>
      </c>
      <c r="C3414" s="62" t="s">
        <v>10048</v>
      </c>
      <c r="D3414" t="s">
        <v>63</v>
      </c>
      <c r="E3414" t="s">
        <v>10386</v>
      </c>
      <c r="F3414" s="61">
        <v>37550</v>
      </c>
      <c r="G3414" s="15" t="s">
        <v>65</v>
      </c>
      <c r="H3414" t="s">
        <v>10387</v>
      </c>
      <c r="I3414" s="62" t="s">
        <v>10388</v>
      </c>
      <c r="K3414" s="36" t="s">
        <v>7284</v>
      </c>
      <c r="L3414" t="s">
        <v>69</v>
      </c>
      <c r="M3414" s="62" t="s">
        <v>70</v>
      </c>
      <c r="N3414" t="s">
        <v>10332</v>
      </c>
      <c r="O3414" t="str">
        <f>IFERROR(IF(Tbla_actores[[#This Row],[codigo_proyecto]]="","",_xlfn.XLOOKUP(Tbla_actores[[#This Row],[codigo_proyecto]],Proyectos!$A:$A,Proyectos!$C:$C)),"")</f>
        <v xml:space="preserve"> Diseño   de equipos y elaboración de proptotipos con sus hojas técnicas </v>
      </c>
    </row>
    <row r="3415" spans="1:15">
      <c r="A3415" s="10">
        <v>1000273396</v>
      </c>
      <c r="B3415" s="64" t="s">
        <v>61</v>
      </c>
      <c r="C3415" s="62" t="s">
        <v>10048</v>
      </c>
      <c r="D3415" t="s">
        <v>63</v>
      </c>
      <c r="E3415" t="s">
        <v>10389</v>
      </c>
      <c r="F3415" s="61">
        <v>37613</v>
      </c>
      <c r="G3415" s="15" t="s">
        <v>73</v>
      </c>
      <c r="H3415" t="s">
        <v>10390</v>
      </c>
      <c r="I3415" s="62" t="s">
        <v>10391</v>
      </c>
      <c r="K3415" s="36" t="s">
        <v>68</v>
      </c>
      <c r="L3415" t="s">
        <v>69</v>
      </c>
      <c r="M3415" s="62" t="s">
        <v>70</v>
      </c>
      <c r="N3415" t="s">
        <v>10084</v>
      </c>
      <c r="O3415" t="str">
        <f>IFERROR(IF(Tbla_actores[[#This Row],[codigo_proyecto]]="","",_xlfn.XLOOKUP(Tbla_actores[[#This Row],[codigo_proyecto]],Proyectos!$A:$A,Proyectos!$C:$C)),"")</f>
        <v>Proyecto 5</v>
      </c>
    </row>
    <row r="3416" spans="1:15">
      <c r="A3416" s="9">
        <v>1033097500</v>
      </c>
      <c r="B3416" s="63" t="s">
        <v>61</v>
      </c>
      <c r="C3416" s="62" t="s">
        <v>10048</v>
      </c>
      <c r="D3416" t="s">
        <v>63</v>
      </c>
      <c r="E3416" t="s">
        <v>10392</v>
      </c>
      <c r="F3416" s="61">
        <v>38357</v>
      </c>
      <c r="G3416" s="15" t="s">
        <v>65</v>
      </c>
      <c r="H3416" t="s">
        <v>10393</v>
      </c>
      <c r="I3416" s="62" t="s">
        <v>10394</v>
      </c>
      <c r="K3416" s="36" t="s">
        <v>169</v>
      </c>
      <c r="L3416" t="s">
        <v>69</v>
      </c>
      <c r="M3416" s="62" t="s">
        <v>170</v>
      </c>
      <c r="N3416" t="s">
        <v>10395</v>
      </c>
      <c r="O3416" t="str">
        <f>IFERROR(IF(Tbla_actores[[#This Row],[codigo_proyecto]]="","",_xlfn.XLOOKUP(Tbla_actores[[#This Row],[codigo_proyecto]],Proyectos!$A:$A,Proyectos!$C:$C)),"")</f>
        <v>VIDAS MÓVILES</v>
      </c>
    </row>
    <row r="3417" spans="1:15">
      <c r="A3417" s="10">
        <v>1052380081</v>
      </c>
      <c r="B3417" s="64" t="s">
        <v>61</v>
      </c>
      <c r="C3417" s="62" t="s">
        <v>10048</v>
      </c>
      <c r="D3417" t="s">
        <v>63</v>
      </c>
      <c r="E3417" t="s">
        <v>10396</v>
      </c>
      <c r="F3417" s="61">
        <v>38260</v>
      </c>
      <c r="G3417" s="15" t="s">
        <v>73</v>
      </c>
      <c r="H3417" t="s">
        <v>10397</v>
      </c>
      <c r="I3417" s="62" t="s">
        <v>10398</v>
      </c>
      <c r="K3417" s="36" t="s">
        <v>68</v>
      </c>
      <c r="L3417" t="s">
        <v>69</v>
      </c>
      <c r="M3417" s="62" t="s">
        <v>70</v>
      </c>
      <c r="N3417" t="s">
        <v>10094</v>
      </c>
      <c r="O3417" t="str">
        <f>IFERROR(IF(Tbla_actores[[#This Row],[codigo_proyecto]]="","",_xlfn.XLOOKUP(Tbla_actores[[#This Row],[codigo_proyecto]],Proyectos!$A:$A,Proyectos!$C:$C)),"")</f>
        <v>Proyecto 6</v>
      </c>
    </row>
    <row r="3418" spans="1:15">
      <c r="A3418" s="9">
        <v>1021633247</v>
      </c>
      <c r="B3418" s="63" t="s">
        <v>61</v>
      </c>
      <c r="C3418" s="62" t="s">
        <v>10048</v>
      </c>
      <c r="D3418" t="s">
        <v>63</v>
      </c>
      <c r="E3418" t="s">
        <v>10399</v>
      </c>
      <c r="F3418" s="61">
        <v>38303</v>
      </c>
      <c r="G3418" s="15" t="s">
        <v>65</v>
      </c>
      <c r="H3418" t="s">
        <v>10400</v>
      </c>
      <c r="I3418" s="62" t="s">
        <v>10401</v>
      </c>
      <c r="K3418" s="36" t="s">
        <v>6427</v>
      </c>
      <c r="L3418" t="s">
        <v>69</v>
      </c>
      <c r="M3418" s="62" t="s">
        <v>70</v>
      </c>
      <c r="N3418" t="s">
        <v>10402</v>
      </c>
      <c r="O3418" t="str">
        <f>IFERROR(IF(Tbla_actores[[#This Row],[codigo_proyecto]]="","",_xlfn.XLOOKUP(Tbla_actores[[#This Row],[codigo_proyecto]],Proyectos!$A:$A,Proyectos!$C:$C)),"")</f>
        <v>Diseño y construcción  de sistemas  digitale,  visuales y manuales  para audiometría</v>
      </c>
    </row>
    <row r="3419" spans="1:15">
      <c r="A3419" s="10">
        <v>1000627569</v>
      </c>
      <c r="B3419" s="64" t="s">
        <v>61</v>
      </c>
      <c r="C3419" s="62" t="s">
        <v>10048</v>
      </c>
      <c r="D3419" t="s">
        <v>63</v>
      </c>
      <c r="E3419" t="s">
        <v>10403</v>
      </c>
      <c r="F3419" s="61">
        <v>37596</v>
      </c>
      <c r="G3419" s="15" t="s">
        <v>73</v>
      </c>
      <c r="H3419" t="s">
        <v>10404</v>
      </c>
      <c r="I3419" s="62" t="s">
        <v>10405</v>
      </c>
      <c r="K3419" s="36" t="s">
        <v>6427</v>
      </c>
      <c r="L3419" t="s">
        <v>69</v>
      </c>
      <c r="M3419" s="62" t="s">
        <v>70</v>
      </c>
      <c r="N3419" t="s">
        <v>10402</v>
      </c>
      <c r="O3419" t="str">
        <f>IFERROR(IF(Tbla_actores[[#This Row],[codigo_proyecto]]="","",_xlfn.XLOOKUP(Tbla_actores[[#This Row],[codigo_proyecto]],Proyectos!$A:$A,Proyectos!$C:$C)),"")</f>
        <v>Diseño y construcción  de sistemas  digitale,  visuales y manuales  para audiometría</v>
      </c>
    </row>
    <row r="3420" spans="1:15">
      <c r="A3420" s="9">
        <v>1004810323</v>
      </c>
      <c r="B3420" s="63" t="s">
        <v>61</v>
      </c>
      <c r="C3420" s="62" t="s">
        <v>10048</v>
      </c>
      <c r="D3420" t="s">
        <v>63</v>
      </c>
      <c r="E3420" t="s">
        <v>10406</v>
      </c>
      <c r="F3420" s="61">
        <v>37787</v>
      </c>
      <c r="G3420" s="15" t="s">
        <v>73</v>
      </c>
      <c r="H3420" t="s">
        <v>10407</v>
      </c>
      <c r="I3420" s="62" t="s">
        <v>10408</v>
      </c>
      <c r="K3420" s="36" t="s">
        <v>68</v>
      </c>
      <c r="L3420" t="s">
        <v>69</v>
      </c>
      <c r="M3420" s="62" t="s">
        <v>70</v>
      </c>
      <c r="N3420" t="s">
        <v>10409</v>
      </c>
      <c r="O3420" t="str">
        <f>IFERROR(IF(Tbla_actores[[#This Row],[codigo_proyecto]]="","",_xlfn.XLOOKUP(Tbla_actores[[#This Row],[codigo_proyecto]],Proyectos!$A:$A,Proyectos!$C:$C)),"")</f>
        <v>Proyecto 13</v>
      </c>
    </row>
    <row r="3421" spans="1:15">
      <c r="A3421" s="10">
        <v>1002199715</v>
      </c>
      <c r="B3421" s="64" t="s">
        <v>61</v>
      </c>
      <c r="C3421" s="62" t="s">
        <v>10048</v>
      </c>
      <c r="D3421" t="s">
        <v>63</v>
      </c>
      <c r="E3421" t="s">
        <v>10410</v>
      </c>
      <c r="F3421" s="61">
        <v>37817</v>
      </c>
      <c r="G3421" s="15" t="s">
        <v>73</v>
      </c>
      <c r="H3421" t="s">
        <v>10411</v>
      </c>
      <c r="I3421" s="62" t="s">
        <v>10412</v>
      </c>
      <c r="K3421" s="36" t="s">
        <v>68</v>
      </c>
      <c r="L3421" t="s">
        <v>69</v>
      </c>
      <c r="M3421" s="62" t="s">
        <v>70</v>
      </c>
      <c r="N3421" t="s">
        <v>10409</v>
      </c>
      <c r="O3421" t="str">
        <f>IFERROR(IF(Tbla_actores[[#This Row],[codigo_proyecto]]="","",_xlfn.XLOOKUP(Tbla_actores[[#This Row],[codigo_proyecto]],Proyectos!$A:$A,Proyectos!$C:$C)),"")</f>
        <v>Proyecto 13</v>
      </c>
    </row>
    <row r="3422" spans="1:15">
      <c r="A3422" s="9">
        <v>1000951561</v>
      </c>
      <c r="B3422" s="63" t="s">
        <v>61</v>
      </c>
      <c r="C3422" s="62" t="s">
        <v>10048</v>
      </c>
      <c r="D3422" t="s">
        <v>63</v>
      </c>
      <c r="E3422" t="s">
        <v>10413</v>
      </c>
      <c r="F3422" s="61">
        <v>37780</v>
      </c>
      <c r="G3422" s="15" t="s">
        <v>73</v>
      </c>
      <c r="H3422" t="s">
        <v>10414</v>
      </c>
      <c r="I3422" s="62" t="s">
        <v>10415</v>
      </c>
      <c r="K3422" s="36" t="s">
        <v>68</v>
      </c>
      <c r="L3422" t="s">
        <v>69</v>
      </c>
      <c r="M3422" s="62" t="s">
        <v>70</v>
      </c>
      <c r="N3422" t="s">
        <v>10409</v>
      </c>
      <c r="O3422" t="str">
        <f>IFERROR(IF(Tbla_actores[[#This Row],[codigo_proyecto]]="","",_xlfn.XLOOKUP(Tbla_actores[[#This Row],[codigo_proyecto]],Proyectos!$A:$A,Proyectos!$C:$C)),"")</f>
        <v>Proyecto 13</v>
      </c>
    </row>
    <row r="3423" spans="1:15">
      <c r="A3423" s="10">
        <v>1013258607</v>
      </c>
      <c r="B3423" s="64" t="s">
        <v>61</v>
      </c>
      <c r="C3423" s="62" t="s">
        <v>10048</v>
      </c>
      <c r="D3423" t="s">
        <v>63</v>
      </c>
      <c r="E3423" t="s">
        <v>10416</v>
      </c>
      <c r="F3423" s="61">
        <v>38360</v>
      </c>
      <c r="G3423" s="15" t="s">
        <v>73</v>
      </c>
      <c r="H3423" t="s">
        <v>10417</v>
      </c>
      <c r="I3423" s="62" t="s">
        <v>10418</v>
      </c>
      <c r="K3423" s="36" t="s">
        <v>68</v>
      </c>
      <c r="L3423" t="s">
        <v>69</v>
      </c>
      <c r="M3423" s="62" t="s">
        <v>70</v>
      </c>
      <c r="N3423" t="s">
        <v>10409</v>
      </c>
      <c r="O3423" t="str">
        <f>IFERROR(IF(Tbla_actores[[#This Row],[codigo_proyecto]]="","",_xlfn.XLOOKUP(Tbla_actores[[#This Row],[codigo_proyecto]],Proyectos!$A:$A,Proyectos!$C:$C)),"")</f>
        <v>Proyecto 13</v>
      </c>
    </row>
    <row r="3424" spans="1:15">
      <c r="A3424" s="9">
        <v>1002330966</v>
      </c>
      <c r="B3424" s="63" t="s">
        <v>61</v>
      </c>
      <c r="C3424" s="62" t="s">
        <v>10048</v>
      </c>
      <c r="D3424" t="s">
        <v>63</v>
      </c>
      <c r="E3424" t="s">
        <v>10419</v>
      </c>
      <c r="F3424" s="61">
        <v>37708</v>
      </c>
      <c r="G3424" s="15" t="s">
        <v>73</v>
      </c>
      <c r="H3424" t="s">
        <v>10420</v>
      </c>
      <c r="I3424" s="62" t="s">
        <v>10421</v>
      </c>
      <c r="K3424" s="36" t="s">
        <v>6427</v>
      </c>
      <c r="L3424" t="s">
        <v>69</v>
      </c>
      <c r="M3424" s="62" t="s">
        <v>70</v>
      </c>
      <c r="N3424" t="s">
        <v>10422</v>
      </c>
      <c r="O3424" t="str">
        <f>IFERROR(IF(Tbla_actores[[#This Row],[codigo_proyecto]]="","",_xlfn.XLOOKUP(Tbla_actores[[#This Row],[codigo_proyecto]],Proyectos!$A:$A,Proyectos!$C:$C)),"")</f>
        <v>Dispositivo para el control de  inventarios y entrega de alimentos</v>
      </c>
    </row>
    <row r="3425" spans="1:15">
      <c r="A3425" s="10">
        <v>1006795848</v>
      </c>
      <c r="B3425" s="64" t="s">
        <v>61</v>
      </c>
      <c r="C3425" s="62" t="s">
        <v>10048</v>
      </c>
      <c r="D3425" t="s">
        <v>63</v>
      </c>
      <c r="E3425" t="s">
        <v>10423</v>
      </c>
      <c r="F3425" s="61">
        <v>37833</v>
      </c>
      <c r="G3425" s="15" t="s">
        <v>73</v>
      </c>
      <c r="H3425" t="s">
        <v>10424</v>
      </c>
      <c r="I3425" s="62" t="s">
        <v>10425</v>
      </c>
      <c r="K3425" s="36" t="s">
        <v>7284</v>
      </c>
      <c r="L3425" t="s">
        <v>69</v>
      </c>
      <c r="M3425" s="62" t="s">
        <v>70</v>
      </c>
      <c r="N3425" t="s">
        <v>10426</v>
      </c>
      <c r="O3425" t="str">
        <f>IFERROR(IF(Tbla_actores[[#This Row],[codigo_proyecto]]="","",_xlfn.XLOOKUP(Tbla_actores[[#This Row],[codigo_proyecto]],Proyectos!$A:$A,Proyectos!$C:$C)),"")</f>
        <v>Dispositivo para el control de  inventarios y registro de alimentos</v>
      </c>
    </row>
    <row r="3426" spans="1:15">
      <c r="A3426" s="9">
        <v>1000698504</v>
      </c>
      <c r="B3426" s="63" t="s">
        <v>61</v>
      </c>
      <c r="C3426" s="62" t="s">
        <v>10048</v>
      </c>
      <c r="D3426" t="s">
        <v>63</v>
      </c>
      <c r="E3426" t="s">
        <v>10427</v>
      </c>
      <c r="F3426" s="61">
        <v>37877</v>
      </c>
      <c r="G3426" s="15" t="s">
        <v>73</v>
      </c>
      <c r="H3426" t="s">
        <v>10428</v>
      </c>
      <c r="I3426" s="62" t="s">
        <v>10429</v>
      </c>
      <c r="K3426" s="36" t="s">
        <v>7284</v>
      </c>
      <c r="L3426" t="s">
        <v>69</v>
      </c>
      <c r="M3426" s="62" t="s">
        <v>70</v>
      </c>
      <c r="N3426" t="s">
        <v>10426</v>
      </c>
      <c r="O3426" t="str">
        <f>IFERROR(IF(Tbla_actores[[#This Row],[codigo_proyecto]]="","",_xlfn.XLOOKUP(Tbla_actores[[#This Row],[codigo_proyecto]],Proyectos!$A:$A,Proyectos!$C:$C)),"")</f>
        <v>Dispositivo para el control de  inventarios y registro de alimentos</v>
      </c>
    </row>
    <row r="3427" spans="1:15">
      <c r="A3427" s="10">
        <v>1029660362</v>
      </c>
      <c r="B3427" s="64" t="s">
        <v>61</v>
      </c>
      <c r="C3427" s="62" t="s">
        <v>10048</v>
      </c>
      <c r="D3427" t="s">
        <v>63</v>
      </c>
      <c r="E3427" t="s">
        <v>10430</v>
      </c>
      <c r="F3427" s="61">
        <v>38444</v>
      </c>
      <c r="G3427" s="15" t="s">
        <v>65</v>
      </c>
      <c r="H3427" t="s">
        <v>10431</v>
      </c>
      <c r="I3427" s="62" t="s">
        <v>10432</v>
      </c>
      <c r="K3427" s="36" t="s">
        <v>6427</v>
      </c>
      <c r="L3427" t="s">
        <v>69</v>
      </c>
      <c r="M3427" s="62" t="s">
        <v>70</v>
      </c>
      <c r="N3427" t="s">
        <v>10422</v>
      </c>
      <c r="O3427" t="str">
        <f>IFERROR(IF(Tbla_actores[[#This Row],[codigo_proyecto]]="","",_xlfn.XLOOKUP(Tbla_actores[[#This Row],[codigo_proyecto]],Proyectos!$A:$A,Proyectos!$C:$C)),"")</f>
        <v>Dispositivo para el control de  inventarios y entrega de alimentos</v>
      </c>
    </row>
    <row r="3428" spans="1:15">
      <c r="A3428" s="9">
        <v>1011087182</v>
      </c>
      <c r="B3428" s="63" t="s">
        <v>61</v>
      </c>
      <c r="C3428" s="62" t="s">
        <v>10048</v>
      </c>
      <c r="D3428" t="s">
        <v>63</v>
      </c>
      <c r="E3428" t="s">
        <v>10433</v>
      </c>
      <c r="F3428" s="61">
        <v>38592</v>
      </c>
      <c r="G3428" s="15" t="s">
        <v>73</v>
      </c>
      <c r="H3428" t="s">
        <v>10434</v>
      </c>
      <c r="I3428" s="62" t="s">
        <v>10435</v>
      </c>
      <c r="K3428" s="36" t="s">
        <v>7284</v>
      </c>
      <c r="L3428" t="s">
        <v>69</v>
      </c>
      <c r="M3428" s="62" t="s">
        <v>70</v>
      </c>
      <c r="N3428" t="s">
        <v>10436</v>
      </c>
      <c r="O3428" t="str">
        <f>IFERROR(IF(Tbla_actores[[#This Row],[codigo_proyecto]]="","",_xlfn.XLOOKUP(Tbla_actores[[#This Row],[codigo_proyecto]],Proyectos!$A:$A,Proyectos!$C:$C)),"")</f>
        <v xml:space="preserve">Mejoramiento de caminador  versión 3  y diseño de nuevo caminador  y soporte para niños </v>
      </c>
    </row>
    <row r="3429" spans="1:15">
      <c r="A3429" s="10">
        <v>1021393705</v>
      </c>
      <c r="B3429" s="64" t="s">
        <v>61</v>
      </c>
      <c r="C3429" s="62" t="s">
        <v>10048</v>
      </c>
      <c r="D3429" t="s">
        <v>63</v>
      </c>
      <c r="E3429" t="s">
        <v>10437</v>
      </c>
      <c r="F3429" s="61">
        <v>38268</v>
      </c>
      <c r="G3429" s="15" t="s">
        <v>73</v>
      </c>
      <c r="H3429" t="s">
        <v>10438</v>
      </c>
      <c r="I3429" s="62" t="s">
        <v>10439</v>
      </c>
      <c r="K3429" s="36" t="s">
        <v>7284</v>
      </c>
      <c r="L3429" t="s">
        <v>69</v>
      </c>
      <c r="M3429" s="62" t="s">
        <v>70</v>
      </c>
      <c r="N3429" t="s">
        <v>10436</v>
      </c>
      <c r="O3429" t="str">
        <f>IFERROR(IF(Tbla_actores[[#This Row],[codigo_proyecto]]="","",_xlfn.XLOOKUP(Tbla_actores[[#This Row],[codigo_proyecto]],Proyectos!$A:$A,Proyectos!$C:$C)),"")</f>
        <v xml:space="preserve">Mejoramiento de caminador  versión 3  y diseño de nuevo caminador  y soporte para niños </v>
      </c>
    </row>
    <row r="3430" spans="1:15">
      <c r="A3430" s="9">
        <v>1052072103</v>
      </c>
      <c r="B3430" s="63" t="s">
        <v>61</v>
      </c>
      <c r="C3430" s="62" t="s">
        <v>10048</v>
      </c>
      <c r="D3430" t="s">
        <v>63</v>
      </c>
      <c r="E3430" t="s">
        <v>10440</v>
      </c>
      <c r="F3430" s="61">
        <v>38696</v>
      </c>
      <c r="G3430" s="15" t="s">
        <v>73</v>
      </c>
      <c r="H3430" t="s">
        <v>10441</v>
      </c>
      <c r="I3430" s="62" t="s">
        <v>10442</v>
      </c>
      <c r="K3430" s="36" t="s">
        <v>7284</v>
      </c>
      <c r="L3430" t="s">
        <v>69</v>
      </c>
      <c r="M3430" s="62" t="s">
        <v>70</v>
      </c>
      <c r="N3430" t="s">
        <v>10436</v>
      </c>
      <c r="O3430" t="str">
        <f>IFERROR(IF(Tbla_actores[[#This Row],[codigo_proyecto]]="","",_xlfn.XLOOKUP(Tbla_actores[[#This Row],[codigo_proyecto]],Proyectos!$A:$A,Proyectos!$C:$C)),"")</f>
        <v xml:space="preserve">Mejoramiento de caminador  versión 3  y diseño de nuevo caminador  y soporte para niños </v>
      </c>
    </row>
    <row r="3431" spans="1:15">
      <c r="A3431" s="10">
        <v>1013098259</v>
      </c>
      <c r="B3431" s="64" t="s">
        <v>61</v>
      </c>
      <c r="C3431" s="62" t="s">
        <v>10048</v>
      </c>
      <c r="D3431" t="s">
        <v>63</v>
      </c>
      <c r="E3431" t="s">
        <v>10443</v>
      </c>
      <c r="F3431" s="61">
        <v>38019</v>
      </c>
      <c r="G3431" s="15" t="s">
        <v>73</v>
      </c>
      <c r="H3431" t="s">
        <v>10444</v>
      </c>
      <c r="I3431" s="62" t="s">
        <v>10445</v>
      </c>
      <c r="K3431" s="36" t="s">
        <v>7284</v>
      </c>
      <c r="L3431" t="s">
        <v>69</v>
      </c>
      <c r="M3431" s="62" t="s">
        <v>70</v>
      </c>
      <c r="N3431" t="s">
        <v>10436</v>
      </c>
      <c r="O3431" t="str">
        <f>IFERROR(IF(Tbla_actores[[#This Row],[codigo_proyecto]]="","",_xlfn.XLOOKUP(Tbla_actores[[#This Row],[codigo_proyecto]],Proyectos!$A:$A,Proyectos!$C:$C)),"")</f>
        <v xml:space="preserve">Mejoramiento de caminador  versión 3  y diseño de nuevo caminador  y soporte para niños </v>
      </c>
    </row>
    <row r="3432" spans="1:15">
      <c r="A3432" s="9">
        <v>1055670070</v>
      </c>
      <c r="B3432" s="63" t="s">
        <v>61</v>
      </c>
      <c r="C3432" s="62" t="s">
        <v>10048</v>
      </c>
      <c r="D3432" t="s">
        <v>63</v>
      </c>
      <c r="E3432" t="s">
        <v>10446</v>
      </c>
      <c r="F3432" s="61">
        <v>38275</v>
      </c>
      <c r="G3432" s="15" t="s">
        <v>73</v>
      </c>
      <c r="H3432" t="s">
        <v>10447</v>
      </c>
      <c r="I3432" s="62" t="s">
        <v>10448</v>
      </c>
      <c r="K3432" s="36" t="s">
        <v>169</v>
      </c>
      <c r="L3432" t="s">
        <v>69</v>
      </c>
      <c r="M3432" s="62" t="s">
        <v>170</v>
      </c>
      <c r="N3432" t="s">
        <v>10101</v>
      </c>
      <c r="O3432" t="str">
        <f>IFERROR(IF(Tbla_actores[[#This Row],[codigo_proyecto]]="","",_xlfn.XLOOKUP(Tbla_actores[[#This Row],[codigo_proyecto]],Proyectos!$A:$A,Proyectos!$C:$C)),"")</f>
        <v>Mejoramiento procesos administrativos.</v>
      </c>
    </row>
    <row r="3433" spans="1:15">
      <c r="A3433" s="10">
        <v>1000156820</v>
      </c>
      <c r="B3433" s="64" t="s">
        <v>61</v>
      </c>
      <c r="C3433" s="62" t="s">
        <v>10048</v>
      </c>
      <c r="D3433" t="s">
        <v>63</v>
      </c>
      <c r="E3433" t="s">
        <v>10449</v>
      </c>
      <c r="F3433" s="61">
        <v>37888</v>
      </c>
      <c r="G3433" s="15" t="s">
        <v>73</v>
      </c>
      <c r="H3433" t="s">
        <v>10450</v>
      </c>
      <c r="I3433" s="62" t="s">
        <v>10451</v>
      </c>
      <c r="K3433" s="36" t="s">
        <v>7284</v>
      </c>
      <c r="L3433" t="s">
        <v>69</v>
      </c>
      <c r="M3433" s="62" t="s">
        <v>70</v>
      </c>
      <c r="N3433" t="s">
        <v>10436</v>
      </c>
      <c r="O3433" t="str">
        <f>IFERROR(IF(Tbla_actores[[#This Row],[codigo_proyecto]]="","",_xlfn.XLOOKUP(Tbla_actores[[#This Row],[codigo_proyecto]],Proyectos!$A:$A,Proyectos!$C:$C)),"")</f>
        <v xml:space="preserve">Mejoramiento de caminador  versión 3  y diseño de nuevo caminador  y soporte para niños </v>
      </c>
    </row>
    <row r="3434" spans="1:15">
      <c r="A3434" s="9">
        <v>1023082153</v>
      </c>
      <c r="B3434" s="63" t="s">
        <v>61</v>
      </c>
      <c r="C3434" s="62" t="s">
        <v>10048</v>
      </c>
      <c r="D3434" t="s">
        <v>63</v>
      </c>
      <c r="E3434" t="s">
        <v>10452</v>
      </c>
      <c r="F3434" s="61">
        <v>38010</v>
      </c>
      <c r="G3434" s="15" t="s">
        <v>65</v>
      </c>
      <c r="H3434" t="s">
        <v>10453</v>
      </c>
      <c r="I3434" s="62" t="s">
        <v>10454</v>
      </c>
      <c r="K3434" s="36" t="s">
        <v>6427</v>
      </c>
      <c r="L3434" t="s">
        <v>69</v>
      </c>
      <c r="M3434" s="62" t="s">
        <v>70</v>
      </c>
      <c r="N3434" t="s">
        <v>10455</v>
      </c>
      <c r="O3434" t="str">
        <f>IFERROR(IF(Tbla_actores[[#This Row],[codigo_proyecto]]="","",_xlfn.XLOOKUP(Tbla_actores[[#This Row],[codigo_proyecto]],Proyectos!$A:$A,Proyectos!$C:$C)),"")</f>
        <v xml:space="preserve">Mejoramiento de caminador  versión 2 y diseño de nuevo caminador para niños </v>
      </c>
    </row>
    <row r="3435" spans="1:15">
      <c r="A3435" s="10">
        <v>1030529053</v>
      </c>
      <c r="B3435" s="64" t="s">
        <v>61</v>
      </c>
      <c r="C3435" s="62" t="s">
        <v>10048</v>
      </c>
      <c r="D3435" t="s">
        <v>63</v>
      </c>
      <c r="E3435" t="s">
        <v>10456</v>
      </c>
      <c r="F3435" s="61">
        <v>38254</v>
      </c>
      <c r="G3435" s="15" t="s">
        <v>73</v>
      </c>
      <c r="H3435" t="s">
        <v>10457</v>
      </c>
      <c r="I3435" s="62" t="s">
        <v>10458</v>
      </c>
      <c r="K3435" s="36" t="s">
        <v>7284</v>
      </c>
      <c r="L3435" t="s">
        <v>69</v>
      </c>
      <c r="M3435" s="62" t="s">
        <v>70</v>
      </c>
      <c r="N3435" t="s">
        <v>10436</v>
      </c>
      <c r="O3435" t="str">
        <f>IFERROR(IF(Tbla_actores[[#This Row],[codigo_proyecto]]="","",_xlfn.XLOOKUP(Tbla_actores[[#This Row],[codigo_proyecto]],Proyectos!$A:$A,Proyectos!$C:$C)),"")</f>
        <v xml:space="preserve">Mejoramiento de caminador  versión 3  y diseño de nuevo caminador  y soporte para niños </v>
      </c>
    </row>
    <row r="3436" spans="1:15">
      <c r="A3436" s="9">
        <v>1027150719</v>
      </c>
      <c r="B3436" s="63" t="s">
        <v>61</v>
      </c>
      <c r="C3436" s="62" t="s">
        <v>10048</v>
      </c>
      <c r="D3436" t="s">
        <v>63</v>
      </c>
      <c r="E3436" t="s">
        <v>10459</v>
      </c>
      <c r="F3436" s="61">
        <v>38270</v>
      </c>
      <c r="G3436" s="15" t="s">
        <v>73</v>
      </c>
      <c r="H3436" t="s">
        <v>10460</v>
      </c>
      <c r="I3436" s="62" t="s">
        <v>10461</v>
      </c>
      <c r="K3436" s="36" t="s">
        <v>68</v>
      </c>
      <c r="L3436" t="s">
        <v>69</v>
      </c>
      <c r="M3436" s="62" t="s">
        <v>70</v>
      </c>
      <c r="N3436" t="s">
        <v>10462</v>
      </c>
      <c r="O3436" t="str">
        <f>IFERROR(IF(Tbla_actores[[#This Row],[codigo_proyecto]]="","",_xlfn.XLOOKUP(Tbla_actores[[#This Row],[codigo_proyecto]],Proyectos!$A:$A,Proyectos!$C:$C)),"")</f>
        <v>Proyecto 7</v>
      </c>
    </row>
    <row r="3437" spans="1:15">
      <c r="A3437" s="10">
        <v>1011320993</v>
      </c>
      <c r="B3437" s="64" t="s">
        <v>61</v>
      </c>
      <c r="C3437" s="62" t="s">
        <v>10048</v>
      </c>
      <c r="D3437" t="s">
        <v>63</v>
      </c>
      <c r="E3437" t="s">
        <v>10463</v>
      </c>
      <c r="F3437" s="61">
        <v>38325</v>
      </c>
      <c r="G3437" s="15" t="s">
        <v>73</v>
      </c>
      <c r="H3437" t="s">
        <v>10464</v>
      </c>
      <c r="I3437" s="62" t="s">
        <v>10465</v>
      </c>
      <c r="K3437" s="36" t="s">
        <v>68</v>
      </c>
      <c r="L3437" t="s">
        <v>69</v>
      </c>
      <c r="M3437" s="62" t="s">
        <v>70</v>
      </c>
      <c r="N3437" t="s">
        <v>10462</v>
      </c>
      <c r="O3437" t="str">
        <f>IFERROR(IF(Tbla_actores[[#This Row],[codigo_proyecto]]="","",_xlfn.XLOOKUP(Tbla_actores[[#This Row],[codigo_proyecto]],Proyectos!$A:$A,Proyectos!$C:$C)),"")</f>
        <v>Proyecto 7</v>
      </c>
    </row>
    <row r="3438" spans="1:15">
      <c r="A3438" s="9">
        <v>1001096254</v>
      </c>
      <c r="B3438" s="63" t="s">
        <v>61</v>
      </c>
      <c r="C3438" s="62" t="s">
        <v>10048</v>
      </c>
      <c r="D3438" t="s">
        <v>63</v>
      </c>
      <c r="E3438" t="s">
        <v>10466</v>
      </c>
      <c r="F3438" s="61">
        <v>37902</v>
      </c>
      <c r="G3438" s="15" t="s">
        <v>65</v>
      </c>
      <c r="H3438" t="s">
        <v>10467</v>
      </c>
      <c r="I3438" s="62" t="s">
        <v>10468</v>
      </c>
      <c r="K3438" s="36" t="s">
        <v>68</v>
      </c>
      <c r="L3438" t="s">
        <v>69</v>
      </c>
      <c r="M3438" s="62" t="s">
        <v>70</v>
      </c>
      <c r="N3438" t="s">
        <v>10462</v>
      </c>
      <c r="O3438" t="str">
        <f>IFERROR(IF(Tbla_actores[[#This Row],[codigo_proyecto]]="","",_xlfn.XLOOKUP(Tbla_actores[[#This Row],[codigo_proyecto]],Proyectos!$A:$A,Proyectos!$C:$C)),"")</f>
        <v>Proyecto 7</v>
      </c>
    </row>
    <row r="3439" spans="1:15">
      <c r="A3439" s="10">
        <v>1032939470</v>
      </c>
      <c r="B3439" s="64" t="s">
        <v>61</v>
      </c>
      <c r="C3439" s="62" t="s">
        <v>10048</v>
      </c>
      <c r="D3439" t="s">
        <v>63</v>
      </c>
      <c r="E3439" t="s">
        <v>10469</v>
      </c>
      <c r="F3439" s="61">
        <v>38805</v>
      </c>
      <c r="G3439" s="15" t="s">
        <v>73</v>
      </c>
      <c r="H3439" t="s">
        <v>10470</v>
      </c>
      <c r="I3439" s="62" t="s">
        <v>10471</v>
      </c>
      <c r="K3439" s="36" t="s">
        <v>68</v>
      </c>
      <c r="L3439" t="s">
        <v>69</v>
      </c>
      <c r="M3439" s="62" t="s">
        <v>70</v>
      </c>
      <c r="N3439" t="s">
        <v>10462</v>
      </c>
      <c r="O3439" t="str">
        <f>IFERROR(IF(Tbla_actores[[#This Row],[codigo_proyecto]]="","",_xlfn.XLOOKUP(Tbla_actores[[#This Row],[codigo_proyecto]],Proyectos!$A:$A,Proyectos!$C:$C)),"")</f>
        <v>Proyecto 7</v>
      </c>
    </row>
    <row r="3440" spans="1:15">
      <c r="A3440" s="9">
        <v>1011320340</v>
      </c>
      <c r="B3440" s="63" t="s">
        <v>61</v>
      </c>
      <c r="C3440" s="62" t="s">
        <v>10048</v>
      </c>
      <c r="D3440" t="s">
        <v>63</v>
      </c>
      <c r="E3440" t="s">
        <v>10472</v>
      </c>
      <c r="F3440" s="61">
        <v>38077</v>
      </c>
      <c r="G3440" s="15" t="s">
        <v>73</v>
      </c>
      <c r="H3440" t="s">
        <v>10473</v>
      </c>
      <c r="I3440" s="62" t="s">
        <v>10474</v>
      </c>
      <c r="K3440" s="36" t="s">
        <v>68</v>
      </c>
      <c r="L3440" t="s">
        <v>69</v>
      </c>
      <c r="M3440" s="62" t="s">
        <v>70</v>
      </c>
      <c r="N3440" t="s">
        <v>10462</v>
      </c>
      <c r="O3440" t="str">
        <f>IFERROR(IF(Tbla_actores[[#This Row],[codigo_proyecto]]="","",_xlfn.XLOOKUP(Tbla_actores[[#This Row],[codigo_proyecto]],Proyectos!$A:$A,Proyectos!$C:$C)),"")</f>
        <v>Proyecto 7</v>
      </c>
    </row>
    <row r="3441" spans="1:15">
      <c r="A3441" s="10">
        <v>1015992276</v>
      </c>
      <c r="B3441" s="64" t="s">
        <v>61</v>
      </c>
      <c r="C3441" s="62" t="s">
        <v>10048</v>
      </c>
      <c r="D3441" t="s">
        <v>63</v>
      </c>
      <c r="E3441" t="s">
        <v>10475</v>
      </c>
      <c r="F3441" s="61">
        <v>37974</v>
      </c>
      <c r="G3441" s="15" t="s">
        <v>73</v>
      </c>
      <c r="H3441" t="s">
        <v>10476</v>
      </c>
      <c r="I3441" s="62" t="s">
        <v>10477</v>
      </c>
      <c r="K3441" s="36" t="s">
        <v>68</v>
      </c>
      <c r="L3441" t="s">
        <v>69</v>
      </c>
      <c r="M3441" s="62" t="s">
        <v>70</v>
      </c>
      <c r="N3441" t="s">
        <v>10462</v>
      </c>
      <c r="O3441" t="str">
        <f>IFERROR(IF(Tbla_actores[[#This Row],[codigo_proyecto]]="","",_xlfn.XLOOKUP(Tbla_actores[[#This Row],[codigo_proyecto]],Proyectos!$A:$A,Proyectos!$C:$C)),"")</f>
        <v>Proyecto 7</v>
      </c>
    </row>
    <row r="3442" spans="1:15">
      <c r="A3442" s="9">
        <v>1011084379</v>
      </c>
      <c r="B3442" s="63" t="s">
        <v>61</v>
      </c>
      <c r="C3442" s="62" t="s">
        <v>10048</v>
      </c>
      <c r="D3442" t="s">
        <v>63</v>
      </c>
      <c r="E3442" t="s">
        <v>10478</v>
      </c>
      <c r="F3442" s="61">
        <v>38486</v>
      </c>
      <c r="G3442" s="15" t="s">
        <v>65</v>
      </c>
      <c r="H3442" t="s">
        <v>10479</v>
      </c>
      <c r="I3442" s="62" t="s">
        <v>10480</v>
      </c>
      <c r="K3442" s="36" t="s">
        <v>68</v>
      </c>
      <c r="L3442" t="s">
        <v>69</v>
      </c>
      <c r="M3442" s="62" t="s">
        <v>70</v>
      </c>
      <c r="N3442" t="s">
        <v>10462</v>
      </c>
      <c r="O3442" t="str">
        <f>IFERROR(IF(Tbla_actores[[#This Row],[codigo_proyecto]]="","",_xlfn.XLOOKUP(Tbla_actores[[#This Row],[codigo_proyecto]],Proyectos!$A:$A,Proyectos!$C:$C)),"")</f>
        <v>Proyecto 7</v>
      </c>
    </row>
    <row r="3443" spans="1:15">
      <c r="A3443" s="10">
        <v>1011083764</v>
      </c>
      <c r="B3443" s="64" t="s">
        <v>61</v>
      </c>
      <c r="C3443" s="62" t="s">
        <v>10048</v>
      </c>
      <c r="D3443" t="s">
        <v>63</v>
      </c>
      <c r="E3443" t="s">
        <v>10481</v>
      </c>
      <c r="F3443" s="61">
        <v>38467</v>
      </c>
      <c r="G3443" s="15" t="s">
        <v>73</v>
      </c>
      <c r="H3443" t="s">
        <v>10482</v>
      </c>
      <c r="I3443" s="62" t="s">
        <v>10483</v>
      </c>
      <c r="K3443" s="36" t="s">
        <v>68</v>
      </c>
      <c r="L3443" t="s">
        <v>69</v>
      </c>
      <c r="M3443" s="62" t="s">
        <v>70</v>
      </c>
      <c r="N3443" t="s">
        <v>10484</v>
      </c>
      <c r="O3443" t="str">
        <f>IFERROR(IF(Tbla_actores[[#This Row],[codigo_proyecto]]="","",_xlfn.XLOOKUP(Tbla_actores[[#This Row],[codigo_proyecto]],Proyectos!$A:$A,Proyectos!$C:$C)),"")</f>
        <v>PROGRAMA SOCIAL VIDAS MÓVILES (JAVERIANA)</v>
      </c>
    </row>
    <row r="3444" spans="1:15">
      <c r="A3444" s="9">
        <v>1000834834</v>
      </c>
      <c r="B3444" s="63" t="s">
        <v>61</v>
      </c>
      <c r="C3444" s="62" t="s">
        <v>10048</v>
      </c>
      <c r="D3444" t="s">
        <v>63</v>
      </c>
      <c r="E3444" t="s">
        <v>10485</v>
      </c>
      <c r="F3444" s="61">
        <v>37675</v>
      </c>
      <c r="G3444" s="15" t="s">
        <v>73</v>
      </c>
      <c r="H3444" t="s">
        <v>10486</v>
      </c>
      <c r="I3444" s="62" t="s">
        <v>10487</v>
      </c>
      <c r="K3444" s="36" t="s">
        <v>1489</v>
      </c>
      <c r="L3444" t="s">
        <v>69</v>
      </c>
      <c r="M3444" s="62" t="s">
        <v>70</v>
      </c>
      <c r="N3444" t="s">
        <v>10185</v>
      </c>
      <c r="O3444" t="str">
        <f>IFERROR(IF(Tbla_actores[[#This Row],[codigo_proyecto]]="","",_xlfn.XLOOKUP(Tbla_actores[[#This Row],[codigo_proyecto]],Proyectos!$A:$A,Proyectos!$C:$C)),"")</f>
        <v>Sistema Antiescape en dispositivos de cuidado residencial</v>
      </c>
    </row>
    <row r="3445" spans="1:15">
      <c r="A3445" s="10">
        <v>1001191916</v>
      </c>
      <c r="B3445" s="64" t="s">
        <v>61</v>
      </c>
      <c r="C3445" s="62" t="s">
        <v>10048</v>
      </c>
      <c r="D3445" t="s">
        <v>63</v>
      </c>
      <c r="E3445" t="s">
        <v>10488</v>
      </c>
      <c r="F3445" s="61">
        <v>37709</v>
      </c>
      <c r="G3445" s="15" t="s">
        <v>73</v>
      </c>
      <c r="H3445" t="s">
        <v>10489</v>
      </c>
      <c r="I3445" s="62" t="s">
        <v>10490</v>
      </c>
      <c r="K3445" s="36" t="s">
        <v>1489</v>
      </c>
      <c r="L3445" t="s">
        <v>69</v>
      </c>
      <c r="M3445" s="62" t="s">
        <v>70</v>
      </c>
      <c r="N3445" t="s">
        <v>10056</v>
      </c>
      <c r="O3445" t="str">
        <f>IFERROR(IF(Tbla_actores[[#This Row],[codigo_proyecto]]="","",_xlfn.XLOOKUP(Tbla_actores[[#This Row],[codigo_proyecto]],Proyectos!$A:$A,Proyectos!$C:$C)),"")</f>
        <v>Diagnodtico de necesidades de asesoría técnica para las labores de cuidado</v>
      </c>
    </row>
    <row r="3446" spans="1:15">
      <c r="A3446" s="9">
        <v>1041975728</v>
      </c>
      <c r="B3446" s="63" t="s">
        <v>61</v>
      </c>
      <c r="C3446" s="62" t="s">
        <v>10048</v>
      </c>
      <c r="D3446" t="s">
        <v>63</v>
      </c>
      <c r="E3446" t="s">
        <v>10491</v>
      </c>
      <c r="F3446" s="61">
        <v>38470</v>
      </c>
      <c r="G3446" s="15" t="s">
        <v>73</v>
      </c>
      <c r="H3446" t="s">
        <v>10492</v>
      </c>
      <c r="I3446" s="62" t="s">
        <v>10493</v>
      </c>
      <c r="K3446" s="36" t="s">
        <v>169</v>
      </c>
      <c r="L3446" t="s">
        <v>69</v>
      </c>
      <c r="M3446" s="62" t="s">
        <v>170</v>
      </c>
      <c r="N3446" t="s">
        <v>10494</v>
      </c>
      <c r="O3446" t="str">
        <f>IFERROR(IF(Tbla_actores[[#This Row],[codigo_proyecto]]="","",_xlfn.XLOOKUP(Tbla_actores[[#This Row],[codigo_proyecto]],Proyectos!$A:$A,Proyectos!$C:$C)),"")</f>
        <v>CAPACITACION EMPRENDIMIENTO</v>
      </c>
    </row>
    <row r="3447" spans="1:15">
      <c r="A3447" s="10">
        <v>1031610209</v>
      </c>
      <c r="B3447" s="64" t="s">
        <v>61</v>
      </c>
      <c r="C3447" s="62" t="s">
        <v>10048</v>
      </c>
      <c r="D3447" t="s">
        <v>63</v>
      </c>
      <c r="E3447" t="s">
        <v>10495</v>
      </c>
      <c r="F3447" s="61">
        <v>38348</v>
      </c>
      <c r="G3447" s="15" t="s">
        <v>65</v>
      </c>
      <c r="H3447" t="s">
        <v>10496</v>
      </c>
      <c r="I3447" s="62" t="s">
        <v>10497</v>
      </c>
      <c r="K3447" s="36" t="s">
        <v>169</v>
      </c>
      <c r="L3447" t="s">
        <v>69</v>
      </c>
      <c r="M3447" s="62" t="s">
        <v>170</v>
      </c>
      <c r="N3447" t="s">
        <v>10101</v>
      </c>
      <c r="O3447" t="str">
        <f>IFERROR(IF(Tbla_actores[[#This Row],[codigo_proyecto]]="","",_xlfn.XLOOKUP(Tbla_actores[[#This Row],[codigo_proyecto]],Proyectos!$A:$A,Proyectos!$C:$C)),"")</f>
        <v>Mejoramiento procesos administrativos.</v>
      </c>
    </row>
    <row r="3448" spans="1:15">
      <c r="A3448" s="9">
        <v>1031642786</v>
      </c>
      <c r="B3448" s="63" t="s">
        <v>61</v>
      </c>
      <c r="C3448" s="62" t="s">
        <v>10048</v>
      </c>
      <c r="D3448" t="s">
        <v>63</v>
      </c>
      <c r="E3448" t="s">
        <v>10498</v>
      </c>
      <c r="F3448" s="61">
        <v>38176</v>
      </c>
      <c r="G3448" s="15" t="s">
        <v>73</v>
      </c>
      <c r="H3448" t="s">
        <v>10499</v>
      </c>
      <c r="I3448" s="62" t="s">
        <v>10500</v>
      </c>
      <c r="K3448" s="36" t="s">
        <v>68</v>
      </c>
      <c r="L3448" t="s">
        <v>69</v>
      </c>
      <c r="M3448" s="62" t="s">
        <v>70</v>
      </c>
      <c r="N3448" t="s">
        <v>10501</v>
      </c>
      <c r="O3448" t="str">
        <f>IFERROR(IF(Tbla_actores[[#This Row],[codigo_proyecto]]="","",_xlfn.XLOOKUP(Tbla_actores[[#This Row],[codigo_proyecto]],Proyectos!$A:$A,Proyectos!$C:$C)),"")</f>
        <v>Proyecto 8</v>
      </c>
    </row>
    <row r="3449" spans="1:15">
      <c r="A3449" s="10">
        <v>1034397703</v>
      </c>
      <c r="B3449" s="64" t="s">
        <v>61</v>
      </c>
      <c r="C3449" s="62" t="s">
        <v>10048</v>
      </c>
      <c r="D3449" t="s">
        <v>63</v>
      </c>
      <c r="E3449" t="s">
        <v>10502</v>
      </c>
      <c r="F3449" s="61">
        <v>38329</v>
      </c>
      <c r="G3449" s="15" t="s">
        <v>73</v>
      </c>
      <c r="H3449" t="s">
        <v>10503</v>
      </c>
      <c r="I3449" s="62" t="s">
        <v>10504</v>
      </c>
      <c r="K3449" s="36" t="s">
        <v>7284</v>
      </c>
      <c r="L3449" t="s">
        <v>69</v>
      </c>
      <c r="M3449" s="62" t="s">
        <v>70</v>
      </c>
      <c r="N3449" t="s">
        <v>10106</v>
      </c>
      <c r="O3449" t="str">
        <f>IFERROR(IF(Tbla_actores[[#This Row],[codigo_proyecto]]="","",_xlfn.XLOOKUP(Tbla_actores[[#This Row],[codigo_proyecto]],Proyectos!$A:$A,Proyectos!$C:$C)),"")</f>
        <v>Diseño  final de prótesis mecánica transhumeral y próteiss transradial</v>
      </c>
    </row>
    <row r="3450" spans="1:15">
      <c r="A3450" s="9">
        <v>1027520151</v>
      </c>
      <c r="B3450" s="63" t="s">
        <v>61</v>
      </c>
      <c r="C3450" s="62" t="s">
        <v>10048</v>
      </c>
      <c r="D3450" t="s">
        <v>63</v>
      </c>
      <c r="E3450" t="s">
        <v>10505</v>
      </c>
      <c r="F3450" s="61">
        <v>37976</v>
      </c>
      <c r="G3450" s="15" t="s">
        <v>73</v>
      </c>
      <c r="H3450" t="s">
        <v>10506</v>
      </c>
      <c r="I3450" s="62" t="s">
        <v>10507</v>
      </c>
      <c r="K3450" s="36" t="s">
        <v>7284</v>
      </c>
      <c r="L3450" t="s">
        <v>69</v>
      </c>
      <c r="M3450" s="62" t="s">
        <v>70</v>
      </c>
      <c r="N3450" t="s">
        <v>10106</v>
      </c>
      <c r="O3450" t="str">
        <f>IFERROR(IF(Tbla_actores[[#This Row],[codigo_proyecto]]="","",_xlfn.XLOOKUP(Tbla_actores[[#This Row],[codigo_proyecto]],Proyectos!$A:$A,Proyectos!$C:$C)),"")</f>
        <v>Diseño  final de prótesis mecánica transhumeral y próteiss transradial</v>
      </c>
    </row>
    <row r="3451" spans="1:15">
      <c r="A3451" s="10">
        <v>1000149389</v>
      </c>
      <c r="B3451" s="64" t="s">
        <v>61</v>
      </c>
      <c r="C3451" s="62" t="s">
        <v>10048</v>
      </c>
      <c r="D3451" t="s">
        <v>63</v>
      </c>
      <c r="E3451" t="s">
        <v>10508</v>
      </c>
      <c r="F3451" s="61">
        <v>37789</v>
      </c>
      <c r="G3451" s="15" t="s">
        <v>73</v>
      </c>
      <c r="H3451" t="s">
        <v>10509</v>
      </c>
      <c r="I3451" s="62" t="s">
        <v>10510</v>
      </c>
      <c r="K3451" s="36" t="s">
        <v>6427</v>
      </c>
      <c r="L3451" t="s">
        <v>69</v>
      </c>
      <c r="M3451" s="62" t="s">
        <v>70</v>
      </c>
      <c r="N3451" t="s">
        <v>10511</v>
      </c>
      <c r="O3451" t="str">
        <f>IFERROR(IF(Tbla_actores[[#This Row],[codigo_proyecto]]="","",_xlfn.XLOOKUP(Tbla_actores[[#This Row],[codigo_proyecto]],Proyectos!$A:$A,Proyectos!$C:$C)),"")</f>
        <v>Diseño  final de prótesis mecánica transhumeral y próteiss transradial</v>
      </c>
    </row>
    <row r="3452" spans="1:15">
      <c r="A3452" s="9">
        <v>1013258691</v>
      </c>
      <c r="B3452" s="63" t="s">
        <v>61</v>
      </c>
      <c r="C3452" s="62" t="s">
        <v>10048</v>
      </c>
      <c r="D3452" t="s">
        <v>63</v>
      </c>
      <c r="E3452" t="s">
        <v>10512</v>
      </c>
      <c r="F3452" s="61">
        <v>38368</v>
      </c>
      <c r="G3452" s="15" t="s">
        <v>73</v>
      </c>
      <c r="H3452" t="s">
        <v>10513</v>
      </c>
      <c r="I3452" s="62" t="s">
        <v>10514</v>
      </c>
      <c r="K3452" s="36" t="s">
        <v>68</v>
      </c>
      <c r="L3452" t="s">
        <v>69</v>
      </c>
      <c r="M3452" s="62" t="s">
        <v>70</v>
      </c>
      <c r="N3452" t="s">
        <v>10501</v>
      </c>
      <c r="O3452" t="str">
        <f>IFERROR(IF(Tbla_actores[[#This Row],[codigo_proyecto]]="","",_xlfn.XLOOKUP(Tbla_actores[[#This Row],[codigo_proyecto]],Proyectos!$A:$A,Proyectos!$C:$C)),"")</f>
        <v>Proyecto 8</v>
      </c>
    </row>
    <row r="3453" spans="1:15">
      <c r="A3453" s="10">
        <v>1001975901</v>
      </c>
      <c r="B3453" s="64" t="s">
        <v>61</v>
      </c>
      <c r="C3453" s="62" t="s">
        <v>10048</v>
      </c>
      <c r="D3453" t="s">
        <v>63</v>
      </c>
      <c r="E3453" t="s">
        <v>10515</v>
      </c>
      <c r="F3453" s="61">
        <v>37519</v>
      </c>
      <c r="G3453" s="15" t="s">
        <v>73</v>
      </c>
      <c r="H3453" t="s">
        <v>10516</v>
      </c>
      <c r="I3453" s="62" t="s">
        <v>10517</v>
      </c>
      <c r="K3453" s="36" t="s">
        <v>7284</v>
      </c>
      <c r="L3453" t="s">
        <v>69</v>
      </c>
      <c r="M3453" s="62" t="s">
        <v>70</v>
      </c>
      <c r="N3453" t="s">
        <v>10106</v>
      </c>
      <c r="O3453" t="str">
        <f>IFERROR(IF(Tbla_actores[[#This Row],[codigo_proyecto]]="","",_xlfn.XLOOKUP(Tbla_actores[[#This Row],[codigo_proyecto]],Proyectos!$A:$A,Proyectos!$C:$C)),"")</f>
        <v>Diseño  final de prótesis mecánica transhumeral y próteiss transradial</v>
      </c>
    </row>
    <row r="3454" spans="1:15">
      <c r="A3454" s="9">
        <v>1025060046</v>
      </c>
      <c r="B3454" s="63" t="s">
        <v>61</v>
      </c>
      <c r="C3454" s="62" t="s">
        <v>10048</v>
      </c>
      <c r="D3454" t="s">
        <v>63</v>
      </c>
      <c r="E3454" t="s">
        <v>10518</v>
      </c>
      <c r="F3454" s="61">
        <v>37960</v>
      </c>
      <c r="G3454" s="15" t="s">
        <v>73</v>
      </c>
      <c r="H3454" t="s">
        <v>10519</v>
      </c>
      <c r="I3454" s="62" t="s">
        <v>10520</v>
      </c>
      <c r="K3454" s="36" t="s">
        <v>68</v>
      </c>
      <c r="L3454" t="s">
        <v>69</v>
      </c>
      <c r="M3454" s="62" t="s">
        <v>70</v>
      </c>
      <c r="N3454" t="s">
        <v>10501</v>
      </c>
      <c r="O3454" t="str">
        <f>IFERROR(IF(Tbla_actores[[#This Row],[codigo_proyecto]]="","",_xlfn.XLOOKUP(Tbla_actores[[#This Row],[codigo_proyecto]],Proyectos!$A:$A,Proyectos!$C:$C)),"")</f>
        <v>Proyecto 8</v>
      </c>
    </row>
    <row r="3455" spans="1:15">
      <c r="A3455" s="10">
        <v>1021392460</v>
      </c>
      <c r="B3455" s="64" t="s">
        <v>61</v>
      </c>
      <c r="C3455" s="62" t="s">
        <v>10048</v>
      </c>
      <c r="D3455" t="s">
        <v>63</v>
      </c>
      <c r="E3455" t="s">
        <v>10521</v>
      </c>
      <c r="F3455" s="61">
        <v>38059</v>
      </c>
      <c r="G3455" s="15" t="s">
        <v>73</v>
      </c>
      <c r="H3455" t="s">
        <v>10522</v>
      </c>
      <c r="I3455" s="62" t="s">
        <v>10523</v>
      </c>
      <c r="K3455" s="36" t="s">
        <v>6427</v>
      </c>
      <c r="L3455" t="s">
        <v>69</v>
      </c>
      <c r="M3455" s="62" t="s">
        <v>70</v>
      </c>
      <c r="N3455" t="s">
        <v>10511</v>
      </c>
      <c r="O3455" t="str">
        <f>IFERROR(IF(Tbla_actores[[#This Row],[codigo_proyecto]]="","",_xlfn.XLOOKUP(Tbla_actores[[#This Row],[codigo_proyecto]],Proyectos!$A:$A,Proyectos!$C:$C)),"")</f>
        <v>Diseño  final de prótesis mecánica transhumeral y próteiss transradial</v>
      </c>
    </row>
    <row r="3456" spans="1:15">
      <c r="A3456" s="9">
        <v>1013036567</v>
      </c>
      <c r="B3456" s="63" t="s">
        <v>61</v>
      </c>
      <c r="C3456" s="62" t="s">
        <v>10048</v>
      </c>
      <c r="D3456" t="s">
        <v>63</v>
      </c>
      <c r="E3456" t="s">
        <v>10524</v>
      </c>
      <c r="F3456" s="61">
        <v>38302</v>
      </c>
      <c r="G3456" s="15" t="s">
        <v>73</v>
      </c>
      <c r="H3456" t="s">
        <v>10525</v>
      </c>
      <c r="I3456" s="62" t="s">
        <v>10526</v>
      </c>
      <c r="K3456" s="36" t="s">
        <v>6427</v>
      </c>
      <c r="L3456" t="s">
        <v>69</v>
      </c>
      <c r="M3456" s="62" t="s">
        <v>70</v>
      </c>
      <c r="N3456" t="s">
        <v>10511</v>
      </c>
      <c r="O3456" t="str">
        <f>IFERROR(IF(Tbla_actores[[#This Row],[codigo_proyecto]]="","",_xlfn.XLOOKUP(Tbla_actores[[#This Row],[codigo_proyecto]],Proyectos!$A:$A,Proyectos!$C:$C)),"")</f>
        <v>Diseño  final de prótesis mecánica transhumeral y próteiss transradial</v>
      </c>
    </row>
    <row r="3457" spans="1:15">
      <c r="A3457" s="10">
        <v>1069647380</v>
      </c>
      <c r="B3457" s="64" t="s">
        <v>61</v>
      </c>
      <c r="C3457" s="62" t="s">
        <v>10048</v>
      </c>
      <c r="D3457" t="s">
        <v>63</v>
      </c>
      <c r="E3457" t="s">
        <v>10527</v>
      </c>
      <c r="F3457" s="61">
        <v>38100</v>
      </c>
      <c r="G3457" s="15" t="s">
        <v>65</v>
      </c>
      <c r="H3457" t="s">
        <v>10528</v>
      </c>
      <c r="I3457" s="62" t="s">
        <v>10529</v>
      </c>
      <c r="K3457" s="36" t="s">
        <v>6427</v>
      </c>
      <c r="L3457" t="s">
        <v>69</v>
      </c>
      <c r="M3457" s="62" t="s">
        <v>70</v>
      </c>
      <c r="N3457" t="s">
        <v>10511</v>
      </c>
      <c r="O3457" t="str">
        <f>IFERROR(IF(Tbla_actores[[#This Row],[codigo_proyecto]]="","",_xlfn.XLOOKUP(Tbla_actores[[#This Row],[codigo_proyecto]],Proyectos!$A:$A,Proyectos!$C:$C)),"")</f>
        <v>Diseño  final de prótesis mecánica transhumeral y próteiss transradial</v>
      </c>
    </row>
    <row r="3458" spans="1:15">
      <c r="A3458" s="9">
        <v>1013258015</v>
      </c>
      <c r="B3458" s="63" t="s">
        <v>61</v>
      </c>
      <c r="C3458" s="62" t="s">
        <v>10048</v>
      </c>
      <c r="D3458" t="s">
        <v>63</v>
      </c>
      <c r="E3458" t="s">
        <v>10530</v>
      </c>
      <c r="F3458" s="61">
        <v>38273</v>
      </c>
      <c r="G3458" s="15" t="s">
        <v>73</v>
      </c>
      <c r="H3458" t="s">
        <v>10531</v>
      </c>
      <c r="I3458" s="62" t="s">
        <v>10532</v>
      </c>
      <c r="K3458" s="36" t="s">
        <v>68</v>
      </c>
      <c r="L3458" t="s">
        <v>69</v>
      </c>
      <c r="M3458" s="62" t="s">
        <v>70</v>
      </c>
      <c r="N3458" t="s">
        <v>10533</v>
      </c>
      <c r="O3458" t="str">
        <f>IFERROR(IF(Tbla_actores[[#This Row],[codigo_proyecto]]="","",_xlfn.XLOOKUP(Tbla_actores[[#This Row],[codigo_proyecto]],Proyectos!$A:$A,Proyectos!$C:$C)),"")</f>
        <v>Proyecto 23</v>
      </c>
    </row>
    <row r="3459" spans="1:15">
      <c r="A3459" s="10">
        <v>1095510262</v>
      </c>
      <c r="B3459" s="64" t="s">
        <v>61</v>
      </c>
      <c r="C3459" s="62" t="s">
        <v>10048</v>
      </c>
      <c r="D3459" t="s">
        <v>63</v>
      </c>
      <c r="E3459" t="s">
        <v>10534</v>
      </c>
      <c r="F3459" s="61">
        <v>38473</v>
      </c>
      <c r="G3459" s="15" t="s">
        <v>73</v>
      </c>
      <c r="H3459" t="s">
        <v>10535</v>
      </c>
      <c r="I3459" s="62" t="s">
        <v>10536</v>
      </c>
      <c r="K3459" s="36" t="s">
        <v>68</v>
      </c>
      <c r="L3459" t="s">
        <v>69</v>
      </c>
      <c r="M3459" s="62" t="s">
        <v>70</v>
      </c>
      <c r="N3459" t="s">
        <v>10537</v>
      </c>
      <c r="O3459" t="str">
        <f>IFERROR(IF(Tbla_actores[[#This Row],[codigo_proyecto]]="","",_xlfn.XLOOKUP(Tbla_actores[[#This Row],[codigo_proyecto]],Proyectos!$A:$A,Proyectos!$C:$C)),"")</f>
        <v>Proyecto 24</v>
      </c>
    </row>
    <row r="3460" spans="1:15">
      <c r="A3460" s="9">
        <v>1091965444</v>
      </c>
      <c r="B3460" s="63" t="s">
        <v>61</v>
      </c>
      <c r="C3460" s="62" t="s">
        <v>10048</v>
      </c>
      <c r="D3460" t="s">
        <v>63</v>
      </c>
      <c r="E3460" t="s">
        <v>10538</v>
      </c>
      <c r="F3460" s="61">
        <v>38188</v>
      </c>
      <c r="G3460" s="15" t="s">
        <v>73</v>
      </c>
      <c r="H3460" t="s">
        <v>10539</v>
      </c>
      <c r="I3460" s="62" t="s">
        <v>10540</v>
      </c>
      <c r="K3460" s="36" t="s">
        <v>68</v>
      </c>
      <c r="L3460" t="s">
        <v>69</v>
      </c>
      <c r="M3460" s="62" t="s">
        <v>70</v>
      </c>
      <c r="N3460" t="s">
        <v>10541</v>
      </c>
      <c r="O3460" t="str">
        <f>IFERROR(IF(Tbla_actores[[#This Row],[codigo_proyecto]]="","",_xlfn.XLOOKUP(Tbla_actores[[#This Row],[codigo_proyecto]],Proyectos!$A:$A,Proyectos!$C:$C)),"")</f>
        <v>Proyecto 28</v>
      </c>
    </row>
    <row r="3461" spans="1:15">
      <c r="A3461" s="10">
        <v>1099203570</v>
      </c>
      <c r="B3461" s="64" t="s">
        <v>61</v>
      </c>
      <c r="C3461" s="62" t="s">
        <v>10048</v>
      </c>
      <c r="D3461" t="s">
        <v>63</v>
      </c>
      <c r="E3461" t="s">
        <v>10542</v>
      </c>
      <c r="F3461" s="61">
        <v>38359</v>
      </c>
      <c r="G3461" s="15" t="s">
        <v>73</v>
      </c>
      <c r="H3461" t="s">
        <v>10543</v>
      </c>
      <c r="I3461" s="62" t="s">
        <v>10544</v>
      </c>
      <c r="K3461" s="36" t="s">
        <v>68</v>
      </c>
      <c r="L3461" t="s">
        <v>69</v>
      </c>
      <c r="M3461" s="62" t="s">
        <v>70</v>
      </c>
      <c r="N3461" t="s">
        <v>10545</v>
      </c>
      <c r="O3461" t="str">
        <f>IFERROR(IF(Tbla_actores[[#This Row],[codigo_proyecto]]="","",_xlfn.XLOOKUP(Tbla_actores[[#This Row],[codigo_proyecto]],Proyectos!$A:$A,Proyectos!$C:$C)),"")</f>
        <v>Proyecto 25</v>
      </c>
    </row>
    <row r="3462" spans="1:15">
      <c r="A3462" s="9">
        <v>1031540018</v>
      </c>
      <c r="B3462" s="63" t="s">
        <v>61</v>
      </c>
      <c r="C3462" s="62" t="s">
        <v>10048</v>
      </c>
      <c r="D3462" t="s">
        <v>63</v>
      </c>
      <c r="E3462" t="s">
        <v>10546</v>
      </c>
      <c r="F3462" s="61">
        <v>37960</v>
      </c>
      <c r="G3462" s="15" t="s">
        <v>73</v>
      </c>
      <c r="H3462" t="s">
        <v>10547</v>
      </c>
      <c r="I3462" s="62" t="s">
        <v>10548</v>
      </c>
      <c r="K3462" s="36" t="s">
        <v>68</v>
      </c>
      <c r="L3462" t="s">
        <v>69</v>
      </c>
      <c r="M3462" s="62" t="s">
        <v>70</v>
      </c>
      <c r="N3462" t="s">
        <v>10118</v>
      </c>
      <c r="O3462" t="str">
        <f>IFERROR(IF(Tbla_actores[[#This Row],[codigo_proyecto]]="","",_xlfn.XLOOKUP(Tbla_actores[[#This Row],[codigo_proyecto]],Proyectos!$A:$A,Proyectos!$C:$C)),"")</f>
        <v>OFICINA DE RESPONSABILIDAD SOCIAL</v>
      </c>
    </row>
    <row r="3463" spans="1:15">
      <c r="A3463" s="10">
        <v>1011081112</v>
      </c>
      <c r="B3463" s="64" t="s">
        <v>61</v>
      </c>
      <c r="C3463" s="62" t="s">
        <v>10048</v>
      </c>
      <c r="D3463" t="s">
        <v>63</v>
      </c>
      <c r="E3463" t="s">
        <v>10549</v>
      </c>
      <c r="F3463" s="61">
        <v>38355</v>
      </c>
      <c r="G3463" s="15" t="s">
        <v>73</v>
      </c>
      <c r="H3463" t="s">
        <v>10550</v>
      </c>
      <c r="I3463" s="62" t="s">
        <v>10551</v>
      </c>
      <c r="K3463" s="36" t="s">
        <v>68</v>
      </c>
      <c r="L3463" t="s">
        <v>69</v>
      </c>
      <c r="M3463" s="62" t="s">
        <v>70</v>
      </c>
      <c r="N3463" t="s">
        <v>10118</v>
      </c>
      <c r="O3463" t="str">
        <f>IFERROR(IF(Tbla_actores[[#This Row],[codigo_proyecto]]="","",_xlfn.XLOOKUP(Tbla_actores[[#This Row],[codigo_proyecto]],Proyectos!$A:$A,Proyectos!$C:$C)),"")</f>
        <v>OFICINA DE RESPONSABILIDAD SOCIAL</v>
      </c>
    </row>
    <row r="3464" spans="1:15">
      <c r="A3464" s="9">
        <v>1052838129</v>
      </c>
      <c r="B3464" s="63" t="s">
        <v>61</v>
      </c>
      <c r="C3464" s="62" t="s">
        <v>10048</v>
      </c>
      <c r="D3464" t="s">
        <v>63</v>
      </c>
      <c r="E3464" t="s">
        <v>10552</v>
      </c>
      <c r="F3464" s="61">
        <v>38712</v>
      </c>
      <c r="G3464" s="15" t="s">
        <v>73</v>
      </c>
      <c r="H3464" t="s">
        <v>10553</v>
      </c>
      <c r="I3464" s="62" t="s">
        <v>10554</v>
      </c>
      <c r="K3464" s="36" t="s">
        <v>169</v>
      </c>
      <c r="L3464" t="s">
        <v>69</v>
      </c>
      <c r="M3464" s="62" t="s">
        <v>170</v>
      </c>
      <c r="N3464" t="s">
        <v>10110</v>
      </c>
      <c r="O3464" t="str">
        <f>IFERROR(IF(Tbla_actores[[#This Row],[codigo_proyecto]]="","",_xlfn.XLOOKUP(Tbla_actores[[#This Row],[codigo_proyecto]],Proyectos!$A:$A,Proyectos!$C:$C)),"")</f>
        <v xml:space="preserve">Mesa de Reconciliación y Justicia. </v>
      </c>
    </row>
    <row r="3465" spans="1:15">
      <c r="A3465" s="10">
        <v>1056994110</v>
      </c>
      <c r="B3465" s="64" t="s">
        <v>61</v>
      </c>
      <c r="C3465" s="62" t="s">
        <v>10048</v>
      </c>
      <c r="D3465" t="s">
        <v>63</v>
      </c>
      <c r="E3465" t="s">
        <v>10555</v>
      </c>
      <c r="F3465" s="61">
        <v>38422</v>
      </c>
      <c r="G3465" s="15" t="s">
        <v>73</v>
      </c>
      <c r="H3465" t="s">
        <v>10556</v>
      </c>
      <c r="I3465" s="62" t="s">
        <v>10557</v>
      </c>
      <c r="K3465" s="36" t="s">
        <v>68</v>
      </c>
      <c r="L3465" t="s">
        <v>69</v>
      </c>
      <c r="M3465" s="62" t="s">
        <v>70</v>
      </c>
      <c r="N3465" t="s">
        <v>10558</v>
      </c>
      <c r="O3465" t="str">
        <f>IFERROR(IF(Tbla_actores[[#This Row],[codigo_proyecto]]="","",_xlfn.XLOOKUP(Tbla_actores[[#This Row],[codigo_proyecto]],Proyectos!$A:$A,Proyectos!$C:$C)),"")</f>
        <v>Red Juvenil Ignaciana</v>
      </c>
    </row>
    <row r="3466" spans="1:15">
      <c r="A3466" s="9">
        <v>1002368136</v>
      </c>
      <c r="B3466" s="63" t="s">
        <v>61</v>
      </c>
      <c r="C3466" s="62" t="s">
        <v>10048</v>
      </c>
      <c r="D3466" t="s">
        <v>63</v>
      </c>
      <c r="E3466" t="s">
        <v>10559</v>
      </c>
      <c r="F3466" s="61">
        <v>37826</v>
      </c>
      <c r="G3466" s="15" t="s">
        <v>73</v>
      </c>
      <c r="H3466" t="s">
        <v>10560</v>
      </c>
      <c r="I3466" s="62" t="s">
        <v>10561</v>
      </c>
      <c r="K3466" s="36" t="s">
        <v>68</v>
      </c>
      <c r="L3466" t="s">
        <v>69</v>
      </c>
      <c r="M3466" s="62" t="s">
        <v>70</v>
      </c>
      <c r="N3466" t="s">
        <v>10118</v>
      </c>
      <c r="O3466" t="str">
        <f>IFERROR(IF(Tbla_actores[[#This Row],[codigo_proyecto]]="","",_xlfn.XLOOKUP(Tbla_actores[[#This Row],[codigo_proyecto]],Proyectos!$A:$A,Proyectos!$C:$C)),"")</f>
        <v>OFICINA DE RESPONSABILIDAD SOCIAL</v>
      </c>
    </row>
    <row r="3467" spans="1:15">
      <c r="A3467" s="10">
        <v>1085901459</v>
      </c>
      <c r="B3467" s="64" t="s">
        <v>61</v>
      </c>
      <c r="C3467" s="62" t="s">
        <v>10048</v>
      </c>
      <c r="D3467" t="s">
        <v>63</v>
      </c>
      <c r="E3467" t="s">
        <v>10562</v>
      </c>
      <c r="F3467" s="61">
        <v>38354</v>
      </c>
      <c r="G3467" s="15" t="s">
        <v>73</v>
      </c>
      <c r="H3467" t="s">
        <v>10563</v>
      </c>
      <c r="I3467" s="62" t="s">
        <v>10564</v>
      </c>
      <c r="K3467" s="36" t="s">
        <v>169</v>
      </c>
      <c r="L3467" t="s">
        <v>69</v>
      </c>
      <c r="M3467" s="62" t="s">
        <v>170</v>
      </c>
      <c r="N3467" t="s">
        <v>10142</v>
      </c>
      <c r="O3467" t="str">
        <f>IFERROR(IF(Tbla_actores[[#This Row],[codigo_proyecto]]="","",_xlfn.XLOOKUP(Tbla_actores[[#This Row],[codigo_proyecto]],Proyectos!$A:$A,Proyectos!$C:$C)),"")</f>
        <v>CAPACITACION EMPRENDIMIENTO</v>
      </c>
    </row>
    <row r="3468" spans="1:15">
      <c r="A3468" s="9">
        <v>1013036529</v>
      </c>
      <c r="B3468" s="63" t="s">
        <v>61</v>
      </c>
      <c r="C3468" s="62" t="s">
        <v>10048</v>
      </c>
      <c r="D3468" t="s">
        <v>63</v>
      </c>
      <c r="E3468" t="s">
        <v>10565</v>
      </c>
      <c r="F3468" s="61">
        <v>38288</v>
      </c>
      <c r="G3468" s="15" t="s">
        <v>73</v>
      </c>
      <c r="H3468" t="s">
        <v>10566</v>
      </c>
      <c r="I3468" s="62" t="s">
        <v>10567</v>
      </c>
      <c r="K3468" s="36" t="s">
        <v>68</v>
      </c>
      <c r="L3468" t="s">
        <v>69</v>
      </c>
      <c r="M3468" s="62" t="s">
        <v>70</v>
      </c>
      <c r="N3468" t="s">
        <v>10568</v>
      </c>
      <c r="O3468" t="str">
        <f>IFERROR(IF(Tbla_actores[[#This Row],[codigo_proyecto]]="","",_xlfn.XLOOKUP(Tbla_actores[[#This Row],[codigo_proyecto]],Proyectos!$A:$A,Proyectos!$C:$C)),"")</f>
        <v>PROSOFI - UNBOUND</v>
      </c>
    </row>
    <row r="3469" spans="1:15">
      <c r="A3469" s="10">
        <v>1018501844</v>
      </c>
      <c r="B3469" s="64" t="s">
        <v>61</v>
      </c>
      <c r="C3469" s="62" t="s">
        <v>10048</v>
      </c>
      <c r="D3469" t="s">
        <v>63</v>
      </c>
      <c r="E3469" t="s">
        <v>10569</v>
      </c>
      <c r="F3469" s="61">
        <v>35871</v>
      </c>
      <c r="G3469" s="15" t="s">
        <v>73</v>
      </c>
      <c r="H3469" t="s">
        <v>10570</v>
      </c>
      <c r="I3469" s="62" t="s">
        <v>10571</v>
      </c>
      <c r="K3469" s="36" t="s">
        <v>1489</v>
      </c>
      <c r="L3469" t="s">
        <v>69</v>
      </c>
      <c r="M3469" s="62" t="s">
        <v>70</v>
      </c>
      <c r="N3469" t="s">
        <v>10056</v>
      </c>
      <c r="O3469" t="str">
        <f>IFERROR(IF(Tbla_actores[[#This Row],[codigo_proyecto]]="","",_xlfn.XLOOKUP(Tbla_actores[[#This Row],[codigo_proyecto]],Proyectos!$A:$A,Proyectos!$C:$C)),"")</f>
        <v>Diagnodtico de necesidades de asesoría técnica para las labores de cuidado</v>
      </c>
    </row>
    <row r="3470" spans="1:15">
      <c r="A3470" s="9">
        <v>1021633393</v>
      </c>
      <c r="B3470" s="63" t="s">
        <v>61</v>
      </c>
      <c r="C3470" s="62" t="s">
        <v>10048</v>
      </c>
      <c r="D3470" t="s">
        <v>63</v>
      </c>
      <c r="E3470" t="s">
        <v>10572</v>
      </c>
      <c r="F3470" s="61">
        <v>38342</v>
      </c>
      <c r="G3470" s="15" t="s">
        <v>73</v>
      </c>
      <c r="H3470" t="s">
        <v>10573</v>
      </c>
      <c r="I3470" s="62" t="s">
        <v>10574</v>
      </c>
      <c r="K3470" s="36" t="s">
        <v>68</v>
      </c>
      <c r="L3470" t="s">
        <v>69</v>
      </c>
      <c r="M3470" s="62" t="s">
        <v>70</v>
      </c>
      <c r="N3470" t="s">
        <v>10558</v>
      </c>
      <c r="O3470" t="str">
        <f>IFERROR(IF(Tbla_actores[[#This Row],[codigo_proyecto]]="","",_xlfn.XLOOKUP(Tbla_actores[[#This Row],[codigo_proyecto]],Proyectos!$A:$A,Proyectos!$C:$C)),"")</f>
        <v>Red Juvenil Ignaciana</v>
      </c>
    </row>
    <row r="3471" spans="1:15">
      <c r="A3471" s="10">
        <v>1029641463</v>
      </c>
      <c r="B3471" s="64" t="s">
        <v>61</v>
      </c>
      <c r="C3471" s="62" t="s">
        <v>10048</v>
      </c>
      <c r="D3471" t="s">
        <v>63</v>
      </c>
      <c r="E3471" t="s">
        <v>10575</v>
      </c>
      <c r="F3471" s="61">
        <v>38466</v>
      </c>
      <c r="G3471" s="15" t="s">
        <v>73</v>
      </c>
      <c r="H3471" t="s">
        <v>10576</v>
      </c>
      <c r="I3471" s="62" t="s">
        <v>10577</v>
      </c>
      <c r="K3471" s="36" t="s">
        <v>68</v>
      </c>
      <c r="L3471" t="s">
        <v>69</v>
      </c>
      <c r="M3471" s="62" t="s">
        <v>70</v>
      </c>
      <c r="N3471" t="s">
        <v>10125</v>
      </c>
      <c r="O3471" t="str">
        <f>IFERROR(IF(Tbla_actores[[#This Row],[codigo_proyecto]]="","",_xlfn.XLOOKUP(Tbla_actores[[#This Row],[codigo_proyecto]],Proyectos!$A:$A,Proyectos!$C:$C)),"")</f>
        <v>PROSOFI - TYWA KHE</v>
      </c>
    </row>
    <row r="3472" spans="1:15">
      <c r="A3472" s="9">
        <v>945417</v>
      </c>
      <c r="B3472" s="63" t="s">
        <v>61</v>
      </c>
      <c r="C3472" s="62" t="s">
        <v>10048</v>
      </c>
      <c r="D3472" t="s">
        <v>63</v>
      </c>
      <c r="E3472" t="s">
        <v>10578</v>
      </c>
      <c r="F3472" s="61">
        <v>37659</v>
      </c>
      <c r="G3472" s="15" t="s">
        <v>73</v>
      </c>
      <c r="H3472" t="s">
        <v>10579</v>
      </c>
      <c r="I3472" s="62" t="s">
        <v>10580</v>
      </c>
      <c r="K3472" s="36" t="s">
        <v>68</v>
      </c>
      <c r="L3472" t="s">
        <v>69</v>
      </c>
      <c r="M3472" s="62" t="s">
        <v>70</v>
      </c>
      <c r="N3472" t="s">
        <v>10125</v>
      </c>
      <c r="O3472" t="str">
        <f>IFERROR(IF(Tbla_actores[[#This Row],[codigo_proyecto]]="","",_xlfn.XLOOKUP(Tbla_actores[[#This Row],[codigo_proyecto]],Proyectos!$A:$A,Proyectos!$C:$C)),"")</f>
        <v>PROSOFI - TYWA KHE</v>
      </c>
    </row>
    <row r="3473" spans="1:15">
      <c r="A3473" s="10">
        <v>1034659452</v>
      </c>
      <c r="B3473" s="64" t="s">
        <v>61</v>
      </c>
      <c r="C3473" s="62" t="s">
        <v>10048</v>
      </c>
      <c r="D3473" t="s">
        <v>63</v>
      </c>
      <c r="E3473" t="s">
        <v>10581</v>
      </c>
      <c r="F3473" s="61">
        <v>38757</v>
      </c>
      <c r="G3473" s="15" t="s">
        <v>65</v>
      </c>
      <c r="H3473" t="s">
        <v>10582</v>
      </c>
      <c r="I3473" s="62" t="s">
        <v>10583</v>
      </c>
      <c r="K3473" s="36" t="s">
        <v>169</v>
      </c>
      <c r="L3473" t="s">
        <v>69</v>
      </c>
      <c r="M3473" s="62" t="s">
        <v>170</v>
      </c>
      <c r="N3473" t="s">
        <v>10140</v>
      </c>
      <c r="O3473" t="str">
        <f>IFERROR(IF(Tbla_actores[[#This Row],[codigo_proyecto]]="","",_xlfn.XLOOKUP(Tbla_actores[[#This Row],[codigo_proyecto]],Proyectos!$A:$A,Proyectos!$C:$C)),"")</f>
        <v>Asesoría en el  registro de asistencia de estudiantes y generación de reportes</v>
      </c>
    </row>
    <row r="3474" spans="1:15">
      <c r="A3474" s="9">
        <v>859603</v>
      </c>
      <c r="B3474" s="63" t="s">
        <v>61</v>
      </c>
      <c r="C3474" s="62" t="s">
        <v>10048</v>
      </c>
      <c r="D3474" t="s">
        <v>63</v>
      </c>
      <c r="E3474" t="s">
        <v>10584</v>
      </c>
      <c r="F3474" s="61">
        <v>38104</v>
      </c>
      <c r="G3474" s="15" t="s">
        <v>65</v>
      </c>
      <c r="H3474" t="s">
        <v>10585</v>
      </c>
      <c r="I3474" s="62" t="s">
        <v>10586</v>
      </c>
      <c r="K3474" s="36" t="s">
        <v>68</v>
      </c>
      <c r="L3474" t="s">
        <v>69</v>
      </c>
      <c r="M3474" s="62" t="s">
        <v>70</v>
      </c>
      <c r="N3474" t="s">
        <v>10587</v>
      </c>
      <c r="O3474" t="str">
        <f>IFERROR(IF(Tbla_actores[[#This Row],[codigo_proyecto]]="","",_xlfn.XLOOKUP(Tbla_actores[[#This Row],[codigo_proyecto]],Proyectos!$A:$A,Proyectos!$C:$C)),"")</f>
        <v>Proyección Social Ingeniería - VISUALIZACIÓN DE DATOS</v>
      </c>
    </row>
    <row r="3475" spans="1:15">
      <c r="A3475" s="10">
        <v>1013036754</v>
      </c>
      <c r="B3475" s="64" t="s">
        <v>61</v>
      </c>
      <c r="C3475" s="62" t="s">
        <v>10048</v>
      </c>
      <c r="D3475" t="s">
        <v>63</v>
      </c>
      <c r="E3475" t="s">
        <v>10588</v>
      </c>
      <c r="F3475" s="61">
        <v>38401</v>
      </c>
      <c r="G3475" s="15" t="s">
        <v>73</v>
      </c>
      <c r="H3475" t="s">
        <v>10589</v>
      </c>
      <c r="I3475" s="62" t="s">
        <v>10590</v>
      </c>
      <c r="K3475" s="36" t="s">
        <v>169</v>
      </c>
      <c r="L3475" t="s">
        <v>69</v>
      </c>
      <c r="M3475" s="62" t="s">
        <v>170</v>
      </c>
      <c r="N3475" t="s">
        <v>10494</v>
      </c>
      <c r="O3475" t="str">
        <f>IFERROR(IF(Tbla_actores[[#This Row],[codigo_proyecto]]="","",_xlfn.XLOOKUP(Tbla_actores[[#This Row],[codigo_proyecto]],Proyectos!$A:$A,Proyectos!$C:$C)),"")</f>
        <v>CAPACITACION EMPRENDIMIENTO</v>
      </c>
    </row>
    <row r="3476" spans="1:15">
      <c r="A3476" s="9">
        <v>1018515363</v>
      </c>
      <c r="B3476" s="63" t="s">
        <v>61</v>
      </c>
      <c r="C3476" s="62" t="s">
        <v>10048</v>
      </c>
      <c r="D3476" t="s">
        <v>63</v>
      </c>
      <c r="E3476" t="s">
        <v>10591</v>
      </c>
      <c r="F3476" s="61">
        <v>36542</v>
      </c>
      <c r="G3476" s="15" t="s">
        <v>73</v>
      </c>
      <c r="H3476" t="s">
        <v>10592</v>
      </c>
      <c r="I3476" s="62" t="s">
        <v>10593</v>
      </c>
      <c r="K3476" s="36" t="s">
        <v>68</v>
      </c>
      <c r="L3476" t="s">
        <v>69</v>
      </c>
      <c r="M3476" s="62" t="s">
        <v>70</v>
      </c>
      <c r="N3476" t="s">
        <v>10118</v>
      </c>
      <c r="O3476" t="str">
        <f>IFERROR(IF(Tbla_actores[[#This Row],[codigo_proyecto]]="","",_xlfn.XLOOKUP(Tbla_actores[[#This Row],[codigo_proyecto]],Proyectos!$A:$A,Proyectos!$C:$C)),"")</f>
        <v>OFICINA DE RESPONSABILIDAD SOCIAL</v>
      </c>
    </row>
    <row r="3477" spans="1:15">
      <c r="A3477" s="10">
        <v>1001283096</v>
      </c>
      <c r="B3477" s="64" t="s">
        <v>61</v>
      </c>
      <c r="C3477" s="62" t="s">
        <v>10048</v>
      </c>
      <c r="D3477" t="s">
        <v>63</v>
      </c>
      <c r="E3477" t="s">
        <v>10594</v>
      </c>
      <c r="F3477" s="61">
        <v>37768</v>
      </c>
      <c r="G3477" s="15" t="s">
        <v>65</v>
      </c>
      <c r="H3477" t="s">
        <v>10595</v>
      </c>
      <c r="I3477" s="62" t="s">
        <v>10596</v>
      </c>
      <c r="K3477" s="36" t="s">
        <v>68</v>
      </c>
      <c r="L3477" t="s">
        <v>69</v>
      </c>
      <c r="M3477" s="62" t="s">
        <v>70</v>
      </c>
      <c r="N3477" t="s">
        <v>10587</v>
      </c>
      <c r="O3477" t="str">
        <f>IFERROR(IF(Tbla_actores[[#This Row],[codigo_proyecto]]="","",_xlfn.XLOOKUP(Tbla_actores[[#This Row],[codigo_proyecto]],Proyectos!$A:$A,Proyectos!$C:$C)),"")</f>
        <v>Proyección Social Ingeniería - VISUALIZACIÓN DE DATOS</v>
      </c>
    </row>
    <row r="3478" spans="1:15">
      <c r="A3478" s="9">
        <v>1082837436</v>
      </c>
      <c r="B3478" s="63" t="s">
        <v>61</v>
      </c>
      <c r="C3478" s="62" t="s">
        <v>10048</v>
      </c>
      <c r="D3478" t="s">
        <v>63</v>
      </c>
      <c r="E3478" t="s">
        <v>10597</v>
      </c>
      <c r="F3478" s="61">
        <v>38076</v>
      </c>
      <c r="G3478" s="15" t="s">
        <v>73</v>
      </c>
      <c r="H3478" t="s">
        <v>10598</v>
      </c>
      <c r="I3478" s="62" t="s">
        <v>10599</v>
      </c>
      <c r="K3478" s="36" t="s">
        <v>169</v>
      </c>
      <c r="L3478" t="s">
        <v>69</v>
      </c>
      <c r="M3478" s="62" t="s">
        <v>170</v>
      </c>
      <c r="N3478" t="s">
        <v>10110</v>
      </c>
      <c r="O3478" t="str">
        <f>IFERROR(IF(Tbla_actores[[#This Row],[codigo_proyecto]]="","",_xlfn.XLOOKUP(Tbla_actores[[#This Row],[codigo_proyecto]],Proyectos!$A:$A,Proyectos!$C:$C)),"")</f>
        <v xml:space="preserve">Mesa de Reconciliación y Justicia. </v>
      </c>
    </row>
    <row r="3479" spans="1:15">
      <c r="A3479" s="10">
        <v>1096083539</v>
      </c>
      <c r="B3479" s="64" t="s">
        <v>61</v>
      </c>
      <c r="C3479" s="62" t="s">
        <v>10048</v>
      </c>
      <c r="D3479" t="s">
        <v>63</v>
      </c>
      <c r="E3479" t="s">
        <v>10600</v>
      </c>
      <c r="F3479" s="61">
        <v>38266</v>
      </c>
      <c r="G3479" s="15" t="s">
        <v>73</v>
      </c>
      <c r="H3479" t="s">
        <v>10601</v>
      </c>
      <c r="I3479" s="62" t="s">
        <v>10602</v>
      </c>
      <c r="K3479" s="36" t="s">
        <v>7671</v>
      </c>
      <c r="L3479" t="s">
        <v>69</v>
      </c>
      <c r="M3479" s="62" t="s">
        <v>70</v>
      </c>
      <c r="N3479" t="s">
        <v>10603</v>
      </c>
      <c r="O3479" t="str">
        <f>IFERROR(IF(Tbla_actores[[#This Row],[codigo_proyecto]]="","",_xlfn.XLOOKUP(Tbla_actores[[#This Row],[codigo_proyecto]],Proyectos!$A:$A,Proyectos!$C:$C)),"")</f>
        <v>Campus Accesible - Inclusión y Diversidad</v>
      </c>
    </row>
    <row r="3480" spans="1:15">
      <c r="A3480" s="9">
        <v>1126430889</v>
      </c>
      <c r="B3480" s="63" t="s">
        <v>61</v>
      </c>
      <c r="C3480" s="62" t="s">
        <v>10048</v>
      </c>
      <c r="D3480" t="s">
        <v>63</v>
      </c>
      <c r="E3480" t="s">
        <v>10604</v>
      </c>
      <c r="F3480" s="61">
        <v>37785</v>
      </c>
      <c r="G3480" s="15" t="s">
        <v>73</v>
      </c>
      <c r="H3480" t="s">
        <v>10605</v>
      </c>
      <c r="I3480" s="62" t="s">
        <v>10606</v>
      </c>
      <c r="K3480" s="36" t="s">
        <v>169</v>
      </c>
      <c r="L3480" t="s">
        <v>69</v>
      </c>
      <c r="M3480" s="62" t="s">
        <v>170</v>
      </c>
      <c r="N3480" t="s">
        <v>10142</v>
      </c>
      <c r="O3480" t="str">
        <f>IFERROR(IF(Tbla_actores[[#This Row],[codigo_proyecto]]="","",_xlfn.XLOOKUP(Tbla_actores[[#This Row],[codigo_proyecto]],Proyectos!$A:$A,Proyectos!$C:$C)),"")</f>
        <v>CAPACITACION EMPRENDIMIENTO</v>
      </c>
    </row>
    <row r="3481" spans="1:15">
      <c r="A3481" s="10">
        <v>1003540825</v>
      </c>
      <c r="B3481" s="64" t="s">
        <v>61</v>
      </c>
      <c r="C3481" s="62" t="s">
        <v>10048</v>
      </c>
      <c r="D3481" t="s">
        <v>63</v>
      </c>
      <c r="E3481" t="s">
        <v>10607</v>
      </c>
      <c r="F3481" s="61">
        <v>37978</v>
      </c>
      <c r="G3481" s="15" t="s">
        <v>73</v>
      </c>
      <c r="H3481" t="s">
        <v>10608</v>
      </c>
      <c r="I3481" s="62" t="s">
        <v>10609</v>
      </c>
      <c r="K3481" s="36" t="s">
        <v>169</v>
      </c>
      <c r="L3481" t="s">
        <v>69</v>
      </c>
      <c r="M3481" s="62" t="s">
        <v>170</v>
      </c>
      <c r="N3481" t="s">
        <v>10610</v>
      </c>
      <c r="O3481" t="str">
        <f>IFERROR(IF(Tbla_actores[[#This Row],[codigo_proyecto]]="","",_xlfn.XLOOKUP(Tbla_actores[[#This Row],[codigo_proyecto]],Proyectos!$A:$A,Proyectos!$C:$C)),"")</f>
        <v>Camino de Paz en los Barrios Altos de Usme</v>
      </c>
    </row>
    <row r="3482" spans="1:15">
      <c r="A3482" s="9">
        <v>1000256670</v>
      </c>
      <c r="B3482" s="63" t="s">
        <v>61</v>
      </c>
      <c r="C3482" s="62" t="s">
        <v>10048</v>
      </c>
      <c r="D3482" t="s">
        <v>63</v>
      </c>
      <c r="E3482" t="s">
        <v>10611</v>
      </c>
      <c r="F3482" s="61">
        <v>37924</v>
      </c>
      <c r="G3482" s="15" t="s">
        <v>73</v>
      </c>
      <c r="H3482" t="s">
        <v>10612</v>
      </c>
      <c r="I3482" s="62" t="s">
        <v>10613</v>
      </c>
      <c r="K3482" s="36" t="s">
        <v>495</v>
      </c>
      <c r="L3482" t="s">
        <v>69</v>
      </c>
      <c r="M3482" s="62" t="s">
        <v>70</v>
      </c>
      <c r="N3482" t="s">
        <v>10614</v>
      </c>
      <c r="O3482" t="str">
        <f>IFERROR(IF(Tbla_actores[[#This Row],[codigo_proyecto]]="","",_xlfn.XLOOKUP(Tbla_actores[[#This Row],[codigo_proyecto]],Proyectos!$A:$A,Proyectos!$C:$C)),"")</f>
        <v>PROYECTO "ESTUDIO DE PATOLOGIA ESTRUCTURAL"</v>
      </c>
    </row>
    <row r="3483" spans="1:15">
      <c r="A3483" s="10">
        <v>1021312918</v>
      </c>
      <c r="B3483" s="64" t="s">
        <v>61</v>
      </c>
      <c r="C3483" s="62" t="s">
        <v>10048</v>
      </c>
      <c r="D3483" t="s">
        <v>63</v>
      </c>
      <c r="E3483" t="s">
        <v>10615</v>
      </c>
      <c r="F3483" s="61">
        <v>38449</v>
      </c>
      <c r="G3483" s="15" t="s">
        <v>73</v>
      </c>
      <c r="H3483" t="s">
        <v>10616</v>
      </c>
      <c r="I3483" s="62" t="s">
        <v>10617</v>
      </c>
      <c r="K3483" s="36" t="s">
        <v>169</v>
      </c>
      <c r="L3483" t="s">
        <v>69</v>
      </c>
      <c r="M3483" s="62" t="s">
        <v>170</v>
      </c>
      <c r="N3483" t="s">
        <v>10126</v>
      </c>
      <c r="O3483" t="str">
        <f>IFERROR(IF(Tbla_actores[[#This Row],[codigo_proyecto]]="","",_xlfn.XLOOKUP(Tbla_actores[[#This Row],[codigo_proyecto]],Proyectos!$A:$A,Proyectos!$C:$C)),"")</f>
        <v>Alianzas para logar aportes a los ODS</v>
      </c>
    </row>
    <row r="3484" spans="1:15">
      <c r="A3484" s="9">
        <v>1004699736</v>
      </c>
      <c r="B3484" s="63" t="s">
        <v>61</v>
      </c>
      <c r="C3484" s="62" t="s">
        <v>10048</v>
      </c>
      <c r="D3484" t="s">
        <v>63</v>
      </c>
      <c r="E3484" t="s">
        <v>10618</v>
      </c>
      <c r="F3484" s="61">
        <v>37892</v>
      </c>
      <c r="G3484" s="15" t="s">
        <v>73</v>
      </c>
      <c r="H3484" t="s">
        <v>10619</v>
      </c>
      <c r="I3484" s="62" t="s">
        <v>10620</v>
      </c>
      <c r="K3484" s="36" t="s">
        <v>169</v>
      </c>
      <c r="L3484" t="s">
        <v>69</v>
      </c>
      <c r="M3484" s="62" t="s">
        <v>170</v>
      </c>
      <c r="N3484" t="s">
        <v>10610</v>
      </c>
      <c r="O3484" t="str">
        <f>IFERROR(IF(Tbla_actores[[#This Row],[codigo_proyecto]]="","",_xlfn.XLOOKUP(Tbla_actores[[#This Row],[codigo_proyecto]],Proyectos!$A:$A,Proyectos!$C:$C)),"")</f>
        <v>Camino de Paz en los Barrios Altos de Usme</v>
      </c>
    </row>
    <row r="3485" spans="1:15">
      <c r="A3485" s="10">
        <v>1000005096</v>
      </c>
      <c r="B3485" s="64" t="s">
        <v>61</v>
      </c>
      <c r="C3485" s="62" t="s">
        <v>10048</v>
      </c>
      <c r="D3485" t="s">
        <v>63</v>
      </c>
      <c r="E3485" t="s">
        <v>10621</v>
      </c>
      <c r="F3485" s="61">
        <v>36725</v>
      </c>
      <c r="G3485" s="15" t="s">
        <v>73</v>
      </c>
      <c r="H3485" t="s">
        <v>10622</v>
      </c>
      <c r="I3485" s="62" t="s">
        <v>10623</v>
      </c>
      <c r="K3485" s="36" t="s">
        <v>495</v>
      </c>
      <c r="L3485" t="s">
        <v>69</v>
      </c>
      <c r="M3485" s="62" t="s">
        <v>70</v>
      </c>
      <c r="N3485" t="s">
        <v>10624</v>
      </c>
      <c r="O3485" t="str">
        <f>IFERROR(IF(Tbla_actores[[#This Row],[codigo_proyecto]]="","",_xlfn.XLOOKUP(Tbla_actores[[#This Row],[codigo_proyecto]],Proyectos!$A:$A,Proyectos!$C:$C)),"")</f>
        <v>PROYECTO "CREACION, DESARRLLO Y DISEÑO DE MATERIAL PEDAGOGICO"</v>
      </c>
    </row>
    <row r="3486" spans="1:15">
      <c r="A3486" s="9">
        <v>1032876758</v>
      </c>
      <c r="B3486" s="63" t="s">
        <v>61</v>
      </c>
      <c r="C3486" s="62" t="s">
        <v>10048</v>
      </c>
      <c r="D3486" t="s">
        <v>63</v>
      </c>
      <c r="E3486" t="s">
        <v>10625</v>
      </c>
      <c r="F3486" s="61">
        <v>38455</v>
      </c>
      <c r="G3486" s="15" t="s">
        <v>73</v>
      </c>
      <c r="H3486" t="s">
        <v>10626</v>
      </c>
      <c r="I3486" s="62" t="s">
        <v>10627</v>
      </c>
      <c r="K3486" s="36" t="s">
        <v>169</v>
      </c>
      <c r="L3486" t="s">
        <v>69</v>
      </c>
      <c r="M3486" s="62" t="s">
        <v>170</v>
      </c>
      <c r="N3486" t="s">
        <v>10142</v>
      </c>
      <c r="O3486" t="str">
        <f>IFERROR(IF(Tbla_actores[[#This Row],[codigo_proyecto]]="","",_xlfn.XLOOKUP(Tbla_actores[[#This Row],[codigo_proyecto]],Proyectos!$A:$A,Proyectos!$C:$C)),"")</f>
        <v>CAPACITACION EMPRENDIMIENTO</v>
      </c>
    </row>
    <row r="3487" spans="1:15">
      <c r="A3487" s="10">
        <v>1082859811</v>
      </c>
      <c r="B3487" s="64" t="s">
        <v>61</v>
      </c>
      <c r="C3487" s="62" t="s">
        <v>10048</v>
      </c>
      <c r="D3487" t="s">
        <v>63</v>
      </c>
      <c r="E3487" t="s">
        <v>10628</v>
      </c>
      <c r="F3487" s="61">
        <v>38491</v>
      </c>
      <c r="G3487" s="15" t="s">
        <v>73</v>
      </c>
      <c r="H3487" t="s">
        <v>10629</v>
      </c>
      <c r="I3487" s="62" t="s">
        <v>10630</v>
      </c>
      <c r="K3487" s="36" t="s">
        <v>169</v>
      </c>
      <c r="L3487" t="s">
        <v>69</v>
      </c>
      <c r="M3487" s="62" t="s">
        <v>170</v>
      </c>
      <c r="N3487" t="s">
        <v>10494</v>
      </c>
      <c r="O3487" t="str">
        <f>IFERROR(IF(Tbla_actores[[#This Row],[codigo_proyecto]]="","",_xlfn.XLOOKUP(Tbla_actores[[#This Row],[codigo_proyecto]],Proyectos!$A:$A,Proyectos!$C:$C)),"")</f>
        <v>CAPACITACION EMPRENDIMIENTO</v>
      </c>
    </row>
    <row r="3488" spans="1:15">
      <c r="A3488" s="9">
        <v>1014858950</v>
      </c>
      <c r="B3488" s="63" t="s">
        <v>61</v>
      </c>
      <c r="C3488" s="62" t="s">
        <v>10048</v>
      </c>
      <c r="D3488" t="s">
        <v>63</v>
      </c>
      <c r="E3488" t="s">
        <v>10631</v>
      </c>
      <c r="F3488" s="61">
        <v>38533</v>
      </c>
      <c r="G3488" s="15" t="s">
        <v>73</v>
      </c>
      <c r="H3488" t="s">
        <v>10632</v>
      </c>
      <c r="I3488" s="62" t="s">
        <v>10633</v>
      </c>
      <c r="K3488" s="36" t="s">
        <v>169</v>
      </c>
      <c r="L3488" t="s">
        <v>69</v>
      </c>
      <c r="M3488" s="62" t="s">
        <v>170</v>
      </c>
      <c r="N3488" t="s">
        <v>10634</v>
      </c>
      <c r="O3488" t="str">
        <f>IFERROR(IF(Tbla_actores[[#This Row],[codigo_proyecto]]="","",_xlfn.XLOOKUP(Tbla_actores[[#This Row],[codigo_proyecto]],Proyectos!$A:$A,Proyectos!$C:$C)),"")</f>
        <v>Hacia el Emprendimiento Social</v>
      </c>
    </row>
    <row r="3489" spans="1:15">
      <c r="A3489" s="10">
        <v>1193580393</v>
      </c>
      <c r="B3489" s="64" t="s">
        <v>61</v>
      </c>
      <c r="C3489" s="62" t="s">
        <v>10048</v>
      </c>
      <c r="D3489" t="s">
        <v>63</v>
      </c>
      <c r="E3489" t="s">
        <v>10635</v>
      </c>
      <c r="F3489" s="61">
        <v>37645</v>
      </c>
      <c r="G3489" s="15" t="s">
        <v>73</v>
      </c>
      <c r="H3489" t="s">
        <v>10636</v>
      </c>
      <c r="I3489" s="62" t="s">
        <v>10637</v>
      </c>
      <c r="K3489" s="36" t="s">
        <v>495</v>
      </c>
      <c r="L3489" t="s">
        <v>69</v>
      </c>
      <c r="M3489" s="62" t="s">
        <v>70</v>
      </c>
      <c r="N3489" t="s">
        <v>10614</v>
      </c>
      <c r="O3489" t="str">
        <f>IFERROR(IF(Tbla_actores[[#This Row],[codigo_proyecto]]="","",_xlfn.XLOOKUP(Tbla_actores[[#This Row],[codigo_proyecto]],Proyectos!$A:$A,Proyectos!$C:$C)),"")</f>
        <v>PROYECTO "ESTUDIO DE PATOLOGIA ESTRUCTURAL"</v>
      </c>
    </row>
    <row r="3490" spans="1:15">
      <c r="A3490" s="9">
        <v>1025060733</v>
      </c>
      <c r="B3490" s="63" t="s">
        <v>61</v>
      </c>
      <c r="C3490" s="62" t="s">
        <v>10048</v>
      </c>
      <c r="D3490" t="s">
        <v>63</v>
      </c>
      <c r="E3490" t="s">
        <v>10638</v>
      </c>
      <c r="F3490" s="61">
        <v>38249</v>
      </c>
      <c r="G3490" s="15" t="s">
        <v>73</v>
      </c>
      <c r="H3490" t="s">
        <v>10639</v>
      </c>
      <c r="I3490" s="62" t="s">
        <v>10640</v>
      </c>
      <c r="K3490" s="36" t="s">
        <v>68</v>
      </c>
      <c r="L3490" t="s">
        <v>69</v>
      </c>
      <c r="M3490" s="62" t="s">
        <v>70</v>
      </c>
      <c r="N3490" t="s">
        <v>10484</v>
      </c>
      <c r="O3490" t="str">
        <f>IFERROR(IF(Tbla_actores[[#This Row],[codigo_proyecto]]="","",_xlfn.XLOOKUP(Tbla_actores[[#This Row],[codigo_proyecto]],Proyectos!$A:$A,Proyectos!$C:$C)),"")</f>
        <v>PROGRAMA SOCIAL VIDAS MÓVILES (JAVERIANA)</v>
      </c>
    </row>
    <row r="3491" spans="1:15">
      <c r="A3491" s="10">
        <v>1120560104</v>
      </c>
      <c r="B3491" s="64" t="s">
        <v>61</v>
      </c>
      <c r="C3491" s="62" t="s">
        <v>10048</v>
      </c>
      <c r="D3491" t="s">
        <v>63</v>
      </c>
      <c r="E3491" t="s">
        <v>10641</v>
      </c>
      <c r="F3491" s="61">
        <v>38273</v>
      </c>
      <c r="G3491" s="15" t="s">
        <v>73</v>
      </c>
      <c r="H3491" t="s">
        <v>10642</v>
      </c>
      <c r="I3491" s="62" t="s">
        <v>10643</v>
      </c>
      <c r="K3491" s="36" t="s">
        <v>495</v>
      </c>
      <c r="L3491" t="s">
        <v>69</v>
      </c>
      <c r="M3491" s="62" t="s">
        <v>70</v>
      </c>
      <c r="N3491" t="s">
        <v>10624</v>
      </c>
      <c r="O3491" t="str">
        <f>IFERROR(IF(Tbla_actores[[#This Row],[codigo_proyecto]]="","",_xlfn.XLOOKUP(Tbla_actores[[#This Row],[codigo_proyecto]],Proyectos!$A:$A,Proyectos!$C:$C)),"")</f>
        <v>PROYECTO "CREACION, DESARRLLO Y DISEÑO DE MATERIAL PEDAGOGICO"</v>
      </c>
    </row>
    <row r="3492" spans="1:15">
      <c r="A3492" s="9">
        <v>1076903499</v>
      </c>
      <c r="B3492" s="63" t="s">
        <v>61</v>
      </c>
      <c r="C3492" s="62" t="s">
        <v>10048</v>
      </c>
      <c r="D3492" t="s">
        <v>63</v>
      </c>
      <c r="E3492" t="s">
        <v>10644</v>
      </c>
      <c r="F3492" s="61">
        <v>38149</v>
      </c>
      <c r="G3492" s="15" t="s">
        <v>73</v>
      </c>
      <c r="H3492" t="s">
        <v>10645</v>
      </c>
      <c r="I3492" s="62" t="s">
        <v>10646</v>
      </c>
      <c r="K3492" s="36" t="s">
        <v>495</v>
      </c>
      <c r="L3492" t="s">
        <v>69</v>
      </c>
      <c r="M3492" s="62" t="s">
        <v>70</v>
      </c>
      <c r="N3492" t="s">
        <v>10624</v>
      </c>
      <c r="O3492" t="str">
        <f>IFERROR(IF(Tbla_actores[[#This Row],[codigo_proyecto]]="","",_xlfn.XLOOKUP(Tbla_actores[[#This Row],[codigo_proyecto]],Proyectos!$A:$A,Proyectos!$C:$C)),"")</f>
        <v>PROYECTO "CREACION, DESARRLLO Y DISEÑO DE MATERIAL PEDAGOGICO"</v>
      </c>
    </row>
    <row r="3493" spans="1:15">
      <c r="A3493" s="10">
        <v>1193075053</v>
      </c>
      <c r="B3493" s="64" t="s">
        <v>61</v>
      </c>
      <c r="C3493" s="62" t="s">
        <v>10048</v>
      </c>
      <c r="D3493" t="s">
        <v>63</v>
      </c>
      <c r="E3493" t="s">
        <v>10647</v>
      </c>
      <c r="F3493" s="61">
        <v>37427</v>
      </c>
      <c r="G3493" s="15" t="s">
        <v>73</v>
      </c>
      <c r="H3493" t="s">
        <v>10648</v>
      </c>
      <c r="I3493" s="62" t="s">
        <v>10649</v>
      </c>
      <c r="K3493" s="36" t="s">
        <v>169</v>
      </c>
      <c r="L3493" t="s">
        <v>69</v>
      </c>
      <c r="M3493" s="62" t="s">
        <v>170</v>
      </c>
      <c r="N3493" t="s">
        <v>10650</v>
      </c>
      <c r="O3493" t="str">
        <f>IFERROR(IF(Tbla_actores[[#This Row],[codigo_proyecto]]="","",_xlfn.XLOOKUP(Tbla_actores[[#This Row],[codigo_proyecto]],Proyectos!$A:$A,Proyectos!$C:$C)),"")</f>
        <v>DIAGNOSTICO Y PROPUESTA DESARROLLO SOSTENIBLE</v>
      </c>
    </row>
    <row r="3494" spans="1:15">
      <c r="A3494" s="9">
        <v>1000714255</v>
      </c>
      <c r="B3494" s="63" t="s">
        <v>61</v>
      </c>
      <c r="C3494" s="62" t="s">
        <v>10048</v>
      </c>
      <c r="D3494" t="s">
        <v>63</v>
      </c>
      <c r="E3494" t="s">
        <v>10651</v>
      </c>
      <c r="F3494" s="61">
        <v>37522</v>
      </c>
      <c r="G3494" s="15" t="s">
        <v>73</v>
      </c>
      <c r="H3494" t="s">
        <v>10652</v>
      </c>
      <c r="I3494" s="62" t="s">
        <v>10653</v>
      </c>
      <c r="K3494" s="36" t="s">
        <v>169</v>
      </c>
      <c r="L3494" t="s">
        <v>69</v>
      </c>
      <c r="M3494" s="62" t="s">
        <v>170</v>
      </c>
      <c r="N3494" t="s">
        <v>10634</v>
      </c>
      <c r="O3494" t="str">
        <f>IFERROR(IF(Tbla_actores[[#This Row],[codigo_proyecto]]="","",_xlfn.XLOOKUP(Tbla_actores[[#This Row],[codigo_proyecto]],Proyectos!$A:$A,Proyectos!$C:$C)),"")</f>
        <v>Hacia el Emprendimiento Social</v>
      </c>
    </row>
    <row r="3495" spans="1:15">
      <c r="A3495" s="10">
        <v>1025060486</v>
      </c>
      <c r="B3495" s="64" t="s">
        <v>61</v>
      </c>
      <c r="C3495" s="62" t="s">
        <v>10048</v>
      </c>
      <c r="D3495" t="s">
        <v>63</v>
      </c>
      <c r="E3495" t="s">
        <v>10654</v>
      </c>
      <c r="F3495" s="61">
        <v>38161</v>
      </c>
      <c r="G3495" s="15" t="s">
        <v>73</v>
      </c>
      <c r="H3495" t="s">
        <v>10655</v>
      </c>
      <c r="I3495" s="62" t="s">
        <v>10656</v>
      </c>
      <c r="K3495" s="36" t="s">
        <v>68</v>
      </c>
      <c r="L3495" t="s">
        <v>69</v>
      </c>
      <c r="M3495" s="62" t="s">
        <v>70</v>
      </c>
      <c r="N3495" t="s">
        <v>10657</v>
      </c>
      <c r="O3495" t="str">
        <f>IFERROR(IF(Tbla_actores[[#This Row],[codigo_proyecto]]="","",_xlfn.XLOOKUP(Tbla_actores[[#This Row],[codigo_proyecto]],Proyectos!$A:$A,Proyectos!$C:$C)),"")</f>
        <v>PROSOFI - GABRIEL GARCIA MÁRQUEZ</v>
      </c>
    </row>
    <row r="3496" spans="1:15">
      <c r="A3496" s="9">
        <v>1023242111</v>
      </c>
      <c r="B3496" s="63" t="s">
        <v>61</v>
      </c>
      <c r="C3496" s="62" t="s">
        <v>10048</v>
      </c>
      <c r="D3496" t="s">
        <v>63</v>
      </c>
      <c r="E3496" t="s">
        <v>10658</v>
      </c>
      <c r="F3496" s="61">
        <v>38089</v>
      </c>
      <c r="G3496" s="15" t="s">
        <v>73</v>
      </c>
      <c r="H3496" t="s">
        <v>10659</v>
      </c>
      <c r="I3496" s="62" t="s">
        <v>10660</v>
      </c>
      <c r="K3496" s="36" t="s">
        <v>68</v>
      </c>
      <c r="L3496" t="s">
        <v>69</v>
      </c>
      <c r="M3496" s="62" t="s">
        <v>70</v>
      </c>
      <c r="N3496" t="s">
        <v>10657</v>
      </c>
      <c r="O3496" t="str">
        <f>IFERROR(IF(Tbla_actores[[#This Row],[codigo_proyecto]]="","",_xlfn.XLOOKUP(Tbla_actores[[#This Row],[codigo_proyecto]],Proyectos!$A:$A,Proyectos!$C:$C)),"")</f>
        <v>PROSOFI - GABRIEL GARCIA MÁRQUEZ</v>
      </c>
    </row>
    <row r="3497" spans="1:15">
      <c r="A3497" s="10">
        <v>1011089566</v>
      </c>
      <c r="B3497" s="64" t="s">
        <v>61</v>
      </c>
      <c r="C3497" s="62" t="s">
        <v>10048</v>
      </c>
      <c r="D3497" t="s">
        <v>63</v>
      </c>
      <c r="E3497" t="s">
        <v>10661</v>
      </c>
      <c r="F3497" s="61">
        <v>38676</v>
      </c>
      <c r="G3497" s="15" t="s">
        <v>73</v>
      </c>
      <c r="H3497" t="s">
        <v>10662</v>
      </c>
      <c r="I3497" s="62" t="s">
        <v>10663</v>
      </c>
      <c r="K3497" s="36" t="s">
        <v>169</v>
      </c>
      <c r="L3497" t="s">
        <v>69</v>
      </c>
      <c r="M3497" s="62" t="s">
        <v>170</v>
      </c>
      <c r="N3497" t="s">
        <v>10650</v>
      </c>
      <c r="O3497" t="str">
        <f>IFERROR(IF(Tbla_actores[[#This Row],[codigo_proyecto]]="","",_xlfn.XLOOKUP(Tbla_actores[[#This Row],[codigo_proyecto]],Proyectos!$A:$A,Proyectos!$C:$C)),"")</f>
        <v>DIAGNOSTICO Y PROPUESTA DESARROLLO SOSTENIBLE</v>
      </c>
    </row>
    <row r="3498" spans="1:15">
      <c r="A3498" s="9">
        <v>1000329213</v>
      </c>
      <c r="B3498" s="63" t="s">
        <v>61</v>
      </c>
      <c r="C3498" s="62" t="s">
        <v>10048</v>
      </c>
      <c r="D3498" t="s">
        <v>63</v>
      </c>
      <c r="E3498" t="s">
        <v>10664</v>
      </c>
      <c r="F3498" s="61">
        <v>37841</v>
      </c>
      <c r="G3498" s="15" t="s">
        <v>73</v>
      </c>
      <c r="H3498" t="s">
        <v>10665</v>
      </c>
      <c r="I3498" s="62" t="s">
        <v>10666</v>
      </c>
      <c r="K3498" s="36" t="s">
        <v>68</v>
      </c>
      <c r="L3498" t="s">
        <v>69</v>
      </c>
      <c r="M3498" s="62" t="s">
        <v>70</v>
      </c>
      <c r="N3498" t="s">
        <v>10558</v>
      </c>
      <c r="O3498" t="str">
        <f>IFERROR(IF(Tbla_actores[[#This Row],[codigo_proyecto]]="","",_xlfn.XLOOKUP(Tbla_actores[[#This Row],[codigo_proyecto]],Proyectos!$A:$A,Proyectos!$C:$C)),"")</f>
        <v>Red Juvenil Ignaciana</v>
      </c>
    </row>
    <row r="3499" spans="1:15">
      <c r="A3499" s="10">
        <v>1193232793</v>
      </c>
      <c r="B3499" s="64" t="s">
        <v>61</v>
      </c>
      <c r="C3499" s="62" t="s">
        <v>10048</v>
      </c>
      <c r="D3499" t="s">
        <v>63</v>
      </c>
      <c r="E3499" t="s">
        <v>10667</v>
      </c>
      <c r="F3499" s="61">
        <v>37894</v>
      </c>
      <c r="G3499" s="15" t="s">
        <v>73</v>
      </c>
      <c r="H3499" t="s">
        <v>10668</v>
      </c>
      <c r="I3499" s="62" t="s">
        <v>10669</v>
      </c>
      <c r="K3499" s="36" t="s">
        <v>68</v>
      </c>
      <c r="L3499" t="s">
        <v>69</v>
      </c>
      <c r="M3499" s="62" t="s">
        <v>70</v>
      </c>
      <c r="N3499" t="s">
        <v>10558</v>
      </c>
      <c r="O3499" t="str">
        <f>IFERROR(IF(Tbla_actores[[#This Row],[codigo_proyecto]]="","",_xlfn.XLOOKUP(Tbla_actores[[#This Row],[codigo_proyecto]],Proyectos!$A:$A,Proyectos!$C:$C)),"")</f>
        <v>Red Juvenil Ignaciana</v>
      </c>
    </row>
    <row r="3500" spans="1:15">
      <c r="A3500" s="9">
        <v>1016593523</v>
      </c>
      <c r="B3500" s="63" t="s">
        <v>61</v>
      </c>
      <c r="C3500" s="62" t="s">
        <v>10048</v>
      </c>
      <c r="D3500" t="s">
        <v>63</v>
      </c>
      <c r="E3500" t="s">
        <v>10670</v>
      </c>
      <c r="F3500" s="61">
        <v>38268</v>
      </c>
      <c r="G3500" s="15" t="s">
        <v>73</v>
      </c>
      <c r="H3500" t="s">
        <v>10671</v>
      </c>
      <c r="I3500" s="62" t="s">
        <v>10672</v>
      </c>
      <c r="K3500" s="36" t="s">
        <v>7671</v>
      </c>
      <c r="L3500" t="s">
        <v>69</v>
      </c>
      <c r="M3500" s="62" t="s">
        <v>70</v>
      </c>
      <c r="N3500" t="s">
        <v>10673</v>
      </c>
      <c r="O3500" t="str">
        <f>IFERROR(IF(Tbla_actores[[#This Row],[codigo_proyecto]]="","",_xlfn.XLOOKUP(Tbla_actores[[#This Row],[codigo_proyecto]],Proyectos!$A:$A,Proyectos!$C:$C)),"")</f>
        <v>Laudes Infantis</v>
      </c>
    </row>
    <row r="3501" spans="1:15">
      <c r="A3501" s="10">
        <v>1010004878</v>
      </c>
      <c r="B3501" s="64" t="s">
        <v>61</v>
      </c>
      <c r="C3501" s="62" t="s">
        <v>10048</v>
      </c>
      <c r="D3501" t="s">
        <v>63</v>
      </c>
      <c r="E3501" t="s">
        <v>10674</v>
      </c>
      <c r="F3501" s="61">
        <v>37907</v>
      </c>
      <c r="G3501" s="15" t="s">
        <v>73</v>
      </c>
      <c r="H3501" t="s">
        <v>10675</v>
      </c>
      <c r="I3501" s="62" t="s">
        <v>10676</v>
      </c>
      <c r="K3501" s="36" t="s">
        <v>495</v>
      </c>
      <c r="L3501" t="s">
        <v>69</v>
      </c>
      <c r="M3501" s="62" t="s">
        <v>70</v>
      </c>
      <c r="N3501" t="s">
        <v>10614</v>
      </c>
      <c r="O3501" t="str">
        <f>IFERROR(IF(Tbla_actores[[#This Row],[codigo_proyecto]]="","",_xlfn.XLOOKUP(Tbla_actores[[#This Row],[codigo_proyecto]],Proyectos!$A:$A,Proyectos!$C:$C)),"")</f>
        <v>PROYECTO "ESTUDIO DE PATOLOGIA ESTRUCTURAL"</v>
      </c>
    </row>
    <row r="3502" spans="1:15">
      <c r="A3502" s="9">
        <v>1089931094</v>
      </c>
      <c r="B3502" s="63" t="s">
        <v>61</v>
      </c>
      <c r="C3502" s="62" t="s">
        <v>10048</v>
      </c>
      <c r="D3502" t="s">
        <v>63</v>
      </c>
      <c r="E3502" t="s">
        <v>10677</v>
      </c>
      <c r="F3502" s="61">
        <v>38153</v>
      </c>
      <c r="G3502" s="15" t="s">
        <v>73</v>
      </c>
      <c r="H3502" t="s">
        <v>10678</v>
      </c>
      <c r="I3502" s="62" t="s">
        <v>10679</v>
      </c>
      <c r="K3502" s="36" t="s">
        <v>169</v>
      </c>
      <c r="L3502" t="s">
        <v>69</v>
      </c>
      <c r="M3502" s="62" t="s">
        <v>170</v>
      </c>
      <c r="N3502" t="s">
        <v>10650</v>
      </c>
      <c r="O3502" t="str">
        <f>IFERROR(IF(Tbla_actores[[#This Row],[codigo_proyecto]]="","",_xlfn.XLOOKUP(Tbla_actores[[#This Row],[codigo_proyecto]],Proyectos!$A:$A,Proyectos!$C:$C)),"")</f>
        <v>DIAGNOSTICO Y PROPUESTA DESARROLLO SOSTENIBLE</v>
      </c>
    </row>
    <row r="3503" spans="1:15">
      <c r="A3503" s="10">
        <v>1048065307</v>
      </c>
      <c r="B3503" s="64" t="s">
        <v>61</v>
      </c>
      <c r="C3503" s="62" t="s">
        <v>10048</v>
      </c>
      <c r="D3503" t="s">
        <v>63</v>
      </c>
      <c r="E3503" t="s">
        <v>10680</v>
      </c>
      <c r="F3503" s="61">
        <v>38228</v>
      </c>
      <c r="G3503" s="15" t="s">
        <v>73</v>
      </c>
      <c r="H3503" t="s">
        <v>10681</v>
      </c>
      <c r="I3503" s="62" t="s">
        <v>10682</v>
      </c>
      <c r="K3503" s="36" t="s">
        <v>169</v>
      </c>
      <c r="L3503" t="s">
        <v>69</v>
      </c>
      <c r="M3503" s="62" t="s">
        <v>170</v>
      </c>
      <c r="N3503" t="s">
        <v>10610</v>
      </c>
      <c r="O3503" t="str">
        <f>IFERROR(IF(Tbla_actores[[#This Row],[codigo_proyecto]]="","",_xlfn.XLOOKUP(Tbla_actores[[#This Row],[codigo_proyecto]],Proyectos!$A:$A,Proyectos!$C:$C)),"")</f>
        <v>Camino de Paz en los Barrios Altos de Usme</v>
      </c>
    </row>
    <row r="3504" spans="1:15">
      <c r="A3504" s="9">
        <v>1010059018</v>
      </c>
      <c r="B3504" s="63" t="s">
        <v>61</v>
      </c>
      <c r="C3504" s="62" t="s">
        <v>10048</v>
      </c>
      <c r="D3504" t="s">
        <v>63</v>
      </c>
      <c r="E3504" t="s">
        <v>10683</v>
      </c>
      <c r="F3504" s="61">
        <v>37909</v>
      </c>
      <c r="G3504" s="15" t="s">
        <v>73</v>
      </c>
      <c r="H3504" t="s">
        <v>10684</v>
      </c>
      <c r="I3504" s="62" t="s">
        <v>10685</v>
      </c>
      <c r="K3504" s="36" t="s">
        <v>495</v>
      </c>
      <c r="L3504" t="s">
        <v>69</v>
      </c>
      <c r="M3504" s="62" t="s">
        <v>70</v>
      </c>
      <c r="N3504" t="s">
        <v>10614</v>
      </c>
      <c r="O3504" t="str">
        <f>IFERROR(IF(Tbla_actores[[#This Row],[codigo_proyecto]]="","",_xlfn.XLOOKUP(Tbla_actores[[#This Row],[codigo_proyecto]],Proyectos!$A:$A,Proyectos!$C:$C)),"")</f>
        <v>PROYECTO "ESTUDIO DE PATOLOGIA ESTRUCTURAL"</v>
      </c>
    </row>
    <row r="3505" spans="1:15">
      <c r="A3505" s="10">
        <v>1003953075</v>
      </c>
      <c r="B3505" s="64" t="s">
        <v>61</v>
      </c>
      <c r="C3505" s="62" t="s">
        <v>10048</v>
      </c>
      <c r="D3505" t="s">
        <v>63</v>
      </c>
      <c r="E3505" t="s">
        <v>10686</v>
      </c>
      <c r="F3505" s="61">
        <v>37833</v>
      </c>
      <c r="G3505" s="15" t="s">
        <v>65</v>
      </c>
      <c r="H3505" t="s">
        <v>10687</v>
      </c>
      <c r="I3505" s="62" t="s">
        <v>10688</v>
      </c>
      <c r="K3505" s="36" t="s">
        <v>495</v>
      </c>
      <c r="L3505" t="s">
        <v>69</v>
      </c>
      <c r="M3505" s="62" t="s">
        <v>70</v>
      </c>
      <c r="N3505" t="s">
        <v>10624</v>
      </c>
      <c r="O3505" t="str">
        <f>IFERROR(IF(Tbla_actores[[#This Row],[codigo_proyecto]]="","",_xlfn.XLOOKUP(Tbla_actores[[#This Row],[codigo_proyecto]],Proyectos!$A:$A,Proyectos!$C:$C)),"")</f>
        <v>PROYECTO "CREACION, DESARRLLO Y DISEÑO DE MATERIAL PEDAGOGICO"</v>
      </c>
    </row>
    <row r="3506" spans="1:15">
      <c r="A3506" s="9">
        <v>1029720307</v>
      </c>
      <c r="B3506" s="63" t="s">
        <v>61</v>
      </c>
      <c r="C3506" s="62" t="s">
        <v>10048</v>
      </c>
      <c r="D3506" t="s">
        <v>63</v>
      </c>
      <c r="E3506" t="s">
        <v>10689</v>
      </c>
      <c r="F3506" s="61">
        <v>38414</v>
      </c>
      <c r="G3506" s="15" t="s">
        <v>65</v>
      </c>
      <c r="H3506" t="s">
        <v>10690</v>
      </c>
      <c r="I3506" s="62" t="s">
        <v>10691</v>
      </c>
      <c r="K3506" s="36" t="s">
        <v>495</v>
      </c>
      <c r="L3506" t="s">
        <v>69</v>
      </c>
      <c r="M3506" s="62" t="s">
        <v>70</v>
      </c>
      <c r="N3506" t="s">
        <v>10614</v>
      </c>
      <c r="O3506" t="str">
        <f>IFERROR(IF(Tbla_actores[[#This Row],[codigo_proyecto]]="","",_xlfn.XLOOKUP(Tbla_actores[[#This Row],[codigo_proyecto]],Proyectos!$A:$A,Proyectos!$C:$C)),"")</f>
        <v>PROYECTO "ESTUDIO DE PATOLOGIA ESTRUCTURAL"</v>
      </c>
    </row>
    <row r="3507" spans="1:15">
      <c r="A3507" s="10">
        <v>1014662376</v>
      </c>
      <c r="B3507" s="64" t="s">
        <v>61</v>
      </c>
      <c r="C3507" s="62" t="s">
        <v>10048</v>
      </c>
      <c r="D3507" t="s">
        <v>63</v>
      </c>
      <c r="E3507" t="s">
        <v>10692</v>
      </c>
      <c r="F3507" s="61">
        <v>38854</v>
      </c>
      <c r="G3507" s="15" t="s">
        <v>73</v>
      </c>
      <c r="H3507" t="s">
        <v>10693</v>
      </c>
      <c r="I3507" s="62" t="s">
        <v>10694</v>
      </c>
      <c r="K3507" s="36" t="s">
        <v>169</v>
      </c>
      <c r="L3507" t="s">
        <v>69</v>
      </c>
      <c r="M3507" s="62" t="s">
        <v>170</v>
      </c>
      <c r="N3507" t="s">
        <v>10650</v>
      </c>
      <c r="O3507" t="str">
        <f>IFERROR(IF(Tbla_actores[[#This Row],[codigo_proyecto]]="","",_xlfn.XLOOKUP(Tbla_actores[[#This Row],[codigo_proyecto]],Proyectos!$A:$A,Proyectos!$C:$C)),"")</f>
        <v>DIAGNOSTICO Y PROPUESTA DESARROLLO SOSTENIBLE</v>
      </c>
    </row>
    <row r="3508" spans="1:15">
      <c r="A3508" s="9">
        <v>1014860095</v>
      </c>
      <c r="B3508" s="63" t="s">
        <v>61</v>
      </c>
      <c r="C3508" s="62" t="s">
        <v>10048</v>
      </c>
      <c r="D3508" t="s">
        <v>63</v>
      </c>
      <c r="E3508" t="s">
        <v>10695</v>
      </c>
      <c r="F3508" s="61">
        <v>38628</v>
      </c>
      <c r="G3508" s="15" t="s">
        <v>73</v>
      </c>
      <c r="H3508" t="s">
        <v>10696</v>
      </c>
      <c r="I3508" s="62" t="s">
        <v>10697</v>
      </c>
      <c r="K3508" s="36" t="s">
        <v>169</v>
      </c>
      <c r="L3508" t="s">
        <v>69</v>
      </c>
      <c r="M3508" s="62" t="s">
        <v>170</v>
      </c>
      <c r="N3508" t="s">
        <v>10634</v>
      </c>
      <c r="O3508" t="str">
        <f>IFERROR(IF(Tbla_actores[[#This Row],[codigo_proyecto]]="","",_xlfn.XLOOKUP(Tbla_actores[[#This Row],[codigo_proyecto]],Proyectos!$A:$A,Proyectos!$C:$C)),"")</f>
        <v>Hacia el Emprendimiento Social</v>
      </c>
    </row>
    <row r="3509" spans="1:15">
      <c r="A3509" s="10">
        <v>1025060941</v>
      </c>
      <c r="B3509" s="64" t="s">
        <v>61</v>
      </c>
      <c r="C3509" s="62" t="s">
        <v>10048</v>
      </c>
      <c r="D3509" t="s">
        <v>63</v>
      </c>
      <c r="E3509" t="s">
        <v>10698</v>
      </c>
      <c r="F3509" s="61">
        <v>38348</v>
      </c>
      <c r="G3509" s="15" t="s">
        <v>65</v>
      </c>
      <c r="H3509" t="s">
        <v>10699</v>
      </c>
      <c r="I3509" s="62" t="s">
        <v>10700</v>
      </c>
      <c r="K3509" s="36" t="s">
        <v>169</v>
      </c>
      <c r="L3509" t="s">
        <v>69</v>
      </c>
      <c r="M3509" s="62" t="s">
        <v>170</v>
      </c>
      <c r="N3509" t="s">
        <v>10140</v>
      </c>
      <c r="O3509" t="str">
        <f>IFERROR(IF(Tbla_actores[[#This Row],[codigo_proyecto]]="","",_xlfn.XLOOKUP(Tbla_actores[[#This Row],[codigo_proyecto]],Proyectos!$A:$A,Proyectos!$C:$C)),"")</f>
        <v>Asesoría en el  registro de asistencia de estudiantes y generación de reportes</v>
      </c>
    </row>
    <row r="3510" spans="1:15">
      <c r="A3510" s="9">
        <v>1025060324</v>
      </c>
      <c r="B3510" s="63" t="s">
        <v>61</v>
      </c>
      <c r="C3510" s="62" t="s">
        <v>10048</v>
      </c>
      <c r="D3510" t="s">
        <v>63</v>
      </c>
      <c r="E3510" t="s">
        <v>10701</v>
      </c>
      <c r="F3510" s="61">
        <v>38096</v>
      </c>
      <c r="G3510" s="15" t="s">
        <v>65</v>
      </c>
      <c r="H3510" t="s">
        <v>10702</v>
      </c>
      <c r="I3510" s="62" t="s">
        <v>10703</v>
      </c>
      <c r="K3510" s="36" t="s">
        <v>7671</v>
      </c>
      <c r="L3510" t="s">
        <v>69</v>
      </c>
      <c r="M3510" s="62" t="s">
        <v>70</v>
      </c>
      <c r="N3510" t="s">
        <v>10603</v>
      </c>
      <c r="O3510" t="str">
        <f>IFERROR(IF(Tbla_actores[[#This Row],[codigo_proyecto]]="","",_xlfn.XLOOKUP(Tbla_actores[[#This Row],[codigo_proyecto]],Proyectos!$A:$A,Proyectos!$C:$C)),"")</f>
        <v>Campus Accesible - Inclusión y Diversidad</v>
      </c>
    </row>
    <row r="3511" spans="1:15">
      <c r="A3511" s="10">
        <v>1000183553</v>
      </c>
      <c r="B3511" s="64" t="s">
        <v>61</v>
      </c>
      <c r="C3511" s="62" t="s">
        <v>10048</v>
      </c>
      <c r="D3511" t="s">
        <v>63</v>
      </c>
      <c r="E3511" t="s">
        <v>10704</v>
      </c>
      <c r="F3511" s="61">
        <v>37919</v>
      </c>
      <c r="G3511" s="15" t="s">
        <v>73</v>
      </c>
      <c r="H3511" t="s">
        <v>10705</v>
      </c>
      <c r="I3511" s="62" t="s">
        <v>10706</v>
      </c>
      <c r="K3511" s="36" t="s">
        <v>68</v>
      </c>
      <c r="L3511" t="s">
        <v>69</v>
      </c>
      <c r="M3511" s="62" t="s">
        <v>70</v>
      </c>
      <c r="N3511" t="s">
        <v>10114</v>
      </c>
      <c r="O3511" t="str">
        <f>IFERROR(IF(Tbla_actores[[#This Row],[codigo_proyecto]]="","",_xlfn.XLOOKUP(Tbla_actores[[#This Row],[codigo_proyecto]],Proyectos!$A:$A,Proyectos!$C:$C)),"")</f>
        <v>PROSOFI - SAN CAYETANO</v>
      </c>
    </row>
    <row r="3512" spans="1:15">
      <c r="A3512" s="9">
        <v>1032936232</v>
      </c>
      <c r="B3512" s="63" t="s">
        <v>61</v>
      </c>
      <c r="C3512" s="62" t="s">
        <v>10048</v>
      </c>
      <c r="D3512" t="s">
        <v>63</v>
      </c>
      <c r="E3512" t="s">
        <v>10707</v>
      </c>
      <c r="F3512" s="61">
        <v>37999</v>
      </c>
      <c r="G3512" s="15" t="s">
        <v>73</v>
      </c>
      <c r="H3512" t="s">
        <v>10708</v>
      </c>
      <c r="I3512" s="62" t="s">
        <v>10709</v>
      </c>
      <c r="K3512" s="36" t="s">
        <v>1489</v>
      </c>
      <c r="L3512" t="s">
        <v>69</v>
      </c>
      <c r="M3512" s="62" t="s">
        <v>70</v>
      </c>
      <c r="N3512" t="s">
        <v>10189</v>
      </c>
      <c r="O3512" t="str">
        <f>IFERROR(IF(Tbla_actores[[#This Row],[codigo_proyecto]]="","",_xlfn.XLOOKUP(Tbla_actores[[#This Row],[codigo_proyecto]],Proyectos!$A:$A,Proyectos!$C:$C)),"")</f>
        <v>Reparación de Electrodomésticos FSI</v>
      </c>
    </row>
    <row r="3513" spans="1:15">
      <c r="A3513" s="10">
        <v>1081052734</v>
      </c>
      <c r="B3513" s="64" t="s">
        <v>61</v>
      </c>
      <c r="C3513" s="62" t="s">
        <v>10048</v>
      </c>
      <c r="D3513" t="s">
        <v>63</v>
      </c>
      <c r="E3513" t="s">
        <v>10710</v>
      </c>
      <c r="F3513" s="61">
        <v>38083</v>
      </c>
      <c r="G3513" s="15" t="s">
        <v>73</v>
      </c>
      <c r="H3513" t="s">
        <v>10711</v>
      </c>
      <c r="I3513" s="62" t="s">
        <v>10712</v>
      </c>
      <c r="K3513" s="36" t="s">
        <v>1489</v>
      </c>
      <c r="L3513" t="s">
        <v>69</v>
      </c>
      <c r="M3513" s="62" t="s">
        <v>70</v>
      </c>
      <c r="N3513" t="s">
        <v>10673</v>
      </c>
      <c r="O3513" t="str">
        <f>IFERROR(IF(Tbla_actores[[#This Row],[codigo_proyecto]]="","",_xlfn.XLOOKUP(Tbla_actores[[#This Row],[codigo_proyecto]],Proyectos!$A:$A,Proyectos!$C:$C)),"")</f>
        <v>Laudes Infantis</v>
      </c>
    </row>
    <row r="3514" spans="1:15">
      <c r="A3514" s="9">
        <v>1091969006</v>
      </c>
      <c r="B3514" s="63" t="s">
        <v>61</v>
      </c>
      <c r="C3514" s="62" t="s">
        <v>10048</v>
      </c>
      <c r="D3514" t="s">
        <v>63</v>
      </c>
      <c r="E3514" t="s">
        <v>10713</v>
      </c>
      <c r="F3514" s="61">
        <v>38701</v>
      </c>
      <c r="G3514" s="15" t="s">
        <v>73</v>
      </c>
      <c r="H3514" t="s">
        <v>10714</v>
      </c>
      <c r="I3514" s="62" t="s">
        <v>10715</v>
      </c>
      <c r="K3514" s="36" t="s">
        <v>169</v>
      </c>
      <c r="L3514" t="s">
        <v>69</v>
      </c>
      <c r="M3514" s="62" t="s">
        <v>170</v>
      </c>
      <c r="N3514" t="s">
        <v>10634</v>
      </c>
      <c r="O3514" t="str">
        <f>IFERROR(IF(Tbla_actores[[#This Row],[codigo_proyecto]]="","",_xlfn.XLOOKUP(Tbla_actores[[#This Row],[codigo_proyecto]],Proyectos!$A:$A,Proyectos!$C:$C)),"")</f>
        <v>Hacia el Emprendimiento Social</v>
      </c>
    </row>
    <row r="3515" spans="1:15">
      <c r="A3515" s="10">
        <v>1000597021</v>
      </c>
      <c r="B3515" s="64" t="s">
        <v>61</v>
      </c>
      <c r="C3515" s="62" t="s">
        <v>10048</v>
      </c>
      <c r="D3515" t="s">
        <v>63</v>
      </c>
      <c r="E3515" t="s">
        <v>10716</v>
      </c>
      <c r="F3515" s="61">
        <v>37868</v>
      </c>
      <c r="G3515" s="15" t="s">
        <v>73</v>
      </c>
      <c r="H3515" t="s">
        <v>10717</v>
      </c>
      <c r="I3515" s="62" t="s">
        <v>10718</v>
      </c>
      <c r="K3515" s="36" t="s">
        <v>68</v>
      </c>
      <c r="L3515" t="s">
        <v>69</v>
      </c>
      <c r="M3515" s="62" t="s">
        <v>70</v>
      </c>
      <c r="N3515" t="s">
        <v>10484</v>
      </c>
      <c r="O3515" t="str">
        <f>IFERROR(IF(Tbla_actores[[#This Row],[codigo_proyecto]]="","",_xlfn.XLOOKUP(Tbla_actores[[#This Row],[codigo_proyecto]],Proyectos!$A:$A,Proyectos!$C:$C)),"")</f>
        <v>PROGRAMA SOCIAL VIDAS MÓVILES (JAVERIANA)</v>
      </c>
    </row>
    <row r="3516" spans="1:15">
      <c r="A3516" s="9">
        <v>1053442949</v>
      </c>
      <c r="B3516" s="63" t="s">
        <v>61</v>
      </c>
      <c r="C3516" s="62" t="s">
        <v>10048</v>
      </c>
      <c r="D3516" t="s">
        <v>63</v>
      </c>
      <c r="E3516" t="s">
        <v>10719</v>
      </c>
      <c r="F3516" s="61">
        <v>38558</v>
      </c>
      <c r="G3516" s="15" t="s">
        <v>73</v>
      </c>
      <c r="H3516" t="s">
        <v>10720</v>
      </c>
      <c r="I3516" s="62" t="s">
        <v>10721</v>
      </c>
      <c r="K3516" s="36" t="s">
        <v>169</v>
      </c>
      <c r="L3516" t="s">
        <v>69</v>
      </c>
      <c r="M3516" s="62" t="s">
        <v>170</v>
      </c>
      <c r="N3516" t="s">
        <v>10126</v>
      </c>
      <c r="O3516" t="str">
        <f>IFERROR(IF(Tbla_actores[[#This Row],[codigo_proyecto]]="","",_xlfn.XLOOKUP(Tbla_actores[[#This Row],[codigo_proyecto]],Proyectos!$A:$A,Proyectos!$C:$C)),"")</f>
        <v>Alianzas para logar aportes a los ODS</v>
      </c>
    </row>
    <row r="3517" spans="1:15">
      <c r="A3517" s="10">
        <v>1000698940</v>
      </c>
      <c r="B3517" s="64" t="s">
        <v>61</v>
      </c>
      <c r="C3517" s="62" t="s">
        <v>10048</v>
      </c>
      <c r="D3517" t="s">
        <v>63</v>
      </c>
      <c r="E3517" t="s">
        <v>10722</v>
      </c>
      <c r="F3517" s="61">
        <v>37765</v>
      </c>
      <c r="G3517" s="15" t="s">
        <v>65</v>
      </c>
      <c r="H3517" t="s">
        <v>10723</v>
      </c>
      <c r="I3517" s="62" t="s">
        <v>10724</v>
      </c>
      <c r="K3517" s="36" t="s">
        <v>495</v>
      </c>
      <c r="L3517" t="s">
        <v>69</v>
      </c>
      <c r="M3517" s="62" t="s">
        <v>70</v>
      </c>
      <c r="N3517" t="s">
        <v>10725</v>
      </c>
      <c r="O3517" t="str">
        <f>IFERROR(IF(Tbla_actores[[#This Row],[codigo_proyecto]]="","",_xlfn.XLOOKUP(Tbla_actores[[#This Row],[codigo_proyecto]],Proyectos!$A:$A,Proyectos!$C:$C)),"")</f>
        <v>PROYECTO
“ESTUDIO Y DISEÑO DE UN MURO DE CONTENCION EN ARBORIZADORA ALTA – CIUDAD BOLÍVAR”</v>
      </c>
    </row>
    <row r="3518" spans="1:15">
      <c r="A3518" s="9">
        <v>1007040912</v>
      </c>
      <c r="B3518" s="63" t="s">
        <v>61</v>
      </c>
      <c r="C3518" s="62" t="s">
        <v>10048</v>
      </c>
      <c r="D3518" t="s">
        <v>63</v>
      </c>
      <c r="E3518" t="s">
        <v>10726</v>
      </c>
      <c r="F3518" s="61">
        <v>37579</v>
      </c>
      <c r="G3518" s="15" t="s">
        <v>73</v>
      </c>
      <c r="H3518" t="s">
        <v>10727</v>
      </c>
      <c r="I3518" s="62" t="s">
        <v>10728</v>
      </c>
      <c r="K3518" s="36" t="s">
        <v>7671</v>
      </c>
      <c r="L3518" t="s">
        <v>69</v>
      </c>
      <c r="M3518" s="62" t="s">
        <v>70</v>
      </c>
      <c r="N3518" t="s">
        <v>10603</v>
      </c>
      <c r="O3518" t="str">
        <f>IFERROR(IF(Tbla_actores[[#This Row],[codigo_proyecto]]="","",_xlfn.XLOOKUP(Tbla_actores[[#This Row],[codigo_proyecto]],Proyectos!$A:$A,Proyectos!$C:$C)),"")</f>
        <v>Campus Accesible - Inclusión y Diversidad</v>
      </c>
    </row>
    <row r="3519" spans="1:15">
      <c r="A3519" s="10">
        <v>1034516363</v>
      </c>
      <c r="B3519" s="64" t="s">
        <v>61</v>
      </c>
      <c r="C3519" s="62" t="s">
        <v>10048</v>
      </c>
      <c r="D3519" t="s">
        <v>63</v>
      </c>
      <c r="E3519" t="s">
        <v>10729</v>
      </c>
      <c r="F3519" s="61">
        <v>38232</v>
      </c>
      <c r="G3519" s="15" t="s">
        <v>73</v>
      </c>
      <c r="H3519" t="s">
        <v>10730</v>
      </c>
      <c r="I3519" s="62" t="s">
        <v>10731</v>
      </c>
      <c r="K3519" s="36" t="s">
        <v>495</v>
      </c>
      <c r="L3519" t="s">
        <v>69</v>
      </c>
      <c r="M3519" s="62" t="s">
        <v>70</v>
      </c>
      <c r="N3519" t="s">
        <v>10614</v>
      </c>
      <c r="O3519" t="str">
        <f>IFERROR(IF(Tbla_actores[[#This Row],[codigo_proyecto]]="","",_xlfn.XLOOKUP(Tbla_actores[[#This Row],[codigo_proyecto]],Proyectos!$A:$A,Proyectos!$C:$C)),"")</f>
        <v>PROYECTO "ESTUDIO DE PATOLOGIA ESTRUCTURAL"</v>
      </c>
    </row>
    <row r="3520" spans="1:15">
      <c r="A3520" s="9">
        <v>1034399722</v>
      </c>
      <c r="B3520" s="63" t="s">
        <v>61</v>
      </c>
      <c r="C3520" s="62" t="s">
        <v>10048</v>
      </c>
      <c r="D3520" t="s">
        <v>63</v>
      </c>
      <c r="E3520" t="s">
        <v>10732</v>
      </c>
      <c r="F3520" s="61">
        <v>38797</v>
      </c>
      <c r="G3520" s="15" t="s">
        <v>65</v>
      </c>
      <c r="H3520" t="s">
        <v>10733</v>
      </c>
      <c r="I3520" s="62" t="s">
        <v>10734</v>
      </c>
      <c r="K3520" s="36" t="s">
        <v>169</v>
      </c>
      <c r="L3520" t="s">
        <v>69</v>
      </c>
      <c r="M3520" s="62" t="s">
        <v>170</v>
      </c>
      <c r="N3520" t="s">
        <v>10126</v>
      </c>
      <c r="O3520" t="str">
        <f>IFERROR(IF(Tbla_actores[[#This Row],[codigo_proyecto]]="","",_xlfn.XLOOKUP(Tbla_actores[[#This Row],[codigo_proyecto]],Proyectos!$A:$A,Proyectos!$C:$C)),"")</f>
        <v>Alianzas para logar aportes a los ODS</v>
      </c>
    </row>
    <row r="3521" spans="1:15">
      <c r="A3521" s="10">
        <v>1013103845</v>
      </c>
      <c r="B3521" s="64" t="s">
        <v>61</v>
      </c>
      <c r="C3521" s="62" t="s">
        <v>10048</v>
      </c>
      <c r="D3521" t="s">
        <v>63</v>
      </c>
      <c r="E3521" t="s">
        <v>10735</v>
      </c>
      <c r="F3521" s="61">
        <v>38412</v>
      </c>
      <c r="G3521" s="15" t="s">
        <v>73</v>
      </c>
      <c r="H3521" t="s">
        <v>10736</v>
      </c>
      <c r="I3521" s="62" t="s">
        <v>10737</v>
      </c>
      <c r="K3521" s="36" t="s">
        <v>495</v>
      </c>
      <c r="L3521" t="s">
        <v>69</v>
      </c>
      <c r="M3521" s="62" t="s">
        <v>70</v>
      </c>
      <c r="N3521" t="s">
        <v>10725</v>
      </c>
      <c r="O3521" t="str">
        <f>IFERROR(IF(Tbla_actores[[#This Row],[codigo_proyecto]]="","",_xlfn.XLOOKUP(Tbla_actores[[#This Row],[codigo_proyecto]],Proyectos!$A:$A,Proyectos!$C:$C)),"")</f>
        <v>PROYECTO
“ESTUDIO Y DISEÑO DE UN MURO DE CONTENCION EN ARBORIZADORA ALTA – CIUDAD BOLÍVAR”</v>
      </c>
    </row>
    <row r="3522" spans="1:15">
      <c r="A3522" s="9">
        <v>1010004829</v>
      </c>
      <c r="B3522" s="63" t="s">
        <v>61</v>
      </c>
      <c r="C3522" s="62" t="s">
        <v>10048</v>
      </c>
      <c r="D3522" t="s">
        <v>63</v>
      </c>
      <c r="E3522" t="s">
        <v>10738</v>
      </c>
      <c r="F3522" s="61">
        <v>37918</v>
      </c>
      <c r="G3522" s="15" t="s">
        <v>73</v>
      </c>
      <c r="H3522" t="s">
        <v>10739</v>
      </c>
      <c r="I3522" s="62" t="s">
        <v>10740</v>
      </c>
      <c r="K3522" s="36" t="s">
        <v>7671</v>
      </c>
      <c r="L3522" t="s">
        <v>69</v>
      </c>
      <c r="M3522" s="62" t="s">
        <v>70</v>
      </c>
      <c r="N3522" t="s">
        <v>10056</v>
      </c>
      <c r="O3522" t="str">
        <f>IFERROR(IF(Tbla_actores[[#This Row],[codigo_proyecto]]="","",_xlfn.XLOOKUP(Tbla_actores[[#This Row],[codigo_proyecto]],Proyectos!$A:$A,Proyectos!$C:$C)),"")</f>
        <v>Diagnodtico de necesidades de asesoría técnica para las labores de cuidado</v>
      </c>
    </row>
    <row r="3523" spans="1:15">
      <c r="A3523" s="10">
        <v>1011082810</v>
      </c>
      <c r="B3523" s="64" t="s">
        <v>61</v>
      </c>
      <c r="C3523" s="62" t="s">
        <v>10048</v>
      </c>
      <c r="D3523" t="s">
        <v>63</v>
      </c>
      <c r="E3523" t="s">
        <v>10741</v>
      </c>
      <c r="F3523" s="61">
        <v>38431</v>
      </c>
      <c r="G3523" s="15" t="s">
        <v>73</v>
      </c>
      <c r="H3523" t="s">
        <v>10742</v>
      </c>
      <c r="I3523" s="62" t="s">
        <v>10743</v>
      </c>
      <c r="K3523" s="36" t="s">
        <v>495</v>
      </c>
      <c r="L3523" t="s">
        <v>69</v>
      </c>
      <c r="M3523" s="62" t="s">
        <v>70</v>
      </c>
      <c r="N3523" t="s">
        <v>10624</v>
      </c>
      <c r="O3523" t="str">
        <f>IFERROR(IF(Tbla_actores[[#This Row],[codigo_proyecto]]="","",_xlfn.XLOOKUP(Tbla_actores[[#This Row],[codigo_proyecto]],Proyectos!$A:$A,Proyectos!$C:$C)),"")</f>
        <v>PROYECTO "CREACION, DESARRLLO Y DISEÑO DE MATERIAL PEDAGOGICO"</v>
      </c>
    </row>
    <row r="3524" spans="1:15">
      <c r="A3524" s="9">
        <v>1050603896</v>
      </c>
      <c r="B3524" s="63" t="s">
        <v>61</v>
      </c>
      <c r="C3524" s="62" t="s">
        <v>10048</v>
      </c>
      <c r="D3524" t="s">
        <v>63</v>
      </c>
      <c r="E3524" t="s">
        <v>10744</v>
      </c>
      <c r="F3524" s="61">
        <v>38625</v>
      </c>
      <c r="G3524" s="15" t="s">
        <v>73</v>
      </c>
      <c r="H3524" t="s">
        <v>10745</v>
      </c>
      <c r="I3524" s="62" t="s">
        <v>10746</v>
      </c>
      <c r="K3524" s="36" t="s">
        <v>7671</v>
      </c>
      <c r="L3524" t="s">
        <v>69</v>
      </c>
      <c r="M3524" s="62" t="s">
        <v>70</v>
      </c>
      <c r="N3524" t="s">
        <v>10603</v>
      </c>
      <c r="O3524" t="str">
        <f>IFERROR(IF(Tbla_actores[[#This Row],[codigo_proyecto]]="","",_xlfn.XLOOKUP(Tbla_actores[[#This Row],[codigo_proyecto]],Proyectos!$A:$A,Proyectos!$C:$C)),"")</f>
        <v>Campus Accesible - Inclusión y Diversidad</v>
      </c>
    </row>
    <row r="3525" spans="1:15" ht="30">
      <c r="A3525" s="10">
        <v>1025460751</v>
      </c>
      <c r="B3525" s="64" t="s">
        <v>61</v>
      </c>
      <c r="C3525" s="62" t="s">
        <v>10048</v>
      </c>
      <c r="D3525" t="s">
        <v>63</v>
      </c>
      <c r="E3525" t="s">
        <v>10747</v>
      </c>
      <c r="F3525" s="61">
        <v>38162</v>
      </c>
      <c r="G3525" s="15" t="s">
        <v>73</v>
      </c>
      <c r="H3525" t="s">
        <v>10748</v>
      </c>
      <c r="I3525" s="62" t="s">
        <v>10749</v>
      </c>
      <c r="K3525" s="36" t="s">
        <v>10040</v>
      </c>
      <c r="L3525" t="s">
        <v>69</v>
      </c>
      <c r="M3525" s="62" t="s">
        <v>70</v>
      </c>
      <c r="N3525" t="s">
        <v>10196</v>
      </c>
      <c r="O3525" t="str">
        <f>IFERROR(IF(Tbla_actores[[#This Row],[codigo_proyecto]]="","",_xlfn.XLOOKUP(Tbla_actores[[#This Row],[codigo_proyecto]],Proyectos!$A:$A,Proyectos!$C:$C)),"")</f>
        <v>Reparación equipos y refuerzo escolar</v>
      </c>
    </row>
    <row r="3526" spans="1:15">
      <c r="A3526" s="9">
        <v>1089931930</v>
      </c>
      <c r="B3526" s="63" t="s">
        <v>61</v>
      </c>
      <c r="C3526" s="62" t="s">
        <v>10048</v>
      </c>
      <c r="D3526" t="s">
        <v>63</v>
      </c>
      <c r="E3526" t="s">
        <v>10750</v>
      </c>
      <c r="F3526" s="61">
        <v>38338</v>
      </c>
      <c r="G3526" s="15" t="s">
        <v>73</v>
      </c>
      <c r="H3526" t="s">
        <v>10751</v>
      </c>
      <c r="I3526" s="62" t="s">
        <v>10752</v>
      </c>
      <c r="K3526" s="36" t="s">
        <v>169</v>
      </c>
      <c r="L3526" t="s">
        <v>69</v>
      </c>
      <c r="M3526" s="62" t="s">
        <v>170</v>
      </c>
      <c r="N3526" t="s">
        <v>10140</v>
      </c>
      <c r="O3526" t="str">
        <f>IFERROR(IF(Tbla_actores[[#This Row],[codigo_proyecto]]="","",_xlfn.XLOOKUP(Tbla_actores[[#This Row],[codigo_proyecto]],Proyectos!$A:$A,Proyectos!$C:$C)),"")</f>
        <v>Asesoría en el  registro de asistencia de estudiantes y generación de reportes</v>
      </c>
    </row>
    <row r="3527" spans="1:15">
      <c r="A3527" s="10">
        <v>1025060885</v>
      </c>
      <c r="B3527" s="64" t="s">
        <v>61</v>
      </c>
      <c r="C3527" s="62" t="s">
        <v>10048</v>
      </c>
      <c r="D3527" t="s">
        <v>63</v>
      </c>
      <c r="E3527" t="s">
        <v>10753</v>
      </c>
      <c r="F3527" s="61">
        <v>38317</v>
      </c>
      <c r="G3527" s="15" t="s">
        <v>73</v>
      </c>
      <c r="H3527" t="s">
        <v>10754</v>
      </c>
      <c r="I3527" s="62" t="s">
        <v>10755</v>
      </c>
      <c r="K3527" s="36" t="s">
        <v>7671</v>
      </c>
      <c r="L3527" t="s">
        <v>69</v>
      </c>
      <c r="M3527" s="62" t="s">
        <v>70</v>
      </c>
      <c r="N3527" t="s">
        <v>10756</v>
      </c>
      <c r="O3527" t="str">
        <f>IFERROR(IF(Tbla_actores[[#This Row],[codigo_proyecto]]="","",_xlfn.XLOOKUP(Tbla_actores[[#This Row],[codigo_proyecto]],Proyectos!$A:$A,Proyectos!$C:$C)),"")</f>
        <v>SAN CAYETANO ROBOTÍCA</v>
      </c>
    </row>
    <row r="3528" spans="1:15">
      <c r="A3528" s="9">
        <v>1025321142</v>
      </c>
      <c r="B3528" s="63" t="s">
        <v>61</v>
      </c>
      <c r="C3528" s="62" t="s">
        <v>10048</v>
      </c>
      <c r="D3528" t="s">
        <v>63</v>
      </c>
      <c r="E3528" t="s">
        <v>10757</v>
      </c>
      <c r="F3528" s="61">
        <v>38318</v>
      </c>
      <c r="G3528" s="15" t="s">
        <v>73</v>
      </c>
      <c r="H3528" t="s">
        <v>10758</v>
      </c>
      <c r="I3528" s="62" t="s">
        <v>10759</v>
      </c>
      <c r="K3528" s="36" t="s">
        <v>495</v>
      </c>
      <c r="L3528" t="s">
        <v>69</v>
      </c>
      <c r="M3528" s="62" t="s">
        <v>70</v>
      </c>
      <c r="N3528" t="s">
        <v>10076</v>
      </c>
      <c r="O3528" t="str">
        <f>IFERROR(IF(Tbla_actores[[#This Row],[codigo_proyecto]]="","",_xlfn.XLOOKUP(Tbla_actores[[#This Row],[codigo_proyecto]],Proyectos!$A:$A,Proyectos!$C:$C)),"")</f>
        <v>PROYECTO
“APOYO A LAS ACTIVIDADES DEL PROYECTO SOCIAL DE LA FACULTAD DE INGENIERIA – PROSOFI”</v>
      </c>
    </row>
    <row r="3529" spans="1:15">
      <c r="A3529" s="10">
        <v>1005331221</v>
      </c>
      <c r="B3529" s="64" t="s">
        <v>61</v>
      </c>
      <c r="C3529" s="62" t="s">
        <v>10048</v>
      </c>
      <c r="D3529" t="s">
        <v>63</v>
      </c>
      <c r="E3529" t="s">
        <v>10760</v>
      </c>
      <c r="F3529" s="61">
        <v>37697</v>
      </c>
      <c r="G3529" s="15" t="s">
        <v>73</v>
      </c>
      <c r="H3529" t="s">
        <v>10761</v>
      </c>
      <c r="I3529" s="62" t="s">
        <v>10762</v>
      </c>
      <c r="K3529" s="36" t="s">
        <v>7671</v>
      </c>
      <c r="L3529" t="s">
        <v>69</v>
      </c>
      <c r="M3529" s="62" t="s">
        <v>70</v>
      </c>
      <c r="N3529" t="s">
        <v>10603</v>
      </c>
      <c r="O3529" t="str">
        <f>IFERROR(IF(Tbla_actores[[#This Row],[codigo_proyecto]]="","",_xlfn.XLOOKUP(Tbla_actores[[#This Row],[codigo_proyecto]],Proyectos!$A:$A,Proyectos!$C:$C)),"")</f>
        <v>Campus Accesible - Inclusión y Diversidad</v>
      </c>
    </row>
    <row r="3530" spans="1:15">
      <c r="A3530" s="9">
        <v>1023082348</v>
      </c>
      <c r="B3530" s="63" t="s">
        <v>61</v>
      </c>
      <c r="C3530" s="62" t="s">
        <v>10048</v>
      </c>
      <c r="D3530" t="s">
        <v>63</v>
      </c>
      <c r="E3530" t="s">
        <v>10763</v>
      </c>
      <c r="F3530" s="61">
        <v>38090</v>
      </c>
      <c r="G3530" s="15" t="s">
        <v>65</v>
      </c>
      <c r="H3530" t="s">
        <v>10764</v>
      </c>
      <c r="I3530" s="62" t="s">
        <v>10765</v>
      </c>
      <c r="K3530" s="36" t="s">
        <v>7671</v>
      </c>
      <c r="L3530" t="s">
        <v>69</v>
      </c>
      <c r="M3530" s="62" t="s">
        <v>70</v>
      </c>
      <c r="N3530" t="s">
        <v>10603</v>
      </c>
      <c r="O3530" t="str">
        <f>IFERROR(IF(Tbla_actores[[#This Row],[codigo_proyecto]]="","",_xlfn.XLOOKUP(Tbla_actores[[#This Row],[codigo_proyecto]],Proyectos!$A:$A,Proyectos!$C:$C)),"")</f>
        <v>Campus Accesible - Inclusión y Diversidad</v>
      </c>
    </row>
    <row r="3531" spans="1:15">
      <c r="A3531" s="10">
        <v>1043965379</v>
      </c>
      <c r="B3531" s="64" t="s">
        <v>61</v>
      </c>
      <c r="C3531" s="62" t="s">
        <v>10048</v>
      </c>
      <c r="D3531" t="s">
        <v>63</v>
      </c>
      <c r="E3531" t="s">
        <v>10766</v>
      </c>
      <c r="F3531" s="61">
        <v>38393</v>
      </c>
      <c r="G3531" s="15" t="s">
        <v>65</v>
      </c>
      <c r="H3531" t="s">
        <v>10767</v>
      </c>
      <c r="I3531" s="62" t="s">
        <v>10768</v>
      </c>
      <c r="K3531" s="36" t="s">
        <v>169</v>
      </c>
      <c r="L3531" t="s">
        <v>69</v>
      </c>
      <c r="M3531" s="62" t="s">
        <v>170</v>
      </c>
      <c r="N3531" t="s">
        <v>10395</v>
      </c>
      <c r="O3531" t="str">
        <f>IFERROR(IF(Tbla_actores[[#This Row],[codigo_proyecto]]="","",_xlfn.XLOOKUP(Tbla_actores[[#This Row],[codigo_proyecto]],Proyectos!$A:$A,Proyectos!$C:$C)),"")</f>
        <v>VIDAS MÓVILES</v>
      </c>
    </row>
    <row r="3532" spans="1:15">
      <c r="A3532" s="9">
        <v>1000951417</v>
      </c>
      <c r="B3532" s="63" t="s">
        <v>61</v>
      </c>
      <c r="C3532" s="62" t="s">
        <v>10048</v>
      </c>
      <c r="D3532" t="s">
        <v>63</v>
      </c>
      <c r="E3532" t="s">
        <v>10769</v>
      </c>
      <c r="F3532" s="61">
        <v>37838</v>
      </c>
      <c r="G3532" s="15" t="s">
        <v>73</v>
      </c>
      <c r="H3532" t="s">
        <v>10770</v>
      </c>
      <c r="I3532" s="62" t="s">
        <v>10771</v>
      </c>
      <c r="K3532" s="36" t="s">
        <v>7671</v>
      </c>
      <c r="L3532" t="s">
        <v>69</v>
      </c>
      <c r="M3532" s="62" t="s">
        <v>70</v>
      </c>
      <c r="N3532" t="s">
        <v>10181</v>
      </c>
      <c r="O3532" t="str">
        <f>IFERROR(IF(Tbla_actores[[#This Row],[codigo_proyecto]]="","",_xlfn.XLOOKUP(Tbla_actores[[#This Row],[codigo_proyecto]],Proyectos!$A:$A,Proyectos!$C:$C)),"")</f>
        <v>Reparación de Electrodomésticos BA</v>
      </c>
    </row>
    <row r="3533" spans="1:15">
      <c r="A3533" s="10">
        <v>1025060313</v>
      </c>
      <c r="B3533" s="64" t="s">
        <v>61</v>
      </c>
      <c r="C3533" s="62" t="s">
        <v>10048</v>
      </c>
      <c r="D3533" t="s">
        <v>63</v>
      </c>
      <c r="E3533" t="s">
        <v>10772</v>
      </c>
      <c r="F3533" s="61">
        <v>38083</v>
      </c>
      <c r="G3533" s="15" t="s">
        <v>73</v>
      </c>
      <c r="H3533" t="s">
        <v>10773</v>
      </c>
      <c r="I3533" s="62" t="s">
        <v>10774</v>
      </c>
      <c r="K3533" s="36" t="s">
        <v>7671</v>
      </c>
      <c r="L3533" t="s">
        <v>69</v>
      </c>
      <c r="M3533" s="62" t="s">
        <v>70</v>
      </c>
      <c r="N3533" t="s">
        <v>10775</v>
      </c>
      <c r="O3533" t="str">
        <f>IFERROR(IF(Tbla_actores[[#This Row],[codigo_proyecto]]="","",_xlfn.XLOOKUP(Tbla_actores[[#This Row],[codigo_proyecto]],Proyectos!$A:$A,Proyectos!$C:$C)),"")</f>
        <v>COLEGIO SAN GREGORIO HERNÁNDEZ</v>
      </c>
    </row>
    <row r="3534" spans="1:15">
      <c r="A3534" s="9">
        <v>1006170353</v>
      </c>
      <c r="B3534" s="63" t="s">
        <v>61</v>
      </c>
      <c r="C3534" s="62" t="s">
        <v>10048</v>
      </c>
      <c r="D3534" t="s">
        <v>63</v>
      </c>
      <c r="E3534" t="s">
        <v>10776</v>
      </c>
      <c r="F3534" s="61">
        <v>37946</v>
      </c>
      <c r="G3534" s="15" t="s">
        <v>65</v>
      </c>
      <c r="H3534" t="s">
        <v>10777</v>
      </c>
      <c r="I3534" s="62" t="s">
        <v>10778</v>
      </c>
      <c r="K3534" s="36" t="s">
        <v>169</v>
      </c>
      <c r="L3534" t="s">
        <v>69</v>
      </c>
      <c r="M3534" s="62" t="s">
        <v>170</v>
      </c>
      <c r="N3534" t="s">
        <v>10395</v>
      </c>
      <c r="O3534" t="str">
        <f>IFERROR(IF(Tbla_actores[[#This Row],[codigo_proyecto]]="","",_xlfn.XLOOKUP(Tbla_actores[[#This Row],[codigo_proyecto]],Proyectos!$A:$A,Proyectos!$C:$C)),"")</f>
        <v>VIDAS MÓVILES</v>
      </c>
    </row>
    <row r="3535" spans="1:15">
      <c r="A3535" s="10">
        <v>1013258122</v>
      </c>
      <c r="B3535" s="64" t="s">
        <v>61</v>
      </c>
      <c r="C3535" s="62" t="s">
        <v>10048</v>
      </c>
      <c r="D3535" t="s">
        <v>63</v>
      </c>
      <c r="E3535" t="s">
        <v>10779</v>
      </c>
      <c r="F3535" s="61">
        <v>38282</v>
      </c>
      <c r="G3535" s="15" t="s">
        <v>65</v>
      </c>
      <c r="H3535" t="s">
        <v>10780</v>
      </c>
      <c r="I3535" s="62" t="s">
        <v>10781</v>
      </c>
      <c r="K3535" s="36" t="s">
        <v>7671</v>
      </c>
      <c r="L3535" t="s">
        <v>69</v>
      </c>
      <c r="M3535" s="62" t="s">
        <v>70</v>
      </c>
      <c r="N3535" t="s">
        <v>10775</v>
      </c>
      <c r="O3535" t="str">
        <f>IFERROR(IF(Tbla_actores[[#This Row],[codigo_proyecto]]="","",_xlfn.XLOOKUP(Tbla_actores[[#This Row],[codigo_proyecto]],Proyectos!$A:$A,Proyectos!$C:$C)),"")</f>
        <v>COLEGIO SAN GREGORIO HERNÁNDEZ</v>
      </c>
    </row>
    <row r="3536" spans="1:15">
      <c r="A3536" s="9">
        <v>1023242130</v>
      </c>
      <c r="B3536" s="63" t="s">
        <v>61</v>
      </c>
      <c r="C3536" s="62" t="s">
        <v>10048</v>
      </c>
      <c r="D3536" t="s">
        <v>63</v>
      </c>
      <c r="E3536" t="s">
        <v>10782</v>
      </c>
      <c r="F3536" s="61">
        <v>38112</v>
      </c>
      <c r="G3536" s="15" t="s">
        <v>65</v>
      </c>
      <c r="H3536" t="s">
        <v>10783</v>
      </c>
      <c r="I3536" s="62" t="s">
        <v>10784</v>
      </c>
      <c r="K3536" s="36" t="s">
        <v>495</v>
      </c>
      <c r="L3536" t="s">
        <v>69</v>
      </c>
      <c r="M3536" s="62" t="s">
        <v>70</v>
      </c>
      <c r="N3536" t="s">
        <v>10076</v>
      </c>
      <c r="O3536" t="str">
        <f>IFERROR(IF(Tbla_actores[[#This Row],[codigo_proyecto]]="","",_xlfn.XLOOKUP(Tbla_actores[[#This Row],[codigo_proyecto]],Proyectos!$A:$A,Proyectos!$C:$C)),"")</f>
        <v>PROYECTO
“APOYO A LAS ACTIVIDADES DEL PROYECTO SOCIAL DE LA FACULTAD DE INGENIERIA – PROSOFI”</v>
      </c>
    </row>
    <row r="3537" spans="1:15">
      <c r="A3537" s="10">
        <v>1004877696</v>
      </c>
      <c r="B3537" s="64" t="s">
        <v>61</v>
      </c>
      <c r="C3537" s="62" t="s">
        <v>10048</v>
      </c>
      <c r="D3537" t="s">
        <v>63</v>
      </c>
      <c r="E3537" t="s">
        <v>10785</v>
      </c>
      <c r="F3537" s="61">
        <v>37897</v>
      </c>
      <c r="G3537" s="15" t="s">
        <v>65</v>
      </c>
      <c r="H3537" t="s">
        <v>10786</v>
      </c>
      <c r="I3537" s="62" t="s">
        <v>10787</v>
      </c>
      <c r="K3537" s="36" t="s">
        <v>169</v>
      </c>
      <c r="L3537" t="s">
        <v>69</v>
      </c>
      <c r="M3537" s="62" t="s">
        <v>170</v>
      </c>
      <c r="N3537" t="s">
        <v>10395</v>
      </c>
      <c r="O3537" t="str">
        <f>IFERROR(IF(Tbla_actores[[#This Row],[codigo_proyecto]]="","",_xlfn.XLOOKUP(Tbla_actores[[#This Row],[codigo_proyecto]],Proyectos!$A:$A,Proyectos!$C:$C)),"")</f>
        <v>VIDAS MÓVILES</v>
      </c>
    </row>
    <row r="3538" spans="1:15">
      <c r="A3538" s="9">
        <v>1014658412</v>
      </c>
      <c r="B3538" s="63" t="s">
        <v>61</v>
      </c>
      <c r="C3538" s="62" t="s">
        <v>10048</v>
      </c>
      <c r="D3538" t="s">
        <v>63</v>
      </c>
      <c r="E3538" t="s">
        <v>10788</v>
      </c>
      <c r="F3538" s="61">
        <v>38265</v>
      </c>
      <c r="G3538" s="15" t="s">
        <v>65</v>
      </c>
      <c r="H3538" t="s">
        <v>10789</v>
      </c>
      <c r="I3538" s="62" t="s">
        <v>10790</v>
      </c>
      <c r="K3538" s="36" t="s">
        <v>495</v>
      </c>
      <c r="L3538" t="s">
        <v>69</v>
      </c>
      <c r="M3538" s="62" t="s">
        <v>70</v>
      </c>
      <c r="N3538" t="s">
        <v>10624</v>
      </c>
      <c r="O3538" t="str">
        <f>IFERROR(IF(Tbla_actores[[#This Row],[codigo_proyecto]]="","",_xlfn.XLOOKUP(Tbla_actores[[#This Row],[codigo_proyecto]],Proyectos!$A:$A,Proyectos!$C:$C)),"")</f>
        <v>PROYECTO "CREACION, DESARRLLO Y DISEÑO DE MATERIAL PEDAGOGICO"</v>
      </c>
    </row>
    <row r="3539" spans="1:15">
      <c r="A3539" s="10">
        <v>1023083323</v>
      </c>
      <c r="B3539" s="64" t="s">
        <v>61</v>
      </c>
      <c r="C3539" s="62" t="s">
        <v>10048</v>
      </c>
      <c r="D3539" t="s">
        <v>63</v>
      </c>
      <c r="E3539" t="s">
        <v>10791</v>
      </c>
      <c r="F3539" s="61">
        <v>38630</v>
      </c>
      <c r="G3539" s="15" t="s">
        <v>73</v>
      </c>
      <c r="H3539" t="s">
        <v>10792</v>
      </c>
      <c r="I3539" s="62" t="s">
        <v>10793</v>
      </c>
      <c r="K3539" s="36" t="s">
        <v>169</v>
      </c>
      <c r="L3539" t="s">
        <v>69</v>
      </c>
      <c r="M3539" s="62" t="s">
        <v>170</v>
      </c>
      <c r="N3539" t="s">
        <v>10110</v>
      </c>
      <c r="O3539" t="str">
        <f>IFERROR(IF(Tbla_actores[[#This Row],[codigo_proyecto]]="","",_xlfn.XLOOKUP(Tbla_actores[[#This Row],[codigo_proyecto]],Proyectos!$A:$A,Proyectos!$C:$C)),"")</f>
        <v xml:space="preserve">Mesa de Reconciliación y Justicia. </v>
      </c>
    </row>
    <row r="3540" spans="1:15">
      <c r="A3540" s="9">
        <v>1000942088</v>
      </c>
      <c r="B3540" s="63" t="s">
        <v>61</v>
      </c>
      <c r="C3540" s="62" t="s">
        <v>10048</v>
      </c>
      <c r="D3540" t="s">
        <v>63</v>
      </c>
      <c r="E3540" t="s">
        <v>10794</v>
      </c>
      <c r="F3540" s="61">
        <v>37872</v>
      </c>
      <c r="G3540" s="15" t="s">
        <v>73</v>
      </c>
      <c r="H3540" t="s">
        <v>10795</v>
      </c>
      <c r="I3540" s="62" t="s">
        <v>10796</v>
      </c>
      <c r="K3540" s="36" t="s">
        <v>68</v>
      </c>
      <c r="L3540" t="s">
        <v>69</v>
      </c>
      <c r="M3540" s="62" t="s">
        <v>70</v>
      </c>
      <c r="N3540" t="s">
        <v>10797</v>
      </c>
      <c r="O3540" t="str">
        <f>IFERROR(IF(Tbla_actores[[#This Row],[codigo_proyecto]]="","",_xlfn.XLOOKUP(Tbla_actores[[#This Row],[codigo_proyecto]],Proyectos!$A:$A,Proyectos!$C:$C)),"")</f>
        <v>Proyecto 14</v>
      </c>
    </row>
    <row r="3541" spans="1:15">
      <c r="A3541" s="10">
        <v>1002778016</v>
      </c>
      <c r="B3541" s="64" t="s">
        <v>61</v>
      </c>
      <c r="C3541" s="62" t="s">
        <v>10048</v>
      </c>
      <c r="D3541" t="s">
        <v>63</v>
      </c>
      <c r="E3541" t="s">
        <v>10798</v>
      </c>
      <c r="F3541" s="61">
        <v>37731</v>
      </c>
      <c r="G3541" s="15" t="s">
        <v>65</v>
      </c>
      <c r="H3541" t="s">
        <v>10799</v>
      </c>
      <c r="I3541" s="62" t="s">
        <v>10800</v>
      </c>
      <c r="K3541" s="36" t="s">
        <v>68</v>
      </c>
      <c r="L3541" t="s">
        <v>69</v>
      </c>
      <c r="M3541" s="62" t="s">
        <v>70</v>
      </c>
      <c r="N3541" t="s">
        <v>10797</v>
      </c>
      <c r="O3541" t="str">
        <f>IFERROR(IF(Tbla_actores[[#This Row],[codigo_proyecto]]="","",_xlfn.XLOOKUP(Tbla_actores[[#This Row],[codigo_proyecto]],Proyectos!$A:$A,Proyectos!$C:$C)),"")</f>
        <v>Proyecto 14</v>
      </c>
    </row>
    <row r="3542" spans="1:15">
      <c r="A3542" s="9">
        <v>1136889316</v>
      </c>
      <c r="B3542" s="63" t="s">
        <v>61</v>
      </c>
      <c r="C3542" s="62" t="s">
        <v>10048</v>
      </c>
      <c r="D3542" t="s">
        <v>63</v>
      </c>
      <c r="E3542" t="s">
        <v>10801</v>
      </c>
      <c r="F3542" s="61">
        <v>36101</v>
      </c>
      <c r="G3542" s="15" t="s">
        <v>73</v>
      </c>
      <c r="H3542" t="s">
        <v>10802</v>
      </c>
      <c r="I3542" s="62" t="s">
        <v>10803</v>
      </c>
      <c r="K3542" s="36" t="s">
        <v>68</v>
      </c>
      <c r="L3542" t="s">
        <v>69</v>
      </c>
      <c r="M3542" s="62" t="s">
        <v>70</v>
      </c>
      <c r="N3542" t="s">
        <v>10797</v>
      </c>
      <c r="O3542" t="str">
        <f>IFERROR(IF(Tbla_actores[[#This Row],[codigo_proyecto]]="","",_xlfn.XLOOKUP(Tbla_actores[[#This Row],[codigo_proyecto]],Proyectos!$A:$A,Proyectos!$C:$C)),"")</f>
        <v>Proyecto 14</v>
      </c>
    </row>
    <row r="3543" spans="1:15">
      <c r="A3543" s="10">
        <v>1031643566</v>
      </c>
      <c r="B3543" s="64" t="s">
        <v>61</v>
      </c>
      <c r="C3543" s="62" t="s">
        <v>10048</v>
      </c>
      <c r="D3543" t="s">
        <v>63</v>
      </c>
      <c r="E3543" t="s">
        <v>10804</v>
      </c>
      <c r="F3543" s="61">
        <v>38230</v>
      </c>
      <c r="G3543" s="15" t="s">
        <v>73</v>
      </c>
      <c r="H3543" t="s">
        <v>10805</v>
      </c>
      <c r="I3543" s="62" t="s">
        <v>10806</v>
      </c>
      <c r="K3543" s="36" t="s">
        <v>68</v>
      </c>
      <c r="L3543" t="s">
        <v>69</v>
      </c>
      <c r="M3543" s="62" t="s">
        <v>70</v>
      </c>
      <c r="N3543" t="s">
        <v>10797</v>
      </c>
      <c r="O3543" t="str">
        <f>IFERROR(IF(Tbla_actores[[#This Row],[codigo_proyecto]]="","",_xlfn.XLOOKUP(Tbla_actores[[#This Row],[codigo_proyecto]],Proyectos!$A:$A,Proyectos!$C:$C)),"")</f>
        <v>Proyecto 14</v>
      </c>
    </row>
    <row r="3544" spans="1:15">
      <c r="A3544" s="9">
        <v>1005297493</v>
      </c>
      <c r="B3544" s="63" t="s">
        <v>61</v>
      </c>
      <c r="C3544" s="62" t="s">
        <v>10048</v>
      </c>
      <c r="D3544" t="s">
        <v>63</v>
      </c>
      <c r="E3544" t="s">
        <v>10807</v>
      </c>
      <c r="F3544" s="61">
        <v>37599</v>
      </c>
      <c r="G3544" s="15" t="s">
        <v>73</v>
      </c>
      <c r="H3544" t="s">
        <v>10808</v>
      </c>
      <c r="I3544" s="62" t="s">
        <v>10809</v>
      </c>
      <c r="K3544" s="36" t="s">
        <v>68</v>
      </c>
      <c r="L3544" t="s">
        <v>69</v>
      </c>
      <c r="M3544" s="62" t="s">
        <v>70</v>
      </c>
      <c r="N3544" t="s">
        <v>10797</v>
      </c>
      <c r="O3544" t="str">
        <f>IFERROR(IF(Tbla_actores[[#This Row],[codigo_proyecto]]="","",_xlfn.XLOOKUP(Tbla_actores[[#This Row],[codigo_proyecto]],Proyectos!$A:$A,Proyectos!$C:$C)),"")</f>
        <v>Proyecto 14</v>
      </c>
    </row>
    <row r="3545" spans="1:15">
      <c r="A3545" s="10">
        <v>1000942178</v>
      </c>
      <c r="B3545" s="64" t="s">
        <v>61</v>
      </c>
      <c r="C3545" s="62" t="s">
        <v>10048</v>
      </c>
      <c r="D3545" t="s">
        <v>63</v>
      </c>
      <c r="E3545" t="s">
        <v>10810</v>
      </c>
      <c r="F3545" s="61">
        <v>36929</v>
      </c>
      <c r="G3545" s="15" t="s">
        <v>73</v>
      </c>
      <c r="H3545" t="s">
        <v>10811</v>
      </c>
      <c r="I3545" s="62" t="s">
        <v>10812</v>
      </c>
      <c r="K3545" s="36" t="s">
        <v>68</v>
      </c>
      <c r="L3545" t="s">
        <v>69</v>
      </c>
      <c r="M3545" s="62" t="s">
        <v>70</v>
      </c>
      <c r="N3545" t="s">
        <v>10797</v>
      </c>
      <c r="O3545" t="str">
        <f>IFERROR(IF(Tbla_actores[[#This Row],[codigo_proyecto]]="","",_xlfn.XLOOKUP(Tbla_actores[[#This Row],[codigo_proyecto]],Proyectos!$A:$A,Proyectos!$C:$C)),"")</f>
        <v>Proyecto 14</v>
      </c>
    </row>
    <row r="3546" spans="1:15">
      <c r="A3546" s="9">
        <v>1014977242</v>
      </c>
      <c r="B3546" s="63" t="s">
        <v>61</v>
      </c>
      <c r="C3546" s="62" t="s">
        <v>10048</v>
      </c>
      <c r="D3546" t="s">
        <v>63</v>
      </c>
      <c r="E3546" t="s">
        <v>10813</v>
      </c>
      <c r="F3546" s="61">
        <v>38210</v>
      </c>
      <c r="G3546" s="15" t="s">
        <v>65</v>
      </c>
      <c r="H3546" t="s">
        <v>10814</v>
      </c>
      <c r="I3546" s="62" t="s">
        <v>10815</v>
      </c>
      <c r="K3546" s="36" t="s">
        <v>68</v>
      </c>
      <c r="L3546" t="s">
        <v>69</v>
      </c>
      <c r="M3546" s="62" t="s">
        <v>70</v>
      </c>
      <c r="N3546" t="s">
        <v>10797</v>
      </c>
      <c r="O3546" t="str">
        <f>IFERROR(IF(Tbla_actores[[#This Row],[codigo_proyecto]]="","",_xlfn.XLOOKUP(Tbla_actores[[#This Row],[codigo_proyecto]],Proyectos!$A:$A,Proyectos!$C:$C)),"")</f>
        <v>Proyecto 14</v>
      </c>
    </row>
    <row r="3547" spans="1:15">
      <c r="A3547" s="10">
        <v>1005183212</v>
      </c>
      <c r="B3547" s="64" t="s">
        <v>61</v>
      </c>
      <c r="C3547" s="62" t="s">
        <v>10816</v>
      </c>
      <c r="D3547" t="s">
        <v>63</v>
      </c>
      <c r="E3547" t="s">
        <v>10817</v>
      </c>
      <c r="F3547" s="61">
        <v>37982</v>
      </c>
      <c r="G3547" s="15" t="s">
        <v>65</v>
      </c>
      <c r="H3547" t="s">
        <v>10818</v>
      </c>
      <c r="I3547" s="62" t="s">
        <v>10819</v>
      </c>
      <c r="K3547" s="36" t="s">
        <v>495</v>
      </c>
      <c r="L3547" t="s">
        <v>69</v>
      </c>
      <c r="M3547" s="62" t="s">
        <v>70</v>
      </c>
      <c r="N3547" t="s">
        <v>10820</v>
      </c>
      <c r="O3547" t="str">
        <f>IFERROR(IF(Tbla_actores[[#This Row],[codigo_proyecto]]="","",_xlfn.XLOOKUP(Tbla_actores[[#This Row],[codigo_proyecto]],Proyectos!$A:$A,Proyectos!$C:$C)),"")</f>
        <v>PROYECTO
“ESTUDIO DE SUELOS EN CARACOLI – CIUDAD BOLÍVAR”</v>
      </c>
    </row>
    <row r="3548" spans="1:15">
      <c r="A3548" s="9">
        <v>1000183387</v>
      </c>
      <c r="B3548" s="63" t="s">
        <v>61</v>
      </c>
      <c r="C3548" s="62" t="s">
        <v>10816</v>
      </c>
      <c r="D3548" t="s">
        <v>63</v>
      </c>
      <c r="E3548" t="s">
        <v>10821</v>
      </c>
      <c r="F3548" s="61">
        <v>37534</v>
      </c>
      <c r="G3548" s="15" t="s">
        <v>73</v>
      </c>
      <c r="H3548" t="s">
        <v>10822</v>
      </c>
      <c r="I3548" s="62" t="s">
        <v>10823</v>
      </c>
      <c r="K3548" s="36" t="s">
        <v>495</v>
      </c>
      <c r="L3548" t="s">
        <v>69</v>
      </c>
      <c r="M3548" s="62" t="s">
        <v>70</v>
      </c>
      <c r="N3548" t="s">
        <v>10824</v>
      </c>
      <c r="O3548" t="str">
        <f>IFERROR(IF(Tbla_actores[[#This Row],[codigo_proyecto]]="","",_xlfn.XLOOKUP(Tbla_actores[[#This Row],[codigo_proyecto]],Proyectos!$A:$A,Proyectos!$C:$C)),"")</f>
        <v>PROYECTO
“CAPACITACIÓN EN CONSTRUCCIÓN-CAMACOL”</v>
      </c>
    </row>
    <row r="3549" spans="1:15">
      <c r="A3549" s="10">
        <v>1022327995</v>
      </c>
      <c r="B3549" s="64" t="s">
        <v>10825</v>
      </c>
      <c r="C3549" s="62" t="s">
        <v>10816</v>
      </c>
      <c r="D3549" t="s">
        <v>63</v>
      </c>
      <c r="E3549" t="s">
        <v>10826</v>
      </c>
      <c r="F3549" s="61">
        <v>38305</v>
      </c>
      <c r="G3549" s="15" t="s">
        <v>73</v>
      </c>
      <c r="H3549" t="s">
        <v>10827</v>
      </c>
      <c r="I3549" s="62" t="s">
        <v>10828</v>
      </c>
      <c r="K3549" s="36" t="s">
        <v>495</v>
      </c>
      <c r="L3549" t="s">
        <v>69</v>
      </c>
      <c r="M3549" s="62" t="s">
        <v>70</v>
      </c>
      <c r="N3549" t="s">
        <v>10824</v>
      </c>
      <c r="O3549" t="str">
        <f>IFERROR(IF(Tbla_actores[[#This Row],[codigo_proyecto]]="","",_xlfn.XLOOKUP(Tbla_actores[[#This Row],[codigo_proyecto]],Proyectos!$A:$A,Proyectos!$C:$C)),"")</f>
        <v>PROYECTO
“CAPACITACIÓN EN CONSTRUCCIÓN-CAMACOL”</v>
      </c>
    </row>
    <row r="3550" spans="1:15">
      <c r="A3550" s="9">
        <v>1110466704</v>
      </c>
      <c r="B3550" s="63" t="s">
        <v>61</v>
      </c>
      <c r="C3550" s="62" t="s">
        <v>10816</v>
      </c>
      <c r="D3550" t="s">
        <v>63</v>
      </c>
      <c r="E3550" t="s">
        <v>10829</v>
      </c>
      <c r="F3550" s="61">
        <v>38712</v>
      </c>
      <c r="G3550" s="15" t="s">
        <v>73</v>
      </c>
      <c r="H3550" t="s">
        <v>10830</v>
      </c>
      <c r="I3550" s="62" t="s">
        <v>10831</v>
      </c>
      <c r="K3550" s="36" t="s">
        <v>495</v>
      </c>
      <c r="L3550" t="s">
        <v>69</v>
      </c>
      <c r="M3550" s="62" t="s">
        <v>70</v>
      </c>
      <c r="N3550" t="s">
        <v>10832</v>
      </c>
      <c r="O3550" t="str">
        <f>IFERROR(IF(Tbla_actores[[#This Row],[codigo_proyecto]]="","",_xlfn.XLOOKUP(Tbla_actores[[#This Row],[codigo_proyecto]],Proyectos!$A:$A,Proyectos!$C:$C)),"")</f>
        <v>"Capacitaciones en autoconstrucción de viviendas de 1 y 2 pisos, capacitaciones en propuestas domesticas de construcción sostenible"</v>
      </c>
    </row>
    <row r="3551" spans="1:15">
      <c r="A3551" s="10">
        <v>1093590260</v>
      </c>
      <c r="B3551" s="64" t="s">
        <v>61</v>
      </c>
      <c r="C3551" s="62" t="s">
        <v>10816</v>
      </c>
      <c r="D3551" t="s">
        <v>63</v>
      </c>
      <c r="E3551" t="s">
        <v>10833</v>
      </c>
      <c r="F3551" s="61">
        <v>38333</v>
      </c>
      <c r="G3551" s="15" t="s">
        <v>65</v>
      </c>
      <c r="H3551" t="s">
        <v>10834</v>
      </c>
      <c r="I3551" s="62" t="s">
        <v>10835</v>
      </c>
      <c r="K3551" s="36" t="s">
        <v>495</v>
      </c>
      <c r="L3551" t="s">
        <v>69</v>
      </c>
      <c r="M3551" s="62" t="s">
        <v>70</v>
      </c>
      <c r="N3551" t="s">
        <v>10824</v>
      </c>
      <c r="O3551" t="str">
        <f>IFERROR(IF(Tbla_actores[[#This Row],[codigo_proyecto]]="","",_xlfn.XLOOKUP(Tbla_actores[[#This Row],[codigo_proyecto]],Proyectos!$A:$A,Proyectos!$C:$C)),"")</f>
        <v>PROYECTO
“CAPACITACIÓN EN CONSTRUCCIÓN-CAMACOL”</v>
      </c>
    </row>
    <row r="3552" spans="1:15">
      <c r="A3552" s="9">
        <v>1053443176</v>
      </c>
      <c r="B3552" s="63" t="s">
        <v>61</v>
      </c>
      <c r="C3552" s="62" t="s">
        <v>10816</v>
      </c>
      <c r="D3552" t="s">
        <v>63</v>
      </c>
      <c r="E3552" t="s">
        <v>10836</v>
      </c>
      <c r="F3552" s="61">
        <v>38651</v>
      </c>
      <c r="G3552" s="15" t="s">
        <v>73</v>
      </c>
      <c r="H3552" t="s">
        <v>10837</v>
      </c>
      <c r="I3552" s="62" t="s">
        <v>10838</v>
      </c>
      <c r="K3552" s="36" t="s">
        <v>495</v>
      </c>
      <c r="L3552" t="s">
        <v>69</v>
      </c>
      <c r="M3552" s="62" t="s">
        <v>70</v>
      </c>
      <c r="N3552" t="s">
        <v>10824</v>
      </c>
      <c r="O3552" t="str">
        <f>IFERROR(IF(Tbla_actores[[#This Row],[codigo_proyecto]]="","",_xlfn.XLOOKUP(Tbla_actores[[#This Row],[codigo_proyecto]],Proyectos!$A:$A,Proyectos!$C:$C)),"")</f>
        <v>PROYECTO
“CAPACITACIÓN EN CONSTRUCCIÓN-CAMACOL”</v>
      </c>
    </row>
    <row r="3553" spans="1:15">
      <c r="A3553" s="10">
        <v>1001201292</v>
      </c>
      <c r="B3553" s="64" t="s">
        <v>61</v>
      </c>
      <c r="C3553" s="62" t="s">
        <v>10816</v>
      </c>
      <c r="D3553" t="s">
        <v>63</v>
      </c>
      <c r="E3553" t="s">
        <v>10119</v>
      </c>
      <c r="F3553" s="61">
        <v>37838</v>
      </c>
      <c r="G3553" s="15" t="s">
        <v>73</v>
      </c>
      <c r="H3553" t="s">
        <v>10120</v>
      </c>
      <c r="I3553" s="62" t="s">
        <v>10121</v>
      </c>
      <c r="K3553" s="36" t="s">
        <v>495</v>
      </c>
      <c r="L3553" t="s">
        <v>69</v>
      </c>
      <c r="M3553" s="62" t="s">
        <v>70</v>
      </c>
      <c r="N3553" t="s">
        <v>10839</v>
      </c>
      <c r="O3553" t="str">
        <f>IFERROR(IF(Tbla_actores[[#This Row],[codigo_proyecto]]="","",_xlfn.XLOOKUP(Tbla_actores[[#This Row],[codigo_proyecto]],Proyectos!$A:$A,Proyectos!$C:$C)),"")</f>
        <v xml:space="preserve">PROSOFI: Fundación Laudes Infantis </v>
      </c>
    </row>
    <row r="3554" spans="1:15">
      <c r="A3554" s="9">
        <v>1002760205</v>
      </c>
      <c r="B3554" s="63" t="s">
        <v>61</v>
      </c>
      <c r="C3554" s="62" t="s">
        <v>10816</v>
      </c>
      <c r="D3554" t="s">
        <v>63</v>
      </c>
      <c r="E3554" t="s">
        <v>10840</v>
      </c>
      <c r="F3554" s="61">
        <v>37272</v>
      </c>
      <c r="G3554" s="15" t="s">
        <v>73</v>
      </c>
      <c r="H3554" t="s">
        <v>10841</v>
      </c>
      <c r="I3554" s="62" t="s">
        <v>10842</v>
      </c>
      <c r="K3554" s="36" t="s">
        <v>495</v>
      </c>
      <c r="L3554" t="s">
        <v>69</v>
      </c>
      <c r="M3554" s="62" t="s">
        <v>70</v>
      </c>
      <c r="N3554" t="s">
        <v>10824</v>
      </c>
      <c r="O3554" t="str">
        <f>IFERROR(IF(Tbla_actores[[#This Row],[codigo_proyecto]]="","",_xlfn.XLOOKUP(Tbla_actores[[#This Row],[codigo_proyecto]],Proyectos!$A:$A,Proyectos!$C:$C)),"")</f>
        <v>PROYECTO
“CAPACITACIÓN EN CONSTRUCCIÓN-CAMACOL”</v>
      </c>
    </row>
    <row r="3555" spans="1:15">
      <c r="A3555" s="10">
        <v>1012462236</v>
      </c>
      <c r="B3555" s="64" t="s">
        <v>61</v>
      </c>
      <c r="C3555" s="62" t="s">
        <v>10816</v>
      </c>
      <c r="D3555" t="s">
        <v>63</v>
      </c>
      <c r="E3555" t="s">
        <v>10843</v>
      </c>
      <c r="F3555" s="61">
        <v>36275</v>
      </c>
      <c r="G3555" s="15" t="s">
        <v>73</v>
      </c>
      <c r="H3555" t="s">
        <v>10844</v>
      </c>
      <c r="I3555" s="62" t="s">
        <v>10845</v>
      </c>
      <c r="K3555" s="36" t="s">
        <v>495</v>
      </c>
      <c r="L3555" t="s">
        <v>69</v>
      </c>
      <c r="M3555" s="62" t="s">
        <v>70</v>
      </c>
      <c r="N3555" t="s">
        <v>10846</v>
      </c>
      <c r="O3555" t="str">
        <f>IFERROR(IF(Tbla_actores[[#This Row],[codigo_proyecto]]="","",_xlfn.XLOOKUP(Tbla_actores[[#This Row],[codigo_proyecto]],Proyectos!$A:$A,Proyectos!$C:$C)),"")</f>
        <v>PROSOFI: Junta de Acción Comunal barrio J.J Rondón</v>
      </c>
    </row>
    <row r="3556" spans="1:15">
      <c r="A3556" s="9">
        <v>1023864975</v>
      </c>
      <c r="B3556" s="63" t="s">
        <v>61</v>
      </c>
      <c r="C3556" s="62" t="s">
        <v>10816</v>
      </c>
      <c r="D3556" t="s">
        <v>63</v>
      </c>
      <c r="E3556" t="s">
        <v>10847</v>
      </c>
      <c r="F3556" s="61">
        <v>38230</v>
      </c>
      <c r="G3556" s="15" t="s">
        <v>73</v>
      </c>
      <c r="H3556" t="s">
        <v>10848</v>
      </c>
      <c r="I3556" s="62" t="s">
        <v>10849</v>
      </c>
      <c r="K3556" s="36" t="s">
        <v>495</v>
      </c>
      <c r="L3556" t="s">
        <v>69</v>
      </c>
      <c r="M3556" s="62" t="s">
        <v>70</v>
      </c>
      <c r="N3556" t="s">
        <v>10850</v>
      </c>
      <c r="O3556" t="str">
        <f>IFERROR(IF(Tbla_actores[[#This Row],[codigo_proyecto]]="","",_xlfn.XLOOKUP(Tbla_actores[[#This Row],[codigo_proyecto]],Proyectos!$A:$A,Proyectos!$C:$C)),"")</f>
        <v>PROYECTO VENECIA</v>
      </c>
    </row>
    <row r="3557" spans="1:15">
      <c r="A3557" s="10">
        <v>1117132329</v>
      </c>
      <c r="B3557" s="64" t="s">
        <v>61</v>
      </c>
      <c r="C3557" s="62" t="s">
        <v>10816</v>
      </c>
      <c r="D3557" t="s">
        <v>63</v>
      </c>
      <c r="E3557" t="s">
        <v>10851</v>
      </c>
      <c r="F3557" s="61">
        <v>38369</v>
      </c>
      <c r="G3557" s="15" t="s">
        <v>73</v>
      </c>
      <c r="H3557" t="s">
        <v>10852</v>
      </c>
      <c r="I3557" s="62" t="s">
        <v>10853</v>
      </c>
      <c r="K3557" s="36" t="s">
        <v>495</v>
      </c>
      <c r="L3557" t="s">
        <v>69</v>
      </c>
      <c r="M3557" s="62" t="s">
        <v>70</v>
      </c>
      <c r="N3557" t="s">
        <v>10820</v>
      </c>
      <c r="O3557" t="str">
        <f>IFERROR(IF(Tbla_actores[[#This Row],[codigo_proyecto]]="","",_xlfn.XLOOKUP(Tbla_actores[[#This Row],[codigo_proyecto]],Proyectos!$A:$A,Proyectos!$C:$C)),"")</f>
        <v>PROYECTO
“ESTUDIO DE SUELOS EN CARACOLI – CIUDAD BOLÍVAR”</v>
      </c>
    </row>
    <row r="3558" spans="1:15">
      <c r="A3558" s="9">
        <v>1011090690</v>
      </c>
      <c r="B3558" s="63" t="s">
        <v>61</v>
      </c>
      <c r="C3558" s="62" t="s">
        <v>10816</v>
      </c>
      <c r="D3558" t="s">
        <v>63</v>
      </c>
      <c r="E3558" t="s">
        <v>10854</v>
      </c>
      <c r="F3558" s="61">
        <v>38719</v>
      </c>
      <c r="G3558" s="15" t="s">
        <v>73</v>
      </c>
      <c r="H3558" t="s">
        <v>10855</v>
      </c>
      <c r="I3558" s="62" t="s">
        <v>10856</v>
      </c>
      <c r="K3558" s="36" t="s">
        <v>495</v>
      </c>
      <c r="L3558" t="s">
        <v>69</v>
      </c>
      <c r="M3558" s="62" t="s">
        <v>70</v>
      </c>
      <c r="N3558" t="s">
        <v>10824</v>
      </c>
      <c r="O3558" t="str">
        <f>IFERROR(IF(Tbla_actores[[#This Row],[codigo_proyecto]]="","",_xlfn.XLOOKUP(Tbla_actores[[#This Row],[codigo_proyecto]],Proyectos!$A:$A,Proyectos!$C:$C)),"")</f>
        <v>PROYECTO
“CAPACITACIÓN EN CONSTRUCCIÓN-CAMACOL”</v>
      </c>
    </row>
    <row r="3559" spans="1:15">
      <c r="A3559" s="10">
        <v>1002393769</v>
      </c>
      <c r="B3559" s="64" t="s">
        <v>61</v>
      </c>
      <c r="C3559" s="62" t="s">
        <v>10816</v>
      </c>
      <c r="D3559" t="s">
        <v>63</v>
      </c>
      <c r="E3559" t="s">
        <v>10857</v>
      </c>
      <c r="F3559" s="61">
        <v>37421</v>
      </c>
      <c r="G3559" s="15" t="s">
        <v>73</v>
      </c>
      <c r="H3559" t="s">
        <v>10858</v>
      </c>
      <c r="I3559" s="62" t="s">
        <v>10859</v>
      </c>
      <c r="K3559" s="36" t="s">
        <v>495</v>
      </c>
      <c r="L3559" t="s">
        <v>69</v>
      </c>
      <c r="M3559" s="62" t="s">
        <v>70</v>
      </c>
      <c r="N3559" t="s">
        <v>10850</v>
      </c>
      <c r="O3559" t="str">
        <f>IFERROR(IF(Tbla_actores[[#This Row],[codigo_proyecto]]="","",_xlfn.XLOOKUP(Tbla_actores[[#This Row],[codigo_proyecto]],Proyectos!$A:$A,Proyectos!$C:$C)),"")</f>
        <v>PROYECTO VENECIA</v>
      </c>
    </row>
    <row r="3560" spans="1:15">
      <c r="A3560" s="9">
        <v>1051065718</v>
      </c>
      <c r="B3560" s="63" t="s">
        <v>10825</v>
      </c>
      <c r="C3560" s="62" t="s">
        <v>10816</v>
      </c>
      <c r="D3560" t="s">
        <v>63</v>
      </c>
      <c r="E3560" t="s">
        <v>10860</v>
      </c>
      <c r="F3560" s="61">
        <v>38342</v>
      </c>
      <c r="G3560" s="15" t="s">
        <v>73</v>
      </c>
      <c r="H3560" t="s">
        <v>10861</v>
      </c>
      <c r="I3560" s="62" t="s">
        <v>10862</v>
      </c>
      <c r="K3560" s="36" t="s">
        <v>495</v>
      </c>
      <c r="L3560" t="s">
        <v>69</v>
      </c>
      <c r="M3560" s="62" t="s">
        <v>70</v>
      </c>
      <c r="N3560" t="s">
        <v>10850</v>
      </c>
      <c r="O3560" t="str">
        <f>IFERROR(IF(Tbla_actores[[#This Row],[codigo_proyecto]]="","",_xlfn.XLOOKUP(Tbla_actores[[#This Row],[codigo_proyecto]],Proyectos!$A:$A,Proyectos!$C:$C)),"")</f>
        <v>PROYECTO VENECIA</v>
      </c>
    </row>
    <row r="3561" spans="1:15">
      <c r="A3561" s="10">
        <v>1080690230</v>
      </c>
      <c r="B3561" s="64" t="s">
        <v>61</v>
      </c>
      <c r="C3561" s="62" t="s">
        <v>10816</v>
      </c>
      <c r="D3561" t="s">
        <v>63</v>
      </c>
      <c r="E3561" t="s">
        <v>10863</v>
      </c>
      <c r="F3561" s="61">
        <v>38026</v>
      </c>
      <c r="G3561" s="15" t="s">
        <v>73</v>
      </c>
      <c r="H3561" t="s">
        <v>10864</v>
      </c>
      <c r="I3561" s="62" t="s">
        <v>10865</v>
      </c>
      <c r="K3561" s="36" t="s">
        <v>495</v>
      </c>
      <c r="L3561" t="s">
        <v>69</v>
      </c>
      <c r="M3561" s="62" t="s">
        <v>70</v>
      </c>
      <c r="N3561" t="s">
        <v>10824</v>
      </c>
      <c r="O3561" t="str">
        <f>IFERROR(IF(Tbla_actores[[#This Row],[codigo_proyecto]]="","",_xlfn.XLOOKUP(Tbla_actores[[#This Row],[codigo_proyecto]],Proyectos!$A:$A,Proyectos!$C:$C)),"")</f>
        <v>PROYECTO
“CAPACITACIÓN EN CONSTRUCCIÓN-CAMACOL”</v>
      </c>
    </row>
    <row r="3562" spans="1:15">
      <c r="A3562" s="9">
        <v>1000952323</v>
      </c>
      <c r="B3562" s="63" t="s">
        <v>61</v>
      </c>
      <c r="C3562" s="62" t="s">
        <v>10816</v>
      </c>
      <c r="D3562" t="s">
        <v>63</v>
      </c>
      <c r="E3562" t="s">
        <v>10866</v>
      </c>
      <c r="F3562" s="61">
        <v>37269</v>
      </c>
      <c r="G3562" s="15" t="s">
        <v>73</v>
      </c>
      <c r="H3562" t="s">
        <v>10867</v>
      </c>
      <c r="I3562" s="62" t="s">
        <v>10868</v>
      </c>
      <c r="K3562" s="36" t="s">
        <v>495</v>
      </c>
      <c r="L3562" t="s">
        <v>69</v>
      </c>
      <c r="M3562" s="62" t="s">
        <v>70</v>
      </c>
      <c r="N3562" t="s">
        <v>10839</v>
      </c>
      <c r="O3562" t="str">
        <f>IFERROR(IF(Tbla_actores[[#This Row],[codigo_proyecto]]="","",_xlfn.XLOOKUP(Tbla_actores[[#This Row],[codigo_proyecto]],Proyectos!$A:$A,Proyectos!$C:$C)),"")</f>
        <v xml:space="preserve">PROSOFI: Fundación Laudes Infantis </v>
      </c>
    </row>
    <row r="3563" spans="1:15">
      <c r="A3563" s="10">
        <v>1000289142</v>
      </c>
      <c r="B3563" s="64" t="s">
        <v>61</v>
      </c>
      <c r="C3563" s="62" t="s">
        <v>10816</v>
      </c>
      <c r="D3563" t="s">
        <v>63</v>
      </c>
      <c r="E3563" t="s">
        <v>10869</v>
      </c>
      <c r="F3563" s="61">
        <v>37112</v>
      </c>
      <c r="G3563" s="15" t="s">
        <v>65</v>
      </c>
      <c r="H3563" t="s">
        <v>10870</v>
      </c>
      <c r="I3563" s="62" t="s">
        <v>10871</v>
      </c>
      <c r="K3563" s="36" t="s">
        <v>495</v>
      </c>
      <c r="L3563" t="s">
        <v>69</v>
      </c>
      <c r="M3563" s="62" t="s">
        <v>70</v>
      </c>
      <c r="N3563" t="s">
        <v>10824</v>
      </c>
      <c r="O3563" t="str">
        <f>IFERROR(IF(Tbla_actores[[#This Row],[codigo_proyecto]]="","",_xlfn.XLOOKUP(Tbla_actores[[#This Row],[codigo_proyecto]],Proyectos!$A:$A,Proyectos!$C:$C)),"")</f>
        <v>PROYECTO
“CAPACITACIÓN EN CONSTRUCCIÓN-CAMACOL”</v>
      </c>
    </row>
    <row r="3564" spans="1:15">
      <c r="A3564" s="9">
        <v>1010168066</v>
      </c>
      <c r="B3564" s="63" t="s">
        <v>61</v>
      </c>
      <c r="C3564" s="62" t="s">
        <v>10816</v>
      </c>
      <c r="D3564" t="s">
        <v>63</v>
      </c>
      <c r="E3564" t="s">
        <v>10872</v>
      </c>
      <c r="F3564" s="61">
        <v>38240</v>
      </c>
      <c r="G3564" s="15" t="s">
        <v>65</v>
      </c>
      <c r="H3564" t="s">
        <v>10873</v>
      </c>
      <c r="I3564" s="62" t="s">
        <v>10874</v>
      </c>
      <c r="K3564" s="36" t="s">
        <v>495</v>
      </c>
      <c r="L3564" t="s">
        <v>69</v>
      </c>
      <c r="M3564" s="62" t="s">
        <v>70</v>
      </c>
      <c r="N3564" t="s">
        <v>10875</v>
      </c>
      <c r="O3564" t="str">
        <f>IFERROR(IF(Tbla_actores[[#This Row],[codigo_proyecto]]="","",_xlfn.XLOOKUP(Tbla_actores[[#This Row],[codigo_proyecto]],Proyectos!$A:$A,Proyectos!$C:$C)),"")</f>
        <v>PROYECTO "TOMA DE NIVELES TOPOGRAFICOS"</v>
      </c>
    </row>
    <row r="3565" spans="1:15">
      <c r="A3565" s="10">
        <v>1004309214</v>
      </c>
      <c r="B3565" s="64" t="s">
        <v>61</v>
      </c>
      <c r="C3565" s="62" t="s">
        <v>10816</v>
      </c>
      <c r="D3565" t="s">
        <v>63</v>
      </c>
      <c r="E3565" t="s">
        <v>10876</v>
      </c>
      <c r="F3565" s="61">
        <v>37921</v>
      </c>
      <c r="G3565" s="15" t="s">
        <v>73</v>
      </c>
      <c r="H3565" t="s">
        <v>10877</v>
      </c>
      <c r="I3565" s="62" t="s">
        <v>10878</v>
      </c>
      <c r="K3565" s="36" t="s">
        <v>495</v>
      </c>
      <c r="L3565" t="s">
        <v>69</v>
      </c>
      <c r="M3565" s="62" t="s">
        <v>70</v>
      </c>
      <c r="N3565" t="s">
        <v>10850</v>
      </c>
      <c r="O3565" t="str">
        <f>IFERROR(IF(Tbla_actores[[#This Row],[codigo_proyecto]]="","",_xlfn.XLOOKUP(Tbla_actores[[#This Row],[codigo_proyecto]],Proyectos!$A:$A,Proyectos!$C:$C)),"")</f>
        <v>PROYECTO VENECIA</v>
      </c>
    </row>
    <row r="3566" spans="1:15">
      <c r="A3566" s="9">
        <v>1034396793</v>
      </c>
      <c r="B3566" s="63" t="s">
        <v>61</v>
      </c>
      <c r="C3566" s="62" t="s">
        <v>10816</v>
      </c>
      <c r="D3566" t="s">
        <v>63</v>
      </c>
      <c r="E3566" t="s">
        <v>10879</v>
      </c>
      <c r="F3566" s="61">
        <v>38107</v>
      </c>
      <c r="G3566" s="15" t="s">
        <v>65</v>
      </c>
      <c r="H3566" t="s">
        <v>10880</v>
      </c>
      <c r="I3566" s="62" t="s">
        <v>10881</v>
      </c>
      <c r="K3566" s="36" t="s">
        <v>495</v>
      </c>
      <c r="L3566" t="s">
        <v>69</v>
      </c>
      <c r="M3566" s="62" t="s">
        <v>70</v>
      </c>
      <c r="N3566" t="s">
        <v>10824</v>
      </c>
      <c r="O3566" t="str">
        <f>IFERROR(IF(Tbla_actores[[#This Row],[codigo_proyecto]]="","",_xlfn.XLOOKUP(Tbla_actores[[#This Row],[codigo_proyecto]],Proyectos!$A:$A,Proyectos!$C:$C)),"")</f>
        <v>PROYECTO
“CAPACITACIÓN EN CONSTRUCCIÓN-CAMACOL”</v>
      </c>
    </row>
    <row r="3567" spans="1:15">
      <c r="A3567" s="10">
        <v>1006557174</v>
      </c>
      <c r="B3567" s="64" t="s">
        <v>61</v>
      </c>
      <c r="C3567" s="62" t="s">
        <v>10816</v>
      </c>
      <c r="D3567" t="s">
        <v>63</v>
      </c>
      <c r="E3567" t="s">
        <v>10882</v>
      </c>
      <c r="F3567" s="61">
        <v>37767</v>
      </c>
      <c r="G3567" s="15" t="s">
        <v>65</v>
      </c>
      <c r="H3567" t="s">
        <v>10883</v>
      </c>
      <c r="I3567" s="62" t="s">
        <v>10884</v>
      </c>
      <c r="K3567" s="36" t="s">
        <v>495</v>
      </c>
      <c r="L3567" t="s">
        <v>69</v>
      </c>
      <c r="M3567" s="62" t="s">
        <v>70</v>
      </c>
      <c r="N3567" t="s">
        <v>10824</v>
      </c>
      <c r="O3567" t="str">
        <f>IFERROR(IF(Tbla_actores[[#This Row],[codigo_proyecto]]="","",_xlfn.XLOOKUP(Tbla_actores[[#This Row],[codigo_proyecto]],Proyectos!$A:$A,Proyectos!$C:$C)),"")</f>
        <v>PROYECTO
“CAPACITACIÓN EN CONSTRUCCIÓN-CAMACOL”</v>
      </c>
    </row>
    <row r="3568" spans="1:15">
      <c r="A3568" s="9">
        <v>1124849753</v>
      </c>
      <c r="B3568" s="63" t="s">
        <v>61</v>
      </c>
      <c r="C3568" s="62" t="s">
        <v>10816</v>
      </c>
      <c r="D3568" t="s">
        <v>63</v>
      </c>
      <c r="E3568" t="s">
        <v>10885</v>
      </c>
      <c r="F3568" s="61">
        <v>38311</v>
      </c>
      <c r="G3568" s="15" t="s">
        <v>73</v>
      </c>
      <c r="H3568" t="s">
        <v>10886</v>
      </c>
      <c r="I3568" s="62" t="s">
        <v>10887</v>
      </c>
      <c r="K3568" s="36" t="s">
        <v>495</v>
      </c>
      <c r="L3568" t="s">
        <v>69</v>
      </c>
      <c r="M3568" s="62" t="s">
        <v>70</v>
      </c>
      <c r="N3568" t="s">
        <v>10824</v>
      </c>
      <c r="O3568" t="str">
        <f>IFERROR(IF(Tbla_actores[[#This Row],[codigo_proyecto]]="","",_xlfn.XLOOKUP(Tbla_actores[[#This Row],[codigo_proyecto]],Proyectos!$A:$A,Proyectos!$C:$C)),"")</f>
        <v>PROYECTO
“CAPACITACIÓN EN CONSTRUCCIÓN-CAMACOL”</v>
      </c>
    </row>
    <row r="3569" spans="1:15">
      <c r="A3569" s="10">
        <v>1004083005</v>
      </c>
      <c r="B3569" s="64" t="s">
        <v>61</v>
      </c>
      <c r="C3569" s="62" t="s">
        <v>10816</v>
      </c>
      <c r="D3569" t="s">
        <v>63</v>
      </c>
      <c r="E3569" t="s">
        <v>10888</v>
      </c>
      <c r="F3569" s="61">
        <v>37741</v>
      </c>
      <c r="G3569" s="15" t="s">
        <v>73</v>
      </c>
      <c r="H3569" t="s">
        <v>10889</v>
      </c>
      <c r="I3569" s="62" t="s">
        <v>10890</v>
      </c>
      <c r="K3569" s="36" t="s">
        <v>495</v>
      </c>
      <c r="L3569" t="s">
        <v>69</v>
      </c>
      <c r="M3569" s="62" t="s">
        <v>70</v>
      </c>
      <c r="N3569" t="s">
        <v>10824</v>
      </c>
      <c r="O3569" t="str">
        <f>IFERROR(IF(Tbla_actores[[#This Row],[codigo_proyecto]]="","",_xlfn.XLOOKUP(Tbla_actores[[#This Row],[codigo_proyecto]],Proyectos!$A:$A,Proyectos!$C:$C)),"")</f>
        <v>PROYECTO
“CAPACITACIÓN EN CONSTRUCCIÓN-CAMACOL”</v>
      </c>
    </row>
    <row r="3570" spans="1:15">
      <c r="A3570" s="9">
        <v>1050090025</v>
      </c>
      <c r="B3570" s="63" t="s">
        <v>10825</v>
      </c>
      <c r="C3570" s="62" t="s">
        <v>10816</v>
      </c>
      <c r="D3570" t="s">
        <v>63</v>
      </c>
      <c r="E3570" t="s">
        <v>10891</v>
      </c>
      <c r="F3570" s="61">
        <v>38207</v>
      </c>
      <c r="G3570" s="15" t="s">
        <v>65</v>
      </c>
      <c r="H3570" t="s">
        <v>10892</v>
      </c>
      <c r="I3570" s="62" t="s">
        <v>10893</v>
      </c>
      <c r="K3570" s="36" t="s">
        <v>495</v>
      </c>
      <c r="L3570" t="s">
        <v>69</v>
      </c>
      <c r="M3570" s="62" t="s">
        <v>70</v>
      </c>
      <c r="N3570" t="s">
        <v>10824</v>
      </c>
      <c r="O3570" t="str">
        <f>IFERROR(IF(Tbla_actores[[#This Row],[codigo_proyecto]]="","",_xlfn.XLOOKUP(Tbla_actores[[#This Row],[codigo_proyecto]],Proyectos!$A:$A,Proyectos!$C:$C)),"")</f>
        <v>PROYECTO
“CAPACITACIÓN EN CONSTRUCCIÓN-CAMACOL”</v>
      </c>
    </row>
    <row r="3571" spans="1:15">
      <c r="A3571" s="10">
        <v>1001192167</v>
      </c>
      <c r="B3571" s="64" t="s">
        <v>61</v>
      </c>
      <c r="C3571" s="62" t="s">
        <v>10816</v>
      </c>
      <c r="D3571" t="s">
        <v>63</v>
      </c>
      <c r="E3571" t="s">
        <v>10894</v>
      </c>
      <c r="F3571" s="61">
        <v>37441</v>
      </c>
      <c r="G3571" s="15" t="s">
        <v>73</v>
      </c>
      <c r="H3571" t="s">
        <v>10895</v>
      </c>
      <c r="I3571" s="62" t="s">
        <v>10896</v>
      </c>
      <c r="K3571" s="36" t="s">
        <v>495</v>
      </c>
      <c r="L3571" t="s">
        <v>69</v>
      </c>
      <c r="M3571" s="62" t="s">
        <v>70</v>
      </c>
      <c r="N3571" t="s">
        <v>10875</v>
      </c>
      <c r="O3571" t="str">
        <f>IFERROR(IF(Tbla_actores[[#This Row],[codigo_proyecto]]="","",_xlfn.XLOOKUP(Tbla_actores[[#This Row],[codigo_proyecto]],Proyectos!$A:$A,Proyectos!$C:$C)),"")</f>
        <v>PROYECTO "TOMA DE NIVELES TOPOGRAFICOS"</v>
      </c>
    </row>
    <row r="3572" spans="1:15">
      <c r="A3572" s="9">
        <v>1083870427</v>
      </c>
      <c r="B3572" s="63" t="s">
        <v>61</v>
      </c>
      <c r="C3572" s="62" t="s">
        <v>10816</v>
      </c>
      <c r="D3572" t="s">
        <v>63</v>
      </c>
      <c r="E3572" t="s">
        <v>10897</v>
      </c>
      <c r="F3572" s="61">
        <v>38434</v>
      </c>
      <c r="G3572" s="15" t="s">
        <v>65</v>
      </c>
      <c r="H3572" t="s">
        <v>10898</v>
      </c>
      <c r="I3572" s="62" t="s">
        <v>10899</v>
      </c>
      <c r="K3572" s="36" t="s">
        <v>495</v>
      </c>
      <c r="L3572" t="s">
        <v>69</v>
      </c>
      <c r="M3572" s="62" t="s">
        <v>70</v>
      </c>
      <c r="N3572" t="s">
        <v>10850</v>
      </c>
      <c r="O3572" t="str">
        <f>IFERROR(IF(Tbla_actores[[#This Row],[codigo_proyecto]]="","",_xlfn.XLOOKUP(Tbla_actores[[#This Row],[codigo_proyecto]],Proyectos!$A:$A,Proyectos!$C:$C)),"")</f>
        <v>PROYECTO VENECIA</v>
      </c>
    </row>
    <row r="3573" spans="1:15">
      <c r="A3573" s="10">
        <v>1000184649</v>
      </c>
      <c r="B3573" s="64" t="s">
        <v>61</v>
      </c>
      <c r="C3573" s="62" t="s">
        <v>10816</v>
      </c>
      <c r="D3573" t="s">
        <v>63</v>
      </c>
      <c r="E3573" t="s">
        <v>10900</v>
      </c>
      <c r="F3573" s="61">
        <v>37858</v>
      </c>
      <c r="G3573" s="15" t="s">
        <v>73</v>
      </c>
      <c r="H3573" t="s">
        <v>10901</v>
      </c>
      <c r="I3573" s="62" t="s">
        <v>10902</v>
      </c>
      <c r="K3573" s="36" t="s">
        <v>495</v>
      </c>
      <c r="L3573" t="s">
        <v>69</v>
      </c>
      <c r="M3573" s="62" t="s">
        <v>70</v>
      </c>
      <c r="N3573" t="s">
        <v>10850</v>
      </c>
      <c r="O3573" t="str">
        <f>IFERROR(IF(Tbla_actores[[#This Row],[codigo_proyecto]]="","",_xlfn.XLOOKUP(Tbla_actores[[#This Row],[codigo_proyecto]],Proyectos!$A:$A,Proyectos!$C:$C)),"")</f>
        <v>PROYECTO VENECIA</v>
      </c>
    </row>
    <row r="3574" spans="1:15">
      <c r="A3574" s="9">
        <v>1014656769</v>
      </c>
      <c r="B3574" s="63" t="s">
        <v>61</v>
      </c>
      <c r="C3574" s="62" t="s">
        <v>10816</v>
      </c>
      <c r="D3574" t="s">
        <v>63</v>
      </c>
      <c r="E3574" t="s">
        <v>10903</v>
      </c>
      <c r="F3574" s="61">
        <v>38006</v>
      </c>
      <c r="G3574" s="15" t="s">
        <v>73</v>
      </c>
      <c r="H3574" t="s">
        <v>10904</v>
      </c>
      <c r="I3574" s="62" t="s">
        <v>10905</v>
      </c>
      <c r="K3574" s="36" t="s">
        <v>495</v>
      </c>
      <c r="L3574" t="s">
        <v>69</v>
      </c>
      <c r="M3574" s="62" t="s">
        <v>70</v>
      </c>
      <c r="N3574" t="s">
        <v>10824</v>
      </c>
      <c r="O3574" t="str">
        <f>IFERROR(IF(Tbla_actores[[#This Row],[codigo_proyecto]]="","",_xlfn.XLOOKUP(Tbla_actores[[#This Row],[codigo_proyecto]],Proyectos!$A:$A,Proyectos!$C:$C)),"")</f>
        <v>PROYECTO
“CAPACITACIÓN EN CONSTRUCCIÓN-CAMACOL”</v>
      </c>
    </row>
    <row r="3575" spans="1:15">
      <c r="A3575" s="10">
        <v>1014659942</v>
      </c>
      <c r="B3575" s="64" t="s">
        <v>61</v>
      </c>
      <c r="C3575" s="62" t="s">
        <v>10816</v>
      </c>
      <c r="D3575" t="s">
        <v>63</v>
      </c>
      <c r="E3575" t="s">
        <v>10906</v>
      </c>
      <c r="F3575" s="61">
        <v>38531</v>
      </c>
      <c r="G3575" s="15" t="s">
        <v>65</v>
      </c>
      <c r="H3575" t="s">
        <v>10907</v>
      </c>
      <c r="I3575" s="62" t="s">
        <v>10908</v>
      </c>
      <c r="K3575" s="36" t="s">
        <v>495</v>
      </c>
      <c r="L3575" t="s">
        <v>69</v>
      </c>
      <c r="M3575" s="62" t="s">
        <v>70</v>
      </c>
      <c r="N3575" t="s">
        <v>10832</v>
      </c>
      <c r="O3575" t="str">
        <f>IFERROR(IF(Tbla_actores[[#This Row],[codigo_proyecto]]="","",_xlfn.XLOOKUP(Tbla_actores[[#This Row],[codigo_proyecto]],Proyectos!$A:$A,Proyectos!$C:$C)),"")</f>
        <v>"Capacitaciones en autoconstrucción de viviendas de 1 y 2 pisos, capacitaciones en propuestas domesticas de construcción sostenible"</v>
      </c>
    </row>
    <row r="3576" spans="1:15">
      <c r="A3576" s="9">
        <v>1021393985</v>
      </c>
      <c r="B3576" s="63" t="s">
        <v>61</v>
      </c>
      <c r="C3576" s="62" t="s">
        <v>10816</v>
      </c>
      <c r="D3576" t="s">
        <v>63</v>
      </c>
      <c r="E3576" t="s">
        <v>10909</v>
      </c>
      <c r="F3576" s="61">
        <v>38302</v>
      </c>
      <c r="G3576" s="15" t="s">
        <v>73</v>
      </c>
      <c r="H3576" t="s">
        <v>10910</v>
      </c>
      <c r="I3576" s="62" t="s">
        <v>10911</v>
      </c>
      <c r="K3576" s="36" t="s">
        <v>495</v>
      </c>
      <c r="L3576" t="s">
        <v>69</v>
      </c>
      <c r="M3576" s="62" t="s">
        <v>70</v>
      </c>
      <c r="N3576" t="s">
        <v>10875</v>
      </c>
      <c r="O3576" t="str">
        <f>IFERROR(IF(Tbla_actores[[#This Row],[codigo_proyecto]]="","",_xlfn.XLOOKUP(Tbla_actores[[#This Row],[codigo_proyecto]],Proyectos!$A:$A,Proyectos!$C:$C)),"")</f>
        <v>PROYECTO "TOMA DE NIVELES TOPOGRAFICOS"</v>
      </c>
    </row>
    <row r="3577" spans="1:15">
      <c r="A3577" s="10">
        <v>1050603743</v>
      </c>
      <c r="B3577" s="64" t="s">
        <v>61</v>
      </c>
      <c r="C3577" s="62" t="s">
        <v>10816</v>
      </c>
      <c r="D3577" t="s">
        <v>63</v>
      </c>
      <c r="E3577" t="s">
        <v>10912</v>
      </c>
      <c r="F3577" s="61">
        <v>38605</v>
      </c>
      <c r="G3577" s="15" t="s">
        <v>73</v>
      </c>
      <c r="H3577" t="s">
        <v>10913</v>
      </c>
      <c r="I3577" s="62" t="s">
        <v>10914</v>
      </c>
      <c r="K3577" s="36" t="s">
        <v>495</v>
      </c>
      <c r="L3577" t="s">
        <v>69</v>
      </c>
      <c r="M3577" s="62" t="s">
        <v>70</v>
      </c>
      <c r="N3577" t="s">
        <v>10820</v>
      </c>
      <c r="O3577" t="str">
        <f>IFERROR(IF(Tbla_actores[[#This Row],[codigo_proyecto]]="","",_xlfn.XLOOKUP(Tbla_actores[[#This Row],[codigo_proyecto]],Proyectos!$A:$A,Proyectos!$C:$C)),"")</f>
        <v>PROYECTO
“ESTUDIO DE SUELOS EN CARACOLI – CIUDAD BOLÍVAR”</v>
      </c>
    </row>
    <row r="3578" spans="1:15">
      <c r="A3578" s="9">
        <v>1032876785</v>
      </c>
      <c r="B3578" s="63" t="s">
        <v>61</v>
      </c>
      <c r="C3578" s="62" t="s">
        <v>10816</v>
      </c>
      <c r="D3578" t="s">
        <v>63</v>
      </c>
      <c r="E3578" t="s">
        <v>10915</v>
      </c>
      <c r="F3578" s="61">
        <v>38489</v>
      </c>
      <c r="G3578" s="15" t="s">
        <v>73</v>
      </c>
      <c r="H3578" t="s">
        <v>10916</v>
      </c>
      <c r="I3578" s="62" t="s">
        <v>10917</v>
      </c>
      <c r="K3578" s="36" t="s">
        <v>495</v>
      </c>
      <c r="L3578" t="s">
        <v>69</v>
      </c>
      <c r="M3578" s="62" t="s">
        <v>70</v>
      </c>
      <c r="N3578" t="s">
        <v>10875</v>
      </c>
      <c r="O3578" t="str">
        <f>IFERROR(IF(Tbla_actores[[#This Row],[codigo_proyecto]]="","",_xlfn.XLOOKUP(Tbla_actores[[#This Row],[codigo_proyecto]],Proyectos!$A:$A,Proyectos!$C:$C)),"")</f>
        <v>PROYECTO "TOMA DE NIVELES TOPOGRAFICOS"</v>
      </c>
    </row>
    <row r="3579" spans="1:15">
      <c r="A3579" s="10">
        <v>1021633186</v>
      </c>
      <c r="B3579" s="64" t="s">
        <v>61</v>
      </c>
      <c r="C3579" s="62" t="s">
        <v>10816</v>
      </c>
      <c r="D3579" t="s">
        <v>63</v>
      </c>
      <c r="E3579" t="s">
        <v>10918</v>
      </c>
      <c r="F3579" s="61">
        <v>38287</v>
      </c>
      <c r="G3579" s="15" t="s">
        <v>65</v>
      </c>
      <c r="H3579" t="s">
        <v>10919</v>
      </c>
      <c r="I3579" s="62" t="s">
        <v>10920</v>
      </c>
      <c r="K3579" s="36" t="s">
        <v>7284</v>
      </c>
      <c r="L3579" t="s">
        <v>69</v>
      </c>
      <c r="M3579" s="62" t="s">
        <v>70</v>
      </c>
      <c r="N3579" t="s">
        <v>10921</v>
      </c>
      <c r="O3579" t="str">
        <f>IFERROR(IF(Tbla_actores[[#This Row],[codigo_proyecto]]="","",_xlfn.XLOOKUP(Tbla_actores[[#This Row],[codigo_proyecto]],Proyectos!$A:$A,Proyectos!$C:$C)),"")</f>
        <v xml:space="preserve">Mejoramiento de caminador  versión 3  y diseño de nuevo caminador  y soporte para niños </v>
      </c>
    </row>
    <row r="3580" spans="1:15">
      <c r="A3580" s="9">
        <v>1033096031</v>
      </c>
      <c r="B3580" s="63" t="s">
        <v>61</v>
      </c>
      <c r="C3580" s="62" t="s">
        <v>10816</v>
      </c>
      <c r="D3580" t="s">
        <v>63</v>
      </c>
      <c r="E3580" t="s">
        <v>10922</v>
      </c>
      <c r="F3580" s="61">
        <v>37944</v>
      </c>
      <c r="G3580" s="15" t="s">
        <v>73</v>
      </c>
      <c r="H3580" t="s">
        <v>10923</v>
      </c>
      <c r="I3580" s="62" t="s">
        <v>10924</v>
      </c>
      <c r="K3580" s="36" t="s">
        <v>6427</v>
      </c>
      <c r="L3580" t="s">
        <v>69</v>
      </c>
      <c r="M3580" s="62" t="s">
        <v>70</v>
      </c>
      <c r="N3580" t="s">
        <v>10925</v>
      </c>
      <c r="O3580" t="str">
        <f>IFERROR(IF(Tbla_actores[[#This Row],[codigo_proyecto]]="","",_xlfn.XLOOKUP(Tbla_actores[[#This Row],[codigo_proyecto]],Proyectos!$A:$A,Proyectos!$C:$C)),"")</f>
        <v xml:space="preserve"> Diseño   de equipos y elaboración de proptotipos con sus hojas técnicas </v>
      </c>
    </row>
    <row r="3581" spans="1:15">
      <c r="A3581" s="10">
        <v>1050090523</v>
      </c>
      <c r="B3581" s="64" t="s">
        <v>61</v>
      </c>
      <c r="C3581" s="62" t="s">
        <v>10816</v>
      </c>
      <c r="D3581" t="s">
        <v>63</v>
      </c>
      <c r="E3581" t="s">
        <v>10926</v>
      </c>
      <c r="F3581" s="61">
        <v>38399</v>
      </c>
      <c r="G3581" s="15" t="s">
        <v>73</v>
      </c>
      <c r="H3581" t="s">
        <v>10927</v>
      </c>
      <c r="I3581" s="62" t="s">
        <v>10928</v>
      </c>
      <c r="K3581" s="36" t="s">
        <v>6427</v>
      </c>
      <c r="L3581" t="s">
        <v>69</v>
      </c>
      <c r="M3581" s="62" t="s">
        <v>70</v>
      </c>
      <c r="N3581" t="s">
        <v>10925</v>
      </c>
      <c r="O3581" t="str">
        <f>IFERROR(IF(Tbla_actores[[#This Row],[codigo_proyecto]]="","",_xlfn.XLOOKUP(Tbla_actores[[#This Row],[codigo_proyecto]],Proyectos!$A:$A,Proyectos!$C:$C)),"")</f>
        <v xml:space="preserve"> Diseño   de equipos y elaboración de proptotipos con sus hojas técnicas </v>
      </c>
    </row>
    <row r="3582" spans="1:15">
      <c r="A3582" s="9">
        <v>1016947281</v>
      </c>
      <c r="B3582" s="63" t="s">
        <v>61</v>
      </c>
      <c r="C3582" s="62" t="s">
        <v>10816</v>
      </c>
      <c r="D3582" t="s">
        <v>63</v>
      </c>
      <c r="E3582" t="s">
        <v>10929</v>
      </c>
      <c r="F3582" s="61">
        <v>38615</v>
      </c>
      <c r="G3582" s="15" t="s">
        <v>65</v>
      </c>
      <c r="H3582" t="s">
        <v>10930</v>
      </c>
      <c r="I3582" s="62" t="s">
        <v>10931</v>
      </c>
      <c r="K3582" s="36" t="s">
        <v>6427</v>
      </c>
      <c r="L3582" t="s">
        <v>69</v>
      </c>
      <c r="M3582" s="62" t="s">
        <v>70</v>
      </c>
      <c r="N3582" t="s">
        <v>10925</v>
      </c>
      <c r="O3582" t="str">
        <f>IFERROR(IF(Tbla_actores[[#This Row],[codigo_proyecto]]="","",_xlfn.XLOOKUP(Tbla_actores[[#This Row],[codigo_proyecto]],Proyectos!$A:$A,Proyectos!$C:$C)),"")</f>
        <v xml:space="preserve"> Diseño   de equipos y elaboración de proptotipos con sus hojas técnicas </v>
      </c>
    </row>
    <row r="3583" spans="1:15">
      <c r="A3583" s="10">
        <v>1022930385</v>
      </c>
      <c r="B3583" s="64" t="s">
        <v>61</v>
      </c>
      <c r="C3583" s="62" t="s">
        <v>10816</v>
      </c>
      <c r="D3583" t="s">
        <v>63</v>
      </c>
      <c r="E3583" t="s">
        <v>10932</v>
      </c>
      <c r="F3583" s="61">
        <v>38356</v>
      </c>
      <c r="G3583" s="15" t="s">
        <v>65</v>
      </c>
      <c r="H3583" t="s">
        <v>10933</v>
      </c>
      <c r="I3583" s="62" t="s">
        <v>10934</v>
      </c>
      <c r="K3583" s="36" t="s">
        <v>6427</v>
      </c>
      <c r="L3583" t="s">
        <v>69</v>
      </c>
      <c r="M3583" s="62" t="s">
        <v>70</v>
      </c>
      <c r="N3583" t="s">
        <v>10921</v>
      </c>
      <c r="O3583" t="str">
        <f>IFERROR(IF(Tbla_actores[[#This Row],[codigo_proyecto]]="","",_xlfn.XLOOKUP(Tbla_actores[[#This Row],[codigo_proyecto]],Proyectos!$A:$A,Proyectos!$C:$C)),"")</f>
        <v xml:space="preserve">Mejoramiento de caminador  versión 3  y diseño de nuevo caminador  y soporte para niños </v>
      </c>
    </row>
    <row r="3584" spans="1:15">
      <c r="A3584" s="9">
        <v>1032938077</v>
      </c>
      <c r="B3584" s="63" t="s">
        <v>61</v>
      </c>
      <c r="C3584" s="62" t="s">
        <v>10816</v>
      </c>
      <c r="D3584" t="s">
        <v>63</v>
      </c>
      <c r="E3584" t="s">
        <v>10935</v>
      </c>
      <c r="F3584" s="61">
        <v>38395</v>
      </c>
      <c r="G3584" s="15" t="s">
        <v>73</v>
      </c>
      <c r="H3584" t="s">
        <v>10936</v>
      </c>
      <c r="I3584" s="62" t="s">
        <v>10937</v>
      </c>
      <c r="K3584" s="36" t="s">
        <v>7284</v>
      </c>
      <c r="L3584" t="s">
        <v>69</v>
      </c>
      <c r="M3584" s="62" t="s">
        <v>70</v>
      </c>
      <c r="N3584" t="s">
        <v>10921</v>
      </c>
      <c r="O3584" t="str">
        <f>IFERROR(IF(Tbla_actores[[#This Row],[codigo_proyecto]]="","",_xlfn.XLOOKUP(Tbla_actores[[#This Row],[codigo_proyecto]],Proyectos!$A:$A,Proyectos!$C:$C)),"")</f>
        <v xml:space="preserve">Mejoramiento de caminador  versión 3  y diseño de nuevo caminador  y soporte para niños </v>
      </c>
    </row>
    <row r="3585" spans="1:15">
      <c r="A3585" s="10">
        <v>1014661308</v>
      </c>
      <c r="B3585" s="64" t="s">
        <v>61</v>
      </c>
      <c r="C3585" s="62" t="s">
        <v>10816</v>
      </c>
      <c r="D3585" t="s">
        <v>63</v>
      </c>
      <c r="E3585" t="s">
        <v>10938</v>
      </c>
      <c r="F3585" s="61">
        <v>38668</v>
      </c>
      <c r="G3585" s="15" t="s">
        <v>65</v>
      </c>
      <c r="H3585" t="s">
        <v>10939</v>
      </c>
      <c r="I3585" s="62" t="s">
        <v>10940</v>
      </c>
      <c r="K3585" s="36" t="s">
        <v>6427</v>
      </c>
      <c r="L3585" t="s">
        <v>69</v>
      </c>
      <c r="M3585" s="62" t="s">
        <v>70</v>
      </c>
      <c r="N3585" t="s">
        <v>10921</v>
      </c>
      <c r="O3585" t="str">
        <f>IFERROR(IF(Tbla_actores[[#This Row],[codigo_proyecto]]="","",_xlfn.XLOOKUP(Tbla_actores[[#This Row],[codigo_proyecto]],Proyectos!$A:$A,Proyectos!$C:$C)),"")</f>
        <v xml:space="preserve">Mejoramiento de caminador  versión 3  y diseño de nuevo caminador  y soporte para niños </v>
      </c>
    </row>
    <row r="3586" spans="1:15">
      <c r="A3586" s="9">
        <v>1081512373</v>
      </c>
      <c r="B3586" s="63" t="s">
        <v>61</v>
      </c>
      <c r="C3586" s="62" t="s">
        <v>10816</v>
      </c>
      <c r="D3586" t="s">
        <v>63</v>
      </c>
      <c r="E3586" t="s">
        <v>10941</v>
      </c>
      <c r="F3586" s="61">
        <v>38111</v>
      </c>
      <c r="G3586" s="15" t="s">
        <v>65</v>
      </c>
      <c r="H3586" t="s">
        <v>10942</v>
      </c>
      <c r="I3586" s="62" t="s">
        <v>10943</v>
      </c>
      <c r="K3586" s="36" t="s">
        <v>6427</v>
      </c>
      <c r="L3586" t="s">
        <v>69</v>
      </c>
      <c r="M3586" s="62" t="s">
        <v>70</v>
      </c>
      <c r="N3586" t="s">
        <v>10925</v>
      </c>
      <c r="O3586" t="str">
        <f>IFERROR(IF(Tbla_actores[[#This Row],[codigo_proyecto]]="","",_xlfn.XLOOKUP(Tbla_actores[[#This Row],[codigo_proyecto]],Proyectos!$A:$A,Proyectos!$C:$C)),"")</f>
        <v xml:space="preserve"> Diseño   de equipos y elaboración de proptotipos con sus hojas técnicas </v>
      </c>
    </row>
    <row r="3587" spans="1:15">
      <c r="A3587" s="10">
        <v>1013579049</v>
      </c>
      <c r="B3587" s="64" t="s">
        <v>61</v>
      </c>
      <c r="C3587" s="62" t="s">
        <v>10816</v>
      </c>
      <c r="D3587" t="s">
        <v>63</v>
      </c>
      <c r="E3587" t="s">
        <v>10944</v>
      </c>
      <c r="F3587" s="61">
        <v>38122</v>
      </c>
      <c r="G3587" s="15" t="s">
        <v>65</v>
      </c>
      <c r="H3587" t="s">
        <v>10945</v>
      </c>
      <c r="I3587" s="62" t="s">
        <v>10946</v>
      </c>
      <c r="K3587" s="36" t="s">
        <v>6427</v>
      </c>
      <c r="L3587" t="s">
        <v>69</v>
      </c>
      <c r="M3587" s="62" t="s">
        <v>70</v>
      </c>
      <c r="N3587" t="s">
        <v>10925</v>
      </c>
      <c r="O3587" t="str">
        <f>IFERROR(IF(Tbla_actores[[#This Row],[codigo_proyecto]]="","",_xlfn.XLOOKUP(Tbla_actores[[#This Row],[codigo_proyecto]],Proyectos!$A:$A,Proyectos!$C:$C)),"")</f>
        <v xml:space="preserve"> Diseño   de equipos y elaboración de proptotipos con sus hojas técnicas </v>
      </c>
    </row>
    <row r="3588" spans="1:15">
      <c r="A3588" s="9">
        <v>1011085549</v>
      </c>
      <c r="B3588" s="63" t="s">
        <v>61</v>
      </c>
      <c r="C3588" s="62" t="s">
        <v>10816</v>
      </c>
      <c r="D3588" t="s">
        <v>63</v>
      </c>
      <c r="E3588" t="s">
        <v>10947</v>
      </c>
      <c r="F3588" s="61">
        <v>38530</v>
      </c>
      <c r="G3588" s="15" t="s">
        <v>73</v>
      </c>
      <c r="H3588" t="s">
        <v>10948</v>
      </c>
      <c r="I3588" s="62" t="s">
        <v>10949</v>
      </c>
      <c r="K3588" s="36" t="s">
        <v>6427</v>
      </c>
      <c r="L3588" t="s">
        <v>69</v>
      </c>
      <c r="M3588" s="62" t="s">
        <v>70</v>
      </c>
      <c r="N3588" t="s">
        <v>10925</v>
      </c>
      <c r="O3588" t="str">
        <f>IFERROR(IF(Tbla_actores[[#This Row],[codigo_proyecto]]="","",_xlfn.XLOOKUP(Tbla_actores[[#This Row],[codigo_proyecto]],Proyectos!$A:$A,Proyectos!$C:$C)),"")</f>
        <v xml:space="preserve"> Diseño   de equipos y elaboración de proptotipos con sus hojas técnicas </v>
      </c>
    </row>
    <row r="3589" spans="1:15">
      <c r="A3589" s="10">
        <v>1051472433</v>
      </c>
      <c r="B3589" s="64" t="s">
        <v>10825</v>
      </c>
      <c r="C3589" s="62" t="s">
        <v>10816</v>
      </c>
      <c r="D3589" t="s">
        <v>63</v>
      </c>
      <c r="E3589" t="s">
        <v>10950</v>
      </c>
      <c r="F3589" s="61">
        <v>38212</v>
      </c>
      <c r="G3589" s="15" t="s">
        <v>73</v>
      </c>
      <c r="H3589" t="s">
        <v>10951</v>
      </c>
      <c r="I3589" s="62" t="s">
        <v>10952</v>
      </c>
      <c r="K3589" s="36" t="s">
        <v>7284</v>
      </c>
      <c r="L3589" t="s">
        <v>69</v>
      </c>
      <c r="M3589" s="62" t="s">
        <v>70</v>
      </c>
      <c r="N3589" t="s">
        <v>10921</v>
      </c>
      <c r="O3589" t="str">
        <f>IFERROR(IF(Tbla_actores[[#This Row],[codigo_proyecto]]="","",_xlfn.XLOOKUP(Tbla_actores[[#This Row],[codigo_proyecto]],Proyectos!$A:$A,Proyectos!$C:$C)),"")</f>
        <v xml:space="preserve">Mejoramiento de caminador  versión 3  y diseño de nuevo caminador  y soporte para niños </v>
      </c>
    </row>
    <row r="3590" spans="1:15">
      <c r="A3590" s="9">
        <v>1032796985</v>
      </c>
      <c r="B3590" s="63" t="s">
        <v>61</v>
      </c>
      <c r="C3590" s="62" t="s">
        <v>10816</v>
      </c>
      <c r="D3590" t="s">
        <v>63</v>
      </c>
      <c r="E3590" t="s">
        <v>10953</v>
      </c>
      <c r="F3590" s="61">
        <v>38156</v>
      </c>
      <c r="G3590" s="15" t="s">
        <v>73</v>
      </c>
      <c r="H3590" t="s">
        <v>10954</v>
      </c>
      <c r="I3590" s="62" t="s">
        <v>10955</v>
      </c>
      <c r="K3590" s="36" t="s">
        <v>7284</v>
      </c>
      <c r="L3590" t="s">
        <v>69</v>
      </c>
      <c r="M3590" s="62" t="s">
        <v>70</v>
      </c>
      <c r="N3590" t="s">
        <v>10921</v>
      </c>
      <c r="O3590" t="str">
        <f>IFERROR(IF(Tbla_actores[[#This Row],[codigo_proyecto]]="","",_xlfn.XLOOKUP(Tbla_actores[[#This Row],[codigo_proyecto]],Proyectos!$A:$A,Proyectos!$C:$C)),"")</f>
        <v xml:space="preserve">Mejoramiento de caminador  versión 3  y diseño de nuevo caminador  y soporte para niños </v>
      </c>
    </row>
    <row r="3591" spans="1:15">
      <c r="A3591" s="10">
        <v>1027660639</v>
      </c>
      <c r="B3591" s="64" t="s">
        <v>61</v>
      </c>
      <c r="C3591" s="62" t="s">
        <v>10816</v>
      </c>
      <c r="D3591" t="s">
        <v>63</v>
      </c>
      <c r="E3591" t="s">
        <v>10956</v>
      </c>
      <c r="F3591" s="61">
        <v>38510</v>
      </c>
      <c r="G3591" s="15" t="s">
        <v>65</v>
      </c>
      <c r="H3591" t="s">
        <v>10957</v>
      </c>
      <c r="I3591" s="62" t="s">
        <v>10958</v>
      </c>
      <c r="K3591" s="36" t="s">
        <v>6427</v>
      </c>
      <c r="L3591" t="s">
        <v>69</v>
      </c>
      <c r="M3591" s="62" t="s">
        <v>70</v>
      </c>
      <c r="N3591" t="s">
        <v>10959</v>
      </c>
      <c r="O3591" t="str">
        <f>IFERROR(IF(Tbla_actores[[#This Row],[codigo_proyecto]]="","",_xlfn.XLOOKUP(Tbla_actores[[#This Row],[codigo_proyecto]],Proyectos!$A:$A,Proyectos!$C:$C)),"")</f>
        <v>Señalizaciòn y delimitaciòn de àreas de acuerdo con las normas de  seguridad en colombia</v>
      </c>
    </row>
    <row r="3592" spans="1:15">
      <c r="A3592" s="9">
        <v>1000217161</v>
      </c>
      <c r="B3592" s="63" t="s">
        <v>61</v>
      </c>
      <c r="C3592" s="62" t="s">
        <v>10816</v>
      </c>
      <c r="D3592" t="s">
        <v>63</v>
      </c>
      <c r="E3592" t="s">
        <v>10960</v>
      </c>
      <c r="F3592" s="61">
        <v>37784</v>
      </c>
      <c r="G3592" s="15" t="s">
        <v>65</v>
      </c>
      <c r="H3592" t="s">
        <v>10961</v>
      </c>
      <c r="I3592" s="62" t="s">
        <v>10962</v>
      </c>
      <c r="K3592" s="36" t="s">
        <v>6427</v>
      </c>
      <c r="L3592" t="s">
        <v>69</v>
      </c>
      <c r="M3592" s="62" t="s">
        <v>70</v>
      </c>
      <c r="N3592" t="s">
        <v>10963</v>
      </c>
      <c r="O3592" t="str">
        <f>IFERROR(IF(Tbla_actores[[#This Row],[codigo_proyecto]]="","",_xlfn.XLOOKUP(Tbla_actores[[#This Row],[codigo_proyecto]],Proyectos!$A:$A,Proyectos!$C:$C)),"")</f>
        <v>Diseño y construcción de metodologías de almacenamiento y empaque  ALIMENTOS PERECEDEROS, distribución y manejo de residuos</v>
      </c>
    </row>
    <row r="3593" spans="1:15">
      <c r="A3593" s="10">
        <v>1016944545</v>
      </c>
      <c r="B3593" s="64" t="s">
        <v>61</v>
      </c>
      <c r="C3593" s="62" t="s">
        <v>10816</v>
      </c>
      <c r="D3593" t="s">
        <v>63</v>
      </c>
      <c r="E3593" t="s">
        <v>10964</v>
      </c>
      <c r="F3593" s="61">
        <v>38191</v>
      </c>
      <c r="G3593" s="15" t="s">
        <v>65</v>
      </c>
      <c r="H3593" t="s">
        <v>10965</v>
      </c>
      <c r="I3593" s="62" t="s">
        <v>10966</v>
      </c>
      <c r="K3593" s="36" t="s">
        <v>6427</v>
      </c>
      <c r="L3593" t="s">
        <v>69</v>
      </c>
      <c r="M3593" s="62" t="s">
        <v>70</v>
      </c>
      <c r="N3593" t="s">
        <v>10959</v>
      </c>
      <c r="O3593" t="str">
        <f>IFERROR(IF(Tbla_actores[[#This Row],[codigo_proyecto]]="","",_xlfn.XLOOKUP(Tbla_actores[[#This Row],[codigo_proyecto]],Proyectos!$A:$A,Proyectos!$C:$C)),"")</f>
        <v>Señalizaciòn y delimitaciòn de àreas de acuerdo con las normas de  seguridad en colombia</v>
      </c>
    </row>
    <row r="3594" spans="1:15">
      <c r="A3594" s="9">
        <v>1018492251</v>
      </c>
      <c r="B3594" s="63" t="s">
        <v>61</v>
      </c>
      <c r="C3594" s="62" t="s">
        <v>10816</v>
      </c>
      <c r="D3594" t="s">
        <v>63</v>
      </c>
      <c r="E3594" t="s">
        <v>10967</v>
      </c>
      <c r="F3594" s="61">
        <v>35464</v>
      </c>
      <c r="G3594" s="15" t="s">
        <v>73</v>
      </c>
      <c r="H3594" t="s">
        <v>10968</v>
      </c>
      <c r="I3594" s="62" t="s">
        <v>10969</v>
      </c>
      <c r="K3594" s="36" t="s">
        <v>169</v>
      </c>
      <c r="L3594" t="s">
        <v>69</v>
      </c>
      <c r="M3594" s="62" t="s">
        <v>170</v>
      </c>
      <c r="N3594" t="s">
        <v>10970</v>
      </c>
      <c r="O3594" t="str">
        <f>IFERROR(IF(Tbla_actores[[#This Row],[codigo_proyecto]]="","",_xlfn.XLOOKUP(Tbla_actores[[#This Row],[codigo_proyecto]],Proyectos!$A:$A,Proyectos!$C:$C)),"")</f>
        <v>Diseñar  de herramientas y elementos  de ejercicios terapéutico  adultos mayores de la Fundación Pocalana y tambièn diseño de distribuciòn de la  cocina de acuerdo con los flujos de proceso</v>
      </c>
    </row>
    <row r="3595" spans="1:15">
      <c r="A3595" s="10">
        <v>1018408635</v>
      </c>
      <c r="B3595" s="64" t="s">
        <v>61</v>
      </c>
      <c r="C3595" s="62" t="s">
        <v>10816</v>
      </c>
      <c r="D3595" t="s">
        <v>63</v>
      </c>
      <c r="E3595" t="s">
        <v>10971</v>
      </c>
      <c r="F3595" s="61">
        <v>38398</v>
      </c>
      <c r="G3595" s="15" t="s">
        <v>65</v>
      </c>
      <c r="H3595" t="s">
        <v>10972</v>
      </c>
      <c r="I3595" s="62" t="s">
        <v>10973</v>
      </c>
      <c r="K3595" s="36" t="s">
        <v>6427</v>
      </c>
      <c r="L3595" t="s">
        <v>69</v>
      </c>
      <c r="M3595" s="62" t="s">
        <v>70</v>
      </c>
      <c r="N3595" t="s">
        <v>10963</v>
      </c>
      <c r="O3595" t="str">
        <f>IFERROR(IF(Tbla_actores[[#This Row],[codigo_proyecto]]="","",_xlfn.XLOOKUP(Tbla_actores[[#This Row],[codigo_proyecto]],Proyectos!$A:$A,Proyectos!$C:$C)),"")</f>
        <v>Diseño y construcción de metodologías de almacenamiento y empaque  ALIMENTOS PERECEDEROS, distribución y manejo de residuos</v>
      </c>
    </row>
    <row r="3596" spans="1:15">
      <c r="A3596" s="9">
        <v>1007715469</v>
      </c>
      <c r="B3596" s="63" t="s">
        <v>61</v>
      </c>
      <c r="C3596" s="62" t="s">
        <v>10816</v>
      </c>
      <c r="D3596" t="s">
        <v>63</v>
      </c>
      <c r="E3596" t="s">
        <v>10974</v>
      </c>
      <c r="F3596" s="61">
        <v>36756</v>
      </c>
      <c r="G3596" s="15" t="s">
        <v>65</v>
      </c>
      <c r="H3596" t="s">
        <v>10975</v>
      </c>
      <c r="I3596" s="62" t="s">
        <v>10976</v>
      </c>
      <c r="K3596" s="36" t="s">
        <v>6427</v>
      </c>
      <c r="L3596" t="s">
        <v>69</v>
      </c>
      <c r="M3596" s="62" t="s">
        <v>70</v>
      </c>
      <c r="N3596" t="s">
        <v>10970</v>
      </c>
      <c r="O3596" t="str">
        <f>IFERROR(IF(Tbla_actores[[#This Row],[codigo_proyecto]]="","",_xlfn.XLOOKUP(Tbla_actores[[#This Row],[codigo_proyecto]],Proyectos!$A:$A,Proyectos!$C:$C)),"")</f>
        <v>Diseñar  de herramientas y elementos  de ejercicios terapéutico  adultos mayores de la Fundación Pocalana y tambièn diseño de distribuciòn de la  cocina de acuerdo con los flujos de proceso</v>
      </c>
    </row>
    <row r="3597" spans="1:15">
      <c r="A3597" s="10">
        <v>1072647618</v>
      </c>
      <c r="B3597" s="64" t="s">
        <v>61</v>
      </c>
      <c r="C3597" s="62" t="s">
        <v>10816</v>
      </c>
      <c r="D3597" t="s">
        <v>63</v>
      </c>
      <c r="E3597" t="s">
        <v>10977</v>
      </c>
      <c r="F3597" s="61">
        <v>38818</v>
      </c>
      <c r="G3597" s="15" t="s">
        <v>73</v>
      </c>
      <c r="H3597" t="s">
        <v>10978</v>
      </c>
      <c r="I3597" s="62" t="s">
        <v>10979</v>
      </c>
      <c r="K3597" s="36" t="s">
        <v>6427</v>
      </c>
      <c r="L3597" t="s">
        <v>69</v>
      </c>
      <c r="M3597" s="62" t="s">
        <v>70</v>
      </c>
      <c r="N3597" t="s">
        <v>10970</v>
      </c>
      <c r="O3597" t="str">
        <f>IFERROR(IF(Tbla_actores[[#This Row],[codigo_proyecto]]="","",_xlfn.XLOOKUP(Tbla_actores[[#This Row],[codigo_proyecto]],Proyectos!$A:$A,Proyectos!$C:$C)),"")</f>
        <v>Diseñar  de herramientas y elementos  de ejercicios terapéutico  adultos mayores de la Fundación Pocalana y tambièn diseño de distribuciòn de la  cocina de acuerdo con los flujos de proceso</v>
      </c>
    </row>
    <row r="3598" spans="1:15">
      <c r="A3598" s="9">
        <v>1051065577</v>
      </c>
      <c r="B3598" s="63" t="s">
        <v>61</v>
      </c>
      <c r="C3598" s="62" t="s">
        <v>10816</v>
      </c>
      <c r="D3598" t="s">
        <v>63</v>
      </c>
      <c r="E3598" t="s">
        <v>10980</v>
      </c>
      <c r="F3598" s="61">
        <v>38313</v>
      </c>
      <c r="G3598" s="15" t="s">
        <v>65</v>
      </c>
      <c r="H3598" t="s">
        <v>10981</v>
      </c>
      <c r="I3598" s="62" t="s">
        <v>10982</v>
      </c>
      <c r="K3598" s="36" t="s">
        <v>7284</v>
      </c>
      <c r="L3598" t="s">
        <v>69</v>
      </c>
      <c r="M3598" s="62" t="s">
        <v>70</v>
      </c>
      <c r="N3598" t="s">
        <v>10983</v>
      </c>
      <c r="O3598" t="str">
        <f>IFERROR(IF(Tbla_actores[[#This Row],[codigo_proyecto]]="","",_xlfn.XLOOKUP(Tbla_actores[[#This Row],[codigo_proyecto]],Proyectos!$A:$A,Proyectos!$C:$C)),"")</f>
        <v>Diseño de prototipò de silla de montar</v>
      </c>
    </row>
    <row r="3599" spans="1:15">
      <c r="A3599" s="10">
        <v>1027281001</v>
      </c>
      <c r="B3599" s="64" t="s">
        <v>61</v>
      </c>
      <c r="C3599" s="62" t="s">
        <v>10816</v>
      </c>
      <c r="D3599" t="s">
        <v>63</v>
      </c>
      <c r="E3599" t="s">
        <v>10984</v>
      </c>
      <c r="F3599" s="61">
        <v>38304</v>
      </c>
      <c r="G3599" s="15" t="s">
        <v>73</v>
      </c>
      <c r="H3599" t="s">
        <v>10985</v>
      </c>
      <c r="I3599" s="62" t="s">
        <v>10986</v>
      </c>
      <c r="K3599" s="36" t="s">
        <v>6427</v>
      </c>
      <c r="L3599" t="s">
        <v>69</v>
      </c>
      <c r="M3599" s="62" t="s">
        <v>70</v>
      </c>
      <c r="N3599" t="s">
        <v>10970</v>
      </c>
      <c r="O3599" t="str">
        <f>IFERROR(IF(Tbla_actores[[#This Row],[codigo_proyecto]]="","",_xlfn.XLOOKUP(Tbla_actores[[#This Row],[codigo_proyecto]],Proyectos!$A:$A,Proyectos!$C:$C)),"")</f>
        <v>Diseñar  de herramientas y elementos  de ejercicios terapéutico  adultos mayores de la Fundación Pocalana y tambièn diseño de distribuciòn de la  cocina de acuerdo con los flujos de proceso</v>
      </c>
    </row>
    <row r="3600" spans="1:15">
      <c r="A3600" s="9">
        <v>1014659318</v>
      </c>
      <c r="B3600" s="63" t="s">
        <v>61</v>
      </c>
      <c r="C3600" s="62" t="s">
        <v>10816</v>
      </c>
      <c r="D3600" t="s">
        <v>63</v>
      </c>
      <c r="E3600" t="s">
        <v>10987</v>
      </c>
      <c r="F3600" s="61">
        <v>38436</v>
      </c>
      <c r="G3600" s="15" t="s">
        <v>73</v>
      </c>
      <c r="H3600" t="s">
        <v>10988</v>
      </c>
      <c r="I3600" s="62" t="s">
        <v>10989</v>
      </c>
      <c r="K3600" s="36" t="s">
        <v>6427</v>
      </c>
      <c r="L3600" t="s">
        <v>69</v>
      </c>
      <c r="M3600" s="62" t="s">
        <v>70</v>
      </c>
      <c r="N3600" t="s">
        <v>10963</v>
      </c>
      <c r="O3600" t="str">
        <f>IFERROR(IF(Tbla_actores[[#This Row],[codigo_proyecto]]="","",_xlfn.XLOOKUP(Tbla_actores[[#This Row],[codigo_proyecto]],Proyectos!$A:$A,Proyectos!$C:$C)),"")</f>
        <v>Diseño y construcción de metodologías de almacenamiento y empaque  ALIMENTOS PERECEDEROS, distribución y manejo de residuos</v>
      </c>
    </row>
    <row r="3601" spans="1:15">
      <c r="A3601" s="10">
        <v>1007558155</v>
      </c>
      <c r="B3601" s="64" t="s">
        <v>61</v>
      </c>
      <c r="C3601" s="62" t="s">
        <v>10816</v>
      </c>
      <c r="D3601" t="s">
        <v>63</v>
      </c>
      <c r="E3601" t="s">
        <v>10990</v>
      </c>
      <c r="F3601" s="61">
        <v>37690</v>
      </c>
      <c r="G3601" s="15" t="s">
        <v>73</v>
      </c>
      <c r="H3601" t="s">
        <v>10991</v>
      </c>
      <c r="I3601" s="62" t="s">
        <v>10992</v>
      </c>
      <c r="K3601" s="36" t="s">
        <v>6427</v>
      </c>
      <c r="L3601" t="s">
        <v>69</v>
      </c>
      <c r="M3601" s="62" t="s">
        <v>70</v>
      </c>
      <c r="N3601" t="s">
        <v>10993</v>
      </c>
      <c r="O3601" t="str">
        <f>IFERROR(IF(Tbla_actores[[#This Row],[codigo_proyecto]]="","",_xlfn.XLOOKUP(Tbla_actores[[#This Row],[codigo_proyecto]],Proyectos!$A:$A,Proyectos!$C:$C)),"")</f>
        <v>Evaluación de residuos en la playa de Santa Marta</v>
      </c>
    </row>
    <row r="3602" spans="1:15">
      <c r="A3602" s="9">
        <v>1006107411</v>
      </c>
      <c r="B3602" s="63" t="s">
        <v>61</v>
      </c>
      <c r="C3602" s="62" t="s">
        <v>10816</v>
      </c>
      <c r="D3602" t="s">
        <v>63</v>
      </c>
      <c r="E3602" t="s">
        <v>10994</v>
      </c>
      <c r="F3602" s="61">
        <v>37567</v>
      </c>
      <c r="G3602" s="15" t="s">
        <v>65</v>
      </c>
      <c r="H3602" t="s">
        <v>10995</v>
      </c>
      <c r="I3602" s="62" t="s">
        <v>10996</v>
      </c>
      <c r="K3602" s="36" t="s">
        <v>7284</v>
      </c>
      <c r="L3602" t="s">
        <v>69</v>
      </c>
      <c r="M3602" s="62" t="s">
        <v>70</v>
      </c>
      <c r="N3602" t="s">
        <v>10983</v>
      </c>
      <c r="O3602" t="str">
        <f>IFERROR(IF(Tbla_actores[[#This Row],[codigo_proyecto]]="","",_xlfn.XLOOKUP(Tbla_actores[[#This Row],[codigo_proyecto]],Proyectos!$A:$A,Proyectos!$C:$C)),"")</f>
        <v>Diseño de prototipò de silla de montar</v>
      </c>
    </row>
    <row r="3603" spans="1:15">
      <c r="A3603" s="10">
        <v>1025460652</v>
      </c>
      <c r="B3603" s="64" t="s">
        <v>61</v>
      </c>
      <c r="C3603" s="62" t="s">
        <v>10816</v>
      </c>
      <c r="D3603" t="s">
        <v>63</v>
      </c>
      <c r="E3603" t="s">
        <v>10997</v>
      </c>
      <c r="F3603" s="61">
        <v>38134</v>
      </c>
      <c r="G3603" s="15" t="s">
        <v>65</v>
      </c>
      <c r="H3603" t="s">
        <v>10998</v>
      </c>
      <c r="I3603" s="62" t="s">
        <v>10999</v>
      </c>
      <c r="K3603" s="36" t="s">
        <v>6427</v>
      </c>
      <c r="L3603" t="s">
        <v>69</v>
      </c>
      <c r="M3603" s="62" t="s">
        <v>70</v>
      </c>
      <c r="N3603" t="s">
        <v>10993</v>
      </c>
      <c r="O3603" t="str">
        <f>IFERROR(IF(Tbla_actores[[#This Row],[codigo_proyecto]]="","",_xlfn.XLOOKUP(Tbla_actores[[#This Row],[codigo_proyecto]],Proyectos!$A:$A,Proyectos!$C:$C)),"")</f>
        <v>Evaluación de residuos en la playa de Santa Marta</v>
      </c>
    </row>
    <row r="3604" spans="1:15">
      <c r="A3604" s="9">
        <v>1000595015</v>
      </c>
      <c r="B3604" s="63" t="s">
        <v>61</v>
      </c>
      <c r="C3604" s="62" t="s">
        <v>10816</v>
      </c>
      <c r="D3604" t="s">
        <v>63</v>
      </c>
      <c r="E3604" t="s">
        <v>11000</v>
      </c>
      <c r="F3604" s="61">
        <v>37847</v>
      </c>
      <c r="G3604" s="15" t="s">
        <v>65</v>
      </c>
      <c r="H3604" t="s">
        <v>11001</v>
      </c>
      <c r="I3604" s="62" t="s">
        <v>11002</v>
      </c>
      <c r="K3604" s="36" t="s">
        <v>68</v>
      </c>
      <c r="L3604" t="s">
        <v>69</v>
      </c>
      <c r="M3604" s="62" t="s">
        <v>70</v>
      </c>
      <c r="N3604" t="s">
        <v>11003</v>
      </c>
      <c r="O3604" t="str">
        <f>IFERROR(IF(Tbla_actores[[#This Row],[codigo_proyecto]]="","",_xlfn.XLOOKUP(Tbla_actores[[#This Row],[codigo_proyecto]],Proyectos!$A:$A,Proyectos!$C:$C)),"")</f>
        <v>Fundación M&amp;M Formando Líderes</v>
      </c>
    </row>
    <row r="3605" spans="1:15">
      <c r="A3605" s="10">
        <v>1025142174</v>
      </c>
      <c r="B3605" s="64" t="s">
        <v>61</v>
      </c>
      <c r="C3605" s="62" t="s">
        <v>10816</v>
      </c>
      <c r="D3605" t="s">
        <v>63</v>
      </c>
      <c r="E3605" t="s">
        <v>11004</v>
      </c>
      <c r="F3605" s="61">
        <v>38353</v>
      </c>
      <c r="G3605" s="15" t="s">
        <v>73</v>
      </c>
      <c r="H3605" t="s">
        <v>11005</v>
      </c>
      <c r="I3605" s="62" t="s">
        <v>11006</v>
      </c>
      <c r="K3605" s="36" t="s">
        <v>68</v>
      </c>
      <c r="L3605" t="s">
        <v>69</v>
      </c>
      <c r="M3605" s="62" t="s">
        <v>70</v>
      </c>
      <c r="N3605" t="s">
        <v>11007</v>
      </c>
      <c r="O3605" t="str">
        <f>IFERROR(IF(Tbla_actores[[#This Row],[codigo_proyecto]]="","",_xlfn.XLOOKUP(Tbla_actores[[#This Row],[codigo_proyecto]],Proyectos!$A:$A,Proyectos!$C:$C)),"")</f>
        <v>Sede CDC Semillas de Esperanza</v>
      </c>
    </row>
    <row r="3606" spans="1:15">
      <c r="A3606" s="9">
        <v>1125228068</v>
      </c>
      <c r="B3606" s="63" t="s">
        <v>61</v>
      </c>
      <c r="C3606" s="62" t="s">
        <v>10816</v>
      </c>
      <c r="D3606" t="s">
        <v>63</v>
      </c>
      <c r="E3606" t="s">
        <v>11008</v>
      </c>
      <c r="F3606" s="61">
        <v>37952</v>
      </c>
      <c r="G3606" s="15" t="s">
        <v>73</v>
      </c>
      <c r="H3606" t="s">
        <v>11009</v>
      </c>
      <c r="I3606" s="62" t="s">
        <v>11010</v>
      </c>
      <c r="K3606" s="36" t="s">
        <v>68</v>
      </c>
      <c r="L3606" t="s">
        <v>69</v>
      </c>
      <c r="M3606" s="62" t="s">
        <v>70</v>
      </c>
      <c r="N3606" t="s">
        <v>11011</v>
      </c>
      <c r="O3606" t="str">
        <f>IFERROR(IF(Tbla_actores[[#This Row],[codigo_proyecto]]="","",_xlfn.XLOOKUP(Tbla_actores[[#This Row],[codigo_proyecto]],Proyectos!$A:$A,Proyectos!$C:$C)),"")</f>
        <v>Proyecto 14</v>
      </c>
    </row>
    <row r="3607" spans="1:15">
      <c r="A3607" s="10">
        <v>1016943575</v>
      </c>
      <c r="B3607" s="64" t="s">
        <v>61</v>
      </c>
      <c r="C3607" s="62" t="s">
        <v>10816</v>
      </c>
      <c r="D3607" t="s">
        <v>63</v>
      </c>
      <c r="E3607" t="s">
        <v>11012</v>
      </c>
      <c r="F3607" s="61">
        <v>38115</v>
      </c>
      <c r="G3607" s="15" t="s">
        <v>73</v>
      </c>
      <c r="H3607" t="s">
        <v>11013</v>
      </c>
      <c r="I3607" s="62" t="s">
        <v>11014</v>
      </c>
      <c r="K3607" s="36" t="s">
        <v>68</v>
      </c>
      <c r="L3607" t="s">
        <v>69</v>
      </c>
      <c r="M3607" s="62" t="s">
        <v>70</v>
      </c>
      <c r="N3607" t="s">
        <v>11015</v>
      </c>
      <c r="O3607" t="str">
        <f>IFERROR(IF(Tbla_actores[[#This Row],[codigo_proyecto]]="","",_xlfn.XLOOKUP(Tbla_actores[[#This Row],[codigo_proyecto]],Proyectos!$A:$A,Proyectos!$C:$C)),"")</f>
        <v>API WhatsApp o Instagram</v>
      </c>
    </row>
    <row r="3608" spans="1:15">
      <c r="A3608" s="9">
        <v>1007727416</v>
      </c>
      <c r="B3608" s="63" t="s">
        <v>61</v>
      </c>
      <c r="C3608" s="62" t="s">
        <v>10816</v>
      </c>
      <c r="D3608" t="s">
        <v>63</v>
      </c>
      <c r="E3608" t="s">
        <v>11016</v>
      </c>
      <c r="F3608" s="61">
        <v>37061</v>
      </c>
      <c r="G3608" s="15" t="s">
        <v>73</v>
      </c>
      <c r="H3608" t="s">
        <v>11017</v>
      </c>
      <c r="I3608" s="62" t="s">
        <v>11018</v>
      </c>
      <c r="K3608" s="36" t="s">
        <v>68</v>
      </c>
      <c r="L3608" t="s">
        <v>69</v>
      </c>
      <c r="M3608" s="62" t="s">
        <v>70</v>
      </c>
      <c r="N3608" t="s">
        <v>11003</v>
      </c>
      <c r="O3608" t="str">
        <f>IFERROR(IF(Tbla_actores[[#This Row],[codigo_proyecto]]="","",_xlfn.XLOOKUP(Tbla_actores[[#This Row],[codigo_proyecto]],Proyectos!$A:$A,Proyectos!$C:$C)),"")</f>
        <v>Fundación M&amp;M Formando Líderes</v>
      </c>
    </row>
    <row r="3609" spans="1:15">
      <c r="A3609" s="10">
        <v>1123433525</v>
      </c>
      <c r="B3609" s="64" t="s">
        <v>61</v>
      </c>
      <c r="C3609" s="62" t="s">
        <v>10816</v>
      </c>
      <c r="D3609" t="s">
        <v>63</v>
      </c>
      <c r="E3609" t="s">
        <v>11019</v>
      </c>
      <c r="F3609" s="61">
        <v>38631</v>
      </c>
      <c r="G3609" s="15" t="s">
        <v>73</v>
      </c>
      <c r="H3609" t="s">
        <v>11020</v>
      </c>
      <c r="I3609" s="62" t="s">
        <v>11021</v>
      </c>
      <c r="K3609" s="36" t="s">
        <v>68</v>
      </c>
      <c r="L3609" t="s">
        <v>69</v>
      </c>
      <c r="M3609" s="62" t="s">
        <v>70</v>
      </c>
      <c r="N3609" t="s">
        <v>11022</v>
      </c>
      <c r="O3609" t="str">
        <f>IFERROR(IF(Tbla_actores[[#This Row],[codigo_proyecto]]="","",_xlfn.XLOOKUP(Tbla_actores[[#This Row],[codigo_proyecto]],Proyectos!$A:$A,Proyectos!$C:$C)),"")</f>
        <v>PROGRAMA SOCIAL VIDAS MÓVILES (JAVERIANA)</v>
      </c>
    </row>
    <row r="3610" spans="1:15">
      <c r="A3610" s="9">
        <v>1020720113</v>
      </c>
      <c r="B3610" s="63" t="s">
        <v>61</v>
      </c>
      <c r="C3610" s="62" t="s">
        <v>10816</v>
      </c>
      <c r="D3610" t="s">
        <v>63</v>
      </c>
      <c r="E3610" t="s">
        <v>11023</v>
      </c>
      <c r="F3610" s="61">
        <v>38111</v>
      </c>
      <c r="G3610" s="15" t="s">
        <v>73</v>
      </c>
      <c r="H3610" t="s">
        <v>11024</v>
      </c>
      <c r="I3610" s="62" t="s">
        <v>11025</v>
      </c>
      <c r="K3610" s="36" t="s">
        <v>68</v>
      </c>
      <c r="L3610" t="s">
        <v>69</v>
      </c>
      <c r="M3610" s="62" t="s">
        <v>70</v>
      </c>
      <c r="N3610" t="s">
        <v>11011</v>
      </c>
      <c r="O3610" t="str">
        <f>IFERROR(IF(Tbla_actores[[#This Row],[codigo_proyecto]]="","",_xlfn.XLOOKUP(Tbla_actores[[#This Row],[codigo_proyecto]],Proyectos!$A:$A,Proyectos!$C:$C)),"")</f>
        <v>Proyecto 14</v>
      </c>
    </row>
    <row r="3611" spans="1:15">
      <c r="A3611" s="10">
        <v>1043639285</v>
      </c>
      <c r="B3611" s="64" t="s">
        <v>61</v>
      </c>
      <c r="C3611" s="62" t="s">
        <v>10816</v>
      </c>
      <c r="D3611" t="s">
        <v>63</v>
      </c>
      <c r="E3611" t="s">
        <v>11026</v>
      </c>
      <c r="F3611" s="61">
        <v>38205</v>
      </c>
      <c r="G3611" s="15" t="s">
        <v>73</v>
      </c>
      <c r="H3611" t="s">
        <v>11027</v>
      </c>
      <c r="I3611" s="62" t="s">
        <v>11028</v>
      </c>
      <c r="K3611" s="36" t="s">
        <v>68</v>
      </c>
      <c r="L3611" t="s">
        <v>69</v>
      </c>
      <c r="M3611" s="62" t="s">
        <v>70</v>
      </c>
      <c r="N3611" t="s">
        <v>11029</v>
      </c>
      <c r="O3611" t="str">
        <f>IFERROR(IF(Tbla_actores[[#This Row],[codigo_proyecto]]="","",_xlfn.XLOOKUP(Tbla_actores[[#This Row],[codigo_proyecto]],Proyectos!$A:$A,Proyectos!$C:$C)),"")</f>
        <v>Herramienta Digital-familias</v>
      </c>
    </row>
    <row r="3612" spans="1:15">
      <c r="A3612" s="9">
        <v>1141514488</v>
      </c>
      <c r="B3612" s="63" t="s">
        <v>61</v>
      </c>
      <c r="C3612" s="62" t="s">
        <v>10816</v>
      </c>
      <c r="D3612" t="s">
        <v>63</v>
      </c>
      <c r="E3612" t="s">
        <v>11030</v>
      </c>
      <c r="F3612" s="61">
        <v>38849</v>
      </c>
      <c r="G3612" s="15" t="s">
        <v>73</v>
      </c>
      <c r="H3612" t="s">
        <v>11031</v>
      </c>
      <c r="I3612" s="62" t="s">
        <v>11032</v>
      </c>
      <c r="K3612" s="36" t="s">
        <v>68</v>
      </c>
      <c r="L3612" t="s">
        <v>69</v>
      </c>
      <c r="M3612" s="62" t="s">
        <v>70</v>
      </c>
      <c r="N3612" t="s">
        <v>11029</v>
      </c>
      <c r="O3612" t="str">
        <f>IFERROR(IF(Tbla_actores[[#This Row],[codigo_proyecto]]="","",_xlfn.XLOOKUP(Tbla_actores[[#This Row],[codigo_proyecto]],Proyectos!$A:$A,Proyectos!$C:$C)),"")</f>
        <v>Herramienta Digital-familias</v>
      </c>
    </row>
    <row r="3613" spans="1:15">
      <c r="A3613" s="10">
        <v>1032677069</v>
      </c>
      <c r="B3613" s="64" t="s">
        <v>61</v>
      </c>
      <c r="C3613" s="62" t="s">
        <v>10816</v>
      </c>
      <c r="D3613" t="s">
        <v>63</v>
      </c>
      <c r="E3613" t="s">
        <v>11033</v>
      </c>
      <c r="F3613" s="61">
        <v>38237</v>
      </c>
      <c r="G3613" s="15" t="s">
        <v>73</v>
      </c>
      <c r="H3613" t="s">
        <v>11034</v>
      </c>
      <c r="I3613" s="62" t="s">
        <v>11035</v>
      </c>
      <c r="K3613" s="36" t="s">
        <v>68</v>
      </c>
      <c r="L3613" t="s">
        <v>69</v>
      </c>
      <c r="M3613" s="62" t="s">
        <v>70</v>
      </c>
      <c r="N3613" t="s">
        <v>11036</v>
      </c>
      <c r="O3613" t="str">
        <f>IFERROR(IF(Tbla_actores[[#This Row],[codigo_proyecto]]="","",_xlfn.XLOOKUP(Tbla_actores[[#This Row],[codigo_proyecto]],Proyectos!$A:$A,Proyectos!$C:$C)),"")</f>
        <v>Aplicativo Web de Gestión de Reservas</v>
      </c>
    </row>
    <row r="3614" spans="1:15">
      <c r="A3614" s="9">
        <v>1001201441</v>
      </c>
      <c r="B3614" s="63" t="s">
        <v>61</v>
      </c>
      <c r="C3614" s="62" t="s">
        <v>10816</v>
      </c>
      <c r="D3614" t="s">
        <v>63</v>
      </c>
      <c r="E3614" t="s">
        <v>11037</v>
      </c>
      <c r="F3614" s="61">
        <v>37765</v>
      </c>
      <c r="G3614" s="15" t="s">
        <v>73</v>
      </c>
      <c r="H3614" t="s">
        <v>11038</v>
      </c>
      <c r="I3614" s="62" t="s">
        <v>11039</v>
      </c>
      <c r="K3614" s="36" t="s">
        <v>68</v>
      </c>
      <c r="L3614" t="s">
        <v>69</v>
      </c>
      <c r="M3614" s="62" t="s">
        <v>70</v>
      </c>
      <c r="N3614" t="s">
        <v>11040</v>
      </c>
      <c r="O3614" t="str">
        <f>IFERROR(IF(Tbla_actores[[#This Row],[codigo_proyecto]]="","",_xlfn.XLOOKUP(Tbla_actores[[#This Row],[codigo_proyecto]],Proyectos!$A:$A,Proyectos!$C:$C)),"")</f>
        <v>Fortalecimiento Digital</v>
      </c>
    </row>
    <row r="3615" spans="1:15">
      <c r="A3615" s="10">
        <v>1066598371</v>
      </c>
      <c r="B3615" s="64" t="s">
        <v>61</v>
      </c>
      <c r="C3615" s="62" t="s">
        <v>10816</v>
      </c>
      <c r="D3615" t="s">
        <v>63</v>
      </c>
      <c r="E3615" t="s">
        <v>11041</v>
      </c>
      <c r="F3615" s="61">
        <v>38243</v>
      </c>
      <c r="G3615" s="15" t="s">
        <v>73</v>
      </c>
      <c r="H3615" t="s">
        <v>11042</v>
      </c>
      <c r="I3615" s="62" t="s">
        <v>11043</v>
      </c>
      <c r="K3615" s="36" t="s">
        <v>68</v>
      </c>
      <c r="L3615" t="s">
        <v>69</v>
      </c>
      <c r="M3615" s="62" t="s">
        <v>70</v>
      </c>
      <c r="N3615" t="s">
        <v>11044</v>
      </c>
      <c r="O3615" t="str">
        <f>IFERROR(IF(Tbla_actores[[#This Row],[codigo_proyecto]]="","",_xlfn.XLOOKUP(Tbla_actores[[#This Row],[codigo_proyecto]],Proyectos!$A:$A,Proyectos!$C:$C)),"")</f>
        <v>PROGRAMA SOCIAL VIDAS MÓVILES (JAVERIANA)</v>
      </c>
    </row>
    <row r="3616" spans="1:15">
      <c r="A3616" s="9">
        <v>1034659161</v>
      </c>
      <c r="B3616" s="63" t="s">
        <v>10825</v>
      </c>
      <c r="C3616" s="62" t="s">
        <v>10816</v>
      </c>
      <c r="D3616" t="s">
        <v>63</v>
      </c>
      <c r="E3616" t="s">
        <v>11045</v>
      </c>
      <c r="F3616" s="61">
        <v>38650</v>
      </c>
      <c r="G3616" s="15" t="s">
        <v>73</v>
      </c>
      <c r="H3616" t="s">
        <v>11046</v>
      </c>
      <c r="I3616" s="62" t="s">
        <v>11047</v>
      </c>
      <c r="K3616" s="36" t="s">
        <v>68</v>
      </c>
      <c r="L3616" t="s">
        <v>69</v>
      </c>
      <c r="M3616" s="62" t="s">
        <v>70</v>
      </c>
      <c r="N3616" t="s">
        <v>11048</v>
      </c>
      <c r="O3616" t="str">
        <f>IFERROR(IF(Tbla_actores[[#This Row],[codigo_proyecto]]="","",_xlfn.XLOOKUP(Tbla_actores[[#This Row],[codigo_proyecto]],Proyectos!$A:$A,Proyectos!$C:$C)),"")</f>
        <v>Proyecto 4</v>
      </c>
    </row>
    <row r="3617" spans="1:15">
      <c r="A3617" s="10">
        <v>1023242547</v>
      </c>
      <c r="B3617" s="64" t="s">
        <v>61</v>
      </c>
      <c r="C3617" s="62" t="s">
        <v>10816</v>
      </c>
      <c r="D3617" t="s">
        <v>63</v>
      </c>
      <c r="E3617" t="s">
        <v>11049</v>
      </c>
      <c r="F3617" s="61">
        <v>38247</v>
      </c>
      <c r="G3617" s="15" t="s">
        <v>73</v>
      </c>
      <c r="H3617" t="s">
        <v>11050</v>
      </c>
      <c r="I3617" s="62" t="s">
        <v>11051</v>
      </c>
      <c r="K3617" s="36" t="s">
        <v>68</v>
      </c>
      <c r="L3617" t="s">
        <v>69</v>
      </c>
      <c r="M3617" s="62" t="s">
        <v>70</v>
      </c>
      <c r="N3617" t="s">
        <v>11052</v>
      </c>
      <c r="O3617" t="str">
        <f>IFERROR(IF(Tbla_actores[[#This Row],[codigo_proyecto]]="","",_xlfn.XLOOKUP(Tbla_actores[[#This Row],[codigo_proyecto]],Proyectos!$A:$A,Proyectos!$C:$C)),"")</f>
        <v>Proyecto 6</v>
      </c>
    </row>
    <row r="3618" spans="1:15">
      <c r="A3618" s="9">
        <v>1002330639</v>
      </c>
      <c r="B3618" s="63" t="s">
        <v>61</v>
      </c>
      <c r="C3618" s="62" t="s">
        <v>10816</v>
      </c>
      <c r="D3618" t="s">
        <v>63</v>
      </c>
      <c r="E3618" t="s">
        <v>11053</v>
      </c>
      <c r="F3618" s="61">
        <v>37506</v>
      </c>
      <c r="G3618" s="15" t="s">
        <v>73</v>
      </c>
      <c r="H3618" t="s">
        <v>11054</v>
      </c>
      <c r="I3618" s="62" t="s">
        <v>11055</v>
      </c>
      <c r="K3618" s="36" t="s">
        <v>68</v>
      </c>
      <c r="L3618" t="s">
        <v>69</v>
      </c>
      <c r="M3618" s="62" t="s">
        <v>70</v>
      </c>
      <c r="N3618" t="s">
        <v>11056</v>
      </c>
      <c r="O3618" t="str">
        <f>IFERROR(IF(Tbla_actores[[#This Row],[codigo_proyecto]]="","",_xlfn.XLOOKUP(Tbla_actores[[#This Row],[codigo_proyecto]],Proyectos!$A:$A,Proyectos!$C:$C)),"")</f>
        <v>Proyecto 2</v>
      </c>
    </row>
    <row r="3619" spans="1:15">
      <c r="A3619" s="10">
        <v>1000698264</v>
      </c>
      <c r="B3619" s="64" t="s">
        <v>61</v>
      </c>
      <c r="C3619" s="62" t="s">
        <v>10816</v>
      </c>
      <c r="D3619" t="s">
        <v>63</v>
      </c>
      <c r="E3619" t="s">
        <v>11057</v>
      </c>
      <c r="F3619" s="61">
        <v>37311</v>
      </c>
      <c r="G3619" s="15" t="s">
        <v>73</v>
      </c>
      <c r="H3619" t="s">
        <v>11058</v>
      </c>
      <c r="I3619" s="62" t="s">
        <v>11059</v>
      </c>
      <c r="K3619" s="36" t="s">
        <v>68</v>
      </c>
      <c r="L3619" t="s">
        <v>69</v>
      </c>
      <c r="M3619" s="62" t="s">
        <v>70</v>
      </c>
      <c r="N3619" t="s">
        <v>11056</v>
      </c>
      <c r="O3619" t="str">
        <f>IFERROR(IF(Tbla_actores[[#This Row],[codigo_proyecto]]="","",_xlfn.XLOOKUP(Tbla_actores[[#This Row],[codigo_proyecto]],Proyectos!$A:$A,Proyectos!$C:$C)),"")</f>
        <v>Proyecto 2</v>
      </c>
    </row>
    <row r="3620" spans="1:15">
      <c r="A3620" s="9">
        <v>1013036114</v>
      </c>
      <c r="B3620" s="63" t="s">
        <v>61</v>
      </c>
      <c r="C3620" s="62" t="s">
        <v>10816</v>
      </c>
      <c r="D3620" t="s">
        <v>63</v>
      </c>
      <c r="E3620" t="s">
        <v>11060</v>
      </c>
      <c r="F3620" s="61">
        <v>37970</v>
      </c>
      <c r="G3620" s="15" t="s">
        <v>73</v>
      </c>
      <c r="H3620" t="s">
        <v>11061</v>
      </c>
      <c r="I3620" s="62" t="s">
        <v>11062</v>
      </c>
      <c r="K3620" s="36" t="s">
        <v>68</v>
      </c>
      <c r="L3620" t="s">
        <v>69</v>
      </c>
      <c r="M3620" s="62" t="s">
        <v>70</v>
      </c>
      <c r="N3620" t="s">
        <v>11036</v>
      </c>
      <c r="O3620" t="str">
        <f>IFERROR(IF(Tbla_actores[[#This Row],[codigo_proyecto]]="","",_xlfn.XLOOKUP(Tbla_actores[[#This Row],[codigo_proyecto]],Proyectos!$A:$A,Proyectos!$C:$C)),"")</f>
        <v>Aplicativo Web de Gestión de Reservas</v>
      </c>
    </row>
    <row r="3621" spans="1:15">
      <c r="A3621" s="10">
        <v>1034397006</v>
      </c>
      <c r="B3621" s="64" t="s">
        <v>61</v>
      </c>
      <c r="C3621" s="62" t="s">
        <v>10816</v>
      </c>
      <c r="D3621" t="s">
        <v>63</v>
      </c>
      <c r="E3621" t="s">
        <v>11063</v>
      </c>
      <c r="F3621" s="61">
        <v>38142</v>
      </c>
      <c r="G3621" s="15" t="s">
        <v>73</v>
      </c>
      <c r="H3621" t="s">
        <v>11064</v>
      </c>
      <c r="I3621" s="62" t="s">
        <v>11065</v>
      </c>
      <c r="K3621" s="36" t="s">
        <v>68</v>
      </c>
      <c r="L3621" t="s">
        <v>69</v>
      </c>
      <c r="M3621" s="62" t="s">
        <v>70</v>
      </c>
      <c r="N3621" t="s">
        <v>11011</v>
      </c>
      <c r="O3621" t="str">
        <f>IFERROR(IF(Tbla_actores[[#This Row],[codigo_proyecto]]="","",_xlfn.XLOOKUP(Tbla_actores[[#This Row],[codigo_proyecto]],Proyectos!$A:$A,Proyectos!$C:$C)),"")</f>
        <v>Proyecto 14</v>
      </c>
    </row>
    <row r="3622" spans="1:15">
      <c r="A3622" s="9">
        <v>1016103288</v>
      </c>
      <c r="B3622" s="63" t="s">
        <v>61</v>
      </c>
      <c r="C3622" s="62" t="s">
        <v>10816</v>
      </c>
      <c r="D3622" t="s">
        <v>63</v>
      </c>
      <c r="E3622" t="s">
        <v>11066</v>
      </c>
      <c r="F3622" s="61">
        <v>35980</v>
      </c>
      <c r="G3622" s="15" t="s">
        <v>73</v>
      </c>
      <c r="H3622" t="s">
        <v>11067</v>
      </c>
      <c r="I3622" s="62" t="s">
        <v>11068</v>
      </c>
      <c r="K3622" s="36" t="s">
        <v>68</v>
      </c>
      <c r="L3622" t="s">
        <v>69</v>
      </c>
      <c r="M3622" s="62" t="s">
        <v>70</v>
      </c>
      <c r="N3622" t="s">
        <v>11011</v>
      </c>
      <c r="O3622" t="str">
        <f>IFERROR(IF(Tbla_actores[[#This Row],[codigo_proyecto]]="","",_xlfn.XLOOKUP(Tbla_actores[[#This Row],[codigo_proyecto]],Proyectos!$A:$A,Proyectos!$C:$C)),"")</f>
        <v>Proyecto 14</v>
      </c>
    </row>
    <row r="3623" spans="1:15">
      <c r="A3623" s="10">
        <v>1000505387</v>
      </c>
      <c r="B3623" s="64" t="s">
        <v>61</v>
      </c>
      <c r="C3623" s="62" t="s">
        <v>10816</v>
      </c>
      <c r="D3623" t="s">
        <v>63</v>
      </c>
      <c r="E3623" t="s">
        <v>11069</v>
      </c>
      <c r="F3623" s="61">
        <v>37646</v>
      </c>
      <c r="G3623" s="15" t="s">
        <v>73</v>
      </c>
      <c r="H3623" t="s">
        <v>11070</v>
      </c>
      <c r="I3623" s="62" t="s">
        <v>11071</v>
      </c>
      <c r="K3623" s="36" t="s">
        <v>68</v>
      </c>
      <c r="L3623" t="s">
        <v>69</v>
      </c>
      <c r="M3623" s="62" t="s">
        <v>70</v>
      </c>
      <c r="N3623" t="s">
        <v>11036</v>
      </c>
      <c r="O3623" t="str">
        <f>IFERROR(IF(Tbla_actores[[#This Row],[codigo_proyecto]]="","",_xlfn.XLOOKUP(Tbla_actores[[#This Row],[codigo_proyecto]],Proyectos!$A:$A,Proyectos!$C:$C)),"")</f>
        <v>Aplicativo Web de Gestión de Reservas</v>
      </c>
    </row>
    <row r="3624" spans="1:15">
      <c r="A3624" s="9">
        <v>1054858898</v>
      </c>
      <c r="B3624" s="63" t="s">
        <v>61</v>
      </c>
      <c r="C3624" s="62" t="s">
        <v>10816</v>
      </c>
      <c r="D3624" t="s">
        <v>63</v>
      </c>
      <c r="E3624" t="s">
        <v>11072</v>
      </c>
      <c r="F3624" s="61">
        <v>38450</v>
      </c>
      <c r="G3624" s="15" t="s">
        <v>73</v>
      </c>
      <c r="H3624" t="s">
        <v>11073</v>
      </c>
      <c r="I3624" s="62" t="s">
        <v>11074</v>
      </c>
      <c r="K3624" s="36" t="s">
        <v>68</v>
      </c>
      <c r="L3624" t="s">
        <v>69</v>
      </c>
      <c r="M3624" s="62" t="s">
        <v>70</v>
      </c>
      <c r="N3624" t="s">
        <v>11048</v>
      </c>
      <c r="O3624" t="str">
        <f>IFERROR(IF(Tbla_actores[[#This Row],[codigo_proyecto]]="","",_xlfn.XLOOKUP(Tbla_actores[[#This Row],[codigo_proyecto]],Proyectos!$A:$A,Proyectos!$C:$C)),"")</f>
        <v>Proyecto 4</v>
      </c>
    </row>
    <row r="3625" spans="1:15">
      <c r="A3625" s="10">
        <v>1019986514</v>
      </c>
      <c r="B3625" s="64" t="s">
        <v>61</v>
      </c>
      <c r="C3625" s="62" t="s">
        <v>10816</v>
      </c>
      <c r="D3625" t="s">
        <v>63</v>
      </c>
      <c r="E3625" t="s">
        <v>11075</v>
      </c>
      <c r="F3625" s="61">
        <v>38630</v>
      </c>
      <c r="G3625" s="15" t="s">
        <v>73</v>
      </c>
      <c r="H3625" t="s">
        <v>11076</v>
      </c>
      <c r="I3625" s="62" t="s">
        <v>11077</v>
      </c>
      <c r="K3625" s="36" t="s">
        <v>68</v>
      </c>
      <c r="L3625" t="s">
        <v>69</v>
      </c>
      <c r="M3625" s="62" t="s">
        <v>70</v>
      </c>
      <c r="N3625" t="s">
        <v>11078</v>
      </c>
      <c r="O3625" t="str">
        <f>IFERROR(IF(Tbla_actores[[#This Row],[codigo_proyecto]]="","",_xlfn.XLOOKUP(Tbla_actores[[#This Row],[codigo_proyecto]],Proyectos!$A:$A,Proyectos!$C:$C)),"")</f>
        <v>OFICINA DE RESPONSABILIDAD SOCIAL</v>
      </c>
    </row>
    <row r="3626" spans="1:15">
      <c r="A3626" s="9">
        <v>1193514885</v>
      </c>
      <c r="B3626" s="63" t="s">
        <v>61</v>
      </c>
      <c r="C3626" s="62" t="s">
        <v>10816</v>
      </c>
      <c r="D3626" t="s">
        <v>63</v>
      </c>
      <c r="E3626" t="s">
        <v>11079</v>
      </c>
      <c r="F3626" s="61">
        <v>37013</v>
      </c>
      <c r="G3626" s="15" t="s">
        <v>73</v>
      </c>
      <c r="H3626" t="s">
        <v>11080</v>
      </c>
      <c r="I3626" s="62" t="s">
        <v>11081</v>
      </c>
      <c r="K3626" s="36" t="s">
        <v>68</v>
      </c>
      <c r="L3626" t="s">
        <v>69</v>
      </c>
      <c r="M3626" s="62" t="s">
        <v>70</v>
      </c>
      <c r="N3626" t="s">
        <v>11029</v>
      </c>
      <c r="O3626" t="str">
        <f>IFERROR(IF(Tbla_actores[[#This Row],[codigo_proyecto]]="","",_xlfn.XLOOKUP(Tbla_actores[[#This Row],[codigo_proyecto]],Proyectos!$A:$A,Proyectos!$C:$C)),"")</f>
        <v>Herramienta Digital-familias</v>
      </c>
    </row>
    <row r="3627" spans="1:15">
      <c r="A3627" s="10">
        <v>1021633250</v>
      </c>
      <c r="B3627" s="64" t="s">
        <v>10825</v>
      </c>
      <c r="C3627" s="62" t="s">
        <v>10816</v>
      </c>
      <c r="D3627" t="s">
        <v>63</v>
      </c>
      <c r="E3627" t="s">
        <v>11082</v>
      </c>
      <c r="F3627" s="61">
        <v>38296</v>
      </c>
      <c r="G3627" s="15" t="s">
        <v>73</v>
      </c>
      <c r="H3627" t="s">
        <v>11083</v>
      </c>
      <c r="I3627" s="62" t="s">
        <v>11084</v>
      </c>
      <c r="K3627" s="36" t="s">
        <v>68</v>
      </c>
      <c r="L3627" t="s">
        <v>69</v>
      </c>
      <c r="M3627" s="62" t="s">
        <v>70</v>
      </c>
      <c r="N3627" t="s">
        <v>11048</v>
      </c>
      <c r="O3627" t="str">
        <f>IFERROR(IF(Tbla_actores[[#This Row],[codigo_proyecto]]="","",_xlfn.XLOOKUP(Tbla_actores[[#This Row],[codigo_proyecto]],Proyectos!$A:$A,Proyectos!$C:$C)),"")</f>
        <v>Proyecto 4</v>
      </c>
    </row>
    <row r="3628" spans="1:15">
      <c r="A3628" s="9">
        <v>1014976397</v>
      </c>
      <c r="B3628" s="63" t="s">
        <v>61</v>
      </c>
      <c r="C3628" s="62" t="s">
        <v>10816</v>
      </c>
      <c r="D3628" t="s">
        <v>63</v>
      </c>
      <c r="E3628" t="s">
        <v>11085</v>
      </c>
      <c r="F3628" s="61">
        <v>38038</v>
      </c>
      <c r="G3628" s="15" t="s">
        <v>73</v>
      </c>
      <c r="H3628" t="s">
        <v>11086</v>
      </c>
      <c r="I3628" s="62" t="s">
        <v>11087</v>
      </c>
      <c r="K3628" s="36" t="s">
        <v>68</v>
      </c>
      <c r="L3628" t="s">
        <v>69</v>
      </c>
      <c r="M3628" s="62" t="s">
        <v>70</v>
      </c>
      <c r="N3628" t="s">
        <v>11011</v>
      </c>
      <c r="O3628" t="str">
        <f>IFERROR(IF(Tbla_actores[[#This Row],[codigo_proyecto]]="","",_xlfn.XLOOKUP(Tbla_actores[[#This Row],[codigo_proyecto]],Proyectos!$A:$A,Proyectos!$C:$C)),"")</f>
        <v>Proyecto 14</v>
      </c>
    </row>
    <row r="3629" spans="1:15">
      <c r="A3629" s="10">
        <v>1023370103</v>
      </c>
      <c r="B3629" s="64" t="s">
        <v>61</v>
      </c>
      <c r="C3629" s="62" t="s">
        <v>10816</v>
      </c>
      <c r="D3629" t="s">
        <v>63</v>
      </c>
      <c r="E3629" t="s">
        <v>11088</v>
      </c>
      <c r="F3629" s="61">
        <v>38646</v>
      </c>
      <c r="G3629" s="15" t="s">
        <v>65</v>
      </c>
      <c r="H3629" t="s">
        <v>11089</v>
      </c>
      <c r="I3629" s="62" t="s">
        <v>11090</v>
      </c>
      <c r="K3629" s="36" t="s">
        <v>68</v>
      </c>
      <c r="L3629" t="s">
        <v>69</v>
      </c>
      <c r="M3629" s="62" t="s">
        <v>70</v>
      </c>
      <c r="N3629" t="s">
        <v>11011</v>
      </c>
      <c r="O3629" t="str">
        <f>IFERROR(IF(Tbla_actores[[#This Row],[codigo_proyecto]]="","",_xlfn.XLOOKUP(Tbla_actores[[#This Row],[codigo_proyecto]],Proyectos!$A:$A,Proyectos!$C:$C)),"")</f>
        <v>Proyecto 14</v>
      </c>
    </row>
    <row r="3630" spans="1:15">
      <c r="A3630" s="9">
        <v>1033683621</v>
      </c>
      <c r="B3630" s="63" t="s">
        <v>61</v>
      </c>
      <c r="C3630" s="62" t="s">
        <v>10816</v>
      </c>
      <c r="D3630" t="s">
        <v>63</v>
      </c>
      <c r="E3630" t="s">
        <v>11091</v>
      </c>
      <c r="F3630" s="61">
        <v>38358</v>
      </c>
      <c r="G3630" s="15" t="s">
        <v>65</v>
      </c>
      <c r="H3630" t="s">
        <v>11092</v>
      </c>
      <c r="I3630" s="62" t="s">
        <v>11093</v>
      </c>
      <c r="K3630" s="36" t="s">
        <v>68</v>
      </c>
      <c r="L3630" t="s">
        <v>69</v>
      </c>
      <c r="M3630" s="62" t="s">
        <v>70</v>
      </c>
      <c r="N3630" t="s">
        <v>11022</v>
      </c>
      <c r="O3630" t="str">
        <f>IFERROR(IF(Tbla_actores[[#This Row],[codigo_proyecto]]="","",_xlfn.XLOOKUP(Tbla_actores[[#This Row],[codigo_proyecto]],Proyectos!$A:$A,Proyectos!$C:$C)),"")</f>
        <v>PROGRAMA SOCIAL VIDAS MÓVILES (JAVERIANA)</v>
      </c>
    </row>
    <row r="3631" spans="1:15">
      <c r="A3631" s="10">
        <v>1034396049</v>
      </c>
      <c r="B3631" s="64" t="s">
        <v>61</v>
      </c>
      <c r="C3631" s="62" t="s">
        <v>10816</v>
      </c>
      <c r="D3631" t="s">
        <v>63</v>
      </c>
      <c r="E3631" t="s">
        <v>10122</v>
      </c>
      <c r="F3631" s="61">
        <v>37956</v>
      </c>
      <c r="G3631" s="15" t="s">
        <v>73</v>
      </c>
      <c r="H3631" t="s">
        <v>10123</v>
      </c>
      <c r="I3631" s="62" t="s">
        <v>10124</v>
      </c>
      <c r="K3631" s="36" t="s">
        <v>68</v>
      </c>
      <c r="L3631" t="s">
        <v>69</v>
      </c>
      <c r="M3631" s="62" t="s">
        <v>70</v>
      </c>
      <c r="N3631" t="s">
        <v>11003</v>
      </c>
      <c r="O3631" t="str">
        <f>IFERROR(IF(Tbla_actores[[#This Row],[codigo_proyecto]]="","",_xlfn.XLOOKUP(Tbla_actores[[#This Row],[codigo_proyecto]],Proyectos!$A:$A,Proyectos!$C:$C)),"")</f>
        <v>Fundación M&amp;M Formando Líderes</v>
      </c>
    </row>
    <row r="3632" spans="1:15">
      <c r="A3632" s="9">
        <v>1013257088</v>
      </c>
      <c r="B3632" s="63" t="s">
        <v>61</v>
      </c>
      <c r="C3632" s="62" t="s">
        <v>10816</v>
      </c>
      <c r="D3632" t="s">
        <v>63</v>
      </c>
      <c r="E3632" t="s">
        <v>11094</v>
      </c>
      <c r="F3632" s="61">
        <v>38096</v>
      </c>
      <c r="G3632" s="15" t="s">
        <v>73</v>
      </c>
      <c r="H3632" t="s">
        <v>11095</v>
      </c>
      <c r="I3632" s="62" t="s">
        <v>11096</v>
      </c>
      <c r="K3632" s="36" t="s">
        <v>68</v>
      </c>
      <c r="L3632" t="s">
        <v>69</v>
      </c>
      <c r="M3632" s="62" t="s">
        <v>70</v>
      </c>
      <c r="N3632" t="s">
        <v>11003</v>
      </c>
      <c r="O3632" t="str">
        <f>IFERROR(IF(Tbla_actores[[#This Row],[codigo_proyecto]]="","",_xlfn.XLOOKUP(Tbla_actores[[#This Row],[codigo_proyecto]],Proyectos!$A:$A,Proyectos!$C:$C)),"")</f>
        <v>Fundación M&amp;M Formando Líderes</v>
      </c>
    </row>
    <row r="3633" spans="1:15">
      <c r="A3633" s="10">
        <v>1027280904</v>
      </c>
      <c r="B3633" s="64" t="s">
        <v>61</v>
      </c>
      <c r="C3633" s="62" t="s">
        <v>10816</v>
      </c>
      <c r="D3633" t="s">
        <v>63</v>
      </c>
      <c r="E3633" t="s">
        <v>11097</v>
      </c>
      <c r="F3633" s="61">
        <v>38255</v>
      </c>
      <c r="G3633" s="15" t="s">
        <v>73</v>
      </c>
      <c r="H3633" t="s">
        <v>11098</v>
      </c>
      <c r="I3633" s="62" t="s">
        <v>11099</v>
      </c>
      <c r="K3633" s="36" t="s">
        <v>68</v>
      </c>
      <c r="L3633" t="s">
        <v>69</v>
      </c>
      <c r="M3633" s="62" t="s">
        <v>70</v>
      </c>
      <c r="N3633" t="s">
        <v>11003</v>
      </c>
      <c r="O3633" t="str">
        <f>IFERROR(IF(Tbla_actores[[#This Row],[codigo_proyecto]]="","",_xlfn.XLOOKUP(Tbla_actores[[#This Row],[codigo_proyecto]],Proyectos!$A:$A,Proyectos!$C:$C)),"")</f>
        <v>Fundación M&amp;M Formando Líderes</v>
      </c>
    </row>
    <row r="3634" spans="1:15">
      <c r="A3634" s="9">
        <v>1020000255</v>
      </c>
      <c r="B3634" s="63" t="s">
        <v>61</v>
      </c>
      <c r="C3634" s="62" t="s">
        <v>10816</v>
      </c>
      <c r="D3634" t="s">
        <v>63</v>
      </c>
      <c r="E3634" t="s">
        <v>11100</v>
      </c>
      <c r="F3634" s="61">
        <v>38171</v>
      </c>
      <c r="G3634" s="15" t="s">
        <v>73</v>
      </c>
      <c r="H3634" t="s">
        <v>11101</v>
      </c>
      <c r="I3634" s="62" t="s">
        <v>11102</v>
      </c>
      <c r="K3634" s="36" t="s">
        <v>68</v>
      </c>
      <c r="L3634" t="s">
        <v>69</v>
      </c>
      <c r="M3634" s="62" t="s">
        <v>70</v>
      </c>
      <c r="N3634" t="s">
        <v>11011</v>
      </c>
      <c r="O3634" t="str">
        <f>IFERROR(IF(Tbla_actores[[#This Row],[codigo_proyecto]]="","",_xlfn.XLOOKUP(Tbla_actores[[#This Row],[codigo_proyecto]],Proyectos!$A:$A,Proyectos!$C:$C)),"")</f>
        <v>Proyecto 14</v>
      </c>
    </row>
    <row r="3635" spans="1:15">
      <c r="A3635" s="10">
        <v>1031610269</v>
      </c>
      <c r="B3635" s="64" t="s">
        <v>61</v>
      </c>
      <c r="C3635" s="62" t="s">
        <v>10816</v>
      </c>
      <c r="D3635" t="s">
        <v>63</v>
      </c>
      <c r="E3635" t="s">
        <v>11103</v>
      </c>
      <c r="F3635" s="61">
        <v>38478</v>
      </c>
      <c r="G3635" s="15" t="s">
        <v>65</v>
      </c>
      <c r="H3635" t="s">
        <v>11104</v>
      </c>
      <c r="I3635" s="62" t="s">
        <v>11105</v>
      </c>
      <c r="K3635" s="36" t="s">
        <v>68</v>
      </c>
      <c r="L3635" t="s">
        <v>69</v>
      </c>
      <c r="M3635" s="62" t="s">
        <v>70</v>
      </c>
      <c r="N3635" t="s">
        <v>11078</v>
      </c>
      <c r="O3635" t="str">
        <f>IFERROR(IF(Tbla_actores[[#This Row],[codigo_proyecto]]="","",_xlfn.XLOOKUP(Tbla_actores[[#This Row],[codigo_proyecto]],Proyectos!$A:$A,Proyectos!$C:$C)),"")</f>
        <v>OFICINA DE RESPONSABILIDAD SOCIAL</v>
      </c>
    </row>
    <row r="3636" spans="1:15">
      <c r="A3636" s="9">
        <v>1005691017</v>
      </c>
      <c r="B3636" s="63" t="s">
        <v>61</v>
      </c>
      <c r="C3636" s="62" t="s">
        <v>10816</v>
      </c>
      <c r="D3636" t="s">
        <v>63</v>
      </c>
      <c r="E3636" t="s">
        <v>11106</v>
      </c>
      <c r="F3636" s="61">
        <v>37826</v>
      </c>
      <c r="G3636" s="15" t="s">
        <v>73</v>
      </c>
      <c r="H3636" t="s">
        <v>11107</v>
      </c>
      <c r="I3636" s="62" t="s">
        <v>11108</v>
      </c>
      <c r="K3636" s="36" t="s">
        <v>68</v>
      </c>
      <c r="L3636" t="s">
        <v>69</v>
      </c>
      <c r="M3636" s="62" t="s">
        <v>70</v>
      </c>
      <c r="N3636" t="s">
        <v>11056</v>
      </c>
      <c r="O3636" t="str">
        <f>IFERROR(IF(Tbla_actores[[#This Row],[codigo_proyecto]]="","",_xlfn.XLOOKUP(Tbla_actores[[#This Row],[codigo_proyecto]],Proyectos!$A:$A,Proyectos!$C:$C)),"")</f>
        <v>Proyecto 2</v>
      </c>
    </row>
    <row r="3637" spans="1:15">
      <c r="A3637" s="10">
        <v>1093592516</v>
      </c>
      <c r="B3637" s="64" t="s">
        <v>61</v>
      </c>
      <c r="C3637" s="62" t="s">
        <v>10816</v>
      </c>
      <c r="D3637" t="s">
        <v>63</v>
      </c>
      <c r="E3637" t="s">
        <v>11109</v>
      </c>
      <c r="F3637" s="61">
        <v>38756</v>
      </c>
      <c r="G3637" s="15" t="s">
        <v>73</v>
      </c>
      <c r="H3637" t="s">
        <v>11110</v>
      </c>
      <c r="I3637" s="62" t="s">
        <v>11111</v>
      </c>
      <c r="K3637" s="36" t="s">
        <v>68</v>
      </c>
      <c r="L3637" t="s">
        <v>69</v>
      </c>
      <c r="M3637" s="62" t="s">
        <v>70</v>
      </c>
      <c r="N3637" t="s">
        <v>11007</v>
      </c>
      <c r="O3637" t="str">
        <f>IFERROR(IF(Tbla_actores[[#This Row],[codigo_proyecto]]="","",_xlfn.XLOOKUP(Tbla_actores[[#This Row],[codigo_proyecto]],Proyectos!$A:$A,Proyectos!$C:$C)),"")</f>
        <v>Sede CDC Semillas de Esperanza</v>
      </c>
    </row>
    <row r="3638" spans="1:15">
      <c r="A3638" s="9">
        <v>1032936961</v>
      </c>
      <c r="B3638" s="63" t="s">
        <v>61</v>
      </c>
      <c r="C3638" s="62" t="s">
        <v>10816</v>
      </c>
      <c r="D3638" t="s">
        <v>63</v>
      </c>
      <c r="E3638" t="s">
        <v>11112</v>
      </c>
      <c r="F3638" s="61">
        <v>38160</v>
      </c>
      <c r="G3638" s="15" t="s">
        <v>65</v>
      </c>
      <c r="H3638" t="s">
        <v>11113</v>
      </c>
      <c r="I3638" s="62" t="s">
        <v>11114</v>
      </c>
      <c r="K3638" s="36" t="s">
        <v>68</v>
      </c>
      <c r="L3638" t="s">
        <v>69</v>
      </c>
      <c r="M3638" s="62" t="s">
        <v>70</v>
      </c>
      <c r="N3638" t="s">
        <v>11048</v>
      </c>
      <c r="O3638" t="str">
        <f>IFERROR(IF(Tbla_actores[[#This Row],[codigo_proyecto]]="","",_xlfn.XLOOKUP(Tbla_actores[[#This Row],[codigo_proyecto]],Proyectos!$A:$A,Proyectos!$C:$C)),"")</f>
        <v>Proyecto 4</v>
      </c>
    </row>
    <row r="3639" spans="1:15">
      <c r="A3639" s="10">
        <v>1001090713</v>
      </c>
      <c r="B3639" s="64" t="s">
        <v>61</v>
      </c>
      <c r="C3639" s="62" t="s">
        <v>10816</v>
      </c>
      <c r="D3639" t="s">
        <v>63</v>
      </c>
      <c r="E3639" t="s">
        <v>11115</v>
      </c>
      <c r="F3639" s="61">
        <v>37911</v>
      </c>
      <c r="G3639" s="15" t="s">
        <v>65</v>
      </c>
      <c r="H3639" t="s">
        <v>11116</v>
      </c>
      <c r="I3639" s="62" t="s">
        <v>11117</v>
      </c>
      <c r="K3639" s="36" t="s">
        <v>68</v>
      </c>
      <c r="L3639" t="s">
        <v>69</v>
      </c>
      <c r="M3639" s="62" t="s">
        <v>70</v>
      </c>
      <c r="N3639" t="s">
        <v>11040</v>
      </c>
      <c r="O3639" t="str">
        <f>IFERROR(IF(Tbla_actores[[#This Row],[codigo_proyecto]]="","",_xlfn.XLOOKUP(Tbla_actores[[#This Row],[codigo_proyecto]],Proyectos!$A:$A,Proyectos!$C:$C)),"")</f>
        <v>Fortalecimiento Digital</v>
      </c>
    </row>
    <row r="3640" spans="1:15">
      <c r="A3640" s="9">
        <v>1034307366</v>
      </c>
      <c r="B3640" s="63" t="s">
        <v>61</v>
      </c>
      <c r="C3640" s="62" t="s">
        <v>10816</v>
      </c>
      <c r="D3640" t="s">
        <v>63</v>
      </c>
      <c r="E3640" t="s">
        <v>11118</v>
      </c>
      <c r="F3640" s="61">
        <v>38089</v>
      </c>
      <c r="G3640" s="15" t="s">
        <v>73</v>
      </c>
      <c r="H3640" t="s">
        <v>11119</v>
      </c>
      <c r="I3640" s="62" t="s">
        <v>11120</v>
      </c>
      <c r="K3640" s="36" t="s">
        <v>68</v>
      </c>
      <c r="L3640" t="s">
        <v>69</v>
      </c>
      <c r="M3640" s="62" t="s">
        <v>70</v>
      </c>
      <c r="N3640" t="s">
        <v>11056</v>
      </c>
      <c r="O3640" t="str">
        <f>IFERROR(IF(Tbla_actores[[#This Row],[codigo_proyecto]]="","",_xlfn.XLOOKUP(Tbla_actores[[#This Row],[codigo_proyecto]],Proyectos!$A:$A,Proyectos!$C:$C)),"")</f>
        <v>Proyecto 2</v>
      </c>
    </row>
    <row r="3641" spans="1:15">
      <c r="A3641" s="10">
        <v>1011082612</v>
      </c>
      <c r="B3641" s="64" t="s">
        <v>61</v>
      </c>
      <c r="C3641" s="62" t="s">
        <v>10816</v>
      </c>
      <c r="D3641" t="s">
        <v>63</v>
      </c>
      <c r="E3641" t="s">
        <v>11121</v>
      </c>
      <c r="F3641" s="61">
        <v>38425</v>
      </c>
      <c r="G3641" s="15" t="s">
        <v>73</v>
      </c>
      <c r="H3641" t="s">
        <v>11122</v>
      </c>
      <c r="I3641" s="62" t="s">
        <v>11123</v>
      </c>
      <c r="K3641" s="36" t="s">
        <v>68</v>
      </c>
      <c r="L3641" t="s">
        <v>69</v>
      </c>
      <c r="M3641" s="62" t="s">
        <v>70</v>
      </c>
      <c r="N3641" t="s">
        <v>11015</v>
      </c>
      <c r="O3641" t="str">
        <f>IFERROR(IF(Tbla_actores[[#This Row],[codigo_proyecto]]="","",_xlfn.XLOOKUP(Tbla_actores[[#This Row],[codigo_proyecto]],Proyectos!$A:$A,Proyectos!$C:$C)),"")</f>
        <v>API WhatsApp o Instagram</v>
      </c>
    </row>
    <row r="3642" spans="1:15">
      <c r="A3642" s="9">
        <v>7463004</v>
      </c>
      <c r="B3642" s="63" t="s">
        <v>11124</v>
      </c>
      <c r="C3642" s="62" t="s">
        <v>10816</v>
      </c>
      <c r="D3642" t="s">
        <v>63</v>
      </c>
      <c r="E3642" t="s">
        <v>11125</v>
      </c>
      <c r="F3642" s="61" t="s">
        <v>1433</v>
      </c>
      <c r="G3642" s="15" t="s">
        <v>1433</v>
      </c>
      <c r="H3642" t="s">
        <v>1433</v>
      </c>
      <c r="I3642" s="62" t="s">
        <v>1433</v>
      </c>
      <c r="K3642" s="36" t="s">
        <v>68</v>
      </c>
      <c r="L3642" t="s">
        <v>69</v>
      </c>
      <c r="M3642" s="62" t="s">
        <v>2558</v>
      </c>
      <c r="N3642" t="s">
        <v>11078</v>
      </c>
      <c r="O3642" t="str">
        <f>IFERROR(IF(Tbla_actores[[#This Row],[codigo_proyecto]]="","",_xlfn.XLOOKUP(Tbla_actores[[#This Row],[codigo_proyecto]],Proyectos!$A:$A,Proyectos!$C:$C)),"")</f>
        <v>OFICINA DE RESPONSABILIDAD SOCIAL</v>
      </c>
    </row>
    <row r="3643" spans="1:15">
      <c r="A3643" s="10">
        <v>1034576641</v>
      </c>
      <c r="B3643" s="64" t="s">
        <v>61</v>
      </c>
      <c r="C3643" s="62" t="s">
        <v>10816</v>
      </c>
      <c r="D3643" t="s">
        <v>63</v>
      </c>
      <c r="E3643" t="s">
        <v>11126</v>
      </c>
      <c r="F3643" s="61">
        <v>38469</v>
      </c>
      <c r="G3643" s="15" t="s">
        <v>73</v>
      </c>
      <c r="H3643" t="s">
        <v>11127</v>
      </c>
      <c r="I3643" s="62" t="s">
        <v>11128</v>
      </c>
      <c r="K3643" s="36" t="s">
        <v>68</v>
      </c>
      <c r="L3643" t="s">
        <v>69</v>
      </c>
      <c r="M3643" s="62" t="s">
        <v>70</v>
      </c>
      <c r="N3643" t="s">
        <v>11078</v>
      </c>
      <c r="O3643" t="str">
        <f>IFERROR(IF(Tbla_actores[[#This Row],[codigo_proyecto]]="","",_xlfn.XLOOKUP(Tbla_actores[[#This Row],[codigo_proyecto]],Proyectos!$A:$A,Proyectos!$C:$C)),"")</f>
        <v>OFICINA DE RESPONSABILIDAD SOCIAL</v>
      </c>
    </row>
    <row r="3644" spans="1:15">
      <c r="A3644" s="9">
        <v>1031643347</v>
      </c>
      <c r="B3644" s="63" t="s">
        <v>61</v>
      </c>
      <c r="C3644" s="62" t="s">
        <v>10816</v>
      </c>
      <c r="D3644" t="s">
        <v>63</v>
      </c>
      <c r="E3644" t="s">
        <v>11129</v>
      </c>
      <c r="F3644" s="61">
        <v>38213</v>
      </c>
      <c r="G3644" s="15" t="s">
        <v>73</v>
      </c>
      <c r="H3644" t="s">
        <v>11130</v>
      </c>
      <c r="I3644" s="62" t="s">
        <v>11131</v>
      </c>
      <c r="K3644" s="36" t="s">
        <v>68</v>
      </c>
      <c r="L3644" t="s">
        <v>69</v>
      </c>
      <c r="M3644" s="62" t="s">
        <v>70</v>
      </c>
      <c r="N3644" t="s">
        <v>11132</v>
      </c>
      <c r="O3644" t="str">
        <f>IFERROR(IF(Tbla_actores[[#This Row],[codigo_proyecto]]="","",_xlfn.XLOOKUP(Tbla_actores[[#This Row],[codigo_proyecto]],Proyectos!$A:$A,Proyectos!$C:$C)),"")</f>
        <v>Proyecto 1</v>
      </c>
    </row>
    <row r="3645" spans="1:15">
      <c r="A3645" s="10">
        <v>1011090101</v>
      </c>
      <c r="B3645" s="64" t="s">
        <v>61</v>
      </c>
      <c r="C3645" s="62" t="s">
        <v>10816</v>
      </c>
      <c r="D3645" t="s">
        <v>63</v>
      </c>
      <c r="E3645" t="s">
        <v>11133</v>
      </c>
      <c r="F3645" s="61">
        <v>38692</v>
      </c>
      <c r="G3645" s="15" t="s">
        <v>65</v>
      </c>
      <c r="H3645" t="s">
        <v>11134</v>
      </c>
      <c r="I3645" s="62" t="s">
        <v>11135</v>
      </c>
      <c r="K3645" s="36" t="s">
        <v>68</v>
      </c>
      <c r="L3645" t="s">
        <v>69</v>
      </c>
      <c r="M3645" s="62" t="s">
        <v>70</v>
      </c>
      <c r="N3645" t="s">
        <v>11136</v>
      </c>
      <c r="O3645" t="str">
        <f>IFERROR(IF(Tbla_actores[[#This Row],[codigo_proyecto]]="","",_xlfn.XLOOKUP(Tbla_actores[[#This Row],[codigo_proyecto]],Proyectos!$A:$A,Proyectos!$C:$C)),"")</f>
        <v>Proyecto 18</v>
      </c>
    </row>
    <row r="3646" spans="1:15">
      <c r="A3646" s="9">
        <v>1013096923</v>
      </c>
      <c r="B3646" s="63" t="s">
        <v>61</v>
      </c>
      <c r="C3646" s="62" t="s">
        <v>10816</v>
      </c>
      <c r="D3646" t="s">
        <v>63</v>
      </c>
      <c r="E3646" t="s">
        <v>11137</v>
      </c>
      <c r="F3646" s="61">
        <v>37948</v>
      </c>
      <c r="G3646" s="15" t="s">
        <v>73</v>
      </c>
      <c r="H3646" t="s">
        <v>11138</v>
      </c>
      <c r="I3646" s="62" t="s">
        <v>11139</v>
      </c>
      <c r="K3646" s="36" t="s">
        <v>68</v>
      </c>
      <c r="L3646" t="s">
        <v>69</v>
      </c>
      <c r="M3646" s="62" t="s">
        <v>70</v>
      </c>
      <c r="N3646" t="s">
        <v>11007</v>
      </c>
      <c r="O3646" t="str">
        <f>IFERROR(IF(Tbla_actores[[#This Row],[codigo_proyecto]]="","",_xlfn.XLOOKUP(Tbla_actores[[#This Row],[codigo_proyecto]],Proyectos!$A:$A,Proyectos!$C:$C)),"")</f>
        <v>Sede CDC Semillas de Esperanza</v>
      </c>
    </row>
    <row r="3647" spans="1:15">
      <c r="A3647" s="10">
        <v>1004356089</v>
      </c>
      <c r="B3647" s="64" t="s">
        <v>61</v>
      </c>
      <c r="C3647" s="62" t="s">
        <v>10816</v>
      </c>
      <c r="D3647" t="s">
        <v>63</v>
      </c>
      <c r="E3647" t="s">
        <v>11140</v>
      </c>
      <c r="F3647" s="61">
        <v>37346</v>
      </c>
      <c r="G3647" s="15" t="s">
        <v>73</v>
      </c>
      <c r="H3647" t="s">
        <v>11141</v>
      </c>
      <c r="I3647" s="62" t="s">
        <v>11142</v>
      </c>
      <c r="K3647" s="36" t="s">
        <v>68</v>
      </c>
      <c r="L3647" t="s">
        <v>69</v>
      </c>
      <c r="M3647" s="62" t="s">
        <v>70</v>
      </c>
      <c r="N3647" t="s">
        <v>11136</v>
      </c>
      <c r="O3647" t="str">
        <f>IFERROR(IF(Tbla_actores[[#This Row],[codigo_proyecto]]="","",_xlfn.XLOOKUP(Tbla_actores[[#This Row],[codigo_proyecto]],Proyectos!$A:$A,Proyectos!$C:$C)),"")</f>
        <v>Proyecto 18</v>
      </c>
    </row>
    <row r="3648" spans="1:15">
      <c r="A3648" s="9">
        <v>1014860758</v>
      </c>
      <c r="B3648" s="63" t="s">
        <v>10825</v>
      </c>
      <c r="C3648" s="62" t="s">
        <v>10816</v>
      </c>
      <c r="D3648" t="s">
        <v>63</v>
      </c>
      <c r="E3648" t="s">
        <v>11143</v>
      </c>
      <c r="F3648" s="61">
        <v>38692</v>
      </c>
      <c r="G3648" s="15" t="s">
        <v>73</v>
      </c>
      <c r="H3648" t="s">
        <v>11144</v>
      </c>
      <c r="I3648" s="62" t="s">
        <v>11145</v>
      </c>
      <c r="K3648" s="36" t="s">
        <v>68</v>
      </c>
      <c r="L3648" t="s">
        <v>69</v>
      </c>
      <c r="M3648" s="62" t="s">
        <v>70</v>
      </c>
      <c r="N3648" t="s">
        <v>11078</v>
      </c>
      <c r="O3648" t="str">
        <f>IFERROR(IF(Tbla_actores[[#This Row],[codigo_proyecto]]="","",_xlfn.XLOOKUP(Tbla_actores[[#This Row],[codigo_proyecto]],Proyectos!$A:$A,Proyectos!$C:$C)),"")</f>
        <v>OFICINA DE RESPONSABILIDAD SOCIAL</v>
      </c>
    </row>
    <row r="3649" spans="1:15">
      <c r="A3649" s="10">
        <v>1000851738</v>
      </c>
      <c r="B3649" s="64" t="s">
        <v>61</v>
      </c>
      <c r="C3649" s="62" t="s">
        <v>10816</v>
      </c>
      <c r="D3649" t="s">
        <v>63</v>
      </c>
      <c r="E3649" t="s">
        <v>11146</v>
      </c>
      <c r="F3649" s="61">
        <v>37404</v>
      </c>
      <c r="G3649" s="15" t="s">
        <v>73</v>
      </c>
      <c r="H3649" t="s">
        <v>11147</v>
      </c>
      <c r="I3649" s="62" t="s">
        <v>11148</v>
      </c>
      <c r="K3649" s="36" t="s">
        <v>68</v>
      </c>
      <c r="L3649" t="s">
        <v>69</v>
      </c>
      <c r="M3649" s="62" t="s">
        <v>70</v>
      </c>
      <c r="N3649" t="s">
        <v>11044</v>
      </c>
      <c r="O3649" t="str">
        <f>IFERROR(IF(Tbla_actores[[#This Row],[codigo_proyecto]]="","",_xlfn.XLOOKUP(Tbla_actores[[#This Row],[codigo_proyecto]],Proyectos!$A:$A,Proyectos!$C:$C)),"")</f>
        <v>PROGRAMA SOCIAL VIDAS MÓVILES (JAVERIANA)</v>
      </c>
    </row>
    <row r="3650" spans="1:15">
      <c r="A3650" s="9">
        <v>1016595634</v>
      </c>
      <c r="B3650" s="63" t="s">
        <v>61</v>
      </c>
      <c r="C3650" s="62" t="s">
        <v>10816</v>
      </c>
      <c r="D3650" t="s">
        <v>63</v>
      </c>
      <c r="E3650" t="s">
        <v>11149</v>
      </c>
      <c r="F3650" s="61">
        <v>38816</v>
      </c>
      <c r="G3650" s="15" t="s">
        <v>73</v>
      </c>
      <c r="H3650" t="s">
        <v>11150</v>
      </c>
      <c r="I3650" s="62" t="s">
        <v>11151</v>
      </c>
      <c r="K3650" s="36" t="s">
        <v>68</v>
      </c>
      <c r="L3650" t="s">
        <v>69</v>
      </c>
      <c r="M3650" s="62" t="s">
        <v>70</v>
      </c>
      <c r="N3650" t="s">
        <v>11029</v>
      </c>
      <c r="O3650" t="str">
        <f>IFERROR(IF(Tbla_actores[[#This Row],[codigo_proyecto]]="","",_xlfn.XLOOKUP(Tbla_actores[[#This Row],[codigo_proyecto]],Proyectos!$A:$A,Proyectos!$C:$C)),"")</f>
        <v>Herramienta Digital-familias</v>
      </c>
    </row>
    <row r="3651" spans="1:15">
      <c r="A3651" s="10">
        <v>1127942185</v>
      </c>
      <c r="B3651" s="64" t="s">
        <v>61</v>
      </c>
      <c r="C3651" s="62" t="s">
        <v>10816</v>
      </c>
      <c r="D3651" t="s">
        <v>63</v>
      </c>
      <c r="E3651" t="s">
        <v>11152</v>
      </c>
      <c r="F3651" s="61">
        <v>38070</v>
      </c>
      <c r="G3651" s="15" t="s">
        <v>73</v>
      </c>
      <c r="H3651" t="s">
        <v>11153</v>
      </c>
      <c r="I3651" s="62" t="s">
        <v>11154</v>
      </c>
      <c r="K3651" s="36" t="s">
        <v>68</v>
      </c>
      <c r="L3651" t="s">
        <v>69</v>
      </c>
      <c r="M3651" s="62" t="s">
        <v>70</v>
      </c>
      <c r="N3651" t="s">
        <v>11136</v>
      </c>
      <c r="O3651" t="str">
        <f>IFERROR(IF(Tbla_actores[[#This Row],[codigo_proyecto]]="","",_xlfn.XLOOKUP(Tbla_actores[[#This Row],[codigo_proyecto]],Proyectos!$A:$A,Proyectos!$C:$C)),"")</f>
        <v>Proyecto 18</v>
      </c>
    </row>
    <row r="3652" spans="1:15">
      <c r="A3652" s="9">
        <v>1069642031</v>
      </c>
      <c r="B3652" s="63" t="s">
        <v>61</v>
      </c>
      <c r="C3652" s="62" t="s">
        <v>10816</v>
      </c>
      <c r="D3652" t="s">
        <v>63</v>
      </c>
      <c r="E3652" t="s">
        <v>11155</v>
      </c>
      <c r="F3652" s="61">
        <v>38306</v>
      </c>
      <c r="G3652" s="15" t="s">
        <v>73</v>
      </c>
      <c r="H3652" t="s">
        <v>11156</v>
      </c>
      <c r="I3652" s="62" t="s">
        <v>11157</v>
      </c>
      <c r="K3652" s="36" t="s">
        <v>68</v>
      </c>
      <c r="L3652" t="s">
        <v>69</v>
      </c>
      <c r="M3652" s="62" t="s">
        <v>70</v>
      </c>
      <c r="N3652" t="s">
        <v>11011</v>
      </c>
      <c r="O3652" t="str">
        <f>IFERROR(IF(Tbla_actores[[#This Row],[codigo_proyecto]]="","",_xlfn.XLOOKUP(Tbla_actores[[#This Row],[codigo_proyecto]],Proyectos!$A:$A,Proyectos!$C:$C)),"")</f>
        <v>Proyecto 14</v>
      </c>
    </row>
    <row r="3653" spans="1:15">
      <c r="A3653" s="10">
        <v>1101002</v>
      </c>
      <c r="B3653" s="64" t="s">
        <v>11124</v>
      </c>
      <c r="C3653" s="62" t="s">
        <v>10816</v>
      </c>
      <c r="D3653" t="s">
        <v>63</v>
      </c>
      <c r="E3653" t="s">
        <v>11158</v>
      </c>
      <c r="F3653" s="61">
        <v>38608</v>
      </c>
      <c r="G3653" s="15" t="s">
        <v>73</v>
      </c>
      <c r="H3653" t="s">
        <v>11159</v>
      </c>
      <c r="I3653" s="62" t="s">
        <v>11160</v>
      </c>
      <c r="K3653" s="36" t="s">
        <v>68</v>
      </c>
      <c r="L3653" t="s">
        <v>69</v>
      </c>
      <c r="M3653" s="62" t="s">
        <v>70</v>
      </c>
      <c r="N3653" t="s">
        <v>11132</v>
      </c>
      <c r="O3653" t="str">
        <f>IFERROR(IF(Tbla_actores[[#This Row],[codigo_proyecto]]="","",_xlfn.XLOOKUP(Tbla_actores[[#This Row],[codigo_proyecto]],Proyectos!$A:$A,Proyectos!$C:$C)),"")</f>
        <v>Proyecto 1</v>
      </c>
    </row>
    <row r="3654" spans="1:15">
      <c r="A3654" s="9">
        <v>1014859237</v>
      </c>
      <c r="B3654" s="63" t="s">
        <v>61</v>
      </c>
      <c r="C3654" s="62" t="s">
        <v>10816</v>
      </c>
      <c r="D3654" t="s">
        <v>63</v>
      </c>
      <c r="E3654" t="s">
        <v>11161</v>
      </c>
      <c r="F3654" s="61">
        <v>38560</v>
      </c>
      <c r="G3654" s="15" t="s">
        <v>73</v>
      </c>
      <c r="H3654" t="s">
        <v>11162</v>
      </c>
      <c r="I3654" s="62" t="s">
        <v>11163</v>
      </c>
      <c r="K3654" s="36" t="s">
        <v>68</v>
      </c>
      <c r="L3654" t="s">
        <v>69</v>
      </c>
      <c r="M3654" s="62" t="s">
        <v>70</v>
      </c>
      <c r="N3654" t="s">
        <v>11052</v>
      </c>
      <c r="O3654" t="str">
        <f>IFERROR(IF(Tbla_actores[[#This Row],[codigo_proyecto]]="","",_xlfn.XLOOKUP(Tbla_actores[[#This Row],[codigo_proyecto]],Proyectos!$A:$A,Proyectos!$C:$C)),"")</f>
        <v>Proyecto 6</v>
      </c>
    </row>
    <row r="3655" spans="1:15">
      <c r="A3655" s="10">
        <v>1000470450</v>
      </c>
      <c r="B3655" s="64" t="s">
        <v>61</v>
      </c>
      <c r="C3655" s="62" t="s">
        <v>10816</v>
      </c>
      <c r="D3655" t="s">
        <v>63</v>
      </c>
      <c r="E3655" t="s">
        <v>11164</v>
      </c>
      <c r="F3655" s="61">
        <v>37750</v>
      </c>
      <c r="G3655" s="15" t="s">
        <v>73</v>
      </c>
      <c r="H3655" t="s">
        <v>11165</v>
      </c>
      <c r="I3655" s="62" t="s">
        <v>11166</v>
      </c>
      <c r="K3655" s="36" t="s">
        <v>68</v>
      </c>
      <c r="L3655" t="s">
        <v>69</v>
      </c>
      <c r="M3655" s="62" t="s">
        <v>70</v>
      </c>
      <c r="N3655" t="s">
        <v>11007</v>
      </c>
      <c r="O3655" t="str">
        <f>IFERROR(IF(Tbla_actores[[#This Row],[codigo_proyecto]]="","",_xlfn.XLOOKUP(Tbla_actores[[#This Row],[codigo_proyecto]],Proyectos!$A:$A,Proyectos!$C:$C)),"")</f>
        <v>Sede CDC Semillas de Esperanza</v>
      </c>
    </row>
    <row r="3656" spans="1:15">
      <c r="A3656" s="9">
        <v>1021669699</v>
      </c>
      <c r="B3656" s="63" t="s">
        <v>61</v>
      </c>
      <c r="C3656" s="62" t="s">
        <v>10816</v>
      </c>
      <c r="D3656" t="s">
        <v>63</v>
      </c>
      <c r="E3656" t="s">
        <v>11167</v>
      </c>
      <c r="F3656" s="61">
        <v>38707</v>
      </c>
      <c r="G3656" s="15" t="s">
        <v>73</v>
      </c>
      <c r="H3656" t="s">
        <v>11168</v>
      </c>
      <c r="I3656" s="62" t="s">
        <v>11169</v>
      </c>
      <c r="K3656" s="36" t="s">
        <v>68</v>
      </c>
      <c r="L3656" t="s">
        <v>69</v>
      </c>
      <c r="M3656" s="62" t="s">
        <v>70</v>
      </c>
      <c r="N3656" t="s">
        <v>11132</v>
      </c>
      <c r="O3656" t="str">
        <f>IFERROR(IF(Tbla_actores[[#This Row],[codigo_proyecto]]="","",_xlfn.XLOOKUP(Tbla_actores[[#This Row],[codigo_proyecto]],Proyectos!$A:$A,Proyectos!$C:$C)),"")</f>
        <v>Proyecto 1</v>
      </c>
    </row>
    <row r="3657" spans="1:15">
      <c r="A3657" s="10">
        <v>1057979310</v>
      </c>
      <c r="B3657" s="64" t="s">
        <v>61</v>
      </c>
      <c r="C3657" s="62" t="s">
        <v>10816</v>
      </c>
      <c r="D3657" t="s">
        <v>63</v>
      </c>
      <c r="E3657" t="s">
        <v>11170</v>
      </c>
      <c r="F3657" s="61">
        <v>38754</v>
      </c>
      <c r="G3657" s="15" t="s">
        <v>65</v>
      </c>
      <c r="H3657" t="s">
        <v>11171</v>
      </c>
      <c r="I3657" s="62" t="s">
        <v>11172</v>
      </c>
      <c r="K3657" s="36" t="s">
        <v>68</v>
      </c>
      <c r="L3657" t="s">
        <v>69</v>
      </c>
      <c r="M3657" s="62" t="s">
        <v>70</v>
      </c>
      <c r="N3657" t="s">
        <v>11132</v>
      </c>
      <c r="O3657" t="str">
        <f>IFERROR(IF(Tbla_actores[[#This Row],[codigo_proyecto]]="","",_xlfn.XLOOKUP(Tbla_actores[[#This Row],[codigo_proyecto]],Proyectos!$A:$A,Proyectos!$C:$C)),"")</f>
        <v>Proyecto 1</v>
      </c>
    </row>
    <row r="3658" spans="1:15">
      <c r="A3658" s="9">
        <v>1034659411</v>
      </c>
      <c r="B3658" s="63" t="s">
        <v>61</v>
      </c>
      <c r="C3658" s="62" t="s">
        <v>10816</v>
      </c>
      <c r="D3658" t="s">
        <v>63</v>
      </c>
      <c r="E3658" t="s">
        <v>11173</v>
      </c>
      <c r="F3658" s="61">
        <v>38723</v>
      </c>
      <c r="G3658" s="15" t="s">
        <v>65</v>
      </c>
      <c r="H3658" t="s">
        <v>11174</v>
      </c>
      <c r="I3658" s="62" t="s">
        <v>11175</v>
      </c>
      <c r="K3658" s="36" t="s">
        <v>68</v>
      </c>
      <c r="L3658" t="s">
        <v>69</v>
      </c>
      <c r="M3658" s="62" t="s">
        <v>70</v>
      </c>
      <c r="N3658" t="s">
        <v>11176</v>
      </c>
      <c r="O3658" t="str">
        <f>IFERROR(IF(Tbla_actores[[#This Row],[codigo_proyecto]]="","",_xlfn.XLOOKUP(Tbla_actores[[#This Row],[codigo_proyecto]],Proyectos!$A:$A,Proyectos!$C:$C)),"")</f>
        <v>Red Juvenil Ignaciana</v>
      </c>
    </row>
    <row r="3659" spans="1:15">
      <c r="A3659" s="10">
        <v>1023162732</v>
      </c>
      <c r="B3659" s="64" t="s">
        <v>61</v>
      </c>
      <c r="C3659" s="62" t="s">
        <v>10816</v>
      </c>
      <c r="D3659" t="s">
        <v>63</v>
      </c>
      <c r="E3659" t="s">
        <v>11177</v>
      </c>
      <c r="F3659" s="61">
        <v>38239</v>
      </c>
      <c r="G3659" s="15" t="s">
        <v>73</v>
      </c>
      <c r="H3659" t="s">
        <v>11178</v>
      </c>
      <c r="I3659" s="62" t="s">
        <v>11179</v>
      </c>
      <c r="K3659" s="36" t="s">
        <v>68</v>
      </c>
      <c r="L3659" t="s">
        <v>69</v>
      </c>
      <c r="M3659" s="62" t="s">
        <v>70</v>
      </c>
      <c r="N3659" t="s">
        <v>11052</v>
      </c>
      <c r="O3659" t="str">
        <f>IFERROR(IF(Tbla_actores[[#This Row],[codigo_proyecto]]="","",_xlfn.XLOOKUP(Tbla_actores[[#This Row],[codigo_proyecto]],Proyectos!$A:$A,Proyectos!$C:$C)),"")</f>
        <v>Proyecto 6</v>
      </c>
    </row>
    <row r="3660" spans="1:15">
      <c r="A3660" s="9">
        <v>1025060610</v>
      </c>
      <c r="B3660" s="63" t="s">
        <v>61</v>
      </c>
      <c r="C3660" s="62" t="s">
        <v>10816</v>
      </c>
      <c r="D3660" t="s">
        <v>63</v>
      </c>
      <c r="E3660" t="s">
        <v>11180</v>
      </c>
      <c r="F3660" s="61">
        <v>38223</v>
      </c>
      <c r="G3660" s="15" t="s">
        <v>65</v>
      </c>
      <c r="H3660" t="s">
        <v>11181</v>
      </c>
      <c r="I3660" s="62" t="s">
        <v>11182</v>
      </c>
      <c r="K3660" s="36" t="s">
        <v>68</v>
      </c>
      <c r="L3660" t="s">
        <v>69</v>
      </c>
      <c r="M3660" s="62" t="s">
        <v>70</v>
      </c>
      <c r="N3660" t="s">
        <v>11132</v>
      </c>
      <c r="O3660" t="str">
        <f>IFERROR(IF(Tbla_actores[[#This Row],[codigo_proyecto]]="","",_xlfn.XLOOKUP(Tbla_actores[[#This Row],[codigo_proyecto]],Proyectos!$A:$A,Proyectos!$C:$C)),"")</f>
        <v>Proyecto 1</v>
      </c>
    </row>
    <row r="3661" spans="1:15">
      <c r="A3661" s="10">
        <v>1021670235</v>
      </c>
      <c r="B3661" s="64" t="s">
        <v>61</v>
      </c>
      <c r="C3661" s="62" t="s">
        <v>10816</v>
      </c>
      <c r="D3661" t="s">
        <v>63</v>
      </c>
      <c r="E3661" t="s">
        <v>11183</v>
      </c>
      <c r="F3661" s="61">
        <v>38646</v>
      </c>
      <c r="G3661" s="15" t="s">
        <v>65</v>
      </c>
      <c r="H3661" t="s">
        <v>11184</v>
      </c>
      <c r="I3661" s="62" t="s">
        <v>11185</v>
      </c>
      <c r="K3661" s="36" t="s">
        <v>68</v>
      </c>
      <c r="L3661" t="s">
        <v>69</v>
      </c>
      <c r="M3661" s="62" t="s">
        <v>70</v>
      </c>
      <c r="N3661" t="s">
        <v>11136</v>
      </c>
      <c r="O3661" t="str">
        <f>IFERROR(IF(Tbla_actores[[#This Row],[codigo_proyecto]]="","",_xlfn.XLOOKUP(Tbla_actores[[#This Row],[codigo_proyecto]],Proyectos!$A:$A,Proyectos!$C:$C)),"")</f>
        <v>Proyecto 18</v>
      </c>
    </row>
    <row r="3662" spans="1:15">
      <c r="A3662" s="9">
        <v>1001043400</v>
      </c>
      <c r="B3662" s="63" t="s">
        <v>61</v>
      </c>
      <c r="C3662" s="62" t="s">
        <v>10816</v>
      </c>
      <c r="D3662" t="s">
        <v>63</v>
      </c>
      <c r="E3662" t="s">
        <v>11186</v>
      </c>
      <c r="F3662" s="61">
        <v>37078</v>
      </c>
      <c r="G3662" s="15" t="s">
        <v>73</v>
      </c>
      <c r="H3662" t="s">
        <v>11187</v>
      </c>
      <c r="I3662" s="62" t="s">
        <v>11188</v>
      </c>
      <c r="K3662" s="36" t="s">
        <v>68</v>
      </c>
      <c r="L3662" t="s">
        <v>69</v>
      </c>
      <c r="M3662" s="62" t="s">
        <v>70</v>
      </c>
      <c r="N3662" t="s">
        <v>11176</v>
      </c>
      <c r="O3662" t="str">
        <f>IFERROR(IF(Tbla_actores[[#This Row],[codigo_proyecto]]="","",_xlfn.XLOOKUP(Tbla_actores[[#This Row],[codigo_proyecto]],Proyectos!$A:$A,Proyectos!$C:$C)),"")</f>
        <v>Red Juvenil Ignaciana</v>
      </c>
    </row>
    <row r="3663" spans="1:15">
      <c r="A3663" s="10">
        <v>1014857025</v>
      </c>
      <c r="B3663" s="64" t="s">
        <v>61</v>
      </c>
      <c r="C3663" s="62" t="s">
        <v>10816</v>
      </c>
      <c r="D3663" t="s">
        <v>63</v>
      </c>
      <c r="E3663" t="s">
        <v>11189</v>
      </c>
      <c r="F3663" s="61">
        <v>38193</v>
      </c>
      <c r="G3663" s="15" t="s">
        <v>65</v>
      </c>
      <c r="H3663" t="s">
        <v>11190</v>
      </c>
      <c r="I3663" s="62" t="s">
        <v>11191</v>
      </c>
      <c r="K3663" s="36" t="s">
        <v>68</v>
      </c>
      <c r="L3663" t="s">
        <v>69</v>
      </c>
      <c r="M3663" s="62" t="s">
        <v>70</v>
      </c>
      <c r="N3663" t="s">
        <v>11192</v>
      </c>
      <c r="O3663" t="str">
        <f>IFERROR(IF(Tbla_actores[[#This Row],[codigo_proyecto]]="","",_xlfn.XLOOKUP(Tbla_actores[[#This Row],[codigo_proyecto]],Proyectos!$A:$A,Proyectos!$C:$C)),"")</f>
        <v>Proyecto 2</v>
      </c>
    </row>
    <row r="3664" spans="1:15">
      <c r="A3664" s="9">
        <v>1025521152</v>
      </c>
      <c r="B3664" s="63" t="s">
        <v>10825</v>
      </c>
      <c r="C3664" s="62" t="s">
        <v>10816</v>
      </c>
      <c r="D3664" t="s">
        <v>63</v>
      </c>
      <c r="E3664" t="s">
        <v>11193</v>
      </c>
      <c r="F3664" s="61">
        <v>38017</v>
      </c>
      <c r="G3664" s="15" t="s">
        <v>73</v>
      </c>
      <c r="H3664" t="s">
        <v>11194</v>
      </c>
      <c r="I3664" s="62" t="s">
        <v>11195</v>
      </c>
      <c r="K3664" s="36" t="s">
        <v>68</v>
      </c>
      <c r="L3664" t="s">
        <v>69</v>
      </c>
      <c r="M3664" s="62" t="s">
        <v>70</v>
      </c>
      <c r="N3664" t="s">
        <v>11015</v>
      </c>
      <c r="O3664" t="str">
        <f>IFERROR(IF(Tbla_actores[[#This Row],[codigo_proyecto]]="","",_xlfn.XLOOKUP(Tbla_actores[[#This Row],[codigo_proyecto]],Proyectos!$A:$A,Proyectos!$C:$C)),"")</f>
        <v>API WhatsApp o Instagram</v>
      </c>
    </row>
    <row r="3665" spans="1:15">
      <c r="A3665" s="10">
        <v>1014859430</v>
      </c>
      <c r="B3665" s="64" t="s">
        <v>61</v>
      </c>
      <c r="C3665" s="62" t="s">
        <v>10816</v>
      </c>
      <c r="D3665" t="s">
        <v>63</v>
      </c>
      <c r="E3665" t="s">
        <v>11196</v>
      </c>
      <c r="F3665" s="61">
        <v>38583</v>
      </c>
      <c r="G3665" s="15" t="s">
        <v>73</v>
      </c>
      <c r="H3665" t="s">
        <v>11197</v>
      </c>
      <c r="I3665" s="62" t="s">
        <v>11198</v>
      </c>
      <c r="K3665" s="36" t="s">
        <v>68</v>
      </c>
      <c r="L3665" t="s">
        <v>69</v>
      </c>
      <c r="M3665" s="62" t="s">
        <v>70</v>
      </c>
      <c r="N3665" t="s">
        <v>11052</v>
      </c>
      <c r="O3665" t="str">
        <f>IFERROR(IF(Tbla_actores[[#This Row],[codigo_proyecto]]="","",_xlfn.XLOOKUP(Tbla_actores[[#This Row],[codigo_proyecto]],Proyectos!$A:$A,Proyectos!$C:$C)),"")</f>
        <v>Proyecto 6</v>
      </c>
    </row>
    <row r="3666" spans="1:15">
      <c r="A3666" s="9">
        <v>1027400439</v>
      </c>
      <c r="B3666" s="63" t="s">
        <v>61</v>
      </c>
      <c r="C3666" s="62" t="s">
        <v>10816</v>
      </c>
      <c r="D3666" t="s">
        <v>63</v>
      </c>
      <c r="E3666" t="s">
        <v>11199</v>
      </c>
      <c r="F3666" s="61">
        <v>38209</v>
      </c>
      <c r="G3666" s="15" t="s">
        <v>73</v>
      </c>
      <c r="H3666" t="s">
        <v>11200</v>
      </c>
      <c r="I3666" s="62" t="s">
        <v>11201</v>
      </c>
      <c r="K3666" s="36" t="s">
        <v>68</v>
      </c>
      <c r="L3666" t="s">
        <v>69</v>
      </c>
      <c r="M3666" s="62" t="s">
        <v>70</v>
      </c>
      <c r="N3666" t="s">
        <v>11044</v>
      </c>
      <c r="O3666" t="str">
        <f>IFERROR(IF(Tbla_actores[[#This Row],[codigo_proyecto]]="","",_xlfn.XLOOKUP(Tbla_actores[[#This Row],[codigo_proyecto]],Proyectos!$A:$A,Proyectos!$C:$C)),"")</f>
        <v>PROGRAMA SOCIAL VIDAS MÓVILES (JAVERIANA)</v>
      </c>
    </row>
    <row r="3667" spans="1:15">
      <c r="A3667" s="10">
        <v>1013102524</v>
      </c>
      <c r="B3667" s="64" t="s">
        <v>61</v>
      </c>
      <c r="C3667" s="62" t="s">
        <v>10816</v>
      </c>
      <c r="D3667" t="s">
        <v>63</v>
      </c>
      <c r="E3667" t="s">
        <v>11202</v>
      </c>
      <c r="F3667" s="61">
        <v>38295</v>
      </c>
      <c r="G3667" s="15" t="s">
        <v>73</v>
      </c>
      <c r="H3667" t="s">
        <v>11203</v>
      </c>
      <c r="I3667" s="62" t="s">
        <v>11204</v>
      </c>
      <c r="K3667" s="36" t="s">
        <v>68</v>
      </c>
      <c r="L3667" t="s">
        <v>69</v>
      </c>
      <c r="M3667" s="62" t="s">
        <v>70</v>
      </c>
      <c r="N3667" t="s">
        <v>11136</v>
      </c>
      <c r="O3667" t="str">
        <f>IFERROR(IF(Tbla_actores[[#This Row],[codigo_proyecto]]="","",_xlfn.XLOOKUP(Tbla_actores[[#This Row],[codigo_proyecto]],Proyectos!$A:$A,Proyectos!$C:$C)),"")</f>
        <v>Proyecto 18</v>
      </c>
    </row>
    <row r="3668" spans="1:15">
      <c r="A3668" s="9">
        <v>1019985198</v>
      </c>
      <c r="B3668" s="63" t="s">
        <v>61</v>
      </c>
      <c r="C3668" s="62" t="s">
        <v>10816</v>
      </c>
      <c r="D3668" t="s">
        <v>63</v>
      </c>
      <c r="E3668" t="s">
        <v>11205</v>
      </c>
      <c r="F3668" s="61">
        <v>38419</v>
      </c>
      <c r="G3668" s="15" t="s">
        <v>73</v>
      </c>
      <c r="H3668" t="s">
        <v>11206</v>
      </c>
      <c r="I3668" s="62" t="s">
        <v>11207</v>
      </c>
      <c r="K3668" s="36" t="s">
        <v>68</v>
      </c>
      <c r="L3668" t="s">
        <v>69</v>
      </c>
      <c r="M3668" s="62" t="s">
        <v>70</v>
      </c>
      <c r="N3668" t="s">
        <v>11132</v>
      </c>
      <c r="O3668" t="str">
        <f>IFERROR(IF(Tbla_actores[[#This Row],[codigo_proyecto]]="","",_xlfn.XLOOKUP(Tbla_actores[[#This Row],[codigo_proyecto]],Proyectos!$A:$A,Proyectos!$C:$C)),"")</f>
        <v>Proyecto 1</v>
      </c>
    </row>
    <row r="3669" spans="1:15">
      <c r="A3669" s="10">
        <v>1019842367</v>
      </c>
      <c r="B3669" s="64" t="s">
        <v>61</v>
      </c>
      <c r="C3669" s="62" t="s">
        <v>10816</v>
      </c>
      <c r="D3669" t="s">
        <v>63</v>
      </c>
      <c r="E3669" t="s">
        <v>11208</v>
      </c>
      <c r="F3669" s="61">
        <v>38321</v>
      </c>
      <c r="G3669" s="15" t="s">
        <v>73</v>
      </c>
      <c r="H3669" t="s">
        <v>11209</v>
      </c>
      <c r="I3669" s="62" t="s">
        <v>11210</v>
      </c>
      <c r="K3669" s="36" t="s">
        <v>68</v>
      </c>
      <c r="L3669" t="s">
        <v>69</v>
      </c>
      <c r="M3669" s="62" t="s">
        <v>70</v>
      </c>
      <c r="N3669" t="s">
        <v>11036</v>
      </c>
      <c r="O3669" t="str">
        <f>IFERROR(IF(Tbla_actores[[#This Row],[codigo_proyecto]]="","",_xlfn.XLOOKUP(Tbla_actores[[#This Row],[codigo_proyecto]],Proyectos!$A:$A,Proyectos!$C:$C)),"")</f>
        <v>Aplicativo Web de Gestión de Reservas</v>
      </c>
    </row>
    <row r="3670" spans="1:15">
      <c r="A3670" s="9">
        <v>1033097195</v>
      </c>
      <c r="B3670" s="63" t="s">
        <v>10825</v>
      </c>
      <c r="C3670" s="62" t="s">
        <v>10816</v>
      </c>
      <c r="D3670" t="s">
        <v>63</v>
      </c>
      <c r="E3670" t="s">
        <v>11211</v>
      </c>
      <c r="F3670" s="61">
        <v>38267</v>
      </c>
      <c r="G3670" s="15" t="s">
        <v>73</v>
      </c>
      <c r="H3670" t="s">
        <v>11212</v>
      </c>
      <c r="I3670" s="62" t="s">
        <v>11213</v>
      </c>
      <c r="K3670" s="36" t="s">
        <v>68</v>
      </c>
      <c r="L3670" t="s">
        <v>69</v>
      </c>
      <c r="M3670" s="62" t="s">
        <v>70</v>
      </c>
      <c r="N3670" t="s">
        <v>11056</v>
      </c>
      <c r="O3670" t="str">
        <f>IFERROR(IF(Tbla_actores[[#This Row],[codigo_proyecto]]="","",_xlfn.XLOOKUP(Tbla_actores[[#This Row],[codigo_proyecto]],Proyectos!$A:$A,Proyectos!$C:$C)),"")</f>
        <v>Proyecto 2</v>
      </c>
    </row>
    <row r="3671" spans="1:15">
      <c r="A3671" s="10">
        <v>1023242707</v>
      </c>
      <c r="B3671" s="64" t="s">
        <v>61</v>
      </c>
      <c r="C3671" s="62" t="s">
        <v>10816</v>
      </c>
      <c r="D3671" t="s">
        <v>63</v>
      </c>
      <c r="E3671" t="s">
        <v>11214</v>
      </c>
      <c r="F3671" s="61">
        <v>38702</v>
      </c>
      <c r="G3671" s="15" t="s">
        <v>73</v>
      </c>
      <c r="H3671" t="s">
        <v>11215</v>
      </c>
      <c r="I3671" s="62" t="s">
        <v>11216</v>
      </c>
      <c r="K3671" s="36" t="s">
        <v>68</v>
      </c>
      <c r="L3671" t="s">
        <v>69</v>
      </c>
      <c r="M3671" s="62" t="s">
        <v>70</v>
      </c>
      <c r="N3671" t="s">
        <v>11078</v>
      </c>
      <c r="O3671" t="str">
        <f>IFERROR(IF(Tbla_actores[[#This Row],[codigo_proyecto]]="","",_xlfn.XLOOKUP(Tbla_actores[[#This Row],[codigo_proyecto]],Proyectos!$A:$A,Proyectos!$C:$C)),"")</f>
        <v>OFICINA DE RESPONSABILIDAD SOCIAL</v>
      </c>
    </row>
    <row r="3672" spans="1:15">
      <c r="A3672" s="9">
        <v>1004579425</v>
      </c>
      <c r="B3672" s="63" t="s">
        <v>61</v>
      </c>
      <c r="C3672" s="62" t="s">
        <v>10816</v>
      </c>
      <c r="D3672" t="s">
        <v>63</v>
      </c>
      <c r="E3672" t="s">
        <v>11217</v>
      </c>
      <c r="F3672" s="61">
        <v>37233</v>
      </c>
      <c r="G3672" s="15" t="s">
        <v>73</v>
      </c>
      <c r="H3672" t="s">
        <v>11218</v>
      </c>
      <c r="I3672" s="62" t="s">
        <v>11219</v>
      </c>
      <c r="K3672" s="36" t="s">
        <v>68</v>
      </c>
      <c r="L3672" t="s">
        <v>69</v>
      </c>
      <c r="M3672" s="62" t="s">
        <v>70</v>
      </c>
      <c r="N3672" t="s">
        <v>11220</v>
      </c>
      <c r="O3672" t="str">
        <f>IFERROR(IF(Tbla_actores[[#This Row],[codigo_proyecto]]="","",_xlfn.XLOOKUP(Tbla_actores[[#This Row],[codigo_proyecto]],Proyectos!$A:$A,Proyectos!$C:$C)),"")</f>
        <v>PROSOFI - TYWA KHE</v>
      </c>
    </row>
    <row r="3673" spans="1:15">
      <c r="A3673" s="10">
        <v>1014858845</v>
      </c>
      <c r="B3673" s="64" t="s">
        <v>61</v>
      </c>
      <c r="C3673" s="62" t="s">
        <v>10816</v>
      </c>
      <c r="D3673" t="s">
        <v>63</v>
      </c>
      <c r="E3673" t="s">
        <v>11221</v>
      </c>
      <c r="F3673" s="61">
        <v>38508</v>
      </c>
      <c r="G3673" s="15" t="s">
        <v>73</v>
      </c>
      <c r="H3673" t="s">
        <v>11222</v>
      </c>
      <c r="I3673" s="62" t="s">
        <v>11223</v>
      </c>
      <c r="K3673" s="36" t="s">
        <v>68</v>
      </c>
      <c r="L3673" t="s">
        <v>69</v>
      </c>
      <c r="M3673" s="62" t="s">
        <v>70</v>
      </c>
      <c r="N3673" t="s">
        <v>11224</v>
      </c>
      <c r="O3673" t="str">
        <f>IFERROR(IF(Tbla_actores[[#This Row],[codigo_proyecto]]="","",_xlfn.XLOOKUP(Tbla_actores[[#This Row],[codigo_proyecto]],Proyectos!$A:$A,Proyectos!$C:$C)),"")</f>
        <v>Grupo comunitario Consentir Canitas</v>
      </c>
    </row>
    <row r="3674" spans="1:15">
      <c r="A3674" s="9">
        <v>1033097753</v>
      </c>
      <c r="B3674" s="63" t="s">
        <v>61</v>
      </c>
      <c r="C3674" s="62" t="s">
        <v>10816</v>
      </c>
      <c r="D3674" t="s">
        <v>63</v>
      </c>
      <c r="E3674" t="s">
        <v>11225</v>
      </c>
      <c r="F3674" s="61">
        <v>38409</v>
      </c>
      <c r="G3674" s="15" t="s">
        <v>73</v>
      </c>
      <c r="H3674" t="s">
        <v>11226</v>
      </c>
      <c r="I3674" s="62" t="s">
        <v>11227</v>
      </c>
      <c r="K3674" s="36" t="s">
        <v>68</v>
      </c>
      <c r="L3674" t="s">
        <v>69</v>
      </c>
      <c r="M3674" s="62" t="s">
        <v>70</v>
      </c>
      <c r="N3674" t="s">
        <v>11228</v>
      </c>
      <c r="O3674" t="str">
        <f>IFERROR(IF(Tbla_actores[[#This Row],[codigo_proyecto]]="","",_xlfn.XLOOKUP(Tbla_actores[[#This Row],[codigo_proyecto]],Proyectos!$A:$A,Proyectos!$C:$C)),"")</f>
        <v>Proyecto 24</v>
      </c>
    </row>
    <row r="3675" spans="1:15">
      <c r="A3675" s="10">
        <v>1034302337</v>
      </c>
      <c r="B3675" s="64" t="s">
        <v>61</v>
      </c>
      <c r="C3675" s="62" t="s">
        <v>10816</v>
      </c>
      <c r="D3675" t="s">
        <v>63</v>
      </c>
      <c r="E3675" t="s">
        <v>11229</v>
      </c>
      <c r="F3675" s="61">
        <v>38560</v>
      </c>
      <c r="G3675" s="15" t="s">
        <v>65</v>
      </c>
      <c r="H3675" t="s">
        <v>11230</v>
      </c>
      <c r="I3675" s="62" t="s">
        <v>11231</v>
      </c>
      <c r="K3675" s="36" t="s">
        <v>68</v>
      </c>
      <c r="L3675" t="s">
        <v>69</v>
      </c>
      <c r="M3675" s="62" t="s">
        <v>70</v>
      </c>
      <c r="N3675" t="s">
        <v>11232</v>
      </c>
      <c r="O3675" t="str">
        <f>IFERROR(IF(Tbla_actores[[#This Row],[codigo_proyecto]]="","",_xlfn.XLOOKUP(Tbla_actores[[#This Row],[codigo_proyecto]],Proyectos!$A:$A,Proyectos!$C:$C)),"")</f>
        <v>PROSOFI - GABRIEL GARCIA MÁRQUEZ</v>
      </c>
    </row>
    <row r="3676" spans="1:15">
      <c r="A3676" s="9">
        <v>1032506949</v>
      </c>
      <c r="B3676" s="63" t="s">
        <v>61</v>
      </c>
      <c r="C3676" s="62" t="s">
        <v>10816</v>
      </c>
      <c r="D3676" t="s">
        <v>63</v>
      </c>
      <c r="E3676" t="s">
        <v>11233</v>
      </c>
      <c r="F3676" s="61">
        <v>36392</v>
      </c>
      <c r="G3676" s="15" t="s">
        <v>73</v>
      </c>
      <c r="H3676" t="s">
        <v>11234</v>
      </c>
      <c r="I3676" s="62" t="s">
        <v>11235</v>
      </c>
      <c r="K3676" s="36" t="s">
        <v>68</v>
      </c>
      <c r="L3676" t="s">
        <v>69</v>
      </c>
      <c r="M3676" s="62" t="s">
        <v>70</v>
      </c>
      <c r="N3676" t="s">
        <v>11236</v>
      </c>
      <c r="O3676" t="str">
        <f>IFERROR(IF(Tbla_actores[[#This Row],[codigo_proyecto]]="","",_xlfn.XLOOKUP(Tbla_actores[[#This Row],[codigo_proyecto]],Proyectos!$A:$A,Proyectos!$C:$C)),"")</f>
        <v>Proyecto 13</v>
      </c>
    </row>
    <row r="3677" spans="1:15">
      <c r="A3677" s="10">
        <v>1006110037</v>
      </c>
      <c r="B3677" s="64" t="s">
        <v>61</v>
      </c>
      <c r="C3677" s="62" t="s">
        <v>10816</v>
      </c>
      <c r="D3677" t="s">
        <v>63</v>
      </c>
      <c r="E3677" t="s">
        <v>11237</v>
      </c>
      <c r="F3677" s="61">
        <v>37656</v>
      </c>
      <c r="G3677" s="15" t="s">
        <v>73</v>
      </c>
      <c r="H3677" t="s">
        <v>11238</v>
      </c>
      <c r="I3677" s="62" t="s">
        <v>11239</v>
      </c>
      <c r="K3677" s="36" t="s">
        <v>68</v>
      </c>
      <c r="L3677" t="s">
        <v>69</v>
      </c>
      <c r="M3677" s="62" t="s">
        <v>70</v>
      </c>
      <c r="N3677" t="s">
        <v>11240</v>
      </c>
      <c r="O3677" t="str">
        <f>IFERROR(IF(Tbla_actores[[#This Row],[codigo_proyecto]]="","",_xlfn.XLOOKUP(Tbla_actores[[#This Row],[codigo_proyecto]],Proyectos!$A:$A,Proyectos!$C:$C)),"")</f>
        <v>Proyección Social Ingeniería - VISUALIZACIÓN DE DATOS</v>
      </c>
    </row>
    <row r="3678" spans="1:15">
      <c r="A3678" s="9">
        <v>1012427796</v>
      </c>
      <c r="B3678" s="63" t="s">
        <v>61</v>
      </c>
      <c r="C3678" s="62" t="s">
        <v>10816</v>
      </c>
      <c r="D3678" t="s">
        <v>63</v>
      </c>
      <c r="E3678" t="s">
        <v>11241</v>
      </c>
      <c r="F3678" s="61">
        <v>35046</v>
      </c>
      <c r="G3678" s="15" t="s">
        <v>73</v>
      </c>
      <c r="H3678" t="s">
        <v>11242</v>
      </c>
      <c r="I3678" s="62" t="s">
        <v>11243</v>
      </c>
      <c r="K3678" s="36" t="s">
        <v>11244</v>
      </c>
      <c r="L3678" t="s">
        <v>69</v>
      </c>
      <c r="M3678" s="62" t="s">
        <v>70</v>
      </c>
      <c r="N3678" t="s">
        <v>11236</v>
      </c>
      <c r="O3678" t="str">
        <f>IFERROR(IF(Tbla_actores[[#This Row],[codigo_proyecto]]="","",_xlfn.XLOOKUP(Tbla_actores[[#This Row],[codigo_proyecto]],Proyectos!$A:$A,Proyectos!$C:$C)),"")</f>
        <v>Proyecto 13</v>
      </c>
    </row>
    <row r="3679" spans="1:15">
      <c r="A3679" s="10">
        <v>1032938115</v>
      </c>
      <c r="B3679" s="64" t="s">
        <v>61</v>
      </c>
      <c r="C3679" s="62" t="s">
        <v>10816</v>
      </c>
      <c r="D3679" t="s">
        <v>63</v>
      </c>
      <c r="E3679" t="s">
        <v>11245</v>
      </c>
      <c r="F3679" s="61">
        <v>38406</v>
      </c>
      <c r="G3679" s="15" t="s">
        <v>73</v>
      </c>
      <c r="H3679" t="s">
        <v>11246</v>
      </c>
      <c r="I3679" s="62" t="s">
        <v>11247</v>
      </c>
      <c r="K3679" s="36" t="s">
        <v>68</v>
      </c>
      <c r="L3679" t="s">
        <v>69</v>
      </c>
      <c r="M3679" s="62" t="s">
        <v>70</v>
      </c>
      <c r="N3679" t="s">
        <v>11248</v>
      </c>
      <c r="O3679" t="str">
        <f>IFERROR(IF(Tbla_actores[[#This Row],[codigo_proyecto]]="","",_xlfn.XLOOKUP(Tbla_actores[[#This Row],[codigo_proyecto]],Proyectos!$A:$A,Proyectos!$C:$C)),"")</f>
        <v>Proyecto 8</v>
      </c>
    </row>
    <row r="3680" spans="1:15">
      <c r="A3680" s="9">
        <v>1051067611</v>
      </c>
      <c r="B3680" s="63" t="s">
        <v>61</v>
      </c>
      <c r="C3680" s="62" t="s">
        <v>10816</v>
      </c>
      <c r="D3680" t="s">
        <v>63</v>
      </c>
      <c r="E3680" t="s">
        <v>11249</v>
      </c>
      <c r="F3680" s="61">
        <v>37969</v>
      </c>
      <c r="G3680" s="15" t="s">
        <v>73</v>
      </c>
      <c r="H3680" t="s">
        <v>11250</v>
      </c>
      <c r="I3680" s="62" t="s">
        <v>11251</v>
      </c>
      <c r="K3680" s="36" t="s">
        <v>68</v>
      </c>
      <c r="L3680" t="s">
        <v>69</v>
      </c>
      <c r="M3680" s="62" t="s">
        <v>70</v>
      </c>
      <c r="N3680" t="s">
        <v>11220</v>
      </c>
      <c r="O3680" t="str">
        <f>IFERROR(IF(Tbla_actores[[#This Row],[codigo_proyecto]]="","",_xlfn.XLOOKUP(Tbla_actores[[#This Row],[codigo_proyecto]],Proyectos!$A:$A,Proyectos!$C:$C)),"")</f>
        <v>PROSOFI - TYWA KHE</v>
      </c>
    </row>
    <row r="3681" spans="1:15">
      <c r="A3681" s="10">
        <v>1011086894</v>
      </c>
      <c r="B3681" s="64" t="s">
        <v>61</v>
      </c>
      <c r="C3681" s="62" t="s">
        <v>10816</v>
      </c>
      <c r="D3681" t="s">
        <v>63</v>
      </c>
      <c r="E3681" t="s">
        <v>11252</v>
      </c>
      <c r="F3681" s="61">
        <v>38583</v>
      </c>
      <c r="G3681" s="15" t="s">
        <v>73</v>
      </c>
      <c r="H3681" t="s">
        <v>11253</v>
      </c>
      <c r="I3681" s="62" t="s">
        <v>11254</v>
      </c>
      <c r="K3681" s="36" t="s">
        <v>68</v>
      </c>
      <c r="L3681" t="s">
        <v>69</v>
      </c>
      <c r="M3681" s="62" t="s">
        <v>70</v>
      </c>
      <c r="N3681" t="s">
        <v>11248</v>
      </c>
      <c r="O3681" t="str">
        <f>IFERROR(IF(Tbla_actores[[#This Row],[codigo_proyecto]]="","",_xlfn.XLOOKUP(Tbla_actores[[#This Row],[codigo_proyecto]],Proyectos!$A:$A,Proyectos!$C:$C)),"")</f>
        <v>Proyecto 8</v>
      </c>
    </row>
    <row r="3682" spans="1:15">
      <c r="A3682" s="9">
        <v>1000706784</v>
      </c>
      <c r="B3682" s="63" t="s">
        <v>61</v>
      </c>
      <c r="C3682" s="62" t="s">
        <v>10816</v>
      </c>
      <c r="D3682" t="s">
        <v>63</v>
      </c>
      <c r="E3682" t="s">
        <v>11255</v>
      </c>
      <c r="F3682" s="61">
        <v>37820</v>
      </c>
      <c r="G3682" s="15" t="s">
        <v>73</v>
      </c>
      <c r="H3682" t="s">
        <v>11256</v>
      </c>
      <c r="I3682" s="62" t="s">
        <v>11257</v>
      </c>
      <c r="K3682" s="36" t="s">
        <v>68</v>
      </c>
      <c r="L3682" t="s">
        <v>69</v>
      </c>
      <c r="M3682" s="62" t="s">
        <v>70</v>
      </c>
      <c r="N3682" t="s">
        <v>11003</v>
      </c>
      <c r="O3682" t="str">
        <f>IFERROR(IF(Tbla_actores[[#This Row],[codigo_proyecto]]="","",_xlfn.XLOOKUP(Tbla_actores[[#This Row],[codigo_proyecto]],Proyectos!$A:$A,Proyectos!$C:$C)),"")</f>
        <v>Fundación M&amp;M Formando Líderes</v>
      </c>
    </row>
    <row r="3683" spans="1:15">
      <c r="A3683" s="10">
        <v>1054283826</v>
      </c>
      <c r="B3683" s="64" t="s">
        <v>61</v>
      </c>
      <c r="C3683" s="62" t="s">
        <v>10816</v>
      </c>
      <c r="D3683" t="s">
        <v>63</v>
      </c>
      <c r="E3683" t="s">
        <v>11258</v>
      </c>
      <c r="F3683" s="61">
        <v>38778</v>
      </c>
      <c r="G3683" s="15" t="s">
        <v>73</v>
      </c>
      <c r="H3683" t="s">
        <v>11259</v>
      </c>
      <c r="I3683" s="62" t="s">
        <v>11260</v>
      </c>
      <c r="K3683" s="36" t="s">
        <v>68</v>
      </c>
      <c r="L3683" t="s">
        <v>69</v>
      </c>
      <c r="M3683" s="62" t="s">
        <v>70</v>
      </c>
      <c r="N3683" t="s">
        <v>11261</v>
      </c>
      <c r="O3683" t="str">
        <f>IFERROR(IF(Tbla_actores[[#This Row],[codigo_proyecto]]="","",_xlfn.XLOOKUP(Tbla_actores[[#This Row],[codigo_proyecto]],Proyectos!$A:$A,Proyectos!$C:$C)),"")</f>
        <v>Proyecto 25</v>
      </c>
    </row>
    <row r="3684" spans="1:15">
      <c r="A3684" s="9">
        <v>1025141191</v>
      </c>
      <c r="B3684" s="63" t="s">
        <v>61</v>
      </c>
      <c r="C3684" s="62" t="s">
        <v>10816</v>
      </c>
      <c r="D3684" t="s">
        <v>63</v>
      </c>
      <c r="E3684" t="s">
        <v>11262</v>
      </c>
      <c r="F3684" s="61">
        <v>38109</v>
      </c>
      <c r="G3684" s="15" t="s">
        <v>73</v>
      </c>
      <c r="H3684" t="s">
        <v>11263</v>
      </c>
      <c r="I3684" s="62" t="s">
        <v>11264</v>
      </c>
      <c r="K3684" s="36" t="s">
        <v>68</v>
      </c>
      <c r="L3684" t="s">
        <v>69</v>
      </c>
      <c r="M3684" s="62" t="s">
        <v>70</v>
      </c>
      <c r="N3684" t="s">
        <v>11265</v>
      </c>
      <c r="O3684" t="str">
        <f>IFERROR(IF(Tbla_actores[[#This Row],[codigo_proyecto]]="","",_xlfn.XLOOKUP(Tbla_actores[[#This Row],[codigo_proyecto]],Proyectos!$A:$A,Proyectos!$C:$C)),"")</f>
        <v>Seres</v>
      </c>
    </row>
    <row r="3685" spans="1:15">
      <c r="A3685" s="10">
        <v>1013259685</v>
      </c>
      <c r="B3685" s="64" t="s">
        <v>61</v>
      </c>
      <c r="C3685" s="62" t="s">
        <v>10816</v>
      </c>
      <c r="D3685" t="s">
        <v>63</v>
      </c>
      <c r="E3685" t="s">
        <v>11266</v>
      </c>
      <c r="F3685" s="61">
        <v>38533</v>
      </c>
      <c r="G3685" s="15" t="s">
        <v>73</v>
      </c>
      <c r="H3685" t="s">
        <v>11267</v>
      </c>
      <c r="I3685" s="62" t="s">
        <v>11268</v>
      </c>
      <c r="K3685" s="36" t="s">
        <v>68</v>
      </c>
      <c r="L3685" t="s">
        <v>69</v>
      </c>
      <c r="M3685" s="62" t="s">
        <v>70</v>
      </c>
      <c r="N3685" t="s">
        <v>11269</v>
      </c>
      <c r="O3685" t="str">
        <f>IFERROR(IF(Tbla_actores[[#This Row],[codigo_proyecto]]="","",_xlfn.XLOOKUP(Tbla_actores[[#This Row],[codigo_proyecto]],Proyectos!$A:$A,Proyectos!$C:$C)),"")</f>
        <v>Proyecto 23</v>
      </c>
    </row>
    <row r="3686" spans="1:15">
      <c r="A3686" s="9">
        <v>1019982319</v>
      </c>
      <c r="B3686" s="63" t="s">
        <v>61</v>
      </c>
      <c r="C3686" s="62" t="s">
        <v>10816</v>
      </c>
      <c r="D3686" t="s">
        <v>63</v>
      </c>
      <c r="E3686" t="s">
        <v>11270</v>
      </c>
      <c r="F3686" s="61">
        <v>38049</v>
      </c>
      <c r="G3686" s="15" t="s">
        <v>73</v>
      </c>
      <c r="H3686" t="s">
        <v>11271</v>
      </c>
      <c r="I3686" s="62" t="s">
        <v>11272</v>
      </c>
      <c r="K3686" s="36" t="s">
        <v>68</v>
      </c>
      <c r="L3686" t="s">
        <v>69</v>
      </c>
      <c r="M3686" s="62" t="s">
        <v>70</v>
      </c>
      <c r="N3686" t="s">
        <v>11224</v>
      </c>
      <c r="O3686" t="str">
        <f>IFERROR(IF(Tbla_actores[[#This Row],[codigo_proyecto]]="","",_xlfn.XLOOKUP(Tbla_actores[[#This Row],[codigo_proyecto]],Proyectos!$A:$A,Proyectos!$C:$C)),"")</f>
        <v>Grupo comunitario Consentir Canitas</v>
      </c>
    </row>
    <row r="3687" spans="1:15">
      <c r="A3687" s="10">
        <v>1010962444</v>
      </c>
      <c r="B3687" s="64" t="s">
        <v>61</v>
      </c>
      <c r="C3687" s="62" t="s">
        <v>10816</v>
      </c>
      <c r="D3687" t="s">
        <v>63</v>
      </c>
      <c r="E3687" t="s">
        <v>11273</v>
      </c>
      <c r="F3687" s="61">
        <v>38863</v>
      </c>
      <c r="G3687" s="15" t="s">
        <v>73</v>
      </c>
      <c r="H3687" t="s">
        <v>11274</v>
      </c>
      <c r="I3687" s="62" t="s">
        <v>11275</v>
      </c>
      <c r="K3687" s="36" t="s">
        <v>68</v>
      </c>
      <c r="L3687" t="s">
        <v>69</v>
      </c>
      <c r="M3687" s="62" t="s">
        <v>70</v>
      </c>
      <c r="N3687" t="s">
        <v>11224</v>
      </c>
      <c r="O3687" t="str">
        <f>IFERROR(IF(Tbla_actores[[#This Row],[codigo_proyecto]]="","",_xlfn.XLOOKUP(Tbla_actores[[#This Row],[codigo_proyecto]],Proyectos!$A:$A,Proyectos!$C:$C)),"")</f>
        <v>Grupo comunitario Consentir Canitas</v>
      </c>
    </row>
    <row r="3688" spans="1:15">
      <c r="A3688" s="9">
        <v>1016833724</v>
      </c>
      <c r="B3688" s="63" t="s">
        <v>61</v>
      </c>
      <c r="C3688" s="62" t="s">
        <v>10816</v>
      </c>
      <c r="D3688" t="s">
        <v>63</v>
      </c>
      <c r="E3688" t="s">
        <v>11276</v>
      </c>
      <c r="F3688" s="61">
        <v>38662</v>
      </c>
      <c r="G3688" s="15" t="s">
        <v>73</v>
      </c>
      <c r="H3688" t="s">
        <v>11277</v>
      </c>
      <c r="I3688" s="62" t="s">
        <v>11278</v>
      </c>
      <c r="K3688" s="36" t="s">
        <v>68</v>
      </c>
      <c r="L3688" t="s">
        <v>69</v>
      </c>
      <c r="M3688" s="62" t="s">
        <v>70</v>
      </c>
      <c r="N3688" t="s">
        <v>11279</v>
      </c>
      <c r="O3688" t="str">
        <f>IFERROR(IF(Tbla_actores[[#This Row],[codigo_proyecto]]="","",_xlfn.XLOOKUP(Tbla_actores[[#This Row],[codigo_proyecto]],Proyectos!$A:$A,Proyectos!$C:$C)),"")</f>
        <v>App Tywa khe</v>
      </c>
    </row>
    <row r="3689" spans="1:15">
      <c r="A3689" s="10">
        <v>1097490621</v>
      </c>
      <c r="B3689" s="64" t="s">
        <v>61</v>
      </c>
      <c r="C3689" s="62" t="s">
        <v>10816</v>
      </c>
      <c r="D3689" t="s">
        <v>63</v>
      </c>
      <c r="E3689" t="s">
        <v>11280</v>
      </c>
      <c r="F3689" s="61">
        <v>38462</v>
      </c>
      <c r="G3689" s="15" t="s">
        <v>73</v>
      </c>
      <c r="H3689" t="s">
        <v>11281</v>
      </c>
      <c r="I3689" s="62" t="s">
        <v>11282</v>
      </c>
      <c r="K3689" s="36" t="s">
        <v>68</v>
      </c>
      <c r="L3689" t="s">
        <v>69</v>
      </c>
      <c r="M3689" s="62" t="s">
        <v>70</v>
      </c>
      <c r="N3689" t="s">
        <v>11283</v>
      </c>
      <c r="O3689" t="str">
        <f>IFERROR(IF(Tbla_actores[[#This Row],[codigo_proyecto]]="","",_xlfn.XLOOKUP(Tbla_actores[[#This Row],[codigo_proyecto]],Proyectos!$A:$A,Proyectos!$C:$C)),"")</f>
        <v>PROSOFI - UNBOUND</v>
      </c>
    </row>
    <row r="3690" spans="1:15">
      <c r="A3690" s="9">
        <v>1109186162</v>
      </c>
      <c r="B3690" s="63" t="s">
        <v>61</v>
      </c>
      <c r="C3690" s="62" t="s">
        <v>10816</v>
      </c>
      <c r="D3690" t="s">
        <v>63</v>
      </c>
      <c r="E3690" t="s">
        <v>11284</v>
      </c>
      <c r="F3690" s="61">
        <v>38576</v>
      </c>
      <c r="G3690" s="15" t="s">
        <v>73</v>
      </c>
      <c r="H3690" t="s">
        <v>11285</v>
      </c>
      <c r="I3690" s="62" t="s">
        <v>11286</v>
      </c>
      <c r="K3690" s="36" t="s">
        <v>68</v>
      </c>
      <c r="L3690" t="s">
        <v>69</v>
      </c>
      <c r="M3690" s="62" t="s">
        <v>70</v>
      </c>
      <c r="N3690" t="s">
        <v>11236</v>
      </c>
      <c r="O3690" t="str">
        <f>IFERROR(IF(Tbla_actores[[#This Row],[codigo_proyecto]]="","",_xlfn.XLOOKUP(Tbla_actores[[#This Row],[codigo_proyecto]],Proyectos!$A:$A,Proyectos!$C:$C)),"")</f>
        <v>Proyecto 13</v>
      </c>
    </row>
    <row r="3691" spans="1:15">
      <c r="A3691" s="10">
        <v>1116779661</v>
      </c>
      <c r="B3691" s="64" t="s">
        <v>61</v>
      </c>
      <c r="C3691" s="62" t="s">
        <v>10816</v>
      </c>
      <c r="D3691" t="s">
        <v>63</v>
      </c>
      <c r="E3691" t="s">
        <v>11287</v>
      </c>
      <c r="F3691" s="61">
        <v>38802</v>
      </c>
      <c r="G3691" s="15" t="s">
        <v>65</v>
      </c>
      <c r="H3691" t="s">
        <v>11288</v>
      </c>
      <c r="I3691" s="62" t="s">
        <v>11289</v>
      </c>
      <c r="K3691" s="36" t="s">
        <v>68</v>
      </c>
      <c r="L3691" t="s">
        <v>69</v>
      </c>
      <c r="M3691" s="62" t="s">
        <v>70</v>
      </c>
      <c r="N3691" t="s">
        <v>11290</v>
      </c>
      <c r="O3691" t="str">
        <f>IFERROR(IF(Tbla_actores[[#This Row],[codigo_proyecto]]="","",_xlfn.XLOOKUP(Tbla_actores[[#This Row],[codigo_proyecto]],Proyectos!$A:$A,Proyectos!$C:$C)),"")</f>
        <v>PROSOFI - UNBOUND</v>
      </c>
    </row>
    <row r="3692" spans="1:15">
      <c r="A3692" s="9">
        <v>1028481385</v>
      </c>
      <c r="B3692" s="63" t="s">
        <v>61</v>
      </c>
      <c r="C3692" s="62" t="s">
        <v>10816</v>
      </c>
      <c r="D3692" t="s">
        <v>63</v>
      </c>
      <c r="E3692" t="s">
        <v>11291</v>
      </c>
      <c r="F3692" s="61">
        <v>38802</v>
      </c>
      <c r="G3692" s="15" t="s">
        <v>65</v>
      </c>
      <c r="H3692" t="s">
        <v>11292</v>
      </c>
      <c r="I3692" s="62" t="s">
        <v>11293</v>
      </c>
      <c r="K3692" s="36" t="s">
        <v>68</v>
      </c>
      <c r="L3692" t="s">
        <v>69</v>
      </c>
      <c r="M3692" s="62" t="s">
        <v>70</v>
      </c>
      <c r="N3692" t="s">
        <v>11224</v>
      </c>
      <c r="O3692" t="str">
        <f>IFERROR(IF(Tbla_actores[[#This Row],[codigo_proyecto]]="","",_xlfn.XLOOKUP(Tbla_actores[[#This Row],[codigo_proyecto]],Proyectos!$A:$A,Proyectos!$C:$C)),"")</f>
        <v>Grupo comunitario Consentir Canitas</v>
      </c>
    </row>
    <row r="3693" spans="1:15">
      <c r="A3693" s="10">
        <v>1058547675</v>
      </c>
      <c r="B3693" s="64" t="s">
        <v>61</v>
      </c>
      <c r="C3693" s="62" t="s">
        <v>10816</v>
      </c>
      <c r="D3693" t="s">
        <v>63</v>
      </c>
      <c r="E3693" t="s">
        <v>11294</v>
      </c>
      <c r="F3693" s="61">
        <v>38577</v>
      </c>
      <c r="G3693" s="15" t="s">
        <v>73</v>
      </c>
      <c r="H3693" t="s">
        <v>11295</v>
      </c>
      <c r="I3693" s="62" t="s">
        <v>11296</v>
      </c>
      <c r="K3693" s="36" t="s">
        <v>68</v>
      </c>
      <c r="L3693" t="s">
        <v>69</v>
      </c>
      <c r="M3693" s="62" t="s">
        <v>70</v>
      </c>
      <c r="N3693" t="s">
        <v>11265</v>
      </c>
      <c r="O3693" t="str">
        <f>IFERROR(IF(Tbla_actores[[#This Row],[codigo_proyecto]]="","",_xlfn.XLOOKUP(Tbla_actores[[#This Row],[codigo_proyecto]],Proyectos!$A:$A,Proyectos!$C:$C)),"")</f>
        <v>Seres</v>
      </c>
    </row>
    <row r="3694" spans="1:15">
      <c r="A3694" s="9">
        <v>1014858644</v>
      </c>
      <c r="B3694" s="63" t="s">
        <v>61</v>
      </c>
      <c r="C3694" s="62" t="s">
        <v>10816</v>
      </c>
      <c r="D3694" t="s">
        <v>63</v>
      </c>
      <c r="E3694" t="s">
        <v>11297</v>
      </c>
      <c r="F3694" s="61">
        <v>38499</v>
      </c>
      <c r="G3694" s="15" t="s">
        <v>73</v>
      </c>
      <c r="H3694" t="s">
        <v>11298</v>
      </c>
      <c r="I3694" s="62" t="s">
        <v>11299</v>
      </c>
      <c r="K3694" s="36" t="s">
        <v>68</v>
      </c>
      <c r="L3694" t="s">
        <v>69</v>
      </c>
      <c r="M3694" s="62" t="s">
        <v>70</v>
      </c>
      <c r="N3694" t="s">
        <v>11283</v>
      </c>
      <c r="O3694" t="str">
        <f>IFERROR(IF(Tbla_actores[[#This Row],[codigo_proyecto]]="","",_xlfn.XLOOKUP(Tbla_actores[[#This Row],[codigo_proyecto]],Proyectos!$A:$A,Proyectos!$C:$C)),"")</f>
        <v>PROSOFI - UNBOUND</v>
      </c>
    </row>
    <row r="3695" spans="1:15">
      <c r="A3695" s="10">
        <v>1034398550</v>
      </c>
      <c r="B3695" s="64" t="s">
        <v>61</v>
      </c>
      <c r="C3695" s="62" t="s">
        <v>10816</v>
      </c>
      <c r="D3695" t="s">
        <v>63</v>
      </c>
      <c r="E3695" t="s">
        <v>11300</v>
      </c>
      <c r="F3695" s="61">
        <v>38528</v>
      </c>
      <c r="G3695" s="15" t="s">
        <v>73</v>
      </c>
      <c r="H3695" t="s">
        <v>11301</v>
      </c>
      <c r="I3695" s="62" t="s">
        <v>11302</v>
      </c>
      <c r="K3695" s="36" t="s">
        <v>68</v>
      </c>
      <c r="L3695" t="s">
        <v>69</v>
      </c>
      <c r="M3695" s="62" t="s">
        <v>70</v>
      </c>
      <c r="N3695" t="s">
        <v>11236</v>
      </c>
      <c r="O3695" t="str">
        <f>IFERROR(IF(Tbla_actores[[#This Row],[codigo_proyecto]]="","",_xlfn.XLOOKUP(Tbla_actores[[#This Row],[codigo_proyecto]],Proyectos!$A:$A,Proyectos!$C:$C)),"")</f>
        <v>Proyecto 13</v>
      </c>
    </row>
    <row r="3696" spans="1:15">
      <c r="A3696" s="9">
        <v>1091381958</v>
      </c>
      <c r="B3696" s="63" t="s">
        <v>61</v>
      </c>
      <c r="C3696" s="62" t="s">
        <v>10816</v>
      </c>
      <c r="D3696" t="s">
        <v>63</v>
      </c>
      <c r="E3696" t="s">
        <v>11303</v>
      </c>
      <c r="F3696" s="61">
        <v>37580</v>
      </c>
      <c r="G3696" s="15" t="s">
        <v>73</v>
      </c>
      <c r="H3696" t="s">
        <v>11304</v>
      </c>
      <c r="I3696" s="62" t="s">
        <v>11305</v>
      </c>
      <c r="K3696" s="36" t="s">
        <v>68</v>
      </c>
      <c r="L3696" t="s">
        <v>69</v>
      </c>
      <c r="M3696" s="62" t="s">
        <v>70</v>
      </c>
      <c r="N3696" t="s">
        <v>11306</v>
      </c>
      <c r="O3696" t="str">
        <f>IFERROR(IF(Tbla_actores[[#This Row],[codigo_proyecto]]="","",_xlfn.XLOOKUP(Tbla_actores[[#This Row],[codigo_proyecto]],Proyectos!$A:$A,Proyectos!$C:$C)),"")</f>
        <v>Proyección Social Ingeniería - VISUALIZACIÓN DE DATOS</v>
      </c>
    </row>
    <row r="3697" spans="1:15">
      <c r="A3697" s="10">
        <v>1020723462</v>
      </c>
      <c r="B3697" s="64" t="s">
        <v>61</v>
      </c>
      <c r="C3697" s="62" t="s">
        <v>10816</v>
      </c>
      <c r="D3697" t="s">
        <v>63</v>
      </c>
      <c r="E3697" t="s">
        <v>11307</v>
      </c>
      <c r="F3697" s="61">
        <v>38456</v>
      </c>
      <c r="G3697" s="15" t="s">
        <v>73</v>
      </c>
      <c r="H3697" t="s">
        <v>11308</v>
      </c>
      <c r="I3697" s="62" t="s">
        <v>11309</v>
      </c>
      <c r="K3697" s="36" t="s">
        <v>68</v>
      </c>
      <c r="L3697" t="s">
        <v>69</v>
      </c>
      <c r="M3697" s="62" t="s">
        <v>70</v>
      </c>
      <c r="N3697" t="s">
        <v>11310</v>
      </c>
      <c r="O3697" t="str">
        <f>IFERROR(IF(Tbla_actores[[#This Row],[codigo_proyecto]]="","",_xlfn.XLOOKUP(Tbla_actores[[#This Row],[codigo_proyecto]],Proyectos!$A:$A,Proyectos!$C:$C)),"")</f>
        <v>Proyecto 28</v>
      </c>
    </row>
    <row r="3698" spans="1:15">
      <c r="A3698" s="9">
        <v>1014978561</v>
      </c>
      <c r="B3698" s="63" t="s">
        <v>61</v>
      </c>
      <c r="C3698" s="62" t="s">
        <v>10816</v>
      </c>
      <c r="D3698" t="s">
        <v>63</v>
      </c>
      <c r="E3698" t="s">
        <v>11311</v>
      </c>
      <c r="F3698" s="61">
        <v>38485</v>
      </c>
      <c r="G3698" s="15" t="s">
        <v>73</v>
      </c>
      <c r="H3698" t="s">
        <v>11312</v>
      </c>
      <c r="I3698" s="62" t="s">
        <v>11313</v>
      </c>
      <c r="K3698" s="36" t="s">
        <v>68</v>
      </c>
      <c r="L3698" t="s">
        <v>69</v>
      </c>
      <c r="M3698" s="62" t="s">
        <v>70</v>
      </c>
      <c r="N3698" t="s">
        <v>11248</v>
      </c>
      <c r="O3698" t="str">
        <f>IFERROR(IF(Tbla_actores[[#This Row],[codigo_proyecto]]="","",_xlfn.XLOOKUP(Tbla_actores[[#This Row],[codigo_proyecto]],Proyectos!$A:$A,Proyectos!$C:$C)),"")</f>
        <v>Proyecto 8</v>
      </c>
    </row>
    <row r="3699" spans="1:15">
      <c r="A3699" s="10">
        <v>1014857924</v>
      </c>
      <c r="B3699" s="64" t="s">
        <v>61</v>
      </c>
      <c r="C3699" s="62" t="s">
        <v>10816</v>
      </c>
      <c r="D3699" t="s">
        <v>63</v>
      </c>
      <c r="E3699" t="s">
        <v>11314</v>
      </c>
      <c r="F3699" s="61">
        <v>38415</v>
      </c>
      <c r="G3699" s="15" t="s">
        <v>73</v>
      </c>
      <c r="H3699" t="s">
        <v>11315</v>
      </c>
      <c r="I3699" s="62" t="s">
        <v>11316</v>
      </c>
      <c r="K3699" s="36" t="s">
        <v>68</v>
      </c>
      <c r="L3699" t="s">
        <v>69</v>
      </c>
      <c r="M3699" s="62" t="s">
        <v>70</v>
      </c>
      <c r="N3699" t="s">
        <v>11279</v>
      </c>
      <c r="O3699" t="str">
        <f>IFERROR(IF(Tbla_actores[[#This Row],[codigo_proyecto]]="","",_xlfn.XLOOKUP(Tbla_actores[[#This Row],[codigo_proyecto]],Proyectos!$A:$A,Proyectos!$C:$C)),"")</f>
        <v>App Tywa khe</v>
      </c>
    </row>
    <row r="3700" spans="1:15">
      <c r="A3700" s="9">
        <v>1032937749</v>
      </c>
      <c r="B3700" s="63" t="s">
        <v>61</v>
      </c>
      <c r="C3700" s="62" t="s">
        <v>10816</v>
      </c>
      <c r="D3700" t="s">
        <v>63</v>
      </c>
      <c r="E3700" t="s">
        <v>11317</v>
      </c>
      <c r="F3700" s="61">
        <v>38330</v>
      </c>
      <c r="G3700" s="15" t="s">
        <v>73</v>
      </c>
      <c r="H3700" t="s">
        <v>11318</v>
      </c>
      <c r="I3700" s="62" t="s">
        <v>11319</v>
      </c>
      <c r="K3700" s="36" t="s">
        <v>68</v>
      </c>
      <c r="L3700" t="s">
        <v>69</v>
      </c>
      <c r="M3700" s="62" t="s">
        <v>70</v>
      </c>
      <c r="N3700" t="s">
        <v>11220</v>
      </c>
      <c r="O3700" t="str">
        <f>IFERROR(IF(Tbla_actores[[#This Row],[codigo_proyecto]]="","",_xlfn.XLOOKUP(Tbla_actores[[#This Row],[codigo_proyecto]],Proyectos!$A:$A,Proyectos!$C:$C)),"")</f>
        <v>PROSOFI - TYWA KHE</v>
      </c>
    </row>
    <row r="3701" spans="1:15">
      <c r="A3701" s="10">
        <v>1127596213</v>
      </c>
      <c r="B3701" s="64" t="s">
        <v>61</v>
      </c>
      <c r="C3701" s="62" t="s">
        <v>10816</v>
      </c>
      <c r="D3701" t="s">
        <v>63</v>
      </c>
      <c r="E3701" t="s">
        <v>11320</v>
      </c>
      <c r="F3701" s="61">
        <v>38271</v>
      </c>
      <c r="G3701" s="15" t="s">
        <v>73</v>
      </c>
      <c r="H3701" t="s">
        <v>11321</v>
      </c>
      <c r="I3701" s="62" t="s">
        <v>11322</v>
      </c>
      <c r="K3701" s="36" t="s">
        <v>68</v>
      </c>
      <c r="L3701" t="s">
        <v>69</v>
      </c>
      <c r="M3701" s="62" t="s">
        <v>70</v>
      </c>
      <c r="N3701" t="s">
        <v>11240</v>
      </c>
      <c r="O3701" t="str">
        <f>IFERROR(IF(Tbla_actores[[#This Row],[codigo_proyecto]]="","",_xlfn.XLOOKUP(Tbla_actores[[#This Row],[codigo_proyecto]],Proyectos!$A:$A,Proyectos!$C:$C)),"")</f>
        <v>Proyección Social Ingeniería - VISUALIZACIÓN DE DATOS</v>
      </c>
    </row>
    <row r="3702" spans="1:15">
      <c r="A3702" s="9">
        <v>1014979689</v>
      </c>
      <c r="B3702" s="63" t="s">
        <v>61</v>
      </c>
      <c r="C3702" s="62" t="s">
        <v>10816</v>
      </c>
      <c r="D3702" t="s">
        <v>63</v>
      </c>
      <c r="E3702" t="s">
        <v>11323</v>
      </c>
      <c r="F3702" s="61">
        <v>38821</v>
      </c>
      <c r="G3702" s="15" t="s">
        <v>65</v>
      </c>
      <c r="H3702" t="s">
        <v>11324</v>
      </c>
      <c r="I3702" s="62" t="s">
        <v>11325</v>
      </c>
      <c r="K3702" s="36" t="s">
        <v>68</v>
      </c>
      <c r="L3702" t="s">
        <v>69</v>
      </c>
      <c r="M3702" s="62" t="s">
        <v>70</v>
      </c>
      <c r="N3702" t="s">
        <v>11248</v>
      </c>
      <c r="O3702" t="str">
        <f>IFERROR(IF(Tbla_actores[[#This Row],[codigo_proyecto]]="","",_xlfn.XLOOKUP(Tbla_actores[[#This Row],[codigo_proyecto]],Proyectos!$A:$A,Proyectos!$C:$C)),"")</f>
        <v>Proyecto 8</v>
      </c>
    </row>
    <row r="3703" spans="1:15">
      <c r="A3703" s="10">
        <v>1122396100</v>
      </c>
      <c r="B3703" s="64" t="s">
        <v>61</v>
      </c>
      <c r="C3703" s="62" t="s">
        <v>10816</v>
      </c>
      <c r="D3703" t="s">
        <v>63</v>
      </c>
      <c r="E3703" t="s">
        <v>11326</v>
      </c>
      <c r="F3703" s="61">
        <v>37970</v>
      </c>
      <c r="G3703" s="15" t="s">
        <v>73</v>
      </c>
      <c r="H3703" t="s">
        <v>11327</v>
      </c>
      <c r="I3703" s="62" t="s">
        <v>11328</v>
      </c>
      <c r="K3703" s="36" t="s">
        <v>68</v>
      </c>
      <c r="L3703" t="s">
        <v>69</v>
      </c>
      <c r="M3703" s="62" t="s">
        <v>70</v>
      </c>
      <c r="N3703" t="s">
        <v>11329</v>
      </c>
      <c r="O3703" t="str">
        <f>IFERROR(IF(Tbla_actores[[#This Row],[codigo_proyecto]]="","",_xlfn.XLOOKUP(Tbla_actores[[#This Row],[codigo_proyecto]],Proyectos!$A:$A,Proyectos!$C:$C)),"")</f>
        <v>PROSOFI - GABRIEL GARCIA MÁRQUEZ</v>
      </c>
    </row>
    <row r="3704" spans="1:15">
      <c r="A3704" s="9">
        <v>1042244259</v>
      </c>
      <c r="B3704" s="63" t="s">
        <v>61</v>
      </c>
      <c r="C3704" s="62" t="s">
        <v>10816</v>
      </c>
      <c r="D3704" t="s">
        <v>63</v>
      </c>
      <c r="E3704" t="s">
        <v>11330</v>
      </c>
      <c r="F3704" s="61">
        <v>38395</v>
      </c>
      <c r="G3704" s="15" t="s">
        <v>73</v>
      </c>
      <c r="H3704" t="s">
        <v>11331</v>
      </c>
      <c r="I3704" s="62" t="s">
        <v>11332</v>
      </c>
      <c r="K3704" s="36" t="s">
        <v>7671</v>
      </c>
      <c r="L3704" t="s">
        <v>69</v>
      </c>
      <c r="M3704" s="62" t="s">
        <v>70</v>
      </c>
      <c r="N3704" t="s">
        <v>11333</v>
      </c>
      <c r="O3704" t="str">
        <f>IFERROR(IF(Tbla_actores[[#This Row],[codigo_proyecto]]="","",_xlfn.XLOOKUP(Tbla_actores[[#This Row],[codigo_proyecto]],Proyectos!$A:$A,Proyectos!$C:$C)),"")</f>
        <v>Campus Accesible - Inclusión y Diversidad</v>
      </c>
    </row>
    <row r="3705" spans="1:15">
      <c r="A3705" s="10">
        <v>1027522405</v>
      </c>
      <c r="B3705" s="64" t="s">
        <v>61</v>
      </c>
      <c r="C3705" s="62" t="s">
        <v>10816</v>
      </c>
      <c r="D3705" t="s">
        <v>63</v>
      </c>
      <c r="E3705" t="s">
        <v>11334</v>
      </c>
      <c r="F3705" s="61">
        <v>38266</v>
      </c>
      <c r="G3705" s="15" t="s">
        <v>73</v>
      </c>
      <c r="H3705" t="s">
        <v>11335</v>
      </c>
      <c r="I3705" s="62" t="s">
        <v>11336</v>
      </c>
      <c r="K3705" s="36" t="s">
        <v>7671</v>
      </c>
      <c r="L3705" t="s">
        <v>69</v>
      </c>
      <c r="M3705" s="62" t="s">
        <v>70</v>
      </c>
      <c r="N3705" t="s">
        <v>11333</v>
      </c>
      <c r="O3705" t="str">
        <f>IFERROR(IF(Tbla_actores[[#This Row],[codigo_proyecto]]="","",_xlfn.XLOOKUP(Tbla_actores[[#This Row],[codigo_proyecto]],Proyectos!$A:$A,Proyectos!$C:$C)),"")</f>
        <v>Campus Accesible - Inclusión y Diversidad</v>
      </c>
    </row>
    <row r="3706" spans="1:15">
      <c r="A3706" s="9">
        <v>1000594861</v>
      </c>
      <c r="B3706" s="63" t="s">
        <v>61</v>
      </c>
      <c r="C3706" s="62" t="s">
        <v>10816</v>
      </c>
      <c r="D3706" t="s">
        <v>63</v>
      </c>
      <c r="E3706" t="s">
        <v>11337</v>
      </c>
      <c r="F3706" s="61">
        <v>37839</v>
      </c>
      <c r="G3706" s="15" t="s">
        <v>73</v>
      </c>
      <c r="H3706" t="s">
        <v>11338</v>
      </c>
      <c r="I3706" s="62" t="s">
        <v>11339</v>
      </c>
      <c r="K3706" s="36" t="s">
        <v>1489</v>
      </c>
      <c r="L3706" t="s">
        <v>69</v>
      </c>
      <c r="M3706" s="62" t="s">
        <v>70</v>
      </c>
      <c r="N3706" t="s">
        <v>11340</v>
      </c>
      <c r="O3706" t="str">
        <f>IFERROR(IF(Tbla_actores[[#This Row],[codigo_proyecto]]="","",_xlfn.XLOOKUP(Tbla_actores[[#This Row],[codigo_proyecto]],Proyectos!$A:$A,Proyectos!$C:$C)),"")</f>
        <v>Diagnóstico de necesidades de asesoría técnica para las labores de cuidado</v>
      </c>
    </row>
    <row r="3707" spans="1:15">
      <c r="A3707" s="10">
        <v>1018407665</v>
      </c>
      <c r="B3707" s="64" t="s">
        <v>61</v>
      </c>
      <c r="C3707" s="62" t="s">
        <v>10816</v>
      </c>
      <c r="D3707" t="s">
        <v>63</v>
      </c>
      <c r="E3707" t="s">
        <v>11341</v>
      </c>
      <c r="F3707" s="61">
        <v>38342</v>
      </c>
      <c r="G3707" s="15" t="s">
        <v>73</v>
      </c>
      <c r="H3707" t="s">
        <v>11342</v>
      </c>
      <c r="I3707" s="62" t="s">
        <v>11343</v>
      </c>
      <c r="K3707" s="36" t="s">
        <v>7671</v>
      </c>
      <c r="L3707" t="s">
        <v>69</v>
      </c>
      <c r="M3707" s="62" t="s">
        <v>70</v>
      </c>
      <c r="N3707" t="s">
        <v>11333</v>
      </c>
      <c r="O3707" t="str">
        <f>IFERROR(IF(Tbla_actores[[#This Row],[codigo_proyecto]]="","",_xlfn.XLOOKUP(Tbla_actores[[#This Row],[codigo_proyecto]],Proyectos!$A:$A,Proyectos!$C:$C)),"")</f>
        <v>Campus Accesible - Inclusión y Diversidad</v>
      </c>
    </row>
    <row r="3708" spans="1:15">
      <c r="A3708" s="9">
        <v>1023302314</v>
      </c>
      <c r="B3708" s="63" t="s">
        <v>61</v>
      </c>
      <c r="C3708" s="62" t="s">
        <v>10816</v>
      </c>
      <c r="D3708" t="s">
        <v>63</v>
      </c>
      <c r="E3708" t="s">
        <v>11344</v>
      </c>
      <c r="F3708" s="61">
        <v>38164</v>
      </c>
      <c r="G3708" s="15" t="s">
        <v>73</v>
      </c>
      <c r="H3708" t="s">
        <v>11345</v>
      </c>
      <c r="I3708" s="62" t="s">
        <v>11346</v>
      </c>
      <c r="K3708" s="36" t="s">
        <v>7671</v>
      </c>
      <c r="L3708" t="s">
        <v>69</v>
      </c>
      <c r="M3708" s="62" t="s">
        <v>70</v>
      </c>
      <c r="N3708" t="s">
        <v>11340</v>
      </c>
      <c r="O3708" t="str">
        <f>IFERROR(IF(Tbla_actores[[#This Row],[codigo_proyecto]]="","",_xlfn.XLOOKUP(Tbla_actores[[#This Row],[codigo_proyecto]],Proyectos!$A:$A,Proyectos!$C:$C)),"")</f>
        <v>Diagnóstico de necesidades de asesoría técnica para las labores de cuidado</v>
      </c>
    </row>
    <row r="3709" spans="1:15">
      <c r="A3709" s="10">
        <v>1007603973</v>
      </c>
      <c r="B3709" s="64" t="s">
        <v>61</v>
      </c>
      <c r="C3709" s="62" t="s">
        <v>10816</v>
      </c>
      <c r="D3709" t="s">
        <v>63</v>
      </c>
      <c r="E3709" t="s">
        <v>11347</v>
      </c>
      <c r="F3709" s="61">
        <v>37825</v>
      </c>
      <c r="G3709" s="15" t="s">
        <v>73</v>
      </c>
      <c r="H3709" t="s">
        <v>11348</v>
      </c>
      <c r="I3709" s="62" t="s">
        <v>11349</v>
      </c>
      <c r="K3709" s="36" t="s">
        <v>7671</v>
      </c>
      <c r="L3709" t="s">
        <v>69</v>
      </c>
      <c r="M3709" s="62" t="s">
        <v>70</v>
      </c>
      <c r="N3709" t="s">
        <v>11350</v>
      </c>
      <c r="O3709" t="str">
        <f>IFERROR(IF(Tbla_actores[[#This Row],[codigo_proyecto]]="","",_xlfn.XLOOKUP(Tbla_actores[[#This Row],[codigo_proyecto]],Proyectos!$A:$A,Proyectos!$C:$C)),"")</f>
        <v>Sistema Antiescape en dispositivos de cuidado residencial</v>
      </c>
    </row>
    <row r="3710" spans="1:15">
      <c r="A3710" s="9">
        <v>1014979250</v>
      </c>
      <c r="B3710" s="63" t="s">
        <v>61</v>
      </c>
      <c r="C3710" s="62" t="s">
        <v>10816</v>
      </c>
      <c r="D3710" t="s">
        <v>63</v>
      </c>
      <c r="E3710" t="s">
        <v>11351</v>
      </c>
      <c r="F3710" s="61">
        <v>38690</v>
      </c>
      <c r="G3710" s="15" t="s">
        <v>73</v>
      </c>
      <c r="H3710" t="s">
        <v>11352</v>
      </c>
      <c r="I3710" s="62" t="s">
        <v>11353</v>
      </c>
      <c r="K3710" s="36" t="s">
        <v>7671</v>
      </c>
      <c r="L3710" t="s">
        <v>69</v>
      </c>
      <c r="M3710" s="62" t="s">
        <v>70</v>
      </c>
      <c r="N3710" t="s">
        <v>11340</v>
      </c>
      <c r="O3710" t="str">
        <f>IFERROR(IF(Tbla_actores[[#This Row],[codigo_proyecto]]="","",_xlfn.XLOOKUP(Tbla_actores[[#This Row],[codigo_proyecto]],Proyectos!$A:$A,Proyectos!$C:$C)),"")</f>
        <v>Diagnóstico de necesidades de asesoría técnica para las labores de cuidado</v>
      </c>
    </row>
    <row r="3711" spans="1:15">
      <c r="A3711" s="10">
        <v>1034576984</v>
      </c>
      <c r="B3711" s="64" t="s">
        <v>61</v>
      </c>
      <c r="C3711" s="62" t="s">
        <v>10816</v>
      </c>
      <c r="D3711" t="s">
        <v>63</v>
      </c>
      <c r="E3711" t="s">
        <v>11354</v>
      </c>
      <c r="F3711" s="61">
        <v>38836</v>
      </c>
      <c r="G3711" s="15" t="s">
        <v>73</v>
      </c>
      <c r="H3711" t="s">
        <v>11355</v>
      </c>
      <c r="I3711" s="62" t="s">
        <v>11356</v>
      </c>
      <c r="K3711" s="36" t="s">
        <v>7671</v>
      </c>
      <c r="L3711" t="s">
        <v>69</v>
      </c>
      <c r="M3711" s="62" t="s">
        <v>70</v>
      </c>
      <c r="N3711" t="s">
        <v>11350</v>
      </c>
      <c r="O3711" t="str">
        <f>IFERROR(IF(Tbla_actores[[#This Row],[codigo_proyecto]]="","",_xlfn.XLOOKUP(Tbla_actores[[#This Row],[codigo_proyecto]],Proyectos!$A:$A,Proyectos!$C:$C)),"")</f>
        <v>Sistema Antiescape en dispositivos de cuidado residencial</v>
      </c>
    </row>
    <row r="3712" spans="1:15">
      <c r="A3712" s="9">
        <v>1013256640</v>
      </c>
      <c r="B3712" s="63" t="s">
        <v>61</v>
      </c>
      <c r="C3712" s="62" t="s">
        <v>10816</v>
      </c>
      <c r="D3712" t="s">
        <v>63</v>
      </c>
      <c r="E3712" t="s">
        <v>11357</v>
      </c>
      <c r="F3712" s="61">
        <v>38079</v>
      </c>
      <c r="G3712" s="15" t="s">
        <v>73</v>
      </c>
      <c r="H3712" t="s">
        <v>11358</v>
      </c>
      <c r="I3712" s="62" t="s">
        <v>11359</v>
      </c>
      <c r="K3712" s="36" t="s">
        <v>7671</v>
      </c>
      <c r="L3712" t="s">
        <v>69</v>
      </c>
      <c r="M3712" s="62" t="s">
        <v>70</v>
      </c>
      <c r="N3712" t="s">
        <v>11350</v>
      </c>
      <c r="O3712" t="str">
        <f>IFERROR(IF(Tbla_actores[[#This Row],[codigo_proyecto]]="","",_xlfn.XLOOKUP(Tbla_actores[[#This Row],[codigo_proyecto]],Proyectos!$A:$A,Proyectos!$C:$C)),"")</f>
        <v>Sistema Antiescape en dispositivos de cuidado residencial</v>
      </c>
    </row>
    <row r="3713" spans="1:15">
      <c r="A3713" s="10">
        <v>1014858419</v>
      </c>
      <c r="B3713" s="64" t="s">
        <v>61</v>
      </c>
      <c r="C3713" s="62" t="s">
        <v>10816</v>
      </c>
      <c r="D3713" t="s">
        <v>63</v>
      </c>
      <c r="E3713" t="s">
        <v>11360</v>
      </c>
      <c r="F3713" s="61">
        <v>38477</v>
      </c>
      <c r="G3713" s="15" t="s">
        <v>65</v>
      </c>
      <c r="H3713" t="s">
        <v>11361</v>
      </c>
      <c r="I3713" s="62" t="s">
        <v>11362</v>
      </c>
      <c r="K3713" s="36" t="s">
        <v>7671</v>
      </c>
      <c r="L3713" t="s">
        <v>69</v>
      </c>
      <c r="M3713" s="62" t="s">
        <v>70</v>
      </c>
      <c r="N3713" t="s">
        <v>11340</v>
      </c>
      <c r="O3713" t="str">
        <f>IFERROR(IF(Tbla_actores[[#This Row],[codigo_proyecto]]="","",_xlfn.XLOOKUP(Tbla_actores[[#This Row],[codigo_proyecto]],Proyectos!$A:$A,Proyectos!$C:$C)),"")</f>
        <v>Diagnóstico de necesidades de asesoría técnica para las labores de cuidado</v>
      </c>
    </row>
    <row r="3714" spans="1:15">
      <c r="A3714" s="9">
        <v>1011082286</v>
      </c>
      <c r="B3714" s="63" t="s">
        <v>61</v>
      </c>
      <c r="C3714" s="62" t="s">
        <v>10816</v>
      </c>
      <c r="D3714" t="s">
        <v>63</v>
      </c>
      <c r="E3714" t="s">
        <v>11363</v>
      </c>
      <c r="F3714" s="61">
        <v>38416</v>
      </c>
      <c r="G3714" s="15" t="s">
        <v>73</v>
      </c>
      <c r="H3714" t="s">
        <v>11364</v>
      </c>
      <c r="I3714" s="62" t="s">
        <v>11365</v>
      </c>
      <c r="K3714" s="36" t="s">
        <v>7671</v>
      </c>
      <c r="L3714" t="s">
        <v>69</v>
      </c>
      <c r="M3714" s="62" t="s">
        <v>70</v>
      </c>
      <c r="N3714" t="s">
        <v>11350</v>
      </c>
      <c r="O3714" t="str">
        <f>IFERROR(IF(Tbla_actores[[#This Row],[codigo_proyecto]]="","",_xlfn.XLOOKUP(Tbla_actores[[#This Row],[codigo_proyecto]],Proyectos!$A:$A,Proyectos!$C:$C)),"")</f>
        <v>Sistema Antiescape en dispositivos de cuidado residencial</v>
      </c>
    </row>
    <row r="3715" spans="1:15">
      <c r="A3715" s="10">
        <v>1018414887</v>
      </c>
      <c r="B3715" s="64" t="s">
        <v>61</v>
      </c>
      <c r="C3715" s="62" t="s">
        <v>10816</v>
      </c>
      <c r="D3715" t="s">
        <v>63</v>
      </c>
      <c r="E3715" t="s">
        <v>11366</v>
      </c>
      <c r="F3715" s="61">
        <v>38737</v>
      </c>
      <c r="G3715" s="15" t="s">
        <v>73</v>
      </c>
      <c r="H3715" t="s">
        <v>11367</v>
      </c>
      <c r="I3715" s="62" t="s">
        <v>11368</v>
      </c>
      <c r="K3715" s="36" t="s">
        <v>7671</v>
      </c>
      <c r="L3715" t="s">
        <v>69</v>
      </c>
      <c r="M3715" s="62" t="s">
        <v>70</v>
      </c>
      <c r="N3715" t="s">
        <v>11350</v>
      </c>
      <c r="O3715" t="str">
        <f>IFERROR(IF(Tbla_actores[[#This Row],[codigo_proyecto]]="","",_xlfn.XLOOKUP(Tbla_actores[[#This Row],[codigo_proyecto]],Proyectos!$A:$A,Proyectos!$C:$C)),"")</f>
        <v>Sistema Antiescape en dispositivos de cuidado residencial</v>
      </c>
    </row>
    <row r="3716" spans="1:15">
      <c r="A3716" s="9">
        <v>1032876625</v>
      </c>
      <c r="B3716" s="63" t="s">
        <v>61</v>
      </c>
      <c r="C3716" s="62" t="s">
        <v>10816</v>
      </c>
      <c r="D3716" t="s">
        <v>63</v>
      </c>
      <c r="E3716" t="s">
        <v>11369</v>
      </c>
      <c r="F3716" s="61">
        <v>38381</v>
      </c>
      <c r="G3716" s="15" t="s">
        <v>73</v>
      </c>
      <c r="H3716" t="s">
        <v>11370</v>
      </c>
      <c r="I3716" s="62" t="s">
        <v>11371</v>
      </c>
      <c r="K3716" s="36" t="s">
        <v>7671</v>
      </c>
      <c r="L3716" t="s">
        <v>69</v>
      </c>
      <c r="M3716" s="62" t="s">
        <v>70</v>
      </c>
      <c r="N3716" t="s">
        <v>11333</v>
      </c>
      <c r="O3716" t="str">
        <f>IFERROR(IF(Tbla_actores[[#This Row],[codigo_proyecto]]="","",_xlfn.XLOOKUP(Tbla_actores[[#This Row],[codigo_proyecto]],Proyectos!$A:$A,Proyectos!$C:$C)),"")</f>
        <v>Campus Accesible - Inclusión y Diversidad</v>
      </c>
    </row>
    <row r="3717" spans="1:15">
      <c r="A3717" s="10">
        <v>1130744010</v>
      </c>
      <c r="B3717" s="64" t="s">
        <v>61</v>
      </c>
      <c r="C3717" s="62" t="s">
        <v>10816</v>
      </c>
      <c r="D3717" t="s">
        <v>63</v>
      </c>
      <c r="E3717" t="s">
        <v>11372</v>
      </c>
      <c r="F3717" s="61">
        <v>38100</v>
      </c>
      <c r="G3717" s="15" t="s">
        <v>73</v>
      </c>
      <c r="H3717" t="s">
        <v>11373</v>
      </c>
      <c r="I3717" s="62" t="s">
        <v>11374</v>
      </c>
      <c r="K3717" s="36" t="s">
        <v>1489</v>
      </c>
      <c r="L3717" t="s">
        <v>69</v>
      </c>
      <c r="M3717" s="62" t="s">
        <v>70</v>
      </c>
      <c r="N3717" t="s">
        <v>11333</v>
      </c>
      <c r="O3717" t="str">
        <f>IFERROR(IF(Tbla_actores[[#This Row],[codigo_proyecto]]="","",_xlfn.XLOOKUP(Tbla_actores[[#This Row],[codigo_proyecto]],Proyectos!$A:$A,Proyectos!$C:$C)),"")</f>
        <v>Campus Accesible - Inclusión y Diversidad</v>
      </c>
    </row>
    <row r="3718" spans="1:15">
      <c r="A3718" s="9">
        <v>1029642745</v>
      </c>
      <c r="B3718" s="63" t="s">
        <v>61</v>
      </c>
      <c r="C3718" s="62" t="s">
        <v>10816</v>
      </c>
      <c r="D3718" t="s">
        <v>63</v>
      </c>
      <c r="E3718" t="s">
        <v>11375</v>
      </c>
      <c r="F3718" s="61">
        <v>38583</v>
      </c>
      <c r="G3718" s="15" t="s">
        <v>73</v>
      </c>
      <c r="H3718" t="s">
        <v>11376</v>
      </c>
      <c r="I3718" s="62" t="s">
        <v>11377</v>
      </c>
      <c r="K3718" s="36" t="s">
        <v>7671</v>
      </c>
      <c r="L3718" t="s">
        <v>69</v>
      </c>
      <c r="M3718" s="62" t="s">
        <v>70</v>
      </c>
      <c r="N3718" t="s">
        <v>11340</v>
      </c>
      <c r="O3718" t="str">
        <f>IFERROR(IF(Tbla_actores[[#This Row],[codigo_proyecto]]="","",_xlfn.XLOOKUP(Tbla_actores[[#This Row],[codigo_proyecto]],Proyectos!$A:$A,Proyectos!$C:$C)),"")</f>
        <v>Diagnóstico de necesidades de asesoría técnica para las labores de cuidado</v>
      </c>
    </row>
    <row r="3719" spans="1:15">
      <c r="A3719" s="10">
        <v>1122921194</v>
      </c>
      <c r="B3719" s="64" t="s">
        <v>61</v>
      </c>
      <c r="C3719" s="62" t="s">
        <v>10816</v>
      </c>
      <c r="D3719" t="s">
        <v>63</v>
      </c>
      <c r="E3719" t="s">
        <v>11378</v>
      </c>
      <c r="F3719" s="61">
        <v>38447</v>
      </c>
      <c r="G3719" s="15" t="s">
        <v>65</v>
      </c>
      <c r="H3719" t="s">
        <v>11379</v>
      </c>
      <c r="I3719" s="62" t="s">
        <v>11380</v>
      </c>
      <c r="K3719" s="36" t="s">
        <v>7671</v>
      </c>
      <c r="L3719" t="s">
        <v>69</v>
      </c>
      <c r="M3719" s="62" t="s">
        <v>70</v>
      </c>
      <c r="N3719" t="s">
        <v>11340</v>
      </c>
      <c r="O3719" t="str">
        <f>IFERROR(IF(Tbla_actores[[#This Row],[codigo_proyecto]]="","",_xlfn.XLOOKUP(Tbla_actores[[#This Row],[codigo_proyecto]],Proyectos!$A:$A,Proyectos!$C:$C)),"")</f>
        <v>Diagnóstico de necesidades de asesoría técnica para las labores de cuidado</v>
      </c>
    </row>
    <row r="3720" spans="1:15">
      <c r="A3720" s="9">
        <v>1042243206</v>
      </c>
      <c r="B3720" s="63" t="s">
        <v>61</v>
      </c>
      <c r="C3720" s="62" t="s">
        <v>10816</v>
      </c>
      <c r="D3720" t="s">
        <v>63</v>
      </c>
      <c r="E3720" t="s">
        <v>11381</v>
      </c>
      <c r="F3720" s="61">
        <v>38305</v>
      </c>
      <c r="G3720" s="15" t="s">
        <v>73</v>
      </c>
      <c r="H3720" t="s">
        <v>11382</v>
      </c>
      <c r="I3720" s="62" t="s">
        <v>11383</v>
      </c>
      <c r="K3720" s="36" t="s">
        <v>1489</v>
      </c>
      <c r="L3720" t="s">
        <v>69</v>
      </c>
      <c r="M3720" s="62" t="s">
        <v>70</v>
      </c>
      <c r="N3720" t="s">
        <v>11384</v>
      </c>
      <c r="O3720" t="str">
        <f>IFERROR(IF(Tbla_actores[[#This Row],[codigo_proyecto]]="","",_xlfn.XLOOKUP(Tbla_actores[[#This Row],[codigo_proyecto]],Proyectos!$A:$A,Proyectos!$C:$C)),"")</f>
        <v>Reparación de Electrodomésticos BA</v>
      </c>
    </row>
    <row r="3721" spans="1:15" ht="30">
      <c r="A3721" s="10">
        <v>1031644991</v>
      </c>
      <c r="B3721" s="64" t="s">
        <v>61</v>
      </c>
      <c r="C3721" s="62" t="s">
        <v>10816</v>
      </c>
      <c r="D3721" t="s">
        <v>63</v>
      </c>
      <c r="E3721" t="s">
        <v>11385</v>
      </c>
      <c r="F3721" s="61">
        <v>38314</v>
      </c>
      <c r="G3721" s="15" t="s">
        <v>73</v>
      </c>
      <c r="H3721" t="s">
        <v>11386</v>
      </c>
      <c r="I3721" s="62" t="s">
        <v>11387</v>
      </c>
      <c r="K3721" s="36" t="s">
        <v>11388</v>
      </c>
      <c r="L3721" t="s">
        <v>69</v>
      </c>
      <c r="M3721" s="62" t="s">
        <v>70</v>
      </c>
      <c r="N3721" t="s">
        <v>11389</v>
      </c>
      <c r="O3721" t="str">
        <f>IFERROR(IF(Tbla_actores[[#This Row],[codigo_proyecto]]="","",_xlfn.XLOOKUP(Tbla_actores[[#This Row],[codigo_proyecto]],Proyectos!$A:$A,Proyectos!$C:$C)),"")</f>
        <v>Laudes Infantis</v>
      </c>
    </row>
    <row r="3722" spans="1:15" ht="30">
      <c r="A3722" s="9">
        <v>1015992227</v>
      </c>
      <c r="B3722" s="63" t="s">
        <v>61</v>
      </c>
      <c r="C3722" s="62" t="s">
        <v>10816</v>
      </c>
      <c r="D3722" t="s">
        <v>63</v>
      </c>
      <c r="E3722" t="s">
        <v>11390</v>
      </c>
      <c r="F3722" s="61">
        <v>37965</v>
      </c>
      <c r="G3722" s="15" t="s">
        <v>73</v>
      </c>
      <c r="H3722" t="s">
        <v>11391</v>
      </c>
      <c r="I3722" s="62" t="s">
        <v>11392</v>
      </c>
      <c r="K3722" s="36" t="s">
        <v>11388</v>
      </c>
      <c r="L3722" t="s">
        <v>69</v>
      </c>
      <c r="M3722" s="62" t="s">
        <v>70</v>
      </c>
      <c r="N3722" t="s">
        <v>11384</v>
      </c>
      <c r="O3722" t="str">
        <f>IFERROR(IF(Tbla_actores[[#This Row],[codigo_proyecto]]="","",_xlfn.XLOOKUP(Tbla_actores[[#This Row],[codigo_proyecto]],Proyectos!$A:$A,Proyectos!$C:$C)),"")</f>
        <v>Reparación de Electrodomésticos BA</v>
      </c>
    </row>
    <row r="3723" spans="1:15">
      <c r="A3723" s="10">
        <v>1034989050</v>
      </c>
      <c r="B3723" s="64" t="s">
        <v>61</v>
      </c>
      <c r="C3723" s="62" t="s">
        <v>10816</v>
      </c>
      <c r="D3723" t="s">
        <v>63</v>
      </c>
      <c r="E3723" t="s">
        <v>11393</v>
      </c>
      <c r="F3723" s="61">
        <v>38730</v>
      </c>
      <c r="G3723" s="15" t="s">
        <v>73</v>
      </c>
      <c r="H3723" t="s">
        <v>11394</v>
      </c>
      <c r="I3723" s="62" t="s">
        <v>11395</v>
      </c>
      <c r="K3723" s="36" t="s">
        <v>7671</v>
      </c>
      <c r="L3723" t="s">
        <v>69</v>
      </c>
      <c r="M3723" s="62" t="s">
        <v>70</v>
      </c>
      <c r="N3723" t="s">
        <v>11396</v>
      </c>
      <c r="O3723" t="str">
        <f>IFERROR(IF(Tbla_actores[[#This Row],[codigo_proyecto]]="","",_xlfn.XLOOKUP(Tbla_actores[[#This Row],[codigo_proyecto]],Proyectos!$A:$A,Proyectos!$C:$C)),"")</f>
        <v>Reparación equipos y refuerzo escolar</v>
      </c>
    </row>
    <row r="3724" spans="1:15" ht="30">
      <c r="A3724" s="9">
        <v>1126708493</v>
      </c>
      <c r="B3724" s="63" t="s">
        <v>61</v>
      </c>
      <c r="C3724" s="62" t="s">
        <v>10816</v>
      </c>
      <c r="D3724" t="s">
        <v>63</v>
      </c>
      <c r="E3724" t="s">
        <v>11397</v>
      </c>
      <c r="F3724" s="61">
        <v>37775</v>
      </c>
      <c r="G3724" s="15" t="s">
        <v>73</v>
      </c>
      <c r="H3724" t="s">
        <v>11398</v>
      </c>
      <c r="I3724" s="62" t="s">
        <v>11399</v>
      </c>
      <c r="K3724" s="36" t="s">
        <v>11388</v>
      </c>
      <c r="L3724" t="s">
        <v>69</v>
      </c>
      <c r="M3724" s="62" t="s">
        <v>70</v>
      </c>
      <c r="N3724" t="s">
        <v>11400</v>
      </c>
      <c r="O3724" t="str">
        <f>IFERROR(IF(Tbla_actores[[#This Row],[codigo_proyecto]]="","",_xlfn.XLOOKUP(Tbla_actores[[#This Row],[codigo_proyecto]],Proyectos!$A:$A,Proyectos!$C:$C)),"")</f>
        <v>GABRIEL GARCÍA MARQUEZ
ROBÓTICA</v>
      </c>
    </row>
    <row r="3725" spans="1:15">
      <c r="A3725" s="10">
        <v>1000809720</v>
      </c>
      <c r="B3725" s="64" t="s">
        <v>61</v>
      </c>
      <c r="C3725" s="62" t="s">
        <v>10816</v>
      </c>
      <c r="D3725" t="s">
        <v>63</v>
      </c>
      <c r="E3725" t="s">
        <v>11401</v>
      </c>
      <c r="F3725" s="61">
        <v>37737</v>
      </c>
      <c r="G3725" s="15" t="s">
        <v>73</v>
      </c>
      <c r="H3725" t="s">
        <v>11402</v>
      </c>
      <c r="I3725" s="62" t="s">
        <v>11403</v>
      </c>
      <c r="K3725" s="36" t="s">
        <v>1489</v>
      </c>
      <c r="L3725" t="s">
        <v>69</v>
      </c>
      <c r="M3725" s="62" t="s">
        <v>70</v>
      </c>
      <c r="N3725" t="s">
        <v>11404</v>
      </c>
      <c r="O3725" t="str">
        <f>IFERROR(IF(Tbla_actores[[#This Row],[codigo_proyecto]]="","",_xlfn.XLOOKUP(Tbla_actores[[#This Row],[codigo_proyecto]],Proyectos!$A:$A,Proyectos!$C:$C)),"")</f>
        <v>COLEGIO SAN GREGORIO HERNÁNDEZ</v>
      </c>
    </row>
    <row r="3726" spans="1:15">
      <c r="A3726" s="9">
        <v>1011093037</v>
      </c>
      <c r="B3726" s="63" t="s">
        <v>61</v>
      </c>
      <c r="C3726" s="62" t="s">
        <v>10816</v>
      </c>
      <c r="D3726" t="s">
        <v>63</v>
      </c>
      <c r="E3726" t="s">
        <v>11405</v>
      </c>
      <c r="F3726" s="61">
        <v>38803</v>
      </c>
      <c r="G3726" s="15" t="s">
        <v>73</v>
      </c>
      <c r="H3726" t="s">
        <v>11406</v>
      </c>
      <c r="I3726" s="62" t="s">
        <v>11407</v>
      </c>
      <c r="K3726" s="36" t="s">
        <v>7671</v>
      </c>
      <c r="L3726" t="s">
        <v>69</v>
      </c>
      <c r="M3726" s="62" t="s">
        <v>70</v>
      </c>
      <c r="N3726" t="s">
        <v>11408</v>
      </c>
      <c r="O3726" t="str">
        <f>IFERROR(IF(Tbla_actores[[#This Row],[codigo_proyecto]]="","",_xlfn.XLOOKUP(Tbla_actores[[#This Row],[codigo_proyecto]],Proyectos!$A:$A,Proyectos!$C:$C)),"")</f>
        <v>Reparación de Electrodomésticos FSI</v>
      </c>
    </row>
    <row r="3727" spans="1:15">
      <c r="A3727" s="10">
        <v>1020840160</v>
      </c>
      <c r="B3727" s="64" t="s">
        <v>61</v>
      </c>
      <c r="C3727" s="62" t="s">
        <v>10816</v>
      </c>
      <c r="D3727" t="s">
        <v>63</v>
      </c>
      <c r="E3727" t="s">
        <v>11409</v>
      </c>
      <c r="F3727" s="61">
        <v>36244</v>
      </c>
      <c r="G3727" s="15" t="s">
        <v>73</v>
      </c>
      <c r="H3727" t="s">
        <v>11410</v>
      </c>
      <c r="I3727" s="62" t="s">
        <v>11411</v>
      </c>
      <c r="K3727" s="36" t="s">
        <v>1489</v>
      </c>
      <c r="L3727" t="s">
        <v>69</v>
      </c>
      <c r="M3727" s="62" t="s">
        <v>70</v>
      </c>
      <c r="N3727" t="s">
        <v>11408</v>
      </c>
      <c r="O3727" t="str">
        <f>IFERROR(IF(Tbla_actores[[#This Row],[codigo_proyecto]]="","",_xlfn.XLOOKUP(Tbla_actores[[#This Row],[codigo_proyecto]],Proyectos!$A:$A,Proyectos!$C:$C)),"")</f>
        <v>Reparación de Electrodomésticos FSI</v>
      </c>
    </row>
    <row r="3728" spans="1:15">
      <c r="A3728" s="9">
        <v>1014858913</v>
      </c>
      <c r="B3728" s="63" t="s">
        <v>61</v>
      </c>
      <c r="C3728" s="62" t="s">
        <v>10816</v>
      </c>
      <c r="D3728" t="s">
        <v>63</v>
      </c>
      <c r="E3728" t="s">
        <v>11412</v>
      </c>
      <c r="F3728" s="61">
        <v>38530</v>
      </c>
      <c r="G3728" s="15" t="s">
        <v>73</v>
      </c>
      <c r="H3728" t="s">
        <v>11413</v>
      </c>
      <c r="I3728" s="62" t="s">
        <v>11414</v>
      </c>
      <c r="K3728" s="36" t="s">
        <v>7671</v>
      </c>
      <c r="L3728" t="s">
        <v>69</v>
      </c>
      <c r="M3728" s="62" t="s">
        <v>70</v>
      </c>
      <c r="N3728" t="s">
        <v>11408</v>
      </c>
      <c r="O3728" t="str">
        <f>IFERROR(IF(Tbla_actores[[#This Row],[codigo_proyecto]]="","",_xlfn.XLOOKUP(Tbla_actores[[#This Row],[codigo_proyecto]],Proyectos!$A:$A,Proyectos!$C:$C)),"")</f>
        <v>Reparación de Electrodomésticos FSI</v>
      </c>
    </row>
    <row r="3729" spans="1:15">
      <c r="A3729" s="10">
        <v>1014861155</v>
      </c>
      <c r="B3729" s="64" t="s">
        <v>61</v>
      </c>
      <c r="C3729" s="62" t="s">
        <v>10816</v>
      </c>
      <c r="D3729" t="s">
        <v>63</v>
      </c>
      <c r="E3729" t="s">
        <v>11415</v>
      </c>
      <c r="F3729" s="61">
        <v>38771</v>
      </c>
      <c r="G3729" s="15" t="s">
        <v>73</v>
      </c>
      <c r="H3729" t="s">
        <v>11416</v>
      </c>
      <c r="I3729" s="62" t="s">
        <v>11417</v>
      </c>
      <c r="K3729" s="36" t="s">
        <v>7671</v>
      </c>
      <c r="L3729" t="s">
        <v>69</v>
      </c>
      <c r="M3729" s="62" t="s">
        <v>70</v>
      </c>
      <c r="N3729" t="s">
        <v>11389</v>
      </c>
      <c r="O3729" t="str">
        <f>IFERROR(IF(Tbla_actores[[#This Row],[codigo_proyecto]]="","",_xlfn.XLOOKUP(Tbla_actores[[#This Row],[codigo_proyecto]],Proyectos!$A:$A,Proyectos!$C:$C)),"")</f>
        <v>Laudes Infantis</v>
      </c>
    </row>
    <row r="3730" spans="1:15">
      <c r="A3730" s="9">
        <v>1014858235</v>
      </c>
      <c r="B3730" s="63" t="s">
        <v>61</v>
      </c>
      <c r="C3730" s="62" t="s">
        <v>10816</v>
      </c>
      <c r="D3730" t="s">
        <v>63</v>
      </c>
      <c r="E3730" t="s">
        <v>11418</v>
      </c>
      <c r="F3730" s="61">
        <v>38458</v>
      </c>
      <c r="G3730" s="15" t="s">
        <v>65</v>
      </c>
      <c r="H3730" t="s">
        <v>11419</v>
      </c>
      <c r="I3730" s="62" t="s">
        <v>11420</v>
      </c>
      <c r="K3730" s="36" t="s">
        <v>7671</v>
      </c>
      <c r="L3730" t="s">
        <v>69</v>
      </c>
      <c r="M3730" s="62" t="s">
        <v>70</v>
      </c>
      <c r="N3730" t="s">
        <v>11384</v>
      </c>
      <c r="O3730" t="str">
        <f>IFERROR(IF(Tbla_actores[[#This Row],[codigo_proyecto]]="","",_xlfn.XLOOKUP(Tbla_actores[[#This Row],[codigo_proyecto]],Proyectos!$A:$A,Proyectos!$C:$C)),"")</f>
        <v>Reparación de Electrodomésticos BA</v>
      </c>
    </row>
    <row r="3731" spans="1:15">
      <c r="A3731" s="10">
        <v>1032876065</v>
      </c>
      <c r="B3731" s="64" t="s">
        <v>61</v>
      </c>
      <c r="C3731" s="62" t="s">
        <v>10816</v>
      </c>
      <c r="D3731" t="s">
        <v>63</v>
      </c>
      <c r="E3731" t="s">
        <v>11421</v>
      </c>
      <c r="F3731" s="61">
        <v>38000</v>
      </c>
      <c r="G3731" s="15" t="s">
        <v>73</v>
      </c>
      <c r="H3731" t="s">
        <v>11422</v>
      </c>
      <c r="I3731" s="62" t="s">
        <v>11423</v>
      </c>
      <c r="K3731" s="36" t="s">
        <v>1489</v>
      </c>
      <c r="L3731" t="s">
        <v>69</v>
      </c>
      <c r="M3731" s="62" t="s">
        <v>70</v>
      </c>
      <c r="N3731" t="s">
        <v>11404</v>
      </c>
      <c r="O3731" t="str">
        <f>IFERROR(IF(Tbla_actores[[#This Row],[codigo_proyecto]]="","",_xlfn.XLOOKUP(Tbla_actores[[#This Row],[codigo_proyecto]],Proyectos!$A:$A,Proyectos!$C:$C)),"")</f>
        <v>COLEGIO SAN GREGORIO HERNÁNDEZ</v>
      </c>
    </row>
    <row r="3732" spans="1:15">
      <c r="A3732" s="9">
        <v>1011084447</v>
      </c>
      <c r="B3732" s="63" t="s">
        <v>61</v>
      </c>
      <c r="C3732" s="62" t="s">
        <v>10816</v>
      </c>
      <c r="D3732" t="s">
        <v>63</v>
      </c>
      <c r="E3732" t="s">
        <v>11424</v>
      </c>
      <c r="F3732" s="61">
        <v>38487</v>
      </c>
      <c r="G3732" s="15" t="s">
        <v>65</v>
      </c>
      <c r="H3732" t="s">
        <v>11425</v>
      </c>
      <c r="I3732" s="62" t="s">
        <v>11426</v>
      </c>
      <c r="K3732" s="36" t="s">
        <v>7671</v>
      </c>
      <c r="L3732" t="s">
        <v>69</v>
      </c>
      <c r="M3732" s="62" t="s">
        <v>70</v>
      </c>
      <c r="N3732" t="s">
        <v>11427</v>
      </c>
      <c r="O3732" t="str">
        <f>IFERROR(IF(Tbla_actores[[#This Row],[codigo_proyecto]]="","",_xlfn.XLOOKUP(Tbla_actores[[#This Row],[codigo_proyecto]],Proyectos!$A:$A,Proyectos!$C:$C)),"")</f>
        <v>SAN CAYETANO ROBOTÍCA</v>
      </c>
    </row>
    <row r="3733" spans="1:15">
      <c r="A3733" s="10">
        <v>1053605486</v>
      </c>
      <c r="B3733" s="64" t="s">
        <v>61</v>
      </c>
      <c r="C3733" s="62" t="s">
        <v>10816</v>
      </c>
      <c r="D3733" t="s">
        <v>63</v>
      </c>
      <c r="E3733" t="s">
        <v>11428</v>
      </c>
      <c r="F3733" s="61">
        <v>38518</v>
      </c>
      <c r="G3733" s="15" t="s">
        <v>73</v>
      </c>
      <c r="H3733" t="s">
        <v>11429</v>
      </c>
      <c r="I3733" s="62" t="s">
        <v>11430</v>
      </c>
      <c r="K3733" s="36" t="s">
        <v>7671</v>
      </c>
      <c r="L3733" t="s">
        <v>69</v>
      </c>
      <c r="M3733" s="62" t="s">
        <v>70</v>
      </c>
      <c r="N3733" t="s">
        <v>11384</v>
      </c>
      <c r="O3733" t="str">
        <f>IFERROR(IF(Tbla_actores[[#This Row],[codigo_proyecto]]="","",_xlfn.XLOOKUP(Tbla_actores[[#This Row],[codigo_proyecto]],Proyectos!$A:$A,Proyectos!$C:$C)),"")</f>
        <v>Reparación de Electrodomésticos BA</v>
      </c>
    </row>
    <row r="3734" spans="1:15">
      <c r="A3734" s="9">
        <v>1025884120</v>
      </c>
      <c r="B3734" s="63" t="s">
        <v>61</v>
      </c>
      <c r="C3734" s="62" t="s">
        <v>10816</v>
      </c>
      <c r="D3734" t="s">
        <v>63</v>
      </c>
      <c r="E3734" t="s">
        <v>11431</v>
      </c>
      <c r="F3734" s="61">
        <v>38377</v>
      </c>
      <c r="G3734" s="15" t="s">
        <v>73</v>
      </c>
      <c r="H3734" t="s">
        <v>11432</v>
      </c>
      <c r="I3734" s="62" t="s">
        <v>11433</v>
      </c>
      <c r="K3734" s="36" t="s">
        <v>7671</v>
      </c>
      <c r="L3734" t="s">
        <v>69</v>
      </c>
      <c r="M3734" s="62" t="s">
        <v>70</v>
      </c>
      <c r="N3734" t="s">
        <v>11384</v>
      </c>
      <c r="O3734" t="str">
        <f>IFERROR(IF(Tbla_actores[[#This Row],[codigo_proyecto]]="","",_xlfn.XLOOKUP(Tbla_actores[[#This Row],[codigo_proyecto]],Proyectos!$A:$A,Proyectos!$C:$C)),"")</f>
        <v>Reparación de Electrodomésticos BA</v>
      </c>
    </row>
    <row r="3735" spans="1:15" ht="30">
      <c r="A3735" s="10">
        <v>1013259304</v>
      </c>
      <c r="B3735" s="64" t="s">
        <v>61</v>
      </c>
      <c r="C3735" s="62" t="s">
        <v>10816</v>
      </c>
      <c r="D3735" t="s">
        <v>63</v>
      </c>
      <c r="E3735" t="s">
        <v>11434</v>
      </c>
      <c r="F3735" s="61">
        <v>38448</v>
      </c>
      <c r="G3735" s="15" t="s">
        <v>73</v>
      </c>
      <c r="H3735" t="s">
        <v>11435</v>
      </c>
      <c r="I3735" s="62" t="s">
        <v>11436</v>
      </c>
      <c r="K3735" s="36" t="s">
        <v>11388</v>
      </c>
      <c r="L3735" t="s">
        <v>69</v>
      </c>
      <c r="M3735" s="62" t="s">
        <v>70</v>
      </c>
      <c r="N3735" t="s">
        <v>11400</v>
      </c>
      <c r="O3735" t="str">
        <f>IFERROR(IF(Tbla_actores[[#This Row],[codigo_proyecto]]="","",_xlfn.XLOOKUP(Tbla_actores[[#This Row],[codigo_proyecto]],Proyectos!$A:$A,Proyectos!$C:$C)),"")</f>
        <v>GABRIEL GARCÍA MARQUEZ
ROBÓTICA</v>
      </c>
    </row>
    <row r="3736" spans="1:15">
      <c r="A3736" s="9">
        <v>1020222430</v>
      </c>
      <c r="B3736" s="63" t="s">
        <v>61</v>
      </c>
      <c r="C3736" s="62" t="s">
        <v>10816</v>
      </c>
      <c r="D3736" t="s">
        <v>63</v>
      </c>
      <c r="E3736" t="s">
        <v>11437</v>
      </c>
      <c r="F3736" s="61">
        <v>38146</v>
      </c>
      <c r="G3736" s="15" t="s">
        <v>73</v>
      </c>
      <c r="H3736" t="s">
        <v>11438</v>
      </c>
      <c r="I3736" s="62" t="s">
        <v>11439</v>
      </c>
      <c r="K3736" s="36" t="s">
        <v>1489</v>
      </c>
      <c r="L3736" t="s">
        <v>69</v>
      </c>
      <c r="M3736" s="62" t="s">
        <v>70</v>
      </c>
      <c r="N3736" t="s">
        <v>11404</v>
      </c>
      <c r="O3736" t="str">
        <f>IFERROR(IF(Tbla_actores[[#This Row],[codigo_proyecto]]="","",_xlfn.XLOOKUP(Tbla_actores[[#This Row],[codigo_proyecto]],Proyectos!$A:$A,Proyectos!$C:$C)),"")</f>
        <v>COLEGIO SAN GREGORIO HERNÁNDEZ</v>
      </c>
    </row>
    <row r="3737" spans="1:15">
      <c r="A3737" s="10">
        <v>1013099173</v>
      </c>
      <c r="B3737" s="64" t="s">
        <v>61</v>
      </c>
      <c r="C3737" s="62" t="s">
        <v>10816</v>
      </c>
      <c r="D3737" t="s">
        <v>63</v>
      </c>
      <c r="E3737" t="s">
        <v>11440</v>
      </c>
      <c r="F3737" s="61">
        <v>38091</v>
      </c>
      <c r="G3737" s="15" t="s">
        <v>73</v>
      </c>
      <c r="H3737" t="s">
        <v>11441</v>
      </c>
      <c r="I3737" s="62" t="s">
        <v>11442</v>
      </c>
      <c r="K3737" s="36" t="s">
        <v>7671</v>
      </c>
      <c r="L3737" t="s">
        <v>69</v>
      </c>
      <c r="M3737" s="62" t="s">
        <v>70</v>
      </c>
      <c r="N3737" t="s">
        <v>11427</v>
      </c>
      <c r="O3737" t="str">
        <f>IFERROR(IF(Tbla_actores[[#This Row],[codigo_proyecto]]="","",_xlfn.XLOOKUP(Tbla_actores[[#This Row],[codigo_proyecto]],Proyectos!$A:$A,Proyectos!$C:$C)),"")</f>
        <v>SAN CAYETANO ROBOTÍCA</v>
      </c>
    </row>
    <row r="3738" spans="1:15">
      <c r="A3738" s="9">
        <v>1053327946</v>
      </c>
      <c r="B3738" s="63" t="s">
        <v>61</v>
      </c>
      <c r="C3738" s="62" t="s">
        <v>10816</v>
      </c>
      <c r="D3738" t="s">
        <v>63</v>
      </c>
      <c r="E3738" t="s">
        <v>11443</v>
      </c>
      <c r="F3738" s="61">
        <v>38653</v>
      </c>
      <c r="G3738" s="15" t="s">
        <v>73</v>
      </c>
      <c r="H3738" t="s">
        <v>11444</v>
      </c>
      <c r="I3738" s="62" t="s">
        <v>11445</v>
      </c>
      <c r="K3738" s="36" t="s">
        <v>169</v>
      </c>
      <c r="L3738" t="s">
        <v>69</v>
      </c>
      <c r="M3738" s="62" t="s">
        <v>170</v>
      </c>
      <c r="N3738" t="s">
        <v>11446</v>
      </c>
      <c r="O3738">
        <f>IFERROR(IF(Tbla_actores[[#This Row],[codigo_proyecto]]="","",_xlfn.XLOOKUP(Tbla_actores[[#This Row],[codigo_proyecto]],Proyectos!$A:$A,Proyectos!$C:$C)),"")</f>
        <v>0</v>
      </c>
    </row>
    <row r="3739" spans="1:15">
      <c r="A3739" s="10">
        <v>1014860535</v>
      </c>
      <c r="B3739" s="64" t="s">
        <v>61</v>
      </c>
      <c r="C3739" s="62" t="s">
        <v>10816</v>
      </c>
      <c r="D3739" t="s">
        <v>63</v>
      </c>
      <c r="E3739" t="s">
        <v>11447</v>
      </c>
      <c r="F3739" s="61">
        <v>38680</v>
      </c>
      <c r="G3739" s="15" t="s">
        <v>73</v>
      </c>
      <c r="H3739" t="s">
        <v>11448</v>
      </c>
      <c r="I3739" s="62" t="s">
        <v>11449</v>
      </c>
      <c r="K3739" s="36" t="s">
        <v>169</v>
      </c>
      <c r="L3739" t="s">
        <v>69</v>
      </c>
      <c r="M3739" s="62" t="s">
        <v>170</v>
      </c>
      <c r="N3739" t="s">
        <v>11446</v>
      </c>
      <c r="O3739">
        <f>IFERROR(IF(Tbla_actores[[#This Row],[codigo_proyecto]]="","",_xlfn.XLOOKUP(Tbla_actores[[#This Row],[codigo_proyecto]],Proyectos!$A:$A,Proyectos!$C:$C)),"")</f>
        <v>0</v>
      </c>
    </row>
    <row r="3740" spans="1:15">
      <c r="A3740" s="9">
        <v>1032876429</v>
      </c>
      <c r="B3740" s="63" t="s">
        <v>61</v>
      </c>
      <c r="C3740" s="62" t="s">
        <v>10816</v>
      </c>
      <c r="D3740" t="s">
        <v>63</v>
      </c>
      <c r="E3740" t="s">
        <v>11450</v>
      </c>
      <c r="F3740" s="61">
        <v>38260</v>
      </c>
      <c r="G3740" s="15" t="s">
        <v>73</v>
      </c>
      <c r="H3740" t="s">
        <v>11451</v>
      </c>
      <c r="I3740" s="62" t="s">
        <v>11452</v>
      </c>
      <c r="K3740" s="36" t="s">
        <v>169</v>
      </c>
      <c r="L3740" t="s">
        <v>69</v>
      </c>
      <c r="M3740" s="62" t="s">
        <v>170</v>
      </c>
      <c r="N3740" t="s">
        <v>11453</v>
      </c>
      <c r="O3740" t="str">
        <f>IFERROR(IF(Tbla_actores[[#This Row],[codigo_proyecto]]="","",_xlfn.XLOOKUP(Tbla_actores[[#This Row],[codigo_proyecto]],Proyectos!$A:$A,Proyectos!$C:$C)),"")</f>
        <v>PROPUESTA DE GESTION Y ANALISIS ESTRATEGICO</v>
      </c>
    </row>
    <row r="3741" spans="1:15">
      <c r="A3741" s="10">
        <v>1023083296</v>
      </c>
      <c r="B3741" s="64" t="s">
        <v>61</v>
      </c>
      <c r="C3741" s="62" t="s">
        <v>10816</v>
      </c>
      <c r="D3741" t="s">
        <v>63</v>
      </c>
      <c r="E3741" t="s">
        <v>11454</v>
      </c>
      <c r="F3741" s="61">
        <v>38633</v>
      </c>
      <c r="G3741" s="15" t="s">
        <v>73</v>
      </c>
      <c r="H3741" t="s">
        <v>11455</v>
      </c>
      <c r="I3741" s="62" t="s">
        <v>11456</v>
      </c>
      <c r="K3741" s="36" t="s">
        <v>169</v>
      </c>
      <c r="L3741" t="s">
        <v>69</v>
      </c>
      <c r="M3741" s="62" t="s">
        <v>170</v>
      </c>
      <c r="N3741" t="s">
        <v>11446</v>
      </c>
      <c r="O3741">
        <f>IFERROR(IF(Tbla_actores[[#This Row],[codigo_proyecto]]="","",_xlfn.XLOOKUP(Tbla_actores[[#This Row],[codigo_proyecto]],Proyectos!$A:$A,Proyectos!$C:$C)),"")</f>
        <v>0</v>
      </c>
    </row>
    <row r="3742" spans="1:15">
      <c r="A3742" s="9">
        <v>1057573759</v>
      </c>
      <c r="B3742" s="63" t="s">
        <v>10825</v>
      </c>
      <c r="C3742" s="62" t="s">
        <v>10816</v>
      </c>
      <c r="D3742" t="s">
        <v>63</v>
      </c>
      <c r="E3742" t="s">
        <v>11457</v>
      </c>
      <c r="F3742" s="61">
        <v>38394</v>
      </c>
      <c r="G3742" s="15" t="s">
        <v>65</v>
      </c>
      <c r="H3742" t="s">
        <v>11458</v>
      </c>
      <c r="I3742" s="62" t="s">
        <v>11459</v>
      </c>
      <c r="K3742" s="36" t="s">
        <v>169</v>
      </c>
      <c r="L3742" t="s">
        <v>69</v>
      </c>
      <c r="M3742" s="62" t="s">
        <v>170</v>
      </c>
      <c r="N3742" t="s">
        <v>11453</v>
      </c>
      <c r="O3742" t="str">
        <f>IFERROR(IF(Tbla_actores[[#This Row],[codigo_proyecto]]="","",_xlfn.XLOOKUP(Tbla_actores[[#This Row],[codigo_proyecto]],Proyectos!$A:$A,Proyectos!$C:$C)),"")</f>
        <v>PROPUESTA DE GESTION Y ANALISIS ESTRATEGICO</v>
      </c>
    </row>
    <row r="3743" spans="1:15">
      <c r="A3743" s="10">
        <v>1025461954</v>
      </c>
      <c r="B3743" s="64" t="s">
        <v>61</v>
      </c>
      <c r="C3743" s="62" t="s">
        <v>10816</v>
      </c>
      <c r="D3743" t="s">
        <v>63</v>
      </c>
      <c r="E3743" t="s">
        <v>11460</v>
      </c>
      <c r="F3743" s="61">
        <v>39072</v>
      </c>
      <c r="G3743" s="15" t="s">
        <v>65</v>
      </c>
      <c r="H3743" t="s">
        <v>11461</v>
      </c>
      <c r="I3743" s="62" t="s">
        <v>11462</v>
      </c>
      <c r="K3743" s="36" t="s">
        <v>169</v>
      </c>
      <c r="L3743" t="s">
        <v>69</v>
      </c>
      <c r="M3743" s="62" t="s">
        <v>170</v>
      </c>
      <c r="N3743" t="s">
        <v>11463</v>
      </c>
      <c r="O3743" t="str">
        <f>IFERROR(IF(Tbla_actores[[#This Row],[codigo_proyecto]]="","",_xlfn.XLOOKUP(Tbla_actores[[#This Row],[codigo_proyecto]],Proyectos!$A:$A,Proyectos!$C:$C)),"")</f>
        <v>GABRIEL GARCÍA MARQUEZ
VOLVER A LA HUERTA</v>
      </c>
    </row>
    <row r="3744" spans="1:15">
      <c r="A3744" s="9">
        <v>1014596520</v>
      </c>
      <c r="B3744" s="63" t="s">
        <v>61</v>
      </c>
      <c r="C3744" s="62" t="s">
        <v>10816</v>
      </c>
      <c r="D3744" t="s">
        <v>63</v>
      </c>
      <c r="E3744" t="s">
        <v>11464</v>
      </c>
      <c r="F3744" s="61">
        <v>39146</v>
      </c>
      <c r="G3744" s="15" t="s">
        <v>65</v>
      </c>
      <c r="H3744" t="s">
        <v>11465</v>
      </c>
      <c r="I3744" s="62" t="s">
        <v>11466</v>
      </c>
      <c r="K3744" s="36" t="s">
        <v>169</v>
      </c>
      <c r="L3744" t="s">
        <v>69</v>
      </c>
      <c r="M3744" s="62" t="s">
        <v>170</v>
      </c>
      <c r="N3744" t="s">
        <v>11463</v>
      </c>
      <c r="O3744" t="str">
        <f>IFERROR(IF(Tbla_actores[[#This Row],[codigo_proyecto]]="","",_xlfn.XLOOKUP(Tbla_actores[[#This Row],[codigo_proyecto]],Proyectos!$A:$A,Proyectos!$C:$C)),"")</f>
        <v>GABRIEL GARCÍA MARQUEZ
VOLVER A LA HUERTA</v>
      </c>
    </row>
    <row r="3745" spans="1:15">
      <c r="A3745" s="10">
        <v>1049615564</v>
      </c>
      <c r="B3745" s="64" t="s">
        <v>61</v>
      </c>
      <c r="C3745" s="62" t="s">
        <v>10816</v>
      </c>
      <c r="D3745" t="s">
        <v>63</v>
      </c>
      <c r="E3745" t="s">
        <v>11467</v>
      </c>
      <c r="F3745" s="61">
        <v>39133</v>
      </c>
      <c r="G3745" s="15" t="s">
        <v>65</v>
      </c>
      <c r="H3745" t="s">
        <v>11468</v>
      </c>
      <c r="I3745" s="62" t="s">
        <v>11469</v>
      </c>
      <c r="K3745" s="36" t="s">
        <v>169</v>
      </c>
      <c r="L3745" t="s">
        <v>69</v>
      </c>
      <c r="M3745" s="62" t="s">
        <v>170</v>
      </c>
      <c r="N3745" t="s">
        <v>11463</v>
      </c>
      <c r="O3745" t="str">
        <f>IFERROR(IF(Tbla_actores[[#This Row],[codigo_proyecto]]="","",_xlfn.XLOOKUP(Tbla_actores[[#This Row],[codigo_proyecto]],Proyectos!$A:$A,Proyectos!$C:$C)),"")</f>
        <v>GABRIEL GARCÍA MARQUEZ
VOLVER A LA HUERTA</v>
      </c>
    </row>
    <row r="3746" spans="1:15">
      <c r="A3746" s="9">
        <v>1014739000</v>
      </c>
      <c r="B3746" s="63" t="s">
        <v>61</v>
      </c>
      <c r="C3746" s="62" t="s">
        <v>10816</v>
      </c>
      <c r="D3746" t="s">
        <v>63</v>
      </c>
      <c r="E3746" t="s">
        <v>11470</v>
      </c>
      <c r="F3746" s="61">
        <v>38693</v>
      </c>
      <c r="G3746" s="15" t="s">
        <v>73</v>
      </c>
      <c r="H3746" t="s">
        <v>11471</v>
      </c>
      <c r="I3746" s="62" t="s">
        <v>11472</v>
      </c>
      <c r="K3746" s="36" t="s">
        <v>169</v>
      </c>
      <c r="L3746" t="s">
        <v>69</v>
      </c>
      <c r="M3746" s="62" t="s">
        <v>170</v>
      </c>
      <c r="N3746" t="s">
        <v>11473</v>
      </c>
      <c r="O3746" t="str">
        <f>IFERROR(IF(Tbla_actores[[#This Row],[codigo_proyecto]]="","",_xlfn.XLOOKUP(Tbla_actores[[#This Row],[codigo_proyecto]],Proyectos!$A:$A,Proyectos!$C:$C)),"")</f>
        <v>VIDAS MÓVILES</v>
      </c>
    </row>
    <row r="3747" spans="1:15">
      <c r="A3747" s="10">
        <v>1025061287</v>
      </c>
      <c r="B3747" s="64" t="s">
        <v>61</v>
      </c>
      <c r="C3747" s="62" t="s">
        <v>10816</v>
      </c>
      <c r="D3747" t="s">
        <v>63</v>
      </c>
      <c r="E3747" t="s">
        <v>11474</v>
      </c>
      <c r="F3747" s="61">
        <v>38514</v>
      </c>
      <c r="G3747" s="15" t="s">
        <v>73</v>
      </c>
      <c r="H3747" t="s">
        <v>11475</v>
      </c>
      <c r="I3747" s="62" t="s">
        <v>11476</v>
      </c>
      <c r="K3747" s="36" t="s">
        <v>169</v>
      </c>
      <c r="L3747" t="s">
        <v>69</v>
      </c>
      <c r="M3747" s="62" t="s">
        <v>170</v>
      </c>
      <c r="N3747" t="s">
        <v>11453</v>
      </c>
      <c r="O3747" t="str">
        <f>IFERROR(IF(Tbla_actores[[#This Row],[codigo_proyecto]]="","",_xlfn.XLOOKUP(Tbla_actores[[#This Row],[codigo_proyecto]],Proyectos!$A:$A,Proyectos!$C:$C)),"")</f>
        <v>PROPUESTA DE GESTION Y ANALISIS ESTRATEGICO</v>
      </c>
    </row>
    <row r="3748" spans="1:15">
      <c r="A3748" s="9">
        <v>1025460540</v>
      </c>
      <c r="B3748" s="63" t="s">
        <v>61</v>
      </c>
      <c r="C3748" s="62" t="s">
        <v>10816</v>
      </c>
      <c r="D3748" t="s">
        <v>63</v>
      </c>
      <c r="E3748" t="s">
        <v>11477</v>
      </c>
      <c r="F3748" s="61">
        <v>38059</v>
      </c>
      <c r="G3748" s="15" t="s">
        <v>73</v>
      </c>
      <c r="H3748" t="s">
        <v>11478</v>
      </c>
      <c r="I3748" s="62" t="s">
        <v>11479</v>
      </c>
      <c r="K3748" s="36" t="s">
        <v>169</v>
      </c>
      <c r="L3748" t="s">
        <v>69</v>
      </c>
      <c r="M3748" s="62" t="s">
        <v>170</v>
      </c>
      <c r="N3748" t="s">
        <v>11473</v>
      </c>
      <c r="O3748" t="str">
        <f>IFERROR(IF(Tbla_actores[[#This Row],[codigo_proyecto]]="","",_xlfn.XLOOKUP(Tbla_actores[[#This Row],[codigo_proyecto]],Proyectos!$A:$A,Proyectos!$C:$C)),"")</f>
        <v>VIDAS MÓVILES</v>
      </c>
    </row>
    <row r="3749" spans="1:15">
      <c r="A3749" s="10">
        <v>1034778468</v>
      </c>
      <c r="B3749" s="64" t="s">
        <v>61</v>
      </c>
      <c r="C3749" s="62" t="s">
        <v>10816</v>
      </c>
      <c r="D3749" t="s">
        <v>63</v>
      </c>
      <c r="E3749" t="s">
        <v>11480</v>
      </c>
      <c r="F3749" s="61">
        <v>38525</v>
      </c>
      <c r="G3749" s="15" t="s">
        <v>73</v>
      </c>
      <c r="H3749" t="s">
        <v>11481</v>
      </c>
      <c r="I3749" s="62" t="s">
        <v>11482</v>
      </c>
      <c r="K3749" s="36" t="s">
        <v>169</v>
      </c>
      <c r="L3749" t="s">
        <v>69</v>
      </c>
      <c r="M3749" s="62" t="s">
        <v>170</v>
      </c>
      <c r="N3749" t="s">
        <v>11483</v>
      </c>
      <c r="O3749">
        <f>IFERROR(IF(Tbla_actores[[#This Row],[codigo_proyecto]]="","",_xlfn.XLOOKUP(Tbla_actores[[#This Row],[codigo_proyecto]],Proyectos!$A:$A,Proyectos!$C:$C)),"")</f>
        <v>0</v>
      </c>
    </row>
    <row r="3750" spans="1:15">
      <c r="A3750" s="9">
        <v>1118536380</v>
      </c>
      <c r="B3750" s="63" t="s">
        <v>61</v>
      </c>
      <c r="C3750" s="62" t="s">
        <v>10816</v>
      </c>
      <c r="D3750" t="s">
        <v>63</v>
      </c>
      <c r="E3750" t="s">
        <v>11484</v>
      </c>
      <c r="F3750" s="61">
        <v>38632</v>
      </c>
      <c r="G3750" s="15" t="s">
        <v>73</v>
      </c>
      <c r="H3750" t="s">
        <v>11485</v>
      </c>
      <c r="I3750" s="62" t="s">
        <v>11486</v>
      </c>
      <c r="K3750" s="36" t="s">
        <v>169</v>
      </c>
      <c r="L3750" t="s">
        <v>69</v>
      </c>
      <c r="M3750" s="62" t="s">
        <v>170</v>
      </c>
      <c r="N3750" t="s">
        <v>11483</v>
      </c>
      <c r="O3750">
        <f>IFERROR(IF(Tbla_actores[[#This Row],[codigo_proyecto]]="","",_xlfn.XLOOKUP(Tbla_actores[[#This Row],[codigo_proyecto]],Proyectos!$A:$A,Proyectos!$C:$C)),"")</f>
        <v>0</v>
      </c>
    </row>
    <row r="3751" spans="1:15">
      <c r="A3751" s="10">
        <v>1014860147</v>
      </c>
      <c r="B3751" s="64" t="s">
        <v>61</v>
      </c>
      <c r="C3751" s="62" t="s">
        <v>10816</v>
      </c>
      <c r="D3751" t="s">
        <v>63</v>
      </c>
      <c r="E3751" t="s">
        <v>11487</v>
      </c>
      <c r="F3751" s="61">
        <v>38648</v>
      </c>
      <c r="G3751" s="15" t="s">
        <v>73</v>
      </c>
      <c r="H3751" t="s">
        <v>11488</v>
      </c>
      <c r="I3751" s="62" t="s">
        <v>11489</v>
      </c>
      <c r="K3751" s="36" t="s">
        <v>169</v>
      </c>
      <c r="L3751" t="s">
        <v>69</v>
      </c>
      <c r="M3751" s="62" t="s">
        <v>170</v>
      </c>
      <c r="N3751" t="s">
        <v>11446</v>
      </c>
      <c r="O3751">
        <f>IFERROR(IF(Tbla_actores[[#This Row],[codigo_proyecto]]="","",_xlfn.XLOOKUP(Tbla_actores[[#This Row],[codigo_proyecto]],Proyectos!$A:$A,Proyectos!$C:$C)),"")</f>
        <v>0</v>
      </c>
    </row>
    <row r="3752" spans="1:15">
      <c r="A3752" s="9">
        <v>1011086615</v>
      </c>
      <c r="B3752" s="63" t="s">
        <v>61</v>
      </c>
      <c r="C3752" s="62" t="s">
        <v>10816</v>
      </c>
      <c r="D3752" t="s">
        <v>63</v>
      </c>
      <c r="E3752" t="s">
        <v>11490</v>
      </c>
      <c r="F3752" s="61">
        <v>38568</v>
      </c>
      <c r="G3752" s="15" t="s">
        <v>73</v>
      </c>
      <c r="H3752" t="s">
        <v>11491</v>
      </c>
      <c r="I3752" s="62" t="s">
        <v>11492</v>
      </c>
      <c r="K3752" s="36" t="s">
        <v>169</v>
      </c>
      <c r="L3752" t="s">
        <v>69</v>
      </c>
      <c r="M3752" s="62" t="s">
        <v>170</v>
      </c>
      <c r="N3752" t="s">
        <v>11473</v>
      </c>
      <c r="O3752" t="str">
        <f>IFERROR(IF(Tbla_actores[[#This Row],[codigo_proyecto]]="","",_xlfn.XLOOKUP(Tbla_actores[[#This Row],[codigo_proyecto]],Proyectos!$A:$A,Proyectos!$C:$C)),"")</f>
        <v>VIDAS MÓVILES</v>
      </c>
    </row>
    <row r="3753" spans="1:15">
      <c r="A3753" s="10">
        <v>1032877620</v>
      </c>
      <c r="B3753" s="64" t="s">
        <v>61</v>
      </c>
      <c r="C3753" s="62" t="s">
        <v>10816</v>
      </c>
      <c r="D3753" t="s">
        <v>63</v>
      </c>
      <c r="E3753" t="s">
        <v>11493</v>
      </c>
      <c r="F3753" s="61">
        <v>38531</v>
      </c>
      <c r="G3753" s="15" t="s">
        <v>65</v>
      </c>
      <c r="H3753" t="s">
        <v>11494</v>
      </c>
      <c r="I3753" s="62" t="s">
        <v>11495</v>
      </c>
      <c r="K3753" s="36" t="s">
        <v>169</v>
      </c>
      <c r="L3753" t="s">
        <v>69</v>
      </c>
      <c r="M3753" s="62" t="s">
        <v>170</v>
      </c>
      <c r="N3753" t="s">
        <v>11496</v>
      </c>
      <c r="O3753">
        <f>IFERROR(IF(Tbla_actores[[#This Row],[codigo_proyecto]]="","",_xlfn.XLOOKUP(Tbla_actores[[#This Row],[codigo_proyecto]],Proyectos!$A:$A,Proyectos!$C:$C)),"")</f>
        <v>0</v>
      </c>
    </row>
    <row r="3754" spans="1:15">
      <c r="A3754" s="9">
        <v>1016947723</v>
      </c>
      <c r="B3754" s="63" t="s">
        <v>61</v>
      </c>
      <c r="C3754" s="62" t="s">
        <v>10816</v>
      </c>
      <c r="D3754" t="s">
        <v>63</v>
      </c>
      <c r="E3754" t="s">
        <v>11497</v>
      </c>
      <c r="F3754" s="61">
        <v>38715</v>
      </c>
      <c r="G3754" s="15" t="s">
        <v>65</v>
      </c>
      <c r="H3754" t="s">
        <v>11498</v>
      </c>
      <c r="I3754" s="62" t="s">
        <v>11499</v>
      </c>
      <c r="K3754" s="36" t="s">
        <v>169</v>
      </c>
      <c r="L3754" t="s">
        <v>69</v>
      </c>
      <c r="M3754" s="62" t="s">
        <v>170</v>
      </c>
      <c r="N3754" t="s">
        <v>11453</v>
      </c>
      <c r="O3754" t="str">
        <f>IFERROR(IF(Tbla_actores[[#This Row],[codigo_proyecto]]="","",_xlfn.XLOOKUP(Tbla_actores[[#This Row],[codigo_proyecto]],Proyectos!$A:$A,Proyectos!$C:$C)),"")</f>
        <v>PROPUESTA DE GESTION Y ANALISIS ESTRATEGICO</v>
      </c>
    </row>
    <row r="3755" spans="1:15">
      <c r="A3755" s="10">
        <v>1011087994</v>
      </c>
      <c r="B3755" s="64" t="s">
        <v>61</v>
      </c>
      <c r="C3755" s="62" t="s">
        <v>10816</v>
      </c>
      <c r="D3755" t="s">
        <v>63</v>
      </c>
      <c r="E3755" t="s">
        <v>11500</v>
      </c>
      <c r="F3755" s="61">
        <v>38646</v>
      </c>
      <c r="G3755" s="15" t="s">
        <v>65</v>
      </c>
      <c r="H3755" t="s">
        <v>11501</v>
      </c>
      <c r="I3755" s="62" t="s">
        <v>11502</v>
      </c>
      <c r="K3755" s="36" t="s">
        <v>169</v>
      </c>
      <c r="L3755" t="s">
        <v>69</v>
      </c>
      <c r="M3755" s="62" t="s">
        <v>170</v>
      </c>
      <c r="N3755" t="s">
        <v>11496</v>
      </c>
      <c r="O3755">
        <f>IFERROR(IF(Tbla_actores[[#This Row],[codigo_proyecto]]="","",_xlfn.XLOOKUP(Tbla_actores[[#This Row],[codigo_proyecto]],Proyectos!$A:$A,Proyectos!$C:$C)),"")</f>
        <v>0</v>
      </c>
    </row>
    <row r="3756" spans="1:15">
      <c r="A3756" s="9">
        <v>1018404948</v>
      </c>
      <c r="B3756" s="63" t="s">
        <v>61</v>
      </c>
      <c r="C3756" s="62" t="s">
        <v>10816</v>
      </c>
      <c r="D3756" t="s">
        <v>63</v>
      </c>
      <c r="E3756" t="s">
        <v>11503</v>
      </c>
      <c r="F3756" s="61">
        <v>38198</v>
      </c>
      <c r="G3756" s="15" t="s">
        <v>73</v>
      </c>
      <c r="H3756" t="s">
        <v>11504</v>
      </c>
      <c r="I3756" s="62" t="s">
        <v>11505</v>
      </c>
      <c r="K3756" s="36" t="s">
        <v>169</v>
      </c>
      <c r="L3756" t="s">
        <v>69</v>
      </c>
      <c r="M3756" s="62" t="s">
        <v>170</v>
      </c>
      <c r="N3756" t="s">
        <v>11483</v>
      </c>
      <c r="O3756">
        <f>IFERROR(IF(Tbla_actores[[#This Row],[codigo_proyecto]]="","",_xlfn.XLOOKUP(Tbla_actores[[#This Row],[codigo_proyecto]],Proyectos!$A:$A,Proyectos!$C:$C)),"")</f>
        <v>0</v>
      </c>
    </row>
    <row r="3757" spans="1:15">
      <c r="A3757" s="10">
        <v>1032876985</v>
      </c>
      <c r="B3757" s="64" t="s">
        <v>61</v>
      </c>
      <c r="C3757" s="62" t="s">
        <v>10816</v>
      </c>
      <c r="D3757" t="s">
        <v>63</v>
      </c>
      <c r="E3757" t="s">
        <v>11506</v>
      </c>
      <c r="F3757" s="61">
        <v>38603</v>
      </c>
      <c r="G3757" s="15" t="s">
        <v>65</v>
      </c>
      <c r="H3757" t="s">
        <v>11507</v>
      </c>
      <c r="I3757" s="62" t="s">
        <v>11508</v>
      </c>
      <c r="K3757" s="36" t="s">
        <v>169</v>
      </c>
      <c r="L3757" t="s">
        <v>69</v>
      </c>
      <c r="M3757" s="62" t="s">
        <v>170</v>
      </c>
      <c r="N3757" t="s">
        <v>11463</v>
      </c>
      <c r="O3757" t="str">
        <f>IFERROR(IF(Tbla_actores[[#This Row],[codigo_proyecto]]="","",_xlfn.XLOOKUP(Tbla_actores[[#This Row],[codigo_proyecto]],Proyectos!$A:$A,Proyectos!$C:$C)),"")</f>
        <v>GABRIEL GARCÍA MARQUEZ
VOLVER A LA HUERTA</v>
      </c>
    </row>
    <row r="3758" spans="1:15">
      <c r="A3758" s="9">
        <v>1021392483</v>
      </c>
      <c r="B3758" s="63" t="s">
        <v>61</v>
      </c>
      <c r="C3758" s="62" t="s">
        <v>10816</v>
      </c>
      <c r="D3758" t="s">
        <v>63</v>
      </c>
      <c r="E3758" t="s">
        <v>11509</v>
      </c>
      <c r="F3758" s="61">
        <v>38045</v>
      </c>
      <c r="G3758" s="15" t="s">
        <v>73</v>
      </c>
      <c r="H3758" t="s">
        <v>11510</v>
      </c>
      <c r="I3758" s="62" t="s">
        <v>11511</v>
      </c>
      <c r="K3758" s="36" t="s">
        <v>169</v>
      </c>
      <c r="L3758" t="s">
        <v>69</v>
      </c>
      <c r="M3758" s="62" t="s">
        <v>170</v>
      </c>
      <c r="N3758" t="s">
        <v>11473</v>
      </c>
      <c r="O3758" t="str">
        <f>IFERROR(IF(Tbla_actores[[#This Row],[codigo_proyecto]]="","",_xlfn.XLOOKUP(Tbla_actores[[#This Row],[codigo_proyecto]],Proyectos!$A:$A,Proyectos!$C:$C)),"")</f>
        <v>VIDAS MÓVILES</v>
      </c>
    </row>
    <row r="3759" spans="1:15">
      <c r="A3759" s="10">
        <v>1014861202</v>
      </c>
      <c r="B3759" s="64" t="s">
        <v>61</v>
      </c>
      <c r="C3759" s="62" t="s">
        <v>10816</v>
      </c>
      <c r="D3759" t="s">
        <v>63</v>
      </c>
      <c r="E3759" t="s">
        <v>11512</v>
      </c>
      <c r="F3759" s="61">
        <v>38776</v>
      </c>
      <c r="G3759" s="15" t="s">
        <v>65</v>
      </c>
      <c r="H3759" t="s">
        <v>11513</v>
      </c>
      <c r="I3759" s="62" t="s">
        <v>11514</v>
      </c>
      <c r="K3759" s="36" t="s">
        <v>169</v>
      </c>
      <c r="L3759" t="s">
        <v>69</v>
      </c>
      <c r="M3759" s="62" t="s">
        <v>170</v>
      </c>
      <c r="N3759" t="s">
        <v>11453</v>
      </c>
      <c r="O3759" t="str">
        <f>IFERROR(IF(Tbla_actores[[#This Row],[codigo_proyecto]]="","",_xlfn.XLOOKUP(Tbla_actores[[#This Row],[codigo_proyecto]],Proyectos!$A:$A,Proyectos!$C:$C)),"")</f>
        <v>PROPUESTA DE GESTION Y ANALISIS ESTRATEGICO</v>
      </c>
    </row>
    <row r="3760" spans="1:15">
      <c r="A3760" s="9">
        <v>1011321938</v>
      </c>
      <c r="B3760" s="63" t="s">
        <v>61</v>
      </c>
      <c r="C3760" s="62" t="s">
        <v>10816</v>
      </c>
      <c r="D3760" t="s">
        <v>63</v>
      </c>
      <c r="E3760" t="s">
        <v>11515</v>
      </c>
      <c r="F3760" s="61">
        <v>38669</v>
      </c>
      <c r="G3760" s="15" t="s">
        <v>65</v>
      </c>
      <c r="H3760" t="s">
        <v>11516</v>
      </c>
      <c r="I3760" s="62" t="s">
        <v>11517</v>
      </c>
      <c r="K3760" s="36" t="s">
        <v>169</v>
      </c>
      <c r="L3760" t="s">
        <v>69</v>
      </c>
      <c r="M3760" s="62" t="s">
        <v>170</v>
      </c>
      <c r="N3760" t="s">
        <v>11483</v>
      </c>
      <c r="O3760">
        <f>IFERROR(IF(Tbla_actores[[#This Row],[codigo_proyecto]]="","",_xlfn.XLOOKUP(Tbla_actores[[#This Row],[codigo_proyecto]],Proyectos!$A:$A,Proyectos!$C:$C)),"")</f>
        <v>0</v>
      </c>
    </row>
    <row r="3761" spans="1:15">
      <c r="A3761" s="10">
        <v>1011088669</v>
      </c>
      <c r="B3761" s="64" t="s">
        <v>61</v>
      </c>
      <c r="C3761" s="62" t="s">
        <v>10816</v>
      </c>
      <c r="D3761" t="s">
        <v>63</v>
      </c>
      <c r="E3761" t="s">
        <v>11518</v>
      </c>
      <c r="F3761" s="61">
        <v>38640</v>
      </c>
      <c r="G3761" s="15" t="s">
        <v>65</v>
      </c>
      <c r="H3761" t="s">
        <v>11519</v>
      </c>
      <c r="I3761" s="62" t="s">
        <v>11520</v>
      </c>
      <c r="K3761" s="36" t="s">
        <v>169</v>
      </c>
      <c r="L3761" t="s">
        <v>69</v>
      </c>
      <c r="M3761" s="62" t="s">
        <v>170</v>
      </c>
      <c r="N3761" t="s">
        <v>11521</v>
      </c>
      <c r="O3761" t="str">
        <f>IFERROR(IF(Tbla_actores[[#This Row],[codigo_proyecto]]="","",_xlfn.XLOOKUP(Tbla_actores[[#This Row],[codigo_proyecto]],Proyectos!$A:$A,Proyectos!$C:$C)),"")</f>
        <v>Mejoramiento de procesos Pocalana</v>
      </c>
    </row>
    <row r="3762" spans="1:15">
      <c r="A3762" s="9">
        <v>1104546570</v>
      </c>
      <c r="B3762" s="63" t="s">
        <v>10825</v>
      </c>
      <c r="C3762" s="62" t="s">
        <v>10816</v>
      </c>
      <c r="D3762" t="s">
        <v>63</v>
      </c>
      <c r="E3762" t="s">
        <v>11522</v>
      </c>
      <c r="F3762" s="61">
        <v>39090</v>
      </c>
      <c r="G3762" s="15" t="s">
        <v>65</v>
      </c>
      <c r="H3762" t="s">
        <v>11523</v>
      </c>
      <c r="I3762" s="62" t="s">
        <v>11524</v>
      </c>
      <c r="K3762" s="36" t="s">
        <v>169</v>
      </c>
      <c r="L3762" t="s">
        <v>69</v>
      </c>
      <c r="M3762" s="62" t="s">
        <v>170</v>
      </c>
      <c r="N3762" t="s">
        <v>11525</v>
      </c>
      <c r="O3762" t="str">
        <f>IFERROR(IF(Tbla_actores[[#This Row],[codigo_proyecto]]="","",_xlfn.XLOOKUP(Tbla_actores[[#This Row],[codigo_proyecto]],Proyectos!$A:$A,Proyectos!$C:$C)),"")</f>
        <v xml:space="preserve">Apoyo a emprendimientos sociales </v>
      </c>
    </row>
    <row r="3763" spans="1:15">
      <c r="A3763" s="10">
        <v>1000719060</v>
      </c>
      <c r="B3763" s="64" t="s">
        <v>61</v>
      </c>
      <c r="C3763" s="62" t="s">
        <v>10816</v>
      </c>
      <c r="D3763" t="s">
        <v>63</v>
      </c>
      <c r="E3763" t="s">
        <v>11526</v>
      </c>
      <c r="F3763" s="61">
        <v>37536</v>
      </c>
      <c r="G3763" s="15" t="s">
        <v>73</v>
      </c>
      <c r="H3763" t="s">
        <v>11527</v>
      </c>
      <c r="I3763" s="62" t="s">
        <v>11528</v>
      </c>
      <c r="K3763" s="36" t="s">
        <v>169</v>
      </c>
      <c r="L3763" t="s">
        <v>69</v>
      </c>
      <c r="M3763" s="62" t="s">
        <v>170</v>
      </c>
      <c r="N3763" t="s">
        <v>11525</v>
      </c>
      <c r="O3763" t="str">
        <f>IFERROR(IF(Tbla_actores[[#This Row],[codigo_proyecto]]="","",_xlfn.XLOOKUP(Tbla_actores[[#This Row],[codigo_proyecto]],Proyectos!$A:$A,Proyectos!$C:$C)),"")</f>
        <v xml:space="preserve">Apoyo a emprendimientos sociales </v>
      </c>
    </row>
    <row r="3764" spans="1:15">
      <c r="A3764" s="9">
        <v>1019842688</v>
      </c>
      <c r="B3764" s="63" t="s">
        <v>61</v>
      </c>
      <c r="C3764" s="62" t="s">
        <v>10816</v>
      </c>
      <c r="D3764" t="s">
        <v>63</v>
      </c>
      <c r="E3764" t="s">
        <v>11529</v>
      </c>
      <c r="F3764" s="61">
        <v>38960</v>
      </c>
      <c r="G3764" s="15" t="s">
        <v>73</v>
      </c>
      <c r="H3764" t="s">
        <v>11530</v>
      </c>
      <c r="I3764" s="62" t="s">
        <v>11531</v>
      </c>
      <c r="K3764" s="36" t="s">
        <v>169</v>
      </c>
      <c r="L3764" t="s">
        <v>69</v>
      </c>
      <c r="M3764" s="62" t="s">
        <v>170</v>
      </c>
      <c r="N3764" t="s">
        <v>11532</v>
      </c>
      <c r="O3764" t="str">
        <f>IFERROR(IF(Tbla_actores[[#This Row],[codigo_proyecto]]="","",_xlfn.XLOOKUP(Tbla_actores[[#This Row],[codigo_proyecto]],Proyectos!$A:$A,Proyectos!$C:$C)),"")</f>
        <v>Mesa de Medio Ambiente: cuidadores de semillas</v>
      </c>
    </row>
    <row r="3765" spans="1:15">
      <c r="A3765" s="10">
        <v>1004049263</v>
      </c>
      <c r="B3765" s="64" t="s">
        <v>61</v>
      </c>
      <c r="C3765" s="62" t="s">
        <v>10816</v>
      </c>
      <c r="D3765" t="s">
        <v>63</v>
      </c>
      <c r="E3765" t="s">
        <v>11533</v>
      </c>
      <c r="F3765" s="61">
        <v>37852</v>
      </c>
      <c r="G3765" s="15" t="s">
        <v>65</v>
      </c>
      <c r="H3765" t="s">
        <v>11534</v>
      </c>
      <c r="I3765" s="62" t="s">
        <v>11535</v>
      </c>
      <c r="K3765" s="36" t="s">
        <v>169</v>
      </c>
      <c r="L3765" t="s">
        <v>69</v>
      </c>
      <c r="M3765" s="62" t="s">
        <v>170</v>
      </c>
      <c r="N3765" t="s">
        <v>11536</v>
      </c>
      <c r="O3765" t="str">
        <f>IFERROR(IF(Tbla_actores[[#This Row],[codigo_proyecto]]="","",_xlfn.XLOOKUP(Tbla_actores[[#This Row],[codigo_proyecto]],Proyectos!$A:$A,Proyectos!$C:$C)),"")</f>
        <v>Análisis de procesos misionales del Consultorio Jurídico Javeriano</v>
      </c>
    </row>
    <row r="3766" spans="1:15">
      <c r="A3766" s="9">
        <v>1080044138</v>
      </c>
      <c r="B3766" s="63" t="s">
        <v>61</v>
      </c>
      <c r="C3766" s="62" t="s">
        <v>10816</v>
      </c>
      <c r="D3766" t="s">
        <v>63</v>
      </c>
      <c r="E3766" t="s">
        <v>11537</v>
      </c>
      <c r="F3766" s="61">
        <v>38525</v>
      </c>
      <c r="G3766" s="15" t="s">
        <v>65</v>
      </c>
      <c r="H3766" t="s">
        <v>11538</v>
      </c>
      <c r="I3766" s="62" t="s">
        <v>11539</v>
      </c>
      <c r="K3766" s="36" t="s">
        <v>169</v>
      </c>
      <c r="L3766" t="s">
        <v>69</v>
      </c>
      <c r="M3766" s="62" t="s">
        <v>170</v>
      </c>
      <c r="N3766" t="s">
        <v>11521</v>
      </c>
      <c r="O3766" t="str">
        <f>IFERROR(IF(Tbla_actores[[#This Row],[codigo_proyecto]]="","",_xlfn.XLOOKUP(Tbla_actores[[#This Row],[codigo_proyecto]],Proyectos!$A:$A,Proyectos!$C:$C)),"")</f>
        <v>Mejoramiento de procesos Pocalana</v>
      </c>
    </row>
    <row r="3767" spans="1:15">
      <c r="A3767" s="10">
        <v>1034778455</v>
      </c>
      <c r="B3767" s="64" t="s">
        <v>61</v>
      </c>
      <c r="C3767" s="62" t="s">
        <v>10816</v>
      </c>
      <c r="D3767" t="s">
        <v>63</v>
      </c>
      <c r="E3767" t="s">
        <v>11540</v>
      </c>
      <c r="F3767" s="61">
        <v>38520</v>
      </c>
      <c r="G3767" s="15" t="s">
        <v>73</v>
      </c>
      <c r="H3767" t="s">
        <v>11541</v>
      </c>
      <c r="I3767" s="62" t="s">
        <v>11542</v>
      </c>
      <c r="K3767" s="36" t="s">
        <v>169</v>
      </c>
      <c r="L3767" t="s">
        <v>69</v>
      </c>
      <c r="M3767" s="62" t="s">
        <v>170</v>
      </c>
      <c r="N3767" t="s">
        <v>11543</v>
      </c>
      <c r="O3767" t="str">
        <f>IFERROR(IF(Tbla_actores[[#This Row],[codigo_proyecto]]="","",_xlfn.XLOOKUP(Tbla_actores[[#This Row],[codigo_proyecto]],Proyectos!$A:$A,Proyectos!$C:$C)),"")</f>
        <v>Indicadores PROSOFI</v>
      </c>
    </row>
    <row r="3768" spans="1:15">
      <c r="A3768" s="9">
        <v>1011091361</v>
      </c>
      <c r="B3768" s="63" t="s">
        <v>61</v>
      </c>
      <c r="C3768" s="62" t="s">
        <v>10816</v>
      </c>
      <c r="D3768" t="s">
        <v>63</v>
      </c>
      <c r="E3768" t="s">
        <v>11544</v>
      </c>
      <c r="F3768" s="61">
        <v>38741</v>
      </c>
      <c r="G3768" s="15" t="s">
        <v>73</v>
      </c>
      <c r="H3768" t="s">
        <v>11545</v>
      </c>
      <c r="I3768" s="62" t="s">
        <v>11546</v>
      </c>
      <c r="K3768" s="36" t="s">
        <v>169</v>
      </c>
      <c r="L3768" t="s">
        <v>69</v>
      </c>
      <c r="M3768" s="62" t="s">
        <v>170</v>
      </c>
      <c r="N3768" t="s">
        <v>11536</v>
      </c>
      <c r="O3768" t="str">
        <f>IFERROR(IF(Tbla_actores[[#This Row],[codigo_proyecto]]="","",_xlfn.XLOOKUP(Tbla_actores[[#This Row],[codigo_proyecto]],Proyectos!$A:$A,Proyectos!$C:$C)),"")</f>
        <v>Análisis de procesos misionales del Consultorio Jurídico Javeriano</v>
      </c>
    </row>
    <row r="3769" spans="1:15">
      <c r="A3769" s="10">
        <v>1053606585</v>
      </c>
      <c r="B3769" s="64" t="s">
        <v>61</v>
      </c>
      <c r="C3769" s="62" t="s">
        <v>10816</v>
      </c>
      <c r="D3769" t="s">
        <v>63</v>
      </c>
      <c r="E3769" t="s">
        <v>11547</v>
      </c>
      <c r="F3769" s="61">
        <v>38895</v>
      </c>
      <c r="G3769" s="15" t="s">
        <v>73</v>
      </c>
      <c r="H3769" t="s">
        <v>11548</v>
      </c>
      <c r="I3769" s="62" t="s">
        <v>11549</v>
      </c>
      <c r="K3769" s="36" t="s">
        <v>169</v>
      </c>
      <c r="L3769" t="s">
        <v>69</v>
      </c>
      <c r="M3769" s="62" t="s">
        <v>170</v>
      </c>
      <c r="N3769" t="s">
        <v>11543</v>
      </c>
      <c r="O3769" t="str">
        <f>IFERROR(IF(Tbla_actores[[#This Row],[codigo_proyecto]]="","",_xlfn.XLOOKUP(Tbla_actores[[#This Row],[codigo_proyecto]],Proyectos!$A:$A,Proyectos!$C:$C)),"")</f>
        <v>Indicadores PROSOFI</v>
      </c>
    </row>
    <row r="3770" spans="1:15">
      <c r="A3770" s="9">
        <v>1034396093</v>
      </c>
      <c r="B3770" s="63" t="s">
        <v>61</v>
      </c>
      <c r="C3770" s="62" t="s">
        <v>10816</v>
      </c>
      <c r="D3770" t="s">
        <v>63</v>
      </c>
      <c r="E3770" t="s">
        <v>11550</v>
      </c>
      <c r="F3770" s="61">
        <v>37959</v>
      </c>
      <c r="G3770" s="15" t="s">
        <v>73</v>
      </c>
      <c r="H3770" t="s">
        <v>11551</v>
      </c>
      <c r="I3770" s="62" t="s">
        <v>11552</v>
      </c>
      <c r="K3770" s="36" t="s">
        <v>169</v>
      </c>
      <c r="L3770" t="s">
        <v>69</v>
      </c>
      <c r="M3770" s="62" t="s">
        <v>170</v>
      </c>
      <c r="N3770" t="s">
        <v>11521</v>
      </c>
      <c r="O3770" t="str">
        <f>IFERROR(IF(Tbla_actores[[#This Row],[codigo_proyecto]]="","",_xlfn.XLOOKUP(Tbla_actores[[#This Row],[codigo_proyecto]],Proyectos!$A:$A,Proyectos!$C:$C)),"")</f>
        <v>Mejoramiento de procesos Pocalana</v>
      </c>
    </row>
    <row r="3771" spans="1:15">
      <c r="A3771" s="10">
        <v>1014979582</v>
      </c>
      <c r="B3771" s="64" t="s">
        <v>61</v>
      </c>
      <c r="C3771" s="62" t="s">
        <v>10816</v>
      </c>
      <c r="D3771" t="s">
        <v>63</v>
      </c>
      <c r="E3771" t="s">
        <v>11553</v>
      </c>
      <c r="F3771" s="61">
        <v>38771</v>
      </c>
      <c r="G3771" s="15" t="s">
        <v>73</v>
      </c>
      <c r="H3771" t="s">
        <v>11554</v>
      </c>
      <c r="I3771" s="62" t="s">
        <v>11555</v>
      </c>
      <c r="K3771" s="36" t="s">
        <v>169</v>
      </c>
      <c r="L3771" t="s">
        <v>69</v>
      </c>
      <c r="M3771" s="62" t="s">
        <v>170</v>
      </c>
      <c r="N3771" t="s">
        <v>11532</v>
      </c>
      <c r="O3771" t="str">
        <f>IFERROR(IF(Tbla_actores[[#This Row],[codigo_proyecto]]="","",_xlfn.XLOOKUP(Tbla_actores[[#This Row],[codigo_proyecto]],Proyectos!$A:$A,Proyectos!$C:$C)),"")</f>
        <v>Mesa de Medio Ambiente: cuidadores de semillas</v>
      </c>
    </row>
    <row r="3772" spans="1:15">
      <c r="A3772" s="9">
        <v>1019016493</v>
      </c>
      <c r="B3772" s="63" t="s">
        <v>61</v>
      </c>
      <c r="C3772" s="62" t="s">
        <v>10816</v>
      </c>
      <c r="D3772" t="s">
        <v>63</v>
      </c>
      <c r="E3772" t="s">
        <v>11556</v>
      </c>
      <c r="F3772" s="61">
        <v>38542</v>
      </c>
      <c r="G3772" s="15" t="s">
        <v>65</v>
      </c>
      <c r="H3772" t="s">
        <v>11557</v>
      </c>
      <c r="I3772" s="62" t="s">
        <v>11558</v>
      </c>
      <c r="K3772" s="36" t="s">
        <v>169</v>
      </c>
      <c r="L3772" t="s">
        <v>69</v>
      </c>
      <c r="M3772" s="62" t="s">
        <v>170</v>
      </c>
      <c r="N3772" t="s">
        <v>11559</v>
      </c>
      <c r="O3772" t="str">
        <f>IFERROR(IF(Tbla_actores[[#This Row],[codigo_proyecto]]="","",_xlfn.XLOOKUP(Tbla_actores[[#This Row],[codigo_proyecto]],Proyectos!$A:$A,Proyectos!$C:$C)),"")</f>
        <v>Manual de Procesos PROSOFI</v>
      </c>
    </row>
    <row r="3773" spans="1:15">
      <c r="A3773" s="10">
        <v>1021398118</v>
      </c>
      <c r="B3773" s="64" t="s">
        <v>61</v>
      </c>
      <c r="C3773" s="62" t="s">
        <v>10816</v>
      </c>
      <c r="D3773" t="s">
        <v>63</v>
      </c>
      <c r="E3773" t="s">
        <v>11560</v>
      </c>
      <c r="F3773" s="61">
        <v>39155</v>
      </c>
      <c r="G3773" s="15" t="s">
        <v>65</v>
      </c>
      <c r="H3773" t="s">
        <v>11561</v>
      </c>
      <c r="I3773" s="62" t="s">
        <v>11562</v>
      </c>
      <c r="K3773" s="36" t="s">
        <v>169</v>
      </c>
      <c r="L3773" t="s">
        <v>69</v>
      </c>
      <c r="M3773" s="62" t="s">
        <v>170</v>
      </c>
      <c r="N3773" t="s">
        <v>11536</v>
      </c>
      <c r="O3773" t="str">
        <f>IFERROR(IF(Tbla_actores[[#This Row],[codigo_proyecto]]="","",_xlfn.XLOOKUP(Tbla_actores[[#This Row],[codigo_proyecto]],Proyectos!$A:$A,Proyectos!$C:$C)),"")</f>
        <v>Análisis de procesos misionales del Consultorio Jurídico Javeriano</v>
      </c>
    </row>
    <row r="3774" spans="1:15">
      <c r="A3774" s="9">
        <v>1014859119</v>
      </c>
      <c r="B3774" s="63" t="s">
        <v>61</v>
      </c>
      <c r="C3774" s="62" t="s">
        <v>10816</v>
      </c>
      <c r="D3774" t="s">
        <v>63</v>
      </c>
      <c r="E3774" t="s">
        <v>11563</v>
      </c>
      <c r="F3774" s="61">
        <v>38550</v>
      </c>
      <c r="G3774" s="15" t="s">
        <v>65</v>
      </c>
      <c r="H3774" t="s">
        <v>11564</v>
      </c>
      <c r="I3774" s="62" t="s">
        <v>11565</v>
      </c>
      <c r="K3774" s="36" t="s">
        <v>169</v>
      </c>
      <c r="L3774" t="s">
        <v>69</v>
      </c>
      <c r="M3774" s="62" t="s">
        <v>170</v>
      </c>
      <c r="N3774" t="s">
        <v>11525</v>
      </c>
      <c r="O3774" t="str">
        <f>IFERROR(IF(Tbla_actores[[#This Row],[codigo_proyecto]]="","",_xlfn.XLOOKUP(Tbla_actores[[#This Row],[codigo_proyecto]],Proyectos!$A:$A,Proyectos!$C:$C)),"")</f>
        <v xml:space="preserve">Apoyo a emprendimientos sociales </v>
      </c>
    </row>
    <row r="3775" spans="1:15">
      <c r="A3775" s="10">
        <v>1029983581</v>
      </c>
      <c r="B3775" s="64" t="s">
        <v>61</v>
      </c>
      <c r="C3775" s="62" t="s">
        <v>10816</v>
      </c>
      <c r="D3775" t="s">
        <v>63</v>
      </c>
      <c r="E3775" t="s">
        <v>11566</v>
      </c>
      <c r="F3775" s="61">
        <v>38921</v>
      </c>
      <c r="G3775" s="15" t="s">
        <v>65</v>
      </c>
      <c r="H3775" t="s">
        <v>11567</v>
      </c>
      <c r="I3775" s="62" t="s">
        <v>11568</v>
      </c>
      <c r="K3775" s="36" t="s">
        <v>169</v>
      </c>
      <c r="L3775" t="s">
        <v>69</v>
      </c>
      <c r="M3775" s="62" t="s">
        <v>170</v>
      </c>
      <c r="N3775" t="s">
        <v>11559</v>
      </c>
      <c r="O3775" t="str">
        <f>IFERROR(IF(Tbla_actores[[#This Row],[codigo_proyecto]]="","",_xlfn.XLOOKUP(Tbla_actores[[#This Row],[codigo_proyecto]],Proyectos!$A:$A,Proyectos!$C:$C)),"")</f>
        <v>Manual de Procesos PROSOFI</v>
      </c>
    </row>
    <row r="3776" spans="1:15">
      <c r="A3776" s="9">
        <v>1036924515</v>
      </c>
      <c r="B3776" s="63" t="s">
        <v>61</v>
      </c>
      <c r="C3776" s="62" t="s">
        <v>10816</v>
      </c>
      <c r="D3776" t="s">
        <v>63</v>
      </c>
      <c r="E3776" t="s">
        <v>11569</v>
      </c>
      <c r="F3776" s="61">
        <v>38066</v>
      </c>
      <c r="G3776" s="15" t="s">
        <v>65</v>
      </c>
      <c r="H3776" t="s">
        <v>11570</v>
      </c>
      <c r="I3776" s="62" t="s">
        <v>11571</v>
      </c>
      <c r="K3776" s="36" t="s">
        <v>169</v>
      </c>
      <c r="L3776" t="s">
        <v>69</v>
      </c>
      <c r="M3776" s="62" t="s">
        <v>170</v>
      </c>
      <c r="N3776" t="s">
        <v>11532</v>
      </c>
      <c r="O3776" t="str">
        <f>IFERROR(IF(Tbla_actores[[#This Row],[codigo_proyecto]]="","",_xlfn.XLOOKUP(Tbla_actores[[#This Row],[codigo_proyecto]],Proyectos!$A:$A,Proyectos!$C:$C)),"")</f>
        <v>Mesa de Medio Ambiente: cuidadores de semillas</v>
      </c>
    </row>
    <row r="3777" spans="1:15">
      <c r="A3777" s="10">
        <v>1049607675</v>
      </c>
      <c r="B3777" s="64" t="s">
        <v>61</v>
      </c>
      <c r="C3777" s="62" t="s">
        <v>10816</v>
      </c>
      <c r="D3777" t="s">
        <v>63</v>
      </c>
      <c r="E3777" t="s">
        <v>11572</v>
      </c>
      <c r="F3777" s="61">
        <v>38518</v>
      </c>
      <c r="G3777" s="15" t="s">
        <v>65</v>
      </c>
      <c r="H3777" t="s">
        <v>11573</v>
      </c>
      <c r="I3777" s="62" t="s">
        <v>11574</v>
      </c>
      <c r="K3777" s="36" t="s">
        <v>169</v>
      </c>
      <c r="L3777" t="s">
        <v>69</v>
      </c>
      <c r="M3777" s="62" t="s">
        <v>170</v>
      </c>
      <c r="N3777" t="s">
        <v>11521</v>
      </c>
      <c r="O3777" t="str">
        <f>IFERROR(IF(Tbla_actores[[#This Row],[codigo_proyecto]]="","",_xlfn.XLOOKUP(Tbla_actores[[#This Row],[codigo_proyecto]],Proyectos!$A:$A,Proyectos!$C:$C)),"")</f>
        <v>Mejoramiento de procesos Pocalana</v>
      </c>
    </row>
    <row r="3778" spans="1:15">
      <c r="A3778" s="9">
        <v>1150184086</v>
      </c>
      <c r="B3778" s="63" t="s">
        <v>61</v>
      </c>
      <c r="C3778" s="62" t="s">
        <v>10816</v>
      </c>
      <c r="D3778" t="s">
        <v>63</v>
      </c>
      <c r="E3778" t="s">
        <v>11575</v>
      </c>
      <c r="F3778" s="61">
        <v>39226</v>
      </c>
      <c r="G3778" s="15" t="s">
        <v>65</v>
      </c>
      <c r="H3778" t="s">
        <v>11576</v>
      </c>
      <c r="I3778" s="62" t="s">
        <v>11577</v>
      </c>
      <c r="K3778" s="36" t="s">
        <v>169</v>
      </c>
      <c r="L3778" t="s">
        <v>69</v>
      </c>
      <c r="M3778" s="62" t="s">
        <v>170</v>
      </c>
      <c r="N3778" t="s">
        <v>11543</v>
      </c>
      <c r="O3778" t="str">
        <f>IFERROR(IF(Tbla_actores[[#This Row],[codigo_proyecto]]="","",_xlfn.XLOOKUP(Tbla_actores[[#This Row],[codigo_proyecto]],Proyectos!$A:$A,Proyectos!$C:$C)),"")</f>
        <v>Indicadores PROSOFI</v>
      </c>
    </row>
    <row r="3779" spans="1:15">
      <c r="A3779" s="10">
        <v>1057579156</v>
      </c>
      <c r="B3779" s="64" t="s">
        <v>61</v>
      </c>
      <c r="C3779" s="62" t="s">
        <v>10816</v>
      </c>
      <c r="D3779" t="s">
        <v>63</v>
      </c>
      <c r="E3779" t="s">
        <v>11578</v>
      </c>
      <c r="F3779" s="61">
        <v>39022</v>
      </c>
      <c r="G3779" s="15" t="s">
        <v>65</v>
      </c>
      <c r="H3779" t="s">
        <v>11579</v>
      </c>
      <c r="I3779" s="62" t="s">
        <v>11580</v>
      </c>
      <c r="K3779" s="36" t="s">
        <v>169</v>
      </c>
      <c r="L3779" t="s">
        <v>69</v>
      </c>
      <c r="M3779" s="62" t="s">
        <v>170</v>
      </c>
      <c r="N3779" t="s">
        <v>11581</v>
      </c>
      <c r="O3779" t="str">
        <f>IFERROR(IF(Tbla_actores[[#This Row],[codigo_proyecto]]="","",_xlfn.XLOOKUP(Tbla_actores[[#This Row],[codigo_proyecto]],Proyectos!$A:$A,Proyectos!$C:$C)),"")</f>
        <v>Terraza Verde PROSOFI</v>
      </c>
    </row>
    <row r="3780" spans="1:15">
      <c r="A3780" s="9">
        <v>1000256180</v>
      </c>
      <c r="B3780" s="63" t="s">
        <v>61</v>
      </c>
      <c r="C3780" s="62" t="s">
        <v>10816</v>
      </c>
      <c r="D3780" t="s">
        <v>63</v>
      </c>
      <c r="E3780" t="s">
        <v>11582</v>
      </c>
      <c r="F3780" s="61">
        <v>37743</v>
      </c>
      <c r="G3780" s="15" t="s">
        <v>73</v>
      </c>
      <c r="H3780" t="s">
        <v>11583</v>
      </c>
      <c r="I3780" s="62" t="s">
        <v>11584</v>
      </c>
      <c r="K3780" s="36" t="s">
        <v>169</v>
      </c>
      <c r="L3780" t="s">
        <v>69</v>
      </c>
      <c r="M3780" s="62" t="s">
        <v>170</v>
      </c>
      <c r="N3780" t="s">
        <v>11559</v>
      </c>
      <c r="O3780" t="str">
        <f>IFERROR(IF(Tbla_actores[[#This Row],[codigo_proyecto]]="","",_xlfn.XLOOKUP(Tbla_actores[[#This Row],[codigo_proyecto]],Proyectos!$A:$A,Proyectos!$C:$C)),"")</f>
        <v>Manual de Procesos PROSOFI</v>
      </c>
    </row>
    <row r="3781" spans="1:15">
      <c r="A3781" s="10">
        <v>1138524773</v>
      </c>
      <c r="B3781" s="64" t="s">
        <v>61</v>
      </c>
      <c r="C3781" s="62" t="s">
        <v>10816</v>
      </c>
      <c r="D3781" t="s">
        <v>63</v>
      </c>
      <c r="E3781" t="s">
        <v>11585</v>
      </c>
      <c r="F3781" s="61">
        <v>38804</v>
      </c>
      <c r="G3781" s="15" t="s">
        <v>73</v>
      </c>
      <c r="H3781" t="s">
        <v>11586</v>
      </c>
      <c r="I3781" s="62" t="s">
        <v>11587</v>
      </c>
      <c r="K3781" s="36" t="s">
        <v>169</v>
      </c>
      <c r="L3781" t="s">
        <v>69</v>
      </c>
      <c r="M3781" s="62" t="s">
        <v>170</v>
      </c>
      <c r="N3781" t="s">
        <v>11532</v>
      </c>
      <c r="O3781" t="str">
        <f>IFERROR(IF(Tbla_actores[[#This Row],[codigo_proyecto]]="","",_xlfn.XLOOKUP(Tbla_actores[[#This Row],[codigo_proyecto]],Proyectos!$A:$A,Proyectos!$C:$C)),"")</f>
        <v>Mesa de Medio Ambiente: cuidadores de semillas</v>
      </c>
    </row>
    <row r="3782" spans="1:15">
      <c r="A3782" s="9">
        <v>1067602265</v>
      </c>
      <c r="B3782" s="63" t="s">
        <v>10825</v>
      </c>
      <c r="C3782" s="62" t="s">
        <v>10816</v>
      </c>
      <c r="D3782" t="s">
        <v>63</v>
      </c>
      <c r="E3782" t="s">
        <v>11588</v>
      </c>
      <c r="F3782" s="61">
        <v>39255</v>
      </c>
      <c r="G3782" s="15" t="s">
        <v>73</v>
      </c>
      <c r="H3782" t="s">
        <v>11589</v>
      </c>
      <c r="I3782" s="62" t="s">
        <v>11590</v>
      </c>
      <c r="K3782" s="36" t="s">
        <v>169</v>
      </c>
      <c r="L3782" t="s">
        <v>69</v>
      </c>
      <c r="M3782" s="62" t="s">
        <v>170</v>
      </c>
      <c r="N3782" t="s">
        <v>11581</v>
      </c>
      <c r="O3782" t="str">
        <f>IFERROR(IF(Tbla_actores[[#This Row],[codigo_proyecto]]="","",_xlfn.XLOOKUP(Tbla_actores[[#This Row],[codigo_proyecto]],Proyectos!$A:$A,Proyectos!$C:$C)),"")</f>
        <v>Terraza Verde PROSOFI</v>
      </c>
    </row>
    <row r="3783" spans="1:15">
      <c r="A3783" s="10">
        <v>1014979477</v>
      </c>
      <c r="B3783" s="64" t="s">
        <v>61</v>
      </c>
      <c r="C3783" s="62" t="s">
        <v>10816</v>
      </c>
      <c r="D3783" t="s">
        <v>63</v>
      </c>
      <c r="E3783" t="s">
        <v>11591</v>
      </c>
      <c r="F3783" s="61">
        <v>38759</v>
      </c>
      <c r="G3783" s="15" t="s">
        <v>73</v>
      </c>
      <c r="H3783" t="s">
        <v>11592</v>
      </c>
      <c r="I3783" s="62" t="s">
        <v>11593</v>
      </c>
      <c r="K3783" s="36" t="s">
        <v>169</v>
      </c>
      <c r="L3783" t="s">
        <v>69</v>
      </c>
      <c r="M3783" s="62" t="s">
        <v>170</v>
      </c>
      <c r="N3783" t="s">
        <v>11581</v>
      </c>
      <c r="O3783" t="str">
        <f>IFERROR(IF(Tbla_actores[[#This Row],[codigo_proyecto]]="","",_xlfn.XLOOKUP(Tbla_actores[[#This Row],[codigo_proyecto]],Proyectos!$A:$A,Proyectos!$C:$C)),"")</f>
        <v>Terraza Verde PROSOFI</v>
      </c>
    </row>
    <row r="3784" spans="1:15">
      <c r="A3784" s="9">
        <v>1010963375</v>
      </c>
      <c r="B3784" s="63" t="s">
        <v>61</v>
      </c>
      <c r="C3784" s="62" t="s">
        <v>10816</v>
      </c>
      <c r="D3784" t="s">
        <v>63</v>
      </c>
      <c r="E3784" t="s">
        <v>11594</v>
      </c>
      <c r="F3784" s="61">
        <v>39110</v>
      </c>
      <c r="G3784" s="15" t="s">
        <v>73</v>
      </c>
      <c r="H3784" t="s">
        <v>11595</v>
      </c>
      <c r="I3784" s="62" t="s">
        <v>11596</v>
      </c>
      <c r="K3784" s="36" t="s">
        <v>169</v>
      </c>
      <c r="L3784" t="s">
        <v>69</v>
      </c>
      <c r="M3784" s="62" t="s">
        <v>170</v>
      </c>
      <c r="N3784" t="s">
        <v>11536</v>
      </c>
      <c r="O3784" t="str">
        <f>IFERROR(IF(Tbla_actores[[#This Row],[codigo_proyecto]]="","",_xlfn.XLOOKUP(Tbla_actores[[#This Row],[codigo_proyecto]],Proyectos!$A:$A,Proyectos!$C:$C)),"")</f>
        <v>Análisis de procesos misionales del Consultorio Jurídico Javeriano</v>
      </c>
    </row>
    <row r="3785" spans="1:15">
      <c r="A3785" s="10">
        <v>1032876660</v>
      </c>
      <c r="B3785" s="64" t="s">
        <v>61</v>
      </c>
      <c r="C3785" s="62" t="s">
        <v>10816</v>
      </c>
      <c r="D3785" t="s">
        <v>63</v>
      </c>
      <c r="E3785" t="s">
        <v>11597</v>
      </c>
      <c r="F3785" s="61">
        <v>38395</v>
      </c>
      <c r="G3785" s="15" t="s">
        <v>73</v>
      </c>
      <c r="H3785" t="s">
        <v>11598</v>
      </c>
      <c r="I3785" s="62" t="s">
        <v>11599</v>
      </c>
      <c r="K3785" s="36" t="s">
        <v>169</v>
      </c>
      <c r="L3785" t="s">
        <v>69</v>
      </c>
      <c r="M3785" s="62" t="s">
        <v>170</v>
      </c>
      <c r="N3785" t="s">
        <v>11559</v>
      </c>
      <c r="O3785" t="str">
        <f>IFERROR(IF(Tbla_actores[[#This Row],[codigo_proyecto]]="","",_xlfn.XLOOKUP(Tbla_actores[[#This Row],[codigo_proyecto]],Proyectos!$A:$A,Proyectos!$C:$C)),"")</f>
        <v>Manual de Procesos PROSOFI</v>
      </c>
    </row>
    <row r="3786" spans="1:15">
      <c r="A3786" s="9">
        <v>1050606322</v>
      </c>
      <c r="B3786" s="63" t="s">
        <v>61</v>
      </c>
      <c r="C3786" s="62" t="s">
        <v>10816</v>
      </c>
      <c r="D3786" t="s">
        <v>63</v>
      </c>
      <c r="E3786" t="s">
        <v>11600</v>
      </c>
      <c r="F3786" s="61">
        <v>39155</v>
      </c>
      <c r="G3786" s="15" t="s">
        <v>65</v>
      </c>
      <c r="H3786" t="s">
        <v>11601</v>
      </c>
      <c r="I3786" s="62" t="s">
        <v>11602</v>
      </c>
      <c r="K3786" s="36" t="s">
        <v>169</v>
      </c>
      <c r="L3786" t="s">
        <v>69</v>
      </c>
      <c r="M3786" s="62" t="s">
        <v>170</v>
      </c>
      <c r="N3786" t="s">
        <v>11525</v>
      </c>
      <c r="O3786" t="str">
        <f>IFERROR(IF(Tbla_actores[[#This Row],[codigo_proyecto]]="","",_xlfn.XLOOKUP(Tbla_actores[[#This Row],[codigo_proyecto]],Proyectos!$A:$A,Proyectos!$C:$C)),"")</f>
        <v xml:space="preserve">Apoyo a emprendimientos sociales </v>
      </c>
    </row>
    <row r="3787" spans="1:15">
      <c r="A3787" s="10">
        <v>1019987932</v>
      </c>
      <c r="B3787" s="64" t="s">
        <v>61</v>
      </c>
      <c r="C3787" s="62" t="s">
        <v>10816</v>
      </c>
      <c r="D3787" t="s">
        <v>63</v>
      </c>
      <c r="E3787" t="s">
        <v>11603</v>
      </c>
      <c r="F3787" s="61">
        <v>38769</v>
      </c>
      <c r="G3787" s="15" t="s">
        <v>73</v>
      </c>
      <c r="H3787" t="s">
        <v>11604</v>
      </c>
      <c r="I3787" s="62" t="s">
        <v>11605</v>
      </c>
      <c r="K3787" s="36" t="s">
        <v>169</v>
      </c>
      <c r="L3787" t="s">
        <v>69</v>
      </c>
      <c r="M3787" s="62" t="s">
        <v>170</v>
      </c>
      <c r="N3787" t="s">
        <v>11543</v>
      </c>
      <c r="O3787" t="str">
        <f>IFERROR(IF(Tbla_actores[[#This Row],[codigo_proyecto]]="","",_xlfn.XLOOKUP(Tbla_actores[[#This Row],[codigo_proyecto]],Proyectos!$A:$A,Proyectos!$C:$C)),"")</f>
        <v>Indicadores PROSOFI</v>
      </c>
    </row>
    <row r="3788" spans="1:15">
      <c r="A3788" s="9">
        <v>1025061642</v>
      </c>
      <c r="B3788" s="63" t="s">
        <v>61</v>
      </c>
      <c r="C3788" s="62" t="s">
        <v>10816</v>
      </c>
      <c r="D3788" t="s">
        <v>63</v>
      </c>
      <c r="E3788" t="s">
        <v>11606</v>
      </c>
      <c r="F3788" s="61">
        <v>38691</v>
      </c>
      <c r="G3788" s="15" t="s">
        <v>73</v>
      </c>
      <c r="H3788" t="s">
        <v>11607</v>
      </c>
      <c r="I3788" s="62" t="s">
        <v>11608</v>
      </c>
      <c r="K3788" s="36" t="s">
        <v>169</v>
      </c>
      <c r="L3788" t="s">
        <v>69</v>
      </c>
      <c r="M3788" s="62" t="s">
        <v>170</v>
      </c>
      <c r="N3788" t="s">
        <v>11581</v>
      </c>
      <c r="O3788" t="str">
        <f>IFERROR(IF(Tbla_actores[[#This Row],[codigo_proyecto]]="","",_xlfn.XLOOKUP(Tbla_actores[[#This Row],[codigo_proyecto]],Proyectos!$A:$A,Proyectos!$C:$C)),"")</f>
        <v>Terraza Verde PROSOFI</v>
      </c>
    </row>
    <row r="3789" spans="1:15">
      <c r="A3789" s="10">
        <v>1023368702</v>
      </c>
      <c r="B3789" s="64" t="s">
        <v>61</v>
      </c>
      <c r="C3789" s="62" t="s">
        <v>10816</v>
      </c>
      <c r="D3789" t="s">
        <v>63</v>
      </c>
      <c r="E3789" t="s">
        <v>11609</v>
      </c>
      <c r="F3789" s="61">
        <v>38487</v>
      </c>
      <c r="G3789" s="15" t="s">
        <v>73</v>
      </c>
      <c r="H3789" t="s">
        <v>11610</v>
      </c>
      <c r="I3789" s="62" t="s">
        <v>11611</v>
      </c>
      <c r="K3789" s="36" t="s">
        <v>169</v>
      </c>
      <c r="L3789" t="s">
        <v>69</v>
      </c>
      <c r="M3789" s="62" t="s">
        <v>170</v>
      </c>
      <c r="N3789" t="s">
        <v>11612</v>
      </c>
      <c r="O3789" t="str">
        <f>IFERROR(IF(Tbla_actores[[#This Row],[codigo_proyecto]]="","",_xlfn.XLOOKUP(Tbla_actores[[#This Row],[codigo_proyecto]],Proyectos!$A:$A,Proyectos!$C:$C)),"")</f>
        <v>Mejoramiento procesos administrativos.</v>
      </c>
    </row>
    <row r="3790" spans="1:15">
      <c r="A3790" s="9">
        <v>1000708228</v>
      </c>
      <c r="B3790" s="63" t="s">
        <v>61</v>
      </c>
      <c r="C3790" s="62" t="s">
        <v>10816</v>
      </c>
      <c r="D3790" t="s">
        <v>63</v>
      </c>
      <c r="E3790" t="s">
        <v>11613</v>
      </c>
      <c r="F3790" s="61">
        <v>37354</v>
      </c>
      <c r="G3790" s="15" t="s">
        <v>73</v>
      </c>
      <c r="H3790" t="s">
        <v>11614</v>
      </c>
      <c r="I3790" s="62" t="s">
        <v>11615</v>
      </c>
      <c r="K3790" s="36" t="s">
        <v>169</v>
      </c>
      <c r="L3790" t="s">
        <v>69</v>
      </c>
      <c r="M3790" s="62" t="s">
        <v>170</v>
      </c>
      <c r="N3790" t="s">
        <v>11616</v>
      </c>
      <c r="O3790" t="str">
        <f>IFERROR(IF(Tbla_actores[[#This Row],[codigo_proyecto]]="","",_xlfn.XLOOKUP(Tbla_actores[[#This Row],[codigo_proyecto]],Proyectos!$A:$A,Proyectos!$C:$C)),"")</f>
        <v>Mejoramiento procesos alistamiento alimentos.</v>
      </c>
    </row>
    <row r="3791" spans="1:15">
      <c r="A3791" s="10">
        <v>1002632746</v>
      </c>
      <c r="B3791" s="64" t="s">
        <v>61</v>
      </c>
      <c r="C3791" s="62" t="s">
        <v>10816</v>
      </c>
      <c r="D3791" t="s">
        <v>63</v>
      </c>
      <c r="E3791" t="s">
        <v>11617</v>
      </c>
      <c r="F3791" s="61">
        <v>37670</v>
      </c>
      <c r="G3791" s="15" t="s">
        <v>73</v>
      </c>
      <c r="H3791" t="s">
        <v>11618</v>
      </c>
      <c r="I3791" s="62" t="s">
        <v>11619</v>
      </c>
      <c r="K3791" s="36" t="s">
        <v>169</v>
      </c>
      <c r="L3791" t="s">
        <v>69</v>
      </c>
      <c r="M3791" s="62" t="s">
        <v>170</v>
      </c>
      <c r="N3791" t="s">
        <v>11616</v>
      </c>
      <c r="O3791" t="str">
        <f>IFERROR(IF(Tbla_actores[[#This Row],[codigo_proyecto]]="","",_xlfn.XLOOKUP(Tbla_actores[[#This Row],[codigo_proyecto]],Proyectos!$A:$A,Proyectos!$C:$C)),"")</f>
        <v>Mejoramiento procesos alistamiento alimentos.</v>
      </c>
    </row>
    <row r="3792" spans="1:15">
      <c r="A3792" s="9">
        <v>1021633478</v>
      </c>
      <c r="B3792" s="63" t="s">
        <v>61</v>
      </c>
      <c r="C3792" s="62" t="s">
        <v>10816</v>
      </c>
      <c r="D3792" t="s">
        <v>63</v>
      </c>
      <c r="E3792" t="s">
        <v>11620</v>
      </c>
      <c r="F3792" s="61">
        <v>38380</v>
      </c>
      <c r="G3792" s="15" t="s">
        <v>73</v>
      </c>
      <c r="H3792" t="s">
        <v>11621</v>
      </c>
      <c r="I3792" s="62" t="s">
        <v>11622</v>
      </c>
      <c r="K3792" s="36" t="s">
        <v>169</v>
      </c>
      <c r="L3792" t="s">
        <v>69</v>
      </c>
      <c r="M3792" s="62" t="s">
        <v>170</v>
      </c>
      <c r="N3792" t="s">
        <v>11623</v>
      </c>
      <c r="O3792" t="str">
        <f>IFERROR(IF(Tbla_actores[[#This Row],[codigo_proyecto]]="","",_xlfn.XLOOKUP(Tbla_actores[[#This Row],[codigo_proyecto]],Proyectos!$A:$A,Proyectos!$C:$C)),"")</f>
        <v>Mejoramiento procesos alistamiento prendas.</v>
      </c>
    </row>
    <row r="3793" spans="1:15">
      <c r="A3793" s="10">
        <v>1052839026</v>
      </c>
      <c r="B3793" s="64" t="s">
        <v>61</v>
      </c>
      <c r="C3793" s="62" t="s">
        <v>10816</v>
      </c>
      <c r="D3793" t="s">
        <v>63</v>
      </c>
      <c r="E3793" t="s">
        <v>11624</v>
      </c>
      <c r="F3793" s="61">
        <v>39040</v>
      </c>
      <c r="G3793" s="15" t="s">
        <v>73</v>
      </c>
      <c r="H3793" t="s">
        <v>11625</v>
      </c>
      <c r="I3793" s="62" t="s">
        <v>11626</v>
      </c>
      <c r="K3793" s="36" t="s">
        <v>169</v>
      </c>
      <c r="L3793" t="s">
        <v>69</v>
      </c>
      <c r="M3793" s="62" t="s">
        <v>170</v>
      </c>
      <c r="N3793" t="s">
        <v>11627</v>
      </c>
      <c r="O3793" t="str">
        <f>IFERROR(IF(Tbla_actores[[#This Row],[codigo_proyecto]]="","",_xlfn.XLOOKUP(Tbla_actores[[#This Row],[codigo_proyecto]],Proyectos!$A:$A,Proyectos!$C:$C)),"")</f>
        <v>Mejoramiento procesos administrativos.</v>
      </c>
    </row>
    <row r="3794" spans="1:15">
      <c r="A3794" s="9">
        <v>1011085151</v>
      </c>
      <c r="B3794" s="63" t="s">
        <v>61</v>
      </c>
      <c r="C3794" s="62" t="s">
        <v>10816</v>
      </c>
      <c r="D3794" t="s">
        <v>63</v>
      </c>
      <c r="E3794" t="s">
        <v>11628</v>
      </c>
      <c r="F3794" s="61">
        <v>38510</v>
      </c>
      <c r="G3794" s="15" t="s">
        <v>73</v>
      </c>
      <c r="H3794" t="s">
        <v>11629</v>
      </c>
      <c r="I3794" s="62" t="s">
        <v>11630</v>
      </c>
      <c r="K3794" s="36" t="s">
        <v>169</v>
      </c>
      <c r="L3794" t="s">
        <v>69</v>
      </c>
      <c r="M3794" s="62" t="s">
        <v>170</v>
      </c>
      <c r="N3794" t="s">
        <v>11631</v>
      </c>
      <c r="O3794" t="str">
        <f>IFERROR(IF(Tbla_actores[[#This Row],[codigo_proyecto]]="","",_xlfn.XLOOKUP(Tbla_actores[[#This Row],[codigo_proyecto]],Proyectos!$A:$A,Proyectos!$C:$C)),"")</f>
        <v>Mejoramiento procesos administrativos.</v>
      </c>
    </row>
    <row r="3795" spans="1:15">
      <c r="A3795" s="10">
        <v>1014978670</v>
      </c>
      <c r="B3795" s="64" t="s">
        <v>61</v>
      </c>
      <c r="C3795" s="62" t="s">
        <v>10816</v>
      </c>
      <c r="D3795" t="s">
        <v>63</v>
      </c>
      <c r="E3795" t="s">
        <v>11632</v>
      </c>
      <c r="F3795" s="61">
        <v>38436</v>
      </c>
      <c r="G3795" s="15" t="s">
        <v>65</v>
      </c>
      <c r="H3795" t="s">
        <v>11633</v>
      </c>
      <c r="I3795" s="62" t="s">
        <v>11634</v>
      </c>
      <c r="K3795" s="36" t="s">
        <v>169</v>
      </c>
      <c r="L3795" t="s">
        <v>69</v>
      </c>
      <c r="M3795" s="62" t="s">
        <v>170</v>
      </c>
      <c r="N3795" t="s">
        <v>11627</v>
      </c>
      <c r="O3795" t="str">
        <f>IFERROR(IF(Tbla_actores[[#This Row],[codigo_proyecto]]="","",_xlfn.XLOOKUP(Tbla_actores[[#This Row],[codigo_proyecto]],Proyectos!$A:$A,Proyectos!$C:$C)),"")</f>
        <v>Mejoramiento procesos administrativos.</v>
      </c>
    </row>
    <row r="3796" spans="1:15">
      <c r="A3796" s="9">
        <v>1010961639</v>
      </c>
      <c r="B3796" s="63" t="s">
        <v>61</v>
      </c>
      <c r="C3796" s="62" t="s">
        <v>10816</v>
      </c>
      <c r="D3796" t="s">
        <v>63</v>
      </c>
      <c r="E3796" t="s">
        <v>11635</v>
      </c>
      <c r="F3796" s="61">
        <v>38527</v>
      </c>
      <c r="G3796" s="15" t="s">
        <v>73</v>
      </c>
      <c r="H3796" t="s">
        <v>11636</v>
      </c>
      <c r="I3796" s="62" t="s">
        <v>11637</v>
      </c>
      <c r="K3796" s="36" t="s">
        <v>169</v>
      </c>
      <c r="L3796" t="s">
        <v>69</v>
      </c>
      <c r="M3796" s="62" t="s">
        <v>170</v>
      </c>
      <c r="N3796" t="s">
        <v>11638</v>
      </c>
      <c r="O3796" t="str">
        <f>IFERROR(IF(Tbla_actores[[#This Row],[codigo_proyecto]]="","",_xlfn.XLOOKUP(Tbla_actores[[#This Row],[codigo_proyecto]],Proyectos!$A:$A,Proyectos!$C:$C)),"")</f>
        <v>Mejoramiento procesos administrativos.</v>
      </c>
    </row>
    <row r="3797" spans="1:15">
      <c r="A3797" s="10">
        <v>1144724062</v>
      </c>
      <c r="B3797" s="64" t="s">
        <v>61</v>
      </c>
      <c r="C3797" s="62" t="s">
        <v>10816</v>
      </c>
      <c r="D3797" t="s">
        <v>63</v>
      </c>
      <c r="E3797" t="s">
        <v>11639</v>
      </c>
      <c r="F3797" s="61">
        <v>39059</v>
      </c>
      <c r="G3797" s="15" t="s">
        <v>65</v>
      </c>
      <c r="H3797" t="s">
        <v>11640</v>
      </c>
      <c r="I3797" s="62" t="s">
        <v>11641</v>
      </c>
      <c r="K3797" s="36" t="s">
        <v>169</v>
      </c>
      <c r="L3797" t="s">
        <v>69</v>
      </c>
      <c r="M3797" s="62" t="s">
        <v>170</v>
      </c>
      <c r="N3797" t="s">
        <v>11616</v>
      </c>
      <c r="O3797" t="str">
        <f>IFERROR(IF(Tbla_actores[[#This Row],[codigo_proyecto]]="","",_xlfn.XLOOKUP(Tbla_actores[[#This Row],[codigo_proyecto]],Proyectos!$A:$A,Proyectos!$C:$C)),"")</f>
        <v>Mejoramiento procesos alistamiento alimentos.</v>
      </c>
    </row>
    <row r="3798" spans="1:15">
      <c r="A3798" s="9">
        <v>1034919006</v>
      </c>
      <c r="B3798" s="63" t="s">
        <v>61</v>
      </c>
      <c r="C3798" s="62" t="s">
        <v>10816</v>
      </c>
      <c r="D3798" t="s">
        <v>63</v>
      </c>
      <c r="E3798" t="s">
        <v>11642</v>
      </c>
      <c r="F3798" s="61">
        <v>38923</v>
      </c>
      <c r="G3798" s="15" t="s">
        <v>73</v>
      </c>
      <c r="H3798" t="s">
        <v>11643</v>
      </c>
      <c r="I3798" s="62" t="s">
        <v>11644</v>
      </c>
      <c r="K3798" s="36" t="s">
        <v>169</v>
      </c>
      <c r="L3798" t="s">
        <v>69</v>
      </c>
      <c r="M3798" s="62" t="s">
        <v>170</v>
      </c>
      <c r="N3798" t="s">
        <v>11612</v>
      </c>
      <c r="O3798" t="str">
        <f>IFERROR(IF(Tbla_actores[[#This Row],[codigo_proyecto]]="","",_xlfn.XLOOKUP(Tbla_actores[[#This Row],[codigo_proyecto]],Proyectos!$A:$A,Proyectos!$C:$C)),"")</f>
        <v>Mejoramiento procesos administrativos.</v>
      </c>
    </row>
    <row r="3799" spans="1:15">
      <c r="A3799" s="10">
        <v>1029660883</v>
      </c>
      <c r="B3799" s="64" t="s">
        <v>61</v>
      </c>
      <c r="C3799" s="62" t="s">
        <v>10816</v>
      </c>
      <c r="D3799" t="s">
        <v>63</v>
      </c>
      <c r="E3799" t="s">
        <v>11645</v>
      </c>
      <c r="F3799" s="61">
        <v>38654</v>
      </c>
      <c r="G3799" s="15" t="s">
        <v>73</v>
      </c>
      <c r="H3799" t="s">
        <v>11646</v>
      </c>
      <c r="I3799" s="62" t="s">
        <v>11647</v>
      </c>
      <c r="K3799" s="36" t="s">
        <v>169</v>
      </c>
      <c r="L3799" t="s">
        <v>69</v>
      </c>
      <c r="M3799" s="62" t="s">
        <v>170</v>
      </c>
      <c r="N3799" t="s">
        <v>11638</v>
      </c>
      <c r="O3799" t="str">
        <f>IFERROR(IF(Tbla_actores[[#This Row],[codigo_proyecto]]="","",_xlfn.XLOOKUP(Tbla_actores[[#This Row],[codigo_proyecto]],Proyectos!$A:$A,Proyectos!$C:$C)),"")</f>
        <v>Mejoramiento procesos administrativos.</v>
      </c>
    </row>
    <row r="3800" spans="1:15">
      <c r="A3800" s="9">
        <v>1034516624</v>
      </c>
      <c r="B3800" s="63" t="s">
        <v>61</v>
      </c>
      <c r="C3800" s="62" t="s">
        <v>10816</v>
      </c>
      <c r="D3800" t="s">
        <v>63</v>
      </c>
      <c r="E3800" t="s">
        <v>11648</v>
      </c>
      <c r="F3800" s="61">
        <v>38050</v>
      </c>
      <c r="G3800" s="15" t="s">
        <v>73</v>
      </c>
      <c r="H3800" t="s">
        <v>11649</v>
      </c>
      <c r="I3800" s="62" t="s">
        <v>11650</v>
      </c>
      <c r="K3800" s="36" t="s">
        <v>169</v>
      </c>
      <c r="L3800" t="s">
        <v>69</v>
      </c>
      <c r="M3800" s="62" t="s">
        <v>170</v>
      </c>
      <c r="N3800" t="s">
        <v>11623</v>
      </c>
      <c r="O3800" t="str">
        <f>IFERROR(IF(Tbla_actores[[#This Row],[codigo_proyecto]]="","",_xlfn.XLOOKUP(Tbla_actores[[#This Row],[codigo_proyecto]],Proyectos!$A:$A,Proyectos!$C:$C)),"")</f>
        <v>Mejoramiento procesos alistamiento prendas.</v>
      </c>
    </row>
    <row r="3801" spans="1:15">
      <c r="A3801" s="10">
        <v>1000718525</v>
      </c>
      <c r="B3801" s="64" t="s">
        <v>61</v>
      </c>
      <c r="C3801" s="62" t="s">
        <v>10816</v>
      </c>
      <c r="D3801" t="s">
        <v>63</v>
      </c>
      <c r="E3801" t="s">
        <v>11651</v>
      </c>
      <c r="F3801" s="61">
        <v>37133</v>
      </c>
      <c r="G3801" s="15" t="s">
        <v>73</v>
      </c>
      <c r="H3801" t="s">
        <v>11652</v>
      </c>
      <c r="I3801" s="62" t="s">
        <v>11653</v>
      </c>
      <c r="K3801" s="36" t="s">
        <v>169</v>
      </c>
      <c r="L3801" t="s">
        <v>69</v>
      </c>
      <c r="M3801" s="62" t="s">
        <v>170</v>
      </c>
      <c r="N3801" t="s">
        <v>11623</v>
      </c>
      <c r="O3801" t="str">
        <f>IFERROR(IF(Tbla_actores[[#This Row],[codigo_proyecto]]="","",_xlfn.XLOOKUP(Tbla_actores[[#This Row],[codigo_proyecto]],Proyectos!$A:$A,Proyectos!$C:$C)),"")</f>
        <v>Mejoramiento procesos alistamiento prendas.</v>
      </c>
    </row>
    <row r="3802" spans="1:15">
      <c r="A3802" s="9">
        <v>1001315265</v>
      </c>
      <c r="B3802" s="63" t="s">
        <v>61</v>
      </c>
      <c r="C3802" s="62" t="s">
        <v>10816</v>
      </c>
      <c r="D3802" t="s">
        <v>63</v>
      </c>
      <c r="E3802" t="s">
        <v>11654</v>
      </c>
      <c r="F3802" s="61">
        <v>36642</v>
      </c>
      <c r="G3802" s="15" t="s">
        <v>73</v>
      </c>
      <c r="H3802" t="s">
        <v>11655</v>
      </c>
      <c r="I3802" s="62" t="s">
        <v>11656</v>
      </c>
      <c r="K3802" s="36" t="s">
        <v>169</v>
      </c>
      <c r="L3802" t="s">
        <v>69</v>
      </c>
      <c r="M3802" s="62" t="s">
        <v>170</v>
      </c>
      <c r="N3802" t="s">
        <v>11627</v>
      </c>
      <c r="O3802" t="str">
        <f>IFERROR(IF(Tbla_actores[[#This Row],[codigo_proyecto]]="","",_xlfn.XLOOKUP(Tbla_actores[[#This Row],[codigo_proyecto]],Proyectos!$A:$A,Proyectos!$C:$C)),"")</f>
        <v>Mejoramiento procesos administrativos.</v>
      </c>
    </row>
    <row r="3803" spans="1:15">
      <c r="A3803" s="10">
        <v>1000163422</v>
      </c>
      <c r="B3803" s="64" t="s">
        <v>61</v>
      </c>
      <c r="C3803" s="62" t="s">
        <v>10816</v>
      </c>
      <c r="D3803" t="s">
        <v>63</v>
      </c>
      <c r="E3803" t="s">
        <v>11657</v>
      </c>
      <c r="F3803" s="61">
        <v>37090</v>
      </c>
      <c r="G3803" s="15" t="s">
        <v>73</v>
      </c>
      <c r="H3803" t="s">
        <v>11658</v>
      </c>
      <c r="I3803" s="62" t="s">
        <v>11659</v>
      </c>
      <c r="K3803" s="36" t="s">
        <v>169</v>
      </c>
      <c r="L3803" t="s">
        <v>69</v>
      </c>
      <c r="M3803" s="62" t="s">
        <v>170</v>
      </c>
      <c r="N3803" t="s">
        <v>11616</v>
      </c>
      <c r="O3803" t="str">
        <f>IFERROR(IF(Tbla_actores[[#This Row],[codigo_proyecto]]="","",_xlfn.XLOOKUP(Tbla_actores[[#This Row],[codigo_proyecto]],Proyectos!$A:$A,Proyectos!$C:$C)),"")</f>
        <v>Mejoramiento procesos alistamiento alimentos.</v>
      </c>
    </row>
    <row r="3804" spans="1:15">
      <c r="A3804" s="9">
        <v>1013583308</v>
      </c>
      <c r="B3804" s="63" t="s">
        <v>61</v>
      </c>
      <c r="C3804" s="62" t="s">
        <v>10816</v>
      </c>
      <c r="D3804" t="s">
        <v>63</v>
      </c>
      <c r="E3804" t="s">
        <v>11660</v>
      </c>
      <c r="F3804" s="61">
        <v>38296</v>
      </c>
      <c r="G3804" s="15" t="s">
        <v>73</v>
      </c>
      <c r="H3804" t="s">
        <v>11661</v>
      </c>
      <c r="I3804" s="62" t="s">
        <v>11662</v>
      </c>
      <c r="K3804" s="36" t="s">
        <v>169</v>
      </c>
      <c r="L3804" t="s">
        <v>69</v>
      </c>
      <c r="M3804" s="62" t="s">
        <v>170</v>
      </c>
      <c r="N3804" t="s">
        <v>11631</v>
      </c>
      <c r="O3804" t="str">
        <f>IFERROR(IF(Tbla_actores[[#This Row],[codigo_proyecto]]="","",_xlfn.XLOOKUP(Tbla_actores[[#This Row],[codigo_proyecto]],Proyectos!$A:$A,Proyectos!$C:$C)),"")</f>
        <v>Mejoramiento procesos administrativos.</v>
      </c>
    </row>
    <row r="3805" spans="1:15">
      <c r="A3805" s="10">
        <v>1141514531</v>
      </c>
      <c r="B3805" s="64" t="s">
        <v>61</v>
      </c>
      <c r="C3805" s="62" t="s">
        <v>10816</v>
      </c>
      <c r="D3805" t="s">
        <v>63</v>
      </c>
      <c r="E3805" t="s">
        <v>11663</v>
      </c>
      <c r="F3805" s="61">
        <v>38880</v>
      </c>
      <c r="G3805" s="15" t="s">
        <v>65</v>
      </c>
      <c r="H3805" t="s">
        <v>11664</v>
      </c>
      <c r="I3805" s="62" t="s">
        <v>11665</v>
      </c>
      <c r="K3805" s="36" t="s">
        <v>169</v>
      </c>
      <c r="L3805" t="s">
        <v>69</v>
      </c>
      <c r="M3805" s="62" t="s">
        <v>170</v>
      </c>
      <c r="N3805" t="s">
        <v>11638</v>
      </c>
      <c r="O3805" t="str">
        <f>IFERROR(IF(Tbla_actores[[#This Row],[codigo_proyecto]]="","",_xlfn.XLOOKUP(Tbla_actores[[#This Row],[codigo_proyecto]],Proyectos!$A:$A,Proyectos!$C:$C)),"")</f>
        <v>Mejoramiento procesos administrativos.</v>
      </c>
    </row>
    <row r="3806" spans="1:15">
      <c r="A3806" s="9">
        <v>1116912167</v>
      </c>
      <c r="B3806" s="63" t="s">
        <v>61</v>
      </c>
      <c r="C3806" s="62" t="s">
        <v>10816</v>
      </c>
      <c r="D3806" t="s">
        <v>63</v>
      </c>
      <c r="E3806" t="s">
        <v>11666</v>
      </c>
      <c r="F3806" s="61">
        <v>37962</v>
      </c>
      <c r="G3806" s="15" t="s">
        <v>65</v>
      </c>
      <c r="H3806" t="s">
        <v>11667</v>
      </c>
      <c r="I3806" s="62" t="s">
        <v>11668</v>
      </c>
      <c r="K3806" s="36" t="s">
        <v>169</v>
      </c>
      <c r="L3806" t="s">
        <v>69</v>
      </c>
      <c r="M3806" s="62" t="s">
        <v>170</v>
      </c>
      <c r="N3806" t="s">
        <v>11631</v>
      </c>
      <c r="O3806" t="str">
        <f>IFERROR(IF(Tbla_actores[[#This Row],[codigo_proyecto]]="","",_xlfn.XLOOKUP(Tbla_actores[[#This Row],[codigo_proyecto]],Proyectos!$A:$A,Proyectos!$C:$C)),"")</f>
        <v>Mejoramiento procesos administrativos.</v>
      </c>
    </row>
  </sheetData>
  <phoneticPr fontId="12" type="noConversion"/>
  <conditionalFormatting sqref="L2:M3 M4:M1000 L4:L3806">
    <cfRule type="expression" dxfId="112" priority="2">
      <formula>$D2&lt;&gt;"Estudiante"</formula>
    </cfRule>
  </conditionalFormatting>
  <dataValidations count="5">
    <dataValidation type="list" allowBlank="1" showInputMessage="1" showErrorMessage="1" errorTitle="Valor no válido" error="Seleccione una opción válida." promptTitle="Tipo de Actor" prompt="Seleccione el tipo de actor" sqref="D2:D3806" xr:uid="{00000000-0002-0000-0100-000000000000}">
      <formula1>LST_TIPO_DE_ACTOR</formula1>
    </dataValidation>
    <dataValidation type="list" allowBlank="1" showInputMessage="1" showErrorMessage="1" errorTitle="Valor no válido" error="Seleccione una opción válida." promptTitle="Tipo de Documento" prompt="Seleccione el tipo de documento" sqref="B2:B1000" xr:uid="{00000000-0002-0000-0100-000001000000}">
      <formula1>LST_TIPO_ID</formula1>
    </dataValidation>
    <dataValidation type="list" allowBlank="1" showInputMessage="1" showErrorMessage="1" errorTitle="Valor no válido" error="Seleccione una opción válida." promptTitle="Sexo" prompt="Seleccione el sexo" sqref="G2:G1000" xr:uid="{00000000-0002-0000-0100-000002000000}">
      <formula1>LST_SEXO</formula1>
    </dataValidation>
    <dataValidation type="list" allowBlank="1" showInputMessage="1" showErrorMessage="1" errorTitle="Valor no válido" error="Seleccione una opción válida." promptTitle="Facultad" prompt="Solo aplica para Estudiantes" sqref="L2:L3806" xr:uid="{A1F9E500-9064-492A-B028-51295014F90A}">
      <formula1>LST_FACULTAD</formula1>
    </dataValidation>
    <dataValidation type="list" allowBlank="1" showInputMessage="1" showErrorMessage="1" errorTitle="Valor no válido" error="Seleccione una opción válida." promptTitle="Asignatura" prompt="Solo aplica para Estudiantes" sqref="M2:M1000" xr:uid="{00000000-0002-0000-0100-000004000000}">
      <formula1>LST_ASIGNATURA</formula1>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BE2D139-A026-43CE-900D-A71B0F1774D4}">
          <x14:formula1>
            <xm:f>Listas!$E$2:$E$4</xm:f>
          </x14:formula1>
          <xm:sqref>M1001:M3806</xm:sqref>
        </x14:dataValidation>
        <x14:dataValidation type="list" allowBlank="1" showInputMessage="1" showErrorMessage="1" xr:uid="{46718794-3F65-4BA1-B0EB-DF7C820FA937}">
          <x14:formula1>
            <xm:f>Listas!$F$2:$F$9</xm:f>
          </x14:formula1>
          <xm:sqref>K2:K3806</xm:sqref>
        </x14:dataValidation>
        <x14:dataValidation type="list" allowBlank="1" showInputMessage="1" showErrorMessage="1" promptTitle="Código Proyecto" prompt="Lista en Hoja: Proyectos" xr:uid="{FF33268D-F931-44C7-BEDB-00F9F3AB977B}">
          <x14:formula1>
            <xm:f>Proyectos!$A$2:$A$273</xm:f>
          </x14:formula1>
          <xm:sqref>N2:N3806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5697"/>
  </sheetPr>
  <dimension ref="A1:Q274"/>
  <sheetViews>
    <sheetView zoomScaleNormal="100" workbookViewId="0">
      <pane ySplit="1" topLeftCell="A2" activePane="bottomLeft" state="frozen"/>
      <selection pane="bottomLeft" activeCell="C21" sqref="C21"/>
      <selection activeCell="A4" sqref="A4"/>
    </sheetView>
  </sheetViews>
  <sheetFormatPr defaultColWidth="8.7109375" defaultRowHeight="15"/>
  <cols>
    <col min="1" max="1" width="20.7109375" bestFit="1" customWidth="1"/>
    <col min="2" max="2" width="14.140625" style="62" bestFit="1" customWidth="1"/>
    <col min="3" max="3" width="24" customWidth="1"/>
    <col min="4" max="4" width="22.85546875" style="15" customWidth="1"/>
    <col min="5" max="5" width="72.7109375" customWidth="1"/>
    <col min="6" max="6" width="34.140625" customWidth="1"/>
    <col min="7" max="7" width="28.85546875" style="62" bestFit="1" customWidth="1"/>
    <col min="8" max="8" width="32.85546875" bestFit="1" customWidth="1"/>
    <col min="9" max="9" width="20.7109375" customWidth="1"/>
    <col min="10" max="10" width="20.7109375" style="2" customWidth="1"/>
    <col min="11" max="12" width="20.7109375" style="60" customWidth="1"/>
    <col min="13" max="15" width="24" style="62" customWidth="1"/>
    <col min="16" max="16" width="24.5703125" customWidth="1"/>
    <col min="17" max="17" width="28" customWidth="1"/>
    <col min="18" max="18" width="24" customWidth="1"/>
  </cols>
  <sheetData>
    <row r="1" spans="1:17" ht="30.2" customHeight="1">
      <c r="A1" s="67" t="s">
        <v>17</v>
      </c>
      <c r="B1" s="67" t="s">
        <v>11669</v>
      </c>
      <c r="C1" s="67" t="s">
        <v>58</v>
      </c>
      <c r="D1" s="67" t="s">
        <v>11670</v>
      </c>
      <c r="E1" s="67" t="s">
        <v>11671</v>
      </c>
      <c r="F1" s="67" t="s">
        <v>11672</v>
      </c>
      <c r="G1" s="67" t="s">
        <v>11673</v>
      </c>
      <c r="H1" s="69" t="s">
        <v>11674</v>
      </c>
      <c r="I1" s="69" t="s">
        <v>11675</v>
      </c>
      <c r="J1" s="70" t="s">
        <v>11676</v>
      </c>
      <c r="K1" s="107" t="s">
        <v>11677</v>
      </c>
      <c r="L1" s="71" t="s">
        <v>11678</v>
      </c>
      <c r="M1" s="69" t="s">
        <v>11679</v>
      </c>
      <c r="N1" s="102" t="s">
        <v>11680</v>
      </c>
      <c r="O1" s="102" t="s">
        <v>11681</v>
      </c>
      <c r="P1" s="67" t="s">
        <v>11682</v>
      </c>
      <c r="Q1" s="67" t="s">
        <v>60</v>
      </c>
    </row>
    <row r="2" spans="1:17">
      <c r="A2" t="s">
        <v>9181</v>
      </c>
      <c r="B2" s="62" t="str">
        <f>LEFT(Tbla_proyectos[[#This Row],[codigo_proyecto]],4)</f>
        <v>2510</v>
      </c>
      <c r="C2" s="4" t="s">
        <v>11683</v>
      </c>
      <c r="D2" s="15" t="s">
        <v>11684</v>
      </c>
      <c r="E2" s="4" t="s">
        <v>11685</v>
      </c>
      <c r="F2" s="4" t="s">
        <v>11686</v>
      </c>
      <c r="G2" s="62" t="s">
        <v>11687</v>
      </c>
      <c r="H2" t="s">
        <v>11688</v>
      </c>
      <c r="I2" s="2"/>
      <c r="K2" s="60" t="str">
        <f>IF(OR(Tbla_proyectos[[#This Row],[fecha_inicio]]="",Tbla_proyectos[[#This Row],[fecha_fin]]=""),"",DATEDIF(Tbla_proyectos[[#This Row],[fecha_inicio]],Tbla_proyectos[[#This Row],[fecha_fin]],"M"))</f>
        <v/>
      </c>
      <c r="L2" s="101" t="s">
        <v>11689</v>
      </c>
      <c r="M2" s="62" t="s">
        <v>11690</v>
      </c>
      <c r="N2" s="62">
        <f ca="1">IF(Tbla_proyectos[[#This Row],[municipio]]="","",VLOOKUP(Tbla_proyectos[[#This Row],[municipio]],INDIRECT(Tbla_proyectos[[#This Row],[departamento]]),2,0))</f>
        <v>4.3161076979999997</v>
      </c>
      <c r="O2" s="62">
        <f ca="1">IF(Tbla_proyectos[[#This Row],[municipio]]="","",VLOOKUP(Tbla_proyectos[[#This Row],[municipio]],INDIRECT(Tbla_proyectos[[#This Row],[departamento]]),2,0))</f>
        <v>4.3161076979999997</v>
      </c>
    </row>
    <row r="3" spans="1:17">
      <c r="A3" t="s">
        <v>10052</v>
      </c>
      <c r="B3" s="62" t="str">
        <f>LEFT(Tbla_proyectos[[#This Row],[codigo_proyecto]],4)</f>
        <v>2530</v>
      </c>
      <c r="C3" s="4" t="s">
        <v>11691</v>
      </c>
      <c r="D3" s="15" t="s">
        <v>11684</v>
      </c>
      <c r="E3" s="4" t="s">
        <v>11692</v>
      </c>
      <c r="F3" s="4" t="s">
        <v>11693</v>
      </c>
      <c r="G3" s="62" t="s">
        <v>11694</v>
      </c>
      <c r="H3" t="s">
        <v>11695</v>
      </c>
      <c r="I3" s="2"/>
      <c r="K3" s="60" t="str">
        <f>IF(OR(Tbla_proyectos[[#This Row],[fecha_inicio]]="",Tbla_proyectos[[#This Row],[fecha_fin]]=""),"",DATEDIF(Tbla_proyectos[[#This Row],[fecha_inicio]],Tbla_proyectos[[#This Row],[fecha_fin]],"M"))</f>
        <v/>
      </c>
      <c r="L3" s="60" t="s">
        <v>11689</v>
      </c>
      <c r="M3" s="62" t="s">
        <v>11690</v>
      </c>
      <c r="N3" s="62">
        <f ca="1">IF(Tbla_proyectos[[#This Row],[municipio]]="","",VLOOKUP(Tbla_proyectos[[#This Row],[municipio]],INDIRECT(Tbla_proyectos[[#This Row],[departamento]]),2,0))</f>
        <v>4.3161076979999997</v>
      </c>
      <c r="O3" s="62">
        <f ca="1">IF(Tbla_proyectos[[#This Row],[municipio]]="","",VLOOKUP(Tbla_proyectos[[#This Row],[municipio]],INDIRECT(Tbla_proyectos[[#This Row],[departamento]]),2,0))</f>
        <v>4.3161076979999997</v>
      </c>
      <c r="P3" t="s">
        <v>11696</v>
      </c>
    </row>
    <row r="4" spans="1:17">
      <c r="A4" t="s">
        <v>10149</v>
      </c>
      <c r="B4" s="62" t="str">
        <f>LEFT(Tbla_proyectos[[#This Row],[codigo_proyecto]],4)</f>
        <v>2530</v>
      </c>
      <c r="C4" s="4" t="s">
        <v>11697</v>
      </c>
      <c r="D4" s="15" t="s">
        <v>11684</v>
      </c>
      <c r="E4" s="4" t="s">
        <v>11698</v>
      </c>
      <c r="F4" s="4" t="s">
        <v>11699</v>
      </c>
      <c r="G4" s="62" t="s">
        <v>11694</v>
      </c>
      <c r="H4" t="s">
        <v>11695</v>
      </c>
      <c r="I4" s="2"/>
      <c r="K4" s="60" t="str">
        <f>IF(OR(Tbla_proyectos[[#This Row],[fecha_inicio]]="",Tbla_proyectos[[#This Row],[fecha_fin]]=""),"",DATEDIF(Tbla_proyectos[[#This Row],[fecha_inicio]],Tbla_proyectos[[#This Row],[fecha_fin]],"M"))</f>
        <v/>
      </c>
      <c r="L4" s="60" t="s">
        <v>11689</v>
      </c>
      <c r="M4" s="62" t="s">
        <v>11690</v>
      </c>
      <c r="N4" s="62">
        <f ca="1">IF(Tbla_proyectos[[#This Row],[municipio]]="","",VLOOKUP(Tbla_proyectos[[#This Row],[municipio]],INDIRECT(Tbla_proyectos[[#This Row],[departamento]]),2,0))</f>
        <v>4.3161076979999997</v>
      </c>
      <c r="O4" s="62">
        <f ca="1">IF(Tbla_proyectos[[#This Row],[municipio]]="","",VLOOKUP(Tbla_proyectos[[#This Row],[municipio]],INDIRECT(Tbla_proyectos[[#This Row],[departamento]]),2,0))</f>
        <v>4.3161076979999997</v>
      </c>
      <c r="P4" t="s">
        <v>11696</v>
      </c>
    </row>
    <row r="5" spans="1:17">
      <c r="A5" t="s">
        <v>8919</v>
      </c>
      <c r="B5" s="62" t="str">
        <f>LEFT(Tbla_proyectos[[#This Row],[codigo_proyecto]],4)</f>
        <v>2430</v>
      </c>
      <c r="C5" s="4" t="s">
        <v>11700</v>
      </c>
      <c r="D5" s="15" t="s">
        <v>11684</v>
      </c>
      <c r="E5" s="4" t="s">
        <v>11701</v>
      </c>
      <c r="F5" s="4" t="s">
        <v>11702</v>
      </c>
      <c r="G5" s="62" t="s">
        <v>11687</v>
      </c>
      <c r="H5" t="s">
        <v>11695</v>
      </c>
      <c r="I5" s="2"/>
      <c r="K5" s="60" t="str">
        <f>IF(OR(Tbla_proyectos[[#This Row],[fecha_inicio]]="",Tbla_proyectos[[#This Row],[fecha_fin]]=""),"",DATEDIF(Tbla_proyectos[[#This Row],[fecha_inicio]],Tbla_proyectos[[#This Row],[fecha_fin]],"M"))</f>
        <v/>
      </c>
      <c r="L5" s="60" t="s">
        <v>11689</v>
      </c>
      <c r="M5" s="62" t="s">
        <v>11690</v>
      </c>
      <c r="N5" s="62">
        <f ca="1">IF(Tbla_proyectos[[#This Row],[municipio]]="","",VLOOKUP(Tbla_proyectos[[#This Row],[municipio]],INDIRECT(Tbla_proyectos[[#This Row],[departamento]]),2,0))</f>
        <v>4.3161076979999997</v>
      </c>
      <c r="O5" s="62">
        <f ca="1">IF(Tbla_proyectos[[#This Row],[municipio]]="","",VLOOKUP(Tbla_proyectos[[#This Row],[municipio]],INDIRECT(Tbla_proyectos[[#This Row],[departamento]]),2,0))</f>
        <v>4.3161076979999997</v>
      </c>
      <c r="P5" t="s">
        <v>11703</v>
      </c>
    </row>
    <row r="6" spans="1:17">
      <c r="A6" t="s">
        <v>9188</v>
      </c>
      <c r="B6" s="62" t="str">
        <f>LEFT(Tbla_proyectos[[#This Row],[codigo_proyecto]],4)</f>
        <v>2510</v>
      </c>
      <c r="C6" s="4" t="s">
        <v>11704</v>
      </c>
      <c r="D6" s="15" t="s">
        <v>11684</v>
      </c>
      <c r="E6" s="4" t="s">
        <v>11705</v>
      </c>
      <c r="F6" s="4" t="s">
        <v>11693</v>
      </c>
      <c r="G6" s="62" t="s">
        <v>11694</v>
      </c>
      <c r="H6" t="s">
        <v>11706</v>
      </c>
      <c r="I6" s="2"/>
      <c r="K6" s="60" t="str">
        <f>IF(OR(Tbla_proyectos[[#This Row],[fecha_inicio]]="",Tbla_proyectos[[#This Row],[fecha_fin]]=""),"",DATEDIF(Tbla_proyectos[[#This Row],[fecha_inicio]],Tbla_proyectos[[#This Row],[fecha_fin]],"M"))</f>
        <v/>
      </c>
      <c r="L6" s="60" t="s">
        <v>11689</v>
      </c>
      <c r="M6" s="62" t="s">
        <v>11690</v>
      </c>
      <c r="N6" s="62">
        <f ca="1">IF(Tbla_proyectos[[#This Row],[municipio]]="","",VLOOKUP(Tbla_proyectos[[#This Row],[municipio]],INDIRECT(Tbla_proyectos[[#This Row],[departamento]]),2,0))</f>
        <v>4.3161076979999997</v>
      </c>
      <c r="O6" s="62">
        <f ca="1">IF(Tbla_proyectos[[#This Row],[municipio]]="","",VLOOKUP(Tbla_proyectos[[#This Row],[municipio]],INDIRECT(Tbla_proyectos[[#This Row],[departamento]]),2,0))</f>
        <v>4.3161076979999997</v>
      </c>
      <c r="P6" t="s">
        <v>11703</v>
      </c>
    </row>
    <row r="7" spans="1:17">
      <c r="A7" t="s">
        <v>10165</v>
      </c>
      <c r="B7" s="62" t="str">
        <f>LEFT(Tbla_proyectos[[#This Row],[codigo_proyecto]],4)</f>
        <v>2530</v>
      </c>
      <c r="C7" s="4" t="s">
        <v>11704</v>
      </c>
      <c r="D7" s="15" t="s">
        <v>11684</v>
      </c>
      <c r="E7" s="4" t="s">
        <v>11705</v>
      </c>
      <c r="F7" s="4" t="s">
        <v>11693</v>
      </c>
      <c r="G7" s="62" t="s">
        <v>11694</v>
      </c>
      <c r="H7" t="s">
        <v>11706</v>
      </c>
      <c r="I7" s="2"/>
      <c r="K7" s="60" t="str">
        <f>IF(OR(Tbla_proyectos[[#This Row],[fecha_inicio]]="",Tbla_proyectos[[#This Row],[fecha_fin]]=""),"",DATEDIF(Tbla_proyectos[[#This Row],[fecha_inicio]],Tbla_proyectos[[#This Row],[fecha_fin]],"M"))</f>
        <v/>
      </c>
      <c r="L7" s="60" t="s">
        <v>11689</v>
      </c>
      <c r="M7" s="62" t="s">
        <v>11690</v>
      </c>
      <c r="N7" s="62">
        <f ca="1">IF(Tbla_proyectos[[#This Row],[municipio]]="","",VLOOKUP(Tbla_proyectos[[#This Row],[municipio]],INDIRECT(Tbla_proyectos[[#This Row],[departamento]]),2,0))</f>
        <v>4.3161076979999997</v>
      </c>
      <c r="O7" s="62">
        <f ca="1">IF(Tbla_proyectos[[#This Row],[municipio]]="","",VLOOKUP(Tbla_proyectos[[#This Row],[municipio]],INDIRECT(Tbla_proyectos[[#This Row],[departamento]]),2,0))</f>
        <v>4.3161076979999997</v>
      </c>
      <c r="P7" t="s">
        <v>11703</v>
      </c>
    </row>
    <row r="8" spans="1:17">
      <c r="A8" t="s">
        <v>8587</v>
      </c>
      <c r="B8" s="62" t="str">
        <f>LEFT(Tbla_proyectos[[#This Row],[codigo_proyecto]],4)</f>
        <v>2430</v>
      </c>
      <c r="C8" s="4" t="s">
        <v>11704</v>
      </c>
      <c r="D8" s="15" t="s">
        <v>11684</v>
      </c>
      <c r="E8" s="4" t="s">
        <v>11705</v>
      </c>
      <c r="F8" s="4" t="s">
        <v>11693</v>
      </c>
      <c r="G8" s="62" t="s">
        <v>11694</v>
      </c>
      <c r="H8" t="s">
        <v>11706</v>
      </c>
      <c r="I8" s="2"/>
      <c r="K8" s="60" t="str">
        <f>IF(OR(Tbla_proyectos[[#This Row],[fecha_inicio]]="",Tbla_proyectos[[#This Row],[fecha_fin]]=""),"",DATEDIF(Tbla_proyectos[[#This Row],[fecha_inicio]],Tbla_proyectos[[#This Row],[fecha_fin]],"M"))</f>
        <v/>
      </c>
      <c r="L8" s="60" t="s">
        <v>11689</v>
      </c>
      <c r="M8" s="62" t="s">
        <v>11690</v>
      </c>
      <c r="N8" s="62">
        <f ca="1">IF(Tbla_proyectos[[#This Row],[municipio]]="","",VLOOKUP(Tbla_proyectos[[#This Row],[municipio]],INDIRECT(Tbla_proyectos[[#This Row],[departamento]]),2,0))</f>
        <v>4.3161076979999997</v>
      </c>
      <c r="O8" s="62">
        <f ca="1">IF(Tbla_proyectos[[#This Row],[municipio]]="","",VLOOKUP(Tbla_proyectos[[#This Row],[municipio]],INDIRECT(Tbla_proyectos[[#This Row],[departamento]]),2,0))</f>
        <v>4.3161076979999997</v>
      </c>
      <c r="P8" t="s">
        <v>11703</v>
      </c>
    </row>
    <row r="9" spans="1:17">
      <c r="A9" t="s">
        <v>9207</v>
      </c>
      <c r="B9" s="62" t="str">
        <f>LEFT(Tbla_proyectos[[#This Row],[codigo_proyecto]],4)</f>
        <v>2510</v>
      </c>
      <c r="C9" s="4" t="s">
        <v>11707</v>
      </c>
      <c r="D9" s="15" t="s">
        <v>11684</v>
      </c>
      <c r="E9" s="4" t="s">
        <v>11708</v>
      </c>
      <c r="F9" s="4" t="s">
        <v>11709</v>
      </c>
      <c r="G9" s="62" t="s">
        <v>11687</v>
      </c>
      <c r="H9" t="s">
        <v>11710</v>
      </c>
      <c r="I9" s="2"/>
      <c r="K9" s="60" t="str">
        <f>IF(OR(Tbla_proyectos[[#This Row],[fecha_inicio]]="",Tbla_proyectos[[#This Row],[fecha_fin]]=""),"",DATEDIF(Tbla_proyectos[[#This Row],[fecha_inicio]],Tbla_proyectos[[#This Row],[fecha_fin]],"M"))</f>
        <v/>
      </c>
      <c r="L9" s="60" t="s">
        <v>11689</v>
      </c>
      <c r="M9" s="62" t="s">
        <v>11690</v>
      </c>
      <c r="N9" s="62">
        <f ca="1">IF(Tbla_proyectos[[#This Row],[municipio]]="","",VLOOKUP(Tbla_proyectos[[#This Row],[municipio]],INDIRECT(Tbla_proyectos[[#This Row],[departamento]]),2,0))</f>
        <v>4.3161076979999997</v>
      </c>
      <c r="O9" s="62">
        <f ca="1">IF(Tbla_proyectos[[#This Row],[municipio]]="","",VLOOKUP(Tbla_proyectos[[#This Row],[municipio]],INDIRECT(Tbla_proyectos[[#This Row],[departamento]]),2,0))</f>
        <v>4.3161076979999997</v>
      </c>
      <c r="P9" t="s">
        <v>11703</v>
      </c>
    </row>
    <row r="10" spans="1:17">
      <c r="A10" t="s">
        <v>10185</v>
      </c>
      <c r="B10" s="62" t="str">
        <f>LEFT(Tbla_proyectos[[#This Row],[codigo_proyecto]],4)</f>
        <v>2530</v>
      </c>
      <c r="C10" s="4" t="s">
        <v>11707</v>
      </c>
      <c r="D10" s="15" t="s">
        <v>11684</v>
      </c>
      <c r="E10" s="4" t="s">
        <v>11708</v>
      </c>
      <c r="F10" s="4" t="s">
        <v>11709</v>
      </c>
      <c r="G10" s="62" t="s">
        <v>11687</v>
      </c>
      <c r="H10" t="s">
        <v>11710</v>
      </c>
      <c r="I10" s="2"/>
      <c r="K10" s="60" t="str">
        <f>IF(OR(Tbla_proyectos[[#This Row],[fecha_inicio]]="",Tbla_proyectos[[#This Row],[fecha_fin]]=""),"",DATEDIF(Tbla_proyectos[[#This Row],[fecha_inicio]],Tbla_proyectos[[#This Row],[fecha_fin]],"M"))</f>
        <v/>
      </c>
      <c r="L10" s="60" t="s">
        <v>11689</v>
      </c>
      <c r="M10" s="62" t="s">
        <v>11690</v>
      </c>
      <c r="N10" s="62">
        <f ca="1">IF(Tbla_proyectos[[#This Row],[municipio]]="","",VLOOKUP(Tbla_proyectos[[#This Row],[municipio]],INDIRECT(Tbla_proyectos[[#This Row],[departamento]]),2,0))</f>
        <v>4.3161076979999997</v>
      </c>
      <c r="O10" s="62">
        <f ca="1">IF(Tbla_proyectos[[#This Row],[municipio]]="","",VLOOKUP(Tbla_proyectos[[#This Row],[municipio]],INDIRECT(Tbla_proyectos[[#This Row],[departamento]]),2,0))</f>
        <v>4.3161076979999997</v>
      </c>
      <c r="P10" t="s">
        <v>11703</v>
      </c>
    </row>
    <row r="11" spans="1:17">
      <c r="A11" t="s">
        <v>8915</v>
      </c>
      <c r="B11" s="62" t="str">
        <f>LEFT(Tbla_proyectos[[#This Row],[codigo_proyecto]],4)</f>
        <v>2430</v>
      </c>
      <c r="C11" s="4" t="s">
        <v>11707</v>
      </c>
      <c r="D11" s="15" t="s">
        <v>11684</v>
      </c>
      <c r="E11" s="4" t="s">
        <v>11708</v>
      </c>
      <c r="F11" s="4" t="s">
        <v>11709</v>
      </c>
      <c r="G11" s="62" t="s">
        <v>11687</v>
      </c>
      <c r="H11" t="s">
        <v>11710</v>
      </c>
      <c r="I11" s="2"/>
      <c r="K11" s="60" t="str">
        <f>IF(OR(Tbla_proyectos[[#This Row],[fecha_inicio]]="",Tbla_proyectos[[#This Row],[fecha_fin]]=""),"",DATEDIF(Tbla_proyectos[[#This Row],[fecha_inicio]],Tbla_proyectos[[#This Row],[fecha_fin]],"M"))</f>
        <v/>
      </c>
      <c r="L11" s="60" t="s">
        <v>11689</v>
      </c>
      <c r="M11" s="62" t="s">
        <v>11690</v>
      </c>
      <c r="N11" s="62">
        <f ca="1">IF(Tbla_proyectos[[#This Row],[municipio]]="","",VLOOKUP(Tbla_proyectos[[#This Row],[municipio]],INDIRECT(Tbla_proyectos[[#This Row],[departamento]]),2,0))</f>
        <v>4.3161076979999997</v>
      </c>
      <c r="O11" s="62">
        <f ca="1">IF(Tbla_proyectos[[#This Row],[municipio]]="","",VLOOKUP(Tbla_proyectos[[#This Row],[municipio]],INDIRECT(Tbla_proyectos[[#This Row],[departamento]]),2,0))</f>
        <v>4.3161076979999997</v>
      </c>
      <c r="P11" t="s">
        <v>11703</v>
      </c>
    </row>
    <row r="12" spans="1:17">
      <c r="A12" t="s">
        <v>9989</v>
      </c>
      <c r="B12" s="62" t="str">
        <f>LEFT(Tbla_proyectos[[#This Row],[codigo_proyecto]],4)</f>
        <v>2520</v>
      </c>
      <c r="C12" s="4" t="s">
        <v>11707</v>
      </c>
      <c r="D12" s="15" t="s">
        <v>11684</v>
      </c>
      <c r="E12" s="4" t="s">
        <v>11708</v>
      </c>
      <c r="F12" s="4" t="s">
        <v>11709</v>
      </c>
      <c r="G12" s="62" t="s">
        <v>11687</v>
      </c>
      <c r="H12" t="s">
        <v>11710</v>
      </c>
      <c r="I12" s="2"/>
      <c r="K12" s="60" t="str">
        <f>IF(OR(Tbla_proyectos[[#This Row],[fecha_inicio]]="",Tbla_proyectos[[#This Row],[fecha_fin]]=""),"",DATEDIF(Tbla_proyectos[[#This Row],[fecha_inicio]],Tbla_proyectos[[#This Row],[fecha_fin]],"M"))</f>
        <v/>
      </c>
      <c r="L12" s="60" t="s">
        <v>11689</v>
      </c>
      <c r="M12" s="62" t="s">
        <v>11690</v>
      </c>
      <c r="N12" s="62">
        <f ca="1">IF(Tbla_proyectos[[#This Row],[municipio]]="","",VLOOKUP(Tbla_proyectos[[#This Row],[municipio]],INDIRECT(Tbla_proyectos[[#This Row],[departamento]]),2,0))</f>
        <v>4.3161076979999997</v>
      </c>
      <c r="O12" s="62">
        <f ca="1">IF(Tbla_proyectos[[#This Row],[municipio]]="","",VLOOKUP(Tbla_proyectos[[#This Row],[municipio]],INDIRECT(Tbla_proyectos[[#This Row],[departamento]]),2,0))</f>
        <v>4.3161076979999997</v>
      </c>
      <c r="P12" t="s">
        <v>11703</v>
      </c>
    </row>
    <row r="13" spans="1:17">
      <c r="A13" t="s">
        <v>9228</v>
      </c>
      <c r="B13" s="62" t="str">
        <f>LEFT(Tbla_proyectos[[#This Row],[codigo_proyecto]],4)</f>
        <v>2510</v>
      </c>
      <c r="C13" s="4" t="s">
        <v>11711</v>
      </c>
      <c r="D13" s="15" t="s">
        <v>11684</v>
      </c>
      <c r="E13" s="4" t="s">
        <v>11712</v>
      </c>
      <c r="F13" s="4" t="s">
        <v>11693</v>
      </c>
      <c r="G13" s="62" t="s">
        <v>11687</v>
      </c>
      <c r="H13" t="s">
        <v>11713</v>
      </c>
      <c r="I13" s="2"/>
      <c r="K13" s="60" t="str">
        <f>IF(OR(Tbla_proyectos[[#This Row],[fecha_inicio]]="",Tbla_proyectos[[#This Row],[fecha_fin]]=""),"",DATEDIF(Tbla_proyectos[[#This Row],[fecha_inicio]],Tbla_proyectos[[#This Row],[fecha_fin]],"M"))</f>
        <v/>
      </c>
      <c r="L13" s="60" t="s">
        <v>11714</v>
      </c>
      <c r="M13" s="62" t="s">
        <v>11715</v>
      </c>
      <c r="N13" s="62">
        <f ca="1">IF(Tbla_proyectos[[#This Row],[municipio]]="","",VLOOKUP(Tbla_proyectos[[#This Row],[municipio]],INDIRECT(Tbla_proyectos[[#This Row],[departamento]]),2,0))</f>
        <v>4.0633420740000004</v>
      </c>
      <c r="O13" s="62">
        <f ca="1">IF(Tbla_proyectos[[#This Row],[municipio]]="","",VLOOKUP(Tbla_proyectos[[#This Row],[municipio]],INDIRECT(Tbla_proyectos[[#This Row],[departamento]]),2,0))</f>
        <v>4.0633420740000004</v>
      </c>
      <c r="P13" t="s">
        <v>11696</v>
      </c>
    </row>
    <row r="14" spans="1:17">
      <c r="A14" t="s">
        <v>9224</v>
      </c>
      <c r="B14" s="62" t="str">
        <f>LEFT(Tbla_proyectos[[#This Row],[codigo_proyecto]],4)</f>
        <v>2510</v>
      </c>
      <c r="C14" s="4" t="s">
        <v>11716</v>
      </c>
      <c r="D14" s="15" t="s">
        <v>11684</v>
      </c>
      <c r="E14" s="4" t="s">
        <v>11717</v>
      </c>
      <c r="F14" s="4" t="s">
        <v>11718</v>
      </c>
      <c r="G14" s="62" t="s">
        <v>11719</v>
      </c>
      <c r="H14" t="s">
        <v>11720</v>
      </c>
      <c r="I14" s="2"/>
      <c r="K14" s="60" t="str">
        <f>IF(OR(Tbla_proyectos[[#This Row],[fecha_inicio]]="",Tbla_proyectos[[#This Row],[fecha_fin]]=""),"",DATEDIF(Tbla_proyectos[[#This Row],[fecha_inicio]],Tbla_proyectos[[#This Row],[fecha_fin]],"M"))</f>
        <v/>
      </c>
      <c r="L14" s="60" t="s">
        <v>11714</v>
      </c>
      <c r="M14" s="62" t="s">
        <v>11715</v>
      </c>
      <c r="N14" s="62">
        <f ca="1">IF(Tbla_proyectos[[#This Row],[municipio]]="","",VLOOKUP(Tbla_proyectos[[#This Row],[municipio]],INDIRECT(Tbla_proyectos[[#This Row],[departamento]]),2,0))</f>
        <v>4.0633420740000004</v>
      </c>
      <c r="O14" s="62">
        <f ca="1">IF(Tbla_proyectos[[#This Row],[municipio]]="","",VLOOKUP(Tbla_proyectos[[#This Row],[municipio]],INDIRECT(Tbla_proyectos[[#This Row],[departamento]]),2,0))</f>
        <v>4.0633420740000004</v>
      </c>
      <c r="P14" t="s">
        <v>11703</v>
      </c>
    </row>
    <row r="15" spans="1:17">
      <c r="A15" t="s">
        <v>9280</v>
      </c>
      <c r="B15" s="62" t="str">
        <f>LEFT(Tbla_proyectos[[#This Row],[codigo_proyecto]],4)</f>
        <v>2510</v>
      </c>
      <c r="C15" s="4"/>
      <c r="D15" s="15" t="s">
        <v>11684</v>
      </c>
      <c r="E15" s="4" t="s">
        <v>11721</v>
      </c>
      <c r="F15" s="4" t="s">
        <v>11693</v>
      </c>
      <c r="G15" s="62" t="s">
        <v>11687</v>
      </c>
      <c r="H15" t="s">
        <v>11722</v>
      </c>
      <c r="I15" s="2"/>
      <c r="K15" s="60" t="str">
        <f>IF(OR(Tbla_proyectos[[#This Row],[fecha_inicio]]="",Tbla_proyectos[[#This Row],[fecha_fin]]=""),"",DATEDIF(Tbla_proyectos[[#This Row],[fecha_inicio]],Tbla_proyectos[[#This Row],[fecha_fin]],"M"))</f>
        <v/>
      </c>
      <c r="L15" s="60" t="s">
        <v>11689</v>
      </c>
      <c r="M15" s="62" t="s">
        <v>11690</v>
      </c>
      <c r="N15" s="62">
        <f ca="1">IF(Tbla_proyectos[[#This Row],[municipio]]="","",VLOOKUP(Tbla_proyectos[[#This Row],[municipio]],INDIRECT(Tbla_proyectos[[#This Row],[departamento]]),2,0))</f>
        <v>4.3161076979999997</v>
      </c>
      <c r="O15" s="62">
        <f ca="1">IF(Tbla_proyectos[[#This Row],[municipio]]="","",VLOOKUP(Tbla_proyectos[[#This Row],[municipio]],INDIRECT(Tbla_proyectos[[#This Row],[departamento]]),2,0))</f>
        <v>4.3161076979999997</v>
      </c>
      <c r="P15" t="s">
        <v>11696</v>
      </c>
    </row>
    <row r="16" spans="1:17">
      <c r="A16" t="s">
        <v>11723</v>
      </c>
      <c r="B16" s="62" t="str">
        <f>LEFT(Tbla_proyectos[[#This Row],[codigo_proyecto]],4)</f>
        <v>2430</v>
      </c>
      <c r="C16" s="4" t="s">
        <v>11724</v>
      </c>
      <c r="D16" s="15" t="s">
        <v>11684</v>
      </c>
      <c r="E16" s="4" t="s">
        <v>11725</v>
      </c>
      <c r="F16" s="4" t="s">
        <v>11702</v>
      </c>
      <c r="G16" s="62" t="s">
        <v>11726</v>
      </c>
      <c r="H16" t="s">
        <v>11727</v>
      </c>
      <c r="I16" s="2"/>
      <c r="K16" s="60" t="str">
        <f>IF(OR(Tbla_proyectos[[#This Row],[fecha_inicio]]="",Tbla_proyectos[[#This Row],[fecha_fin]]=""),"",DATEDIF(Tbla_proyectos[[#This Row],[fecha_inicio]],Tbla_proyectos[[#This Row],[fecha_fin]],"M"))</f>
        <v/>
      </c>
      <c r="L16" s="60" t="s">
        <v>11689</v>
      </c>
      <c r="M16" s="62" t="s">
        <v>11690</v>
      </c>
      <c r="N16" s="62">
        <f ca="1">IF(Tbla_proyectos[[#This Row],[municipio]]="","",VLOOKUP(Tbla_proyectos[[#This Row],[municipio]],INDIRECT(Tbla_proyectos[[#This Row],[departamento]]),2,0))</f>
        <v>4.3161076979999997</v>
      </c>
      <c r="O16" s="62">
        <f ca="1">IF(Tbla_proyectos[[#This Row],[municipio]]="","",VLOOKUP(Tbla_proyectos[[#This Row],[municipio]],INDIRECT(Tbla_proyectos[[#This Row],[departamento]]),2,0))</f>
        <v>4.3161076979999997</v>
      </c>
      <c r="P16" t="s">
        <v>11703</v>
      </c>
    </row>
    <row r="17" spans="1:16">
      <c r="A17" t="s">
        <v>9220</v>
      </c>
      <c r="B17" s="62" t="str">
        <f>LEFT(Tbla_proyectos[[#This Row],[codigo_proyecto]],4)</f>
        <v>2510</v>
      </c>
      <c r="C17" s="4" t="s">
        <v>11724</v>
      </c>
      <c r="D17" s="15" t="s">
        <v>11684</v>
      </c>
      <c r="E17" s="4" t="s">
        <v>11725</v>
      </c>
      <c r="F17" s="4" t="s">
        <v>11702</v>
      </c>
      <c r="G17" s="62" t="s">
        <v>11726</v>
      </c>
      <c r="H17" t="s">
        <v>11727</v>
      </c>
      <c r="I17" s="2"/>
      <c r="K17" s="60" t="str">
        <f>IF(OR(Tbla_proyectos[[#This Row],[fecha_inicio]]="",Tbla_proyectos[[#This Row],[fecha_fin]]=""),"",DATEDIF(Tbla_proyectos[[#This Row],[fecha_inicio]],Tbla_proyectos[[#This Row],[fecha_fin]],"M"))</f>
        <v/>
      </c>
      <c r="L17" s="60" t="s">
        <v>11689</v>
      </c>
      <c r="M17" s="62" t="s">
        <v>11690</v>
      </c>
      <c r="N17" s="62">
        <f ca="1">IF(Tbla_proyectos[[#This Row],[municipio]]="","",VLOOKUP(Tbla_proyectos[[#This Row],[municipio]],INDIRECT(Tbla_proyectos[[#This Row],[departamento]]),2,0))</f>
        <v>4.3161076979999997</v>
      </c>
      <c r="O17" s="62">
        <f ca="1">IF(Tbla_proyectos[[#This Row],[municipio]]="","",VLOOKUP(Tbla_proyectos[[#This Row],[municipio]],INDIRECT(Tbla_proyectos[[#This Row],[departamento]]),2,0))</f>
        <v>4.3161076979999997</v>
      </c>
      <c r="P17" t="s">
        <v>11703</v>
      </c>
    </row>
    <row r="18" spans="1:16">
      <c r="A18" t="s">
        <v>10060</v>
      </c>
      <c r="B18" s="62" t="str">
        <f>LEFT(Tbla_proyectos[[#This Row],[codigo_proyecto]],4)</f>
        <v>2530</v>
      </c>
      <c r="C18" s="4" t="s">
        <v>11724</v>
      </c>
      <c r="D18" s="15" t="s">
        <v>11684</v>
      </c>
      <c r="E18" s="4" t="s">
        <v>11725</v>
      </c>
      <c r="F18" s="4" t="s">
        <v>11702</v>
      </c>
      <c r="G18" s="62" t="s">
        <v>11726</v>
      </c>
      <c r="H18" t="s">
        <v>11727</v>
      </c>
      <c r="I18" s="2"/>
      <c r="K18" s="60" t="str">
        <f>IF(OR(Tbla_proyectos[[#This Row],[fecha_inicio]]="",Tbla_proyectos[[#This Row],[fecha_fin]]=""),"",DATEDIF(Tbla_proyectos[[#This Row],[fecha_inicio]],Tbla_proyectos[[#This Row],[fecha_fin]],"M"))</f>
        <v/>
      </c>
      <c r="L18" s="60" t="s">
        <v>11689</v>
      </c>
      <c r="M18" s="62" t="s">
        <v>11690</v>
      </c>
      <c r="N18" s="62">
        <f ca="1">IF(Tbla_proyectos[[#This Row],[municipio]]="","",VLOOKUP(Tbla_proyectos[[#This Row],[municipio]],INDIRECT(Tbla_proyectos[[#This Row],[departamento]]),2,0))</f>
        <v>4.3161076979999997</v>
      </c>
      <c r="O18" s="62">
        <f ca="1">IF(Tbla_proyectos[[#This Row],[municipio]]="","",VLOOKUP(Tbla_proyectos[[#This Row],[municipio]],INDIRECT(Tbla_proyectos[[#This Row],[departamento]]),2,0))</f>
        <v>4.3161076979999997</v>
      </c>
      <c r="P18" t="s">
        <v>11703</v>
      </c>
    </row>
    <row r="19" spans="1:16">
      <c r="A19" t="s">
        <v>8524</v>
      </c>
      <c r="B19" s="62" t="str">
        <f>LEFT(Tbla_proyectos[[#This Row],[codigo_proyecto]],4)</f>
        <v>2430</v>
      </c>
      <c r="C19" s="4" t="s">
        <v>11728</v>
      </c>
      <c r="D19" s="15" t="s">
        <v>11684</v>
      </c>
      <c r="E19" s="4" t="s">
        <v>11729</v>
      </c>
      <c r="F19" s="4" t="s">
        <v>11702</v>
      </c>
      <c r="G19" s="62" t="s">
        <v>11726</v>
      </c>
      <c r="H19" t="s">
        <v>11727</v>
      </c>
      <c r="I19" s="2"/>
      <c r="K19" s="60" t="str">
        <f>IF(OR(Tbla_proyectos[[#This Row],[fecha_inicio]]="",Tbla_proyectos[[#This Row],[fecha_fin]]=""),"",DATEDIF(Tbla_proyectos[[#This Row],[fecha_inicio]],Tbla_proyectos[[#This Row],[fecha_fin]],"M"))</f>
        <v/>
      </c>
      <c r="L19" s="60" t="s">
        <v>11689</v>
      </c>
      <c r="M19" s="62" t="s">
        <v>11690</v>
      </c>
      <c r="N19" s="62">
        <f ca="1">IF(Tbla_proyectos[[#This Row],[municipio]]="","",VLOOKUP(Tbla_proyectos[[#This Row],[municipio]],INDIRECT(Tbla_proyectos[[#This Row],[departamento]]),2,0))</f>
        <v>4.3161076979999997</v>
      </c>
      <c r="O19" s="62">
        <f ca="1">IF(Tbla_proyectos[[#This Row],[municipio]]="","",VLOOKUP(Tbla_proyectos[[#This Row],[municipio]],INDIRECT(Tbla_proyectos[[#This Row],[departamento]]),2,0))</f>
        <v>4.3161076979999997</v>
      </c>
      <c r="P19" t="s">
        <v>11703</v>
      </c>
    </row>
    <row r="20" spans="1:16">
      <c r="A20" t="s">
        <v>10056</v>
      </c>
      <c r="B20" s="62" t="str">
        <f>LEFT(Tbla_proyectos[[#This Row],[codigo_proyecto]],4)</f>
        <v>2530</v>
      </c>
      <c r="C20" s="4" t="s">
        <v>11730</v>
      </c>
      <c r="D20" s="15" t="s">
        <v>11684</v>
      </c>
      <c r="E20" s="4" t="s">
        <v>11731</v>
      </c>
      <c r="F20" s="4" t="s">
        <v>11709</v>
      </c>
      <c r="G20" s="62" t="s">
        <v>11687</v>
      </c>
      <c r="H20" t="s">
        <v>11710</v>
      </c>
      <c r="I20" s="2"/>
      <c r="K20" s="60" t="str">
        <f>IF(OR(Tbla_proyectos[[#This Row],[fecha_inicio]]="",Tbla_proyectos[[#This Row],[fecha_fin]]=""),"",DATEDIF(Tbla_proyectos[[#This Row],[fecha_inicio]],Tbla_proyectos[[#This Row],[fecha_fin]],"M"))</f>
        <v/>
      </c>
      <c r="L20" s="60" t="s">
        <v>11689</v>
      </c>
      <c r="M20" s="62" t="s">
        <v>11690</v>
      </c>
      <c r="N20" s="62">
        <f ca="1">IF(Tbla_proyectos[[#This Row],[municipio]]="","",VLOOKUP(Tbla_proyectos[[#This Row],[municipio]],INDIRECT(Tbla_proyectos[[#This Row],[departamento]]),2,0))</f>
        <v>4.3161076979999997</v>
      </c>
      <c r="O20" s="62">
        <f ca="1">IF(Tbla_proyectos[[#This Row],[municipio]]="","",VLOOKUP(Tbla_proyectos[[#This Row],[municipio]],INDIRECT(Tbla_proyectos[[#This Row],[departamento]]),2,0))</f>
        <v>4.3161076979999997</v>
      </c>
      <c r="P20" t="s">
        <v>11696</v>
      </c>
    </row>
    <row r="21" spans="1:16">
      <c r="A21" t="s">
        <v>9724</v>
      </c>
      <c r="B21" s="62" t="str">
        <f>LEFT(Tbla_proyectos[[#This Row],[codigo_proyecto]],4)</f>
        <v>2510</v>
      </c>
      <c r="C21" s="4" t="s">
        <v>11732</v>
      </c>
      <c r="D21" s="15" t="s">
        <v>11684</v>
      </c>
      <c r="E21" s="4" t="s">
        <v>11733</v>
      </c>
      <c r="F21" s="4" t="s">
        <v>11693</v>
      </c>
      <c r="G21" s="62" t="s">
        <v>11687</v>
      </c>
      <c r="H21" t="s">
        <v>11713</v>
      </c>
      <c r="I21" s="2"/>
      <c r="K21" s="60" t="str">
        <f>IF(OR(Tbla_proyectos[[#This Row],[fecha_inicio]]="",Tbla_proyectos[[#This Row],[fecha_fin]]=""),"",DATEDIF(Tbla_proyectos[[#This Row],[fecha_inicio]],Tbla_proyectos[[#This Row],[fecha_fin]],"M"))</f>
        <v/>
      </c>
      <c r="L21" s="60" t="s">
        <v>11689</v>
      </c>
      <c r="M21" s="62" t="s">
        <v>11690</v>
      </c>
      <c r="N21" s="62">
        <f ca="1">IF(Tbla_proyectos[[#This Row],[municipio]]="","",VLOOKUP(Tbla_proyectos[[#This Row],[municipio]],INDIRECT(Tbla_proyectos[[#This Row],[departamento]]),2,0))</f>
        <v>4.3161076979999997</v>
      </c>
      <c r="O21" s="62">
        <f ca="1">IF(Tbla_proyectos[[#This Row],[municipio]]="","",VLOOKUP(Tbla_proyectos[[#This Row],[municipio]],INDIRECT(Tbla_proyectos[[#This Row],[departamento]]),2,0))</f>
        <v>4.3161076979999997</v>
      </c>
      <c r="P21" t="s">
        <v>11703</v>
      </c>
    </row>
    <row r="22" spans="1:16">
      <c r="A22" t="s">
        <v>8753</v>
      </c>
      <c r="B22" s="62" t="str">
        <f>LEFT(Tbla_proyectos[[#This Row],[codigo_proyecto]],4)</f>
        <v>2430</v>
      </c>
      <c r="C22" s="4" t="s">
        <v>11734</v>
      </c>
      <c r="D22" s="15" t="s">
        <v>11684</v>
      </c>
      <c r="E22" s="4" t="s">
        <v>11735</v>
      </c>
      <c r="F22" s="4" t="s">
        <v>11736</v>
      </c>
      <c r="G22" s="62" t="s">
        <v>11687</v>
      </c>
      <c r="H22" t="s">
        <v>11688</v>
      </c>
      <c r="I22" s="2"/>
      <c r="K22" s="60" t="str">
        <f>IF(OR(Tbla_proyectos[[#This Row],[fecha_inicio]]="",Tbla_proyectos[[#This Row],[fecha_fin]]=""),"",DATEDIF(Tbla_proyectos[[#This Row],[fecha_inicio]],Tbla_proyectos[[#This Row],[fecha_fin]],"M"))</f>
        <v/>
      </c>
      <c r="L22" s="60" t="s">
        <v>11689</v>
      </c>
      <c r="M22" s="62" t="s">
        <v>11690</v>
      </c>
      <c r="N22" s="62">
        <f ca="1">IF(Tbla_proyectos[[#This Row],[municipio]]="","",VLOOKUP(Tbla_proyectos[[#This Row],[municipio]],INDIRECT(Tbla_proyectos[[#This Row],[departamento]]),2,0))</f>
        <v>4.3161076979999997</v>
      </c>
      <c r="O22" s="62">
        <f ca="1">IF(Tbla_proyectos[[#This Row],[municipio]]="","",VLOOKUP(Tbla_proyectos[[#This Row],[municipio]],INDIRECT(Tbla_proyectos[[#This Row],[departamento]]),2,0))</f>
        <v>4.3161076979999997</v>
      </c>
    </row>
    <row r="23" spans="1:16">
      <c r="A23" t="s">
        <v>9327</v>
      </c>
      <c r="B23" s="62" t="str">
        <f>LEFT(Tbla_proyectos[[#This Row],[codigo_proyecto]],4)</f>
        <v>2510</v>
      </c>
      <c r="C23" s="4" t="s">
        <v>11734</v>
      </c>
      <c r="D23" s="15" t="s">
        <v>11684</v>
      </c>
      <c r="E23" s="4" t="s">
        <v>11737</v>
      </c>
      <c r="F23" s="4" t="s">
        <v>11738</v>
      </c>
      <c r="G23" s="62" t="s">
        <v>11726</v>
      </c>
      <c r="H23" t="s">
        <v>11688</v>
      </c>
      <c r="I23" s="2"/>
      <c r="K23" s="60" t="str">
        <f>IF(OR(Tbla_proyectos[[#This Row],[fecha_inicio]]="",Tbla_proyectos[[#This Row],[fecha_fin]]=""),"",DATEDIF(Tbla_proyectos[[#This Row],[fecha_inicio]],Tbla_proyectos[[#This Row],[fecha_fin]],"M"))</f>
        <v/>
      </c>
      <c r="L23" s="60" t="s">
        <v>11689</v>
      </c>
      <c r="M23" s="62" t="s">
        <v>11690</v>
      </c>
      <c r="N23" s="62">
        <f ca="1">IF(Tbla_proyectos[[#This Row],[municipio]]="","",VLOOKUP(Tbla_proyectos[[#This Row],[municipio]],INDIRECT(Tbla_proyectos[[#This Row],[departamento]]),2,0))</f>
        <v>4.3161076979999997</v>
      </c>
      <c r="O23" s="62">
        <f ca="1">IF(Tbla_proyectos[[#This Row],[municipio]]="","",VLOOKUP(Tbla_proyectos[[#This Row],[municipio]],INDIRECT(Tbla_proyectos[[#This Row],[departamento]]),2,0))</f>
        <v>4.3161076979999997</v>
      </c>
    </row>
    <row r="24" spans="1:16">
      <c r="A24" t="s">
        <v>8625</v>
      </c>
      <c r="B24" s="62" t="str">
        <f>LEFT(Tbla_proyectos[[#This Row],[codigo_proyecto]],4)</f>
        <v>2430</v>
      </c>
      <c r="C24" s="4" t="s">
        <v>11739</v>
      </c>
      <c r="D24" s="15" t="s">
        <v>11684</v>
      </c>
      <c r="E24" s="4" t="s">
        <v>11737</v>
      </c>
      <c r="F24" s="4" t="s">
        <v>11738</v>
      </c>
      <c r="G24" s="62" t="s">
        <v>11726</v>
      </c>
      <c r="H24" t="s">
        <v>11688</v>
      </c>
      <c r="I24" s="2"/>
      <c r="K24" s="60" t="str">
        <f>IF(OR(Tbla_proyectos[[#This Row],[fecha_inicio]]="",Tbla_proyectos[[#This Row],[fecha_fin]]=""),"",DATEDIF(Tbla_proyectos[[#This Row],[fecha_inicio]],Tbla_proyectos[[#This Row],[fecha_fin]],"M"))</f>
        <v/>
      </c>
      <c r="L24" s="60" t="s">
        <v>11689</v>
      </c>
      <c r="M24" s="62" t="s">
        <v>11690</v>
      </c>
      <c r="N24" s="62">
        <f ca="1">IF(Tbla_proyectos[[#This Row],[municipio]]="","",VLOOKUP(Tbla_proyectos[[#This Row],[municipio]],INDIRECT(Tbla_proyectos[[#This Row],[departamento]]),2,0))</f>
        <v>4.3161076979999997</v>
      </c>
      <c r="O24" s="62">
        <f ca="1">IF(Tbla_proyectos[[#This Row],[municipio]]="","",VLOOKUP(Tbla_proyectos[[#This Row],[municipio]],INDIRECT(Tbla_proyectos[[#This Row],[departamento]]),2,0))</f>
        <v>4.3161076979999997</v>
      </c>
    </row>
    <row r="25" spans="1:16">
      <c r="A25" t="s">
        <v>9323</v>
      </c>
      <c r="B25" s="62" t="str">
        <f>LEFT(Tbla_proyectos[[#This Row],[codigo_proyecto]],4)</f>
        <v>2510</v>
      </c>
      <c r="C25" s="4"/>
      <c r="D25" s="15" t="s">
        <v>11684</v>
      </c>
      <c r="E25" s="4" t="s">
        <v>11740</v>
      </c>
      <c r="F25" s="4" t="s">
        <v>11741</v>
      </c>
      <c r="G25" s="62" t="s">
        <v>11726</v>
      </c>
      <c r="H25" t="s">
        <v>11742</v>
      </c>
      <c r="I25" s="2"/>
      <c r="K25" s="60" t="str">
        <f>IF(OR(Tbla_proyectos[[#This Row],[fecha_inicio]]="",Tbla_proyectos[[#This Row],[fecha_fin]]=""),"",DATEDIF(Tbla_proyectos[[#This Row],[fecha_inicio]],Tbla_proyectos[[#This Row],[fecha_fin]],"M"))</f>
        <v/>
      </c>
      <c r="L25" s="60" t="s">
        <v>11689</v>
      </c>
      <c r="M25" s="62" t="s">
        <v>11690</v>
      </c>
      <c r="N25" s="62">
        <f ca="1">IF(Tbla_proyectos[[#This Row],[municipio]]="","",VLOOKUP(Tbla_proyectos[[#This Row],[municipio]],INDIRECT(Tbla_proyectos[[#This Row],[departamento]]),2,0))</f>
        <v>4.3161076979999997</v>
      </c>
      <c r="O25" s="62">
        <f ca="1">IF(Tbla_proyectos[[#This Row],[municipio]]="","",VLOOKUP(Tbla_proyectos[[#This Row],[municipio]],INDIRECT(Tbla_proyectos[[#This Row],[departamento]]),2,0))</f>
        <v>4.3161076979999997</v>
      </c>
      <c r="P25" t="s">
        <v>11703</v>
      </c>
    </row>
    <row r="26" spans="1:16">
      <c r="A26" t="s">
        <v>8804</v>
      </c>
      <c r="B26" s="62" t="str">
        <f>LEFT(Tbla_proyectos[[#This Row],[codigo_proyecto]],4)</f>
        <v>2430</v>
      </c>
      <c r="C26" s="4" t="s">
        <v>11743</v>
      </c>
      <c r="D26" s="15" t="s">
        <v>11684</v>
      </c>
      <c r="E26" s="4" t="s">
        <v>11740</v>
      </c>
      <c r="F26" s="4" t="s">
        <v>11741</v>
      </c>
      <c r="G26" s="62" t="s">
        <v>11726</v>
      </c>
      <c r="H26" t="s">
        <v>11744</v>
      </c>
      <c r="I26" s="2"/>
      <c r="K26" s="60" t="str">
        <f>IF(OR(Tbla_proyectos[[#This Row],[fecha_inicio]]="",Tbla_proyectos[[#This Row],[fecha_fin]]=""),"",DATEDIF(Tbla_proyectos[[#This Row],[fecha_inicio]],Tbla_proyectos[[#This Row],[fecha_fin]],"M"))</f>
        <v/>
      </c>
      <c r="L26" s="60" t="s">
        <v>11689</v>
      </c>
      <c r="M26" s="62" t="s">
        <v>11690</v>
      </c>
      <c r="N26" s="62">
        <f ca="1">IF(Tbla_proyectos[[#This Row],[municipio]]="","",VLOOKUP(Tbla_proyectos[[#This Row],[municipio]],INDIRECT(Tbla_proyectos[[#This Row],[departamento]]),2,0))</f>
        <v>4.3161076979999997</v>
      </c>
      <c r="O26" s="62">
        <f ca="1">IF(Tbla_proyectos[[#This Row],[municipio]]="","",VLOOKUP(Tbla_proyectos[[#This Row],[municipio]],INDIRECT(Tbla_proyectos[[#This Row],[departamento]]),2,0))</f>
        <v>4.3161076979999997</v>
      </c>
      <c r="P26" t="s">
        <v>11703</v>
      </c>
    </row>
    <row r="27" spans="1:16">
      <c r="A27" t="s">
        <v>9848</v>
      </c>
      <c r="B27" s="62" t="str">
        <f>LEFT(Tbla_proyectos[[#This Row],[codigo_proyecto]],4)</f>
        <v>2510</v>
      </c>
      <c r="C27" s="4" t="s">
        <v>11745</v>
      </c>
      <c r="D27" s="15" t="s">
        <v>11684</v>
      </c>
      <c r="E27" s="4" t="s">
        <v>11746</v>
      </c>
      <c r="F27" s="4" t="s">
        <v>11693</v>
      </c>
      <c r="G27" s="62" t="s">
        <v>11694</v>
      </c>
      <c r="H27" t="s">
        <v>11713</v>
      </c>
      <c r="I27" s="2"/>
      <c r="K27" s="60" t="str">
        <f>IF(OR(Tbla_proyectos[[#This Row],[fecha_inicio]]="",Tbla_proyectos[[#This Row],[fecha_fin]]=""),"",DATEDIF(Tbla_proyectos[[#This Row],[fecha_inicio]],Tbla_proyectos[[#This Row],[fecha_fin]],"M"))</f>
        <v/>
      </c>
      <c r="L27" s="60" t="s">
        <v>11689</v>
      </c>
      <c r="M27" s="62" t="s">
        <v>11690</v>
      </c>
      <c r="N27" s="62">
        <f ca="1">IF(Tbla_proyectos[[#This Row],[municipio]]="","",VLOOKUP(Tbla_proyectos[[#This Row],[municipio]],INDIRECT(Tbla_proyectos[[#This Row],[departamento]]),2,0))</f>
        <v>4.3161076979999997</v>
      </c>
      <c r="O27" s="62">
        <f ca="1">IF(Tbla_proyectos[[#This Row],[municipio]]="","",VLOOKUP(Tbla_proyectos[[#This Row],[municipio]],INDIRECT(Tbla_proyectos[[#This Row],[departamento]]),2,0))</f>
        <v>4.3161076979999997</v>
      </c>
      <c r="P27" t="s">
        <v>11703</v>
      </c>
    </row>
    <row r="28" spans="1:16">
      <c r="A28" t="s">
        <v>8603</v>
      </c>
      <c r="B28" s="62" t="str">
        <f>LEFT(Tbla_proyectos[[#This Row],[codigo_proyecto]],4)</f>
        <v>2430</v>
      </c>
      <c r="C28" s="4" t="s">
        <v>11745</v>
      </c>
      <c r="D28" s="15" t="s">
        <v>11684</v>
      </c>
      <c r="E28" s="4" t="s">
        <v>11746</v>
      </c>
      <c r="F28" s="4" t="s">
        <v>11693</v>
      </c>
      <c r="G28" s="62" t="s">
        <v>11694</v>
      </c>
      <c r="H28" t="s">
        <v>11713</v>
      </c>
      <c r="I28" s="2"/>
      <c r="K28" s="60" t="str">
        <f>IF(OR(Tbla_proyectos[[#This Row],[fecha_inicio]]="",Tbla_proyectos[[#This Row],[fecha_fin]]=""),"",DATEDIF(Tbla_proyectos[[#This Row],[fecha_inicio]],Tbla_proyectos[[#This Row],[fecha_fin]],"M"))</f>
        <v/>
      </c>
      <c r="L28" s="60" t="s">
        <v>11689</v>
      </c>
      <c r="M28" s="62" t="s">
        <v>11690</v>
      </c>
      <c r="N28" s="62">
        <f ca="1">IF(Tbla_proyectos[[#This Row],[municipio]]="","",VLOOKUP(Tbla_proyectos[[#This Row],[municipio]],INDIRECT(Tbla_proyectos[[#This Row],[departamento]]),2,0))</f>
        <v>4.3161076979999997</v>
      </c>
      <c r="O28" s="62">
        <f ca="1">IF(Tbla_proyectos[[#This Row],[municipio]]="","",VLOOKUP(Tbla_proyectos[[#This Row],[municipio]],INDIRECT(Tbla_proyectos[[#This Row],[departamento]]),2,0))</f>
        <v>4.3161076979999997</v>
      </c>
      <c r="P28" t="s">
        <v>11703</v>
      </c>
    </row>
    <row r="29" spans="1:16">
      <c r="A29" t="s">
        <v>9751</v>
      </c>
      <c r="B29" s="62" t="str">
        <f>LEFT(Tbla_proyectos[[#This Row],[codigo_proyecto]],4)</f>
        <v>2510</v>
      </c>
      <c r="C29" s="4" t="s">
        <v>11747</v>
      </c>
      <c r="D29" s="15" t="s">
        <v>11684</v>
      </c>
      <c r="E29" s="4" t="s">
        <v>11748</v>
      </c>
      <c r="F29" s="4" t="s">
        <v>11749</v>
      </c>
      <c r="G29" s="62" t="s">
        <v>11694</v>
      </c>
      <c r="H29" t="s">
        <v>11742</v>
      </c>
      <c r="I29" s="2"/>
      <c r="K29" s="60" t="str">
        <f>IF(OR(Tbla_proyectos[[#This Row],[fecha_inicio]]="",Tbla_proyectos[[#This Row],[fecha_fin]]=""),"",DATEDIF(Tbla_proyectos[[#This Row],[fecha_inicio]],Tbla_proyectos[[#This Row],[fecha_fin]],"M"))</f>
        <v/>
      </c>
      <c r="L29" s="60" t="s">
        <v>11689</v>
      </c>
      <c r="M29" s="62" t="s">
        <v>11690</v>
      </c>
      <c r="N29" s="62">
        <f ca="1">IF(Tbla_proyectos[[#This Row],[municipio]]="","",VLOOKUP(Tbla_proyectos[[#This Row],[municipio]],INDIRECT(Tbla_proyectos[[#This Row],[departamento]]),2,0))</f>
        <v>4.3161076979999997</v>
      </c>
      <c r="O29" s="62">
        <f ca="1">IF(Tbla_proyectos[[#This Row],[municipio]]="","",VLOOKUP(Tbla_proyectos[[#This Row],[municipio]],INDIRECT(Tbla_proyectos[[#This Row],[departamento]]),2,0))</f>
        <v>4.3161076979999997</v>
      </c>
      <c r="P29" t="s">
        <v>11703</v>
      </c>
    </row>
    <row r="30" spans="1:16">
      <c r="A30" t="s">
        <v>8826</v>
      </c>
      <c r="B30" s="62" t="str">
        <f>LEFT(Tbla_proyectos[[#This Row],[codigo_proyecto]],4)</f>
        <v>2430</v>
      </c>
      <c r="C30" s="4" t="s">
        <v>11747</v>
      </c>
      <c r="D30" s="15" t="s">
        <v>11684</v>
      </c>
      <c r="E30" s="4" t="s">
        <v>11748</v>
      </c>
      <c r="F30" s="4" t="s">
        <v>11749</v>
      </c>
      <c r="G30" s="62" t="s">
        <v>11694</v>
      </c>
      <c r="H30" t="s">
        <v>11744</v>
      </c>
      <c r="I30" s="2"/>
      <c r="K30" s="60" t="str">
        <f>IF(OR(Tbla_proyectos[[#This Row],[fecha_inicio]]="",Tbla_proyectos[[#This Row],[fecha_fin]]=""),"",DATEDIF(Tbla_proyectos[[#This Row],[fecha_inicio]],Tbla_proyectos[[#This Row],[fecha_fin]],"M"))</f>
        <v/>
      </c>
      <c r="L30" s="60" t="s">
        <v>11689</v>
      </c>
      <c r="M30" s="62" t="s">
        <v>11690</v>
      </c>
      <c r="N30" s="62">
        <f ca="1">IF(Tbla_proyectos[[#This Row],[municipio]]="","",VLOOKUP(Tbla_proyectos[[#This Row],[municipio]],INDIRECT(Tbla_proyectos[[#This Row],[departamento]]),2,0))</f>
        <v>4.3161076979999997</v>
      </c>
      <c r="O30" s="62">
        <f ca="1">IF(Tbla_proyectos[[#This Row],[municipio]]="","",VLOOKUP(Tbla_proyectos[[#This Row],[municipio]],INDIRECT(Tbla_proyectos[[#This Row],[departamento]]),2,0))</f>
        <v>4.3161076979999997</v>
      </c>
      <c r="P30" t="s">
        <v>11703</v>
      </c>
    </row>
    <row r="31" spans="1:16">
      <c r="A31" t="s">
        <v>9355</v>
      </c>
      <c r="B31" s="62" t="str">
        <f>LEFT(Tbla_proyectos[[#This Row],[codigo_proyecto]],4)</f>
        <v>2510</v>
      </c>
      <c r="C31" s="4" t="s">
        <v>11750</v>
      </c>
      <c r="D31" s="15" t="s">
        <v>11684</v>
      </c>
      <c r="E31" s="4" t="s">
        <v>11751</v>
      </c>
      <c r="F31" s="4" t="s">
        <v>11752</v>
      </c>
      <c r="G31" s="62" t="s">
        <v>11687</v>
      </c>
      <c r="H31" t="s">
        <v>11727</v>
      </c>
      <c r="I31" s="2"/>
      <c r="K31" s="60" t="str">
        <f>IF(OR(Tbla_proyectos[[#This Row],[fecha_inicio]]="",Tbla_proyectos[[#This Row],[fecha_fin]]=""),"",DATEDIF(Tbla_proyectos[[#This Row],[fecha_inicio]],Tbla_proyectos[[#This Row],[fecha_fin]],"M"))</f>
        <v/>
      </c>
      <c r="L31" s="60" t="s">
        <v>11714</v>
      </c>
      <c r="M31" s="62" t="s">
        <v>11753</v>
      </c>
      <c r="N31" s="62">
        <f ca="1">IF(Tbla_proyectos[[#This Row],[municipio]]="","",VLOOKUP(Tbla_proyectos[[#This Row],[municipio]],INDIRECT(Tbla_proyectos[[#This Row],[departamento]]),2,0))</f>
        <v>4.5818662669999997</v>
      </c>
      <c r="O31" s="62">
        <f ca="1">IF(Tbla_proyectos[[#This Row],[municipio]]="","",VLOOKUP(Tbla_proyectos[[#This Row],[municipio]],INDIRECT(Tbla_proyectos[[#This Row],[departamento]]),2,0))</f>
        <v>4.5818662669999997</v>
      </c>
      <c r="P31" t="s">
        <v>11703</v>
      </c>
    </row>
    <row r="32" spans="1:16">
      <c r="A32" t="s">
        <v>8571</v>
      </c>
      <c r="B32" s="62" t="str">
        <f>LEFT(Tbla_proyectos[[#This Row],[codigo_proyecto]],4)</f>
        <v>2430</v>
      </c>
      <c r="C32" s="4" t="s">
        <v>11750</v>
      </c>
      <c r="D32" s="15" t="s">
        <v>11684</v>
      </c>
      <c r="E32" s="4" t="s">
        <v>11751</v>
      </c>
      <c r="F32" s="4" t="s">
        <v>11754</v>
      </c>
      <c r="G32" s="62" t="s">
        <v>11687</v>
      </c>
      <c r="H32" t="s">
        <v>11727</v>
      </c>
      <c r="I32" s="2"/>
      <c r="K32" s="60" t="str">
        <f>IF(OR(Tbla_proyectos[[#This Row],[fecha_inicio]]="",Tbla_proyectos[[#This Row],[fecha_fin]]=""),"",DATEDIF(Tbla_proyectos[[#This Row],[fecha_inicio]],Tbla_proyectos[[#This Row],[fecha_fin]],"M"))</f>
        <v/>
      </c>
      <c r="L32" s="60" t="s">
        <v>11714</v>
      </c>
      <c r="M32" s="62" t="s">
        <v>11753</v>
      </c>
      <c r="N32" s="62">
        <f ca="1">IF(Tbla_proyectos[[#This Row],[municipio]]="","",VLOOKUP(Tbla_proyectos[[#This Row],[municipio]],INDIRECT(Tbla_proyectos[[#This Row],[departamento]]),2,0))</f>
        <v>4.5818662669999997</v>
      </c>
      <c r="O32" s="62">
        <f ca="1">IF(Tbla_proyectos[[#This Row],[municipio]]="","",VLOOKUP(Tbla_proyectos[[#This Row],[municipio]],INDIRECT(Tbla_proyectos[[#This Row],[departamento]]),2,0))</f>
        <v>4.5818662669999997</v>
      </c>
      <c r="P32" t="s">
        <v>11703</v>
      </c>
    </row>
    <row r="33" spans="1:16">
      <c r="A33" t="s">
        <v>8591</v>
      </c>
      <c r="B33" s="62" t="str">
        <f>LEFT(Tbla_proyectos[[#This Row],[codigo_proyecto]],4)</f>
        <v>2430</v>
      </c>
      <c r="C33" s="4"/>
      <c r="D33" s="15" t="s">
        <v>11684</v>
      </c>
      <c r="E33" s="4" t="s">
        <v>11755</v>
      </c>
      <c r="F33" s="4" t="s">
        <v>11756</v>
      </c>
      <c r="H33" t="s">
        <v>11688</v>
      </c>
      <c r="I33" s="2"/>
      <c r="K33" s="60" t="str">
        <f>IF(OR(Tbla_proyectos[[#This Row],[fecha_inicio]]="",Tbla_proyectos[[#This Row],[fecha_fin]]=""),"",DATEDIF(Tbla_proyectos[[#This Row],[fecha_inicio]],Tbla_proyectos[[#This Row],[fecha_fin]],"M"))</f>
        <v/>
      </c>
      <c r="L33" s="60" t="s">
        <v>11714</v>
      </c>
      <c r="M33" s="62" t="s">
        <v>11753</v>
      </c>
      <c r="N33" s="62">
        <f ca="1">IF(Tbla_proyectos[[#This Row],[municipio]]="","",VLOOKUP(Tbla_proyectos[[#This Row],[municipio]],INDIRECT(Tbla_proyectos[[#This Row],[departamento]]),2,0))</f>
        <v>4.5818662669999997</v>
      </c>
      <c r="O33" s="62">
        <f ca="1">IF(Tbla_proyectos[[#This Row],[municipio]]="","",VLOOKUP(Tbla_proyectos[[#This Row],[municipio]],INDIRECT(Tbla_proyectos[[#This Row],[departamento]]),2,0))</f>
        <v>4.5818662669999997</v>
      </c>
    </row>
    <row r="34" spans="1:16">
      <c r="A34" t="s">
        <v>9425</v>
      </c>
      <c r="B34" s="62" t="str">
        <f>LEFT(Tbla_proyectos[[#This Row],[codigo_proyecto]],4)</f>
        <v>2510</v>
      </c>
      <c r="C34" s="4"/>
      <c r="D34" s="15" t="s">
        <v>11684</v>
      </c>
      <c r="E34" s="4" t="s">
        <v>11705</v>
      </c>
      <c r="F34" s="4" t="s">
        <v>11693</v>
      </c>
      <c r="G34" s="62" t="s">
        <v>11694</v>
      </c>
      <c r="H34" t="s">
        <v>11757</v>
      </c>
      <c r="I34" s="2"/>
      <c r="K34" s="60" t="str">
        <f>IF(OR(Tbla_proyectos[[#This Row],[fecha_inicio]]="",Tbla_proyectos[[#This Row],[fecha_fin]]=""),"",DATEDIF(Tbla_proyectos[[#This Row],[fecha_inicio]],Tbla_proyectos[[#This Row],[fecha_fin]],"M"))</f>
        <v/>
      </c>
      <c r="L34" s="60" t="s">
        <v>11689</v>
      </c>
      <c r="M34" s="62" t="s">
        <v>11690</v>
      </c>
      <c r="N34" s="62">
        <f ca="1">IF(Tbla_proyectos[[#This Row],[municipio]]="","",VLOOKUP(Tbla_proyectos[[#This Row],[municipio]],INDIRECT(Tbla_proyectos[[#This Row],[departamento]]),2,0))</f>
        <v>4.3161076979999997</v>
      </c>
      <c r="O34" s="62">
        <f ca="1">IF(Tbla_proyectos[[#This Row],[municipio]]="","",VLOOKUP(Tbla_proyectos[[#This Row],[municipio]],INDIRECT(Tbla_proyectos[[#This Row],[departamento]]),2,0))</f>
        <v>4.3161076979999997</v>
      </c>
      <c r="P34" t="s">
        <v>11703</v>
      </c>
    </row>
    <row r="35" spans="1:16">
      <c r="A35" t="s">
        <v>10248</v>
      </c>
      <c r="B35" s="62" t="str">
        <f>LEFT(Tbla_proyectos[[#This Row],[codigo_proyecto]],4)</f>
        <v>2530</v>
      </c>
      <c r="C35" s="4" t="s">
        <v>11758</v>
      </c>
      <c r="D35" s="15" t="s">
        <v>11684</v>
      </c>
      <c r="E35" s="4" t="s">
        <v>11705</v>
      </c>
      <c r="F35" s="4" t="s">
        <v>11693</v>
      </c>
      <c r="G35" s="62" t="s">
        <v>11694</v>
      </c>
      <c r="H35" t="s">
        <v>11757</v>
      </c>
      <c r="I35" s="2"/>
      <c r="K35" s="60" t="str">
        <f>IF(OR(Tbla_proyectos[[#This Row],[fecha_inicio]]="",Tbla_proyectos[[#This Row],[fecha_fin]]=""),"",DATEDIF(Tbla_proyectos[[#This Row],[fecha_inicio]],Tbla_proyectos[[#This Row],[fecha_fin]],"M"))</f>
        <v/>
      </c>
      <c r="L35" s="60" t="s">
        <v>11689</v>
      </c>
      <c r="M35" s="62" t="s">
        <v>11690</v>
      </c>
      <c r="N35" s="62">
        <f ca="1">IF(Tbla_proyectos[[#This Row],[municipio]]="","",VLOOKUP(Tbla_proyectos[[#This Row],[municipio]],INDIRECT(Tbla_proyectos[[#This Row],[departamento]]),2,0))</f>
        <v>4.3161076979999997</v>
      </c>
      <c r="O35" s="62">
        <f ca="1">IF(Tbla_proyectos[[#This Row],[municipio]]="","",VLOOKUP(Tbla_proyectos[[#This Row],[municipio]],INDIRECT(Tbla_proyectos[[#This Row],[departamento]]),2,0))</f>
        <v>4.3161076979999997</v>
      </c>
      <c r="P35" t="s">
        <v>11703</v>
      </c>
    </row>
    <row r="36" spans="1:16">
      <c r="A36" t="s">
        <v>8656</v>
      </c>
      <c r="B36" s="62" t="str">
        <f>LEFT(Tbla_proyectos[[#This Row],[codigo_proyecto]],4)</f>
        <v>2430</v>
      </c>
      <c r="C36" s="4"/>
      <c r="D36" s="15" t="s">
        <v>11684</v>
      </c>
      <c r="E36" s="4" t="s">
        <v>11705</v>
      </c>
      <c r="F36" s="4" t="s">
        <v>11693</v>
      </c>
      <c r="G36" s="62" t="s">
        <v>11694</v>
      </c>
      <c r="H36" t="s">
        <v>11757</v>
      </c>
      <c r="I36" s="2"/>
      <c r="K36" s="60" t="str">
        <f>IF(OR(Tbla_proyectos[[#This Row],[fecha_inicio]]="",Tbla_proyectos[[#This Row],[fecha_fin]]=""),"",DATEDIF(Tbla_proyectos[[#This Row],[fecha_inicio]],Tbla_proyectos[[#This Row],[fecha_fin]],"M"))</f>
        <v/>
      </c>
      <c r="L36" s="60" t="s">
        <v>11689</v>
      </c>
      <c r="M36" s="62" t="s">
        <v>11690</v>
      </c>
      <c r="N36" s="62">
        <f ca="1">IF(Tbla_proyectos[[#This Row],[municipio]]="","",VLOOKUP(Tbla_proyectos[[#This Row],[municipio]],INDIRECT(Tbla_proyectos[[#This Row],[departamento]]),2,0))</f>
        <v>4.3161076979999997</v>
      </c>
      <c r="O36" s="62">
        <f ca="1">IF(Tbla_proyectos[[#This Row],[municipio]]="","",VLOOKUP(Tbla_proyectos[[#This Row],[municipio]],INDIRECT(Tbla_proyectos[[#This Row],[departamento]]),2,0))</f>
        <v>4.3161076979999997</v>
      </c>
      <c r="P36" t="s">
        <v>11703</v>
      </c>
    </row>
    <row r="37" spans="1:16">
      <c r="A37" t="s">
        <v>9432</v>
      </c>
      <c r="B37" s="62" t="str">
        <f>LEFT(Tbla_proyectos[[#This Row],[codigo_proyecto]],4)</f>
        <v>2510</v>
      </c>
      <c r="C37" s="4" t="s">
        <v>11759</v>
      </c>
      <c r="D37" s="15" t="s">
        <v>11684</v>
      </c>
      <c r="E37" s="4" t="s">
        <v>11760</v>
      </c>
      <c r="F37" s="4" t="s">
        <v>11693</v>
      </c>
      <c r="G37" s="62" t="s">
        <v>11687</v>
      </c>
      <c r="H37" t="s">
        <v>11695</v>
      </c>
      <c r="I37" s="2"/>
      <c r="K37" s="60" t="str">
        <f>IF(OR(Tbla_proyectos[[#This Row],[fecha_inicio]]="",Tbla_proyectos[[#This Row],[fecha_fin]]=""),"",DATEDIF(Tbla_proyectos[[#This Row],[fecha_inicio]],Tbla_proyectos[[#This Row],[fecha_fin]],"M"))</f>
        <v/>
      </c>
      <c r="L37" s="60" t="s">
        <v>11689</v>
      </c>
      <c r="M37" s="62" t="s">
        <v>11690</v>
      </c>
      <c r="N37" s="62">
        <f ca="1">IF(Tbla_proyectos[[#This Row],[municipio]]="","",VLOOKUP(Tbla_proyectos[[#This Row],[municipio]],INDIRECT(Tbla_proyectos[[#This Row],[departamento]]),2,0))</f>
        <v>4.3161076979999997</v>
      </c>
      <c r="O37" s="62">
        <f ca="1">IF(Tbla_proyectos[[#This Row],[municipio]]="","",VLOOKUP(Tbla_proyectos[[#This Row],[municipio]],INDIRECT(Tbla_proyectos[[#This Row],[departamento]]),2,0))</f>
        <v>4.3161076979999997</v>
      </c>
      <c r="P37" t="s">
        <v>11696</v>
      </c>
    </row>
    <row r="38" spans="1:16">
      <c r="A38" t="s">
        <v>9442</v>
      </c>
      <c r="B38" s="62" t="str">
        <f>LEFT(Tbla_proyectos[[#This Row],[codigo_proyecto]],4)</f>
        <v>2510</v>
      </c>
      <c r="C38" s="4" t="s">
        <v>11739</v>
      </c>
      <c r="D38" s="15" t="s">
        <v>11684</v>
      </c>
      <c r="E38" s="4" t="s">
        <v>11761</v>
      </c>
      <c r="F38" s="4" t="s">
        <v>11686</v>
      </c>
      <c r="G38" s="62" t="s">
        <v>11694</v>
      </c>
      <c r="H38" t="s">
        <v>11688</v>
      </c>
      <c r="I38" s="2"/>
      <c r="K38" s="60" t="str">
        <f>IF(OR(Tbla_proyectos[[#This Row],[fecha_inicio]]="",Tbla_proyectos[[#This Row],[fecha_fin]]=""),"",DATEDIF(Tbla_proyectos[[#This Row],[fecha_inicio]],Tbla_proyectos[[#This Row],[fecha_fin]],"M"))</f>
        <v/>
      </c>
      <c r="L38" s="60" t="s">
        <v>11689</v>
      </c>
      <c r="M38" s="62" t="s">
        <v>11690</v>
      </c>
      <c r="N38" s="62">
        <f ca="1">IF(Tbla_proyectos[[#This Row],[municipio]]="","",VLOOKUP(Tbla_proyectos[[#This Row],[municipio]],INDIRECT(Tbla_proyectos[[#This Row],[departamento]]),2,0))</f>
        <v>4.3161076979999997</v>
      </c>
      <c r="O38" s="62">
        <f ca="1">IF(Tbla_proyectos[[#This Row],[municipio]]="","",VLOOKUP(Tbla_proyectos[[#This Row],[municipio]],INDIRECT(Tbla_proyectos[[#This Row],[departamento]]),2,0))</f>
        <v>4.3161076979999997</v>
      </c>
    </row>
    <row r="39" spans="1:16">
      <c r="A39" t="s">
        <v>10255</v>
      </c>
      <c r="B39" s="62" t="str">
        <f>LEFT(Tbla_proyectos[[#This Row],[codigo_proyecto]],4)</f>
        <v>2530</v>
      </c>
      <c r="C39" s="4" t="s">
        <v>11739</v>
      </c>
      <c r="D39" s="15" t="s">
        <v>11684</v>
      </c>
      <c r="E39" s="4" t="s">
        <v>11761</v>
      </c>
      <c r="F39" s="4" t="s">
        <v>11686</v>
      </c>
      <c r="G39" s="62" t="s">
        <v>11694</v>
      </c>
      <c r="H39" t="s">
        <v>11688</v>
      </c>
      <c r="I39" s="2"/>
      <c r="K39" s="60" t="str">
        <f>IF(OR(Tbla_proyectos[[#This Row],[fecha_inicio]]="",Tbla_proyectos[[#This Row],[fecha_fin]]=""),"",DATEDIF(Tbla_proyectos[[#This Row],[fecha_inicio]],Tbla_proyectos[[#This Row],[fecha_fin]],"M"))</f>
        <v/>
      </c>
      <c r="L39" s="60" t="s">
        <v>11689</v>
      </c>
      <c r="M39" s="62" t="s">
        <v>11690</v>
      </c>
      <c r="N39" s="62">
        <f ca="1">IF(Tbla_proyectos[[#This Row],[municipio]]="","",VLOOKUP(Tbla_proyectos[[#This Row],[municipio]],INDIRECT(Tbla_proyectos[[#This Row],[departamento]]),2,0))</f>
        <v>4.3161076979999997</v>
      </c>
      <c r="O39" s="62">
        <f ca="1">IF(Tbla_proyectos[[#This Row],[municipio]]="","",VLOOKUP(Tbla_proyectos[[#This Row],[municipio]],INDIRECT(Tbla_proyectos[[#This Row],[departamento]]),2,0))</f>
        <v>4.3161076979999997</v>
      </c>
    </row>
    <row r="40" spans="1:16">
      <c r="A40" t="s">
        <v>8844</v>
      </c>
      <c r="B40" s="62" t="str">
        <f>LEFT(Tbla_proyectos[[#This Row],[codigo_proyecto]],4)</f>
        <v>2430</v>
      </c>
      <c r="C40" s="4" t="s">
        <v>11762</v>
      </c>
      <c r="D40" s="15" t="s">
        <v>11684</v>
      </c>
      <c r="E40" s="4" t="s">
        <v>11763</v>
      </c>
      <c r="F40" s="4" t="s">
        <v>11686</v>
      </c>
      <c r="G40" s="62" t="s">
        <v>11694</v>
      </c>
      <c r="H40" t="s">
        <v>11688</v>
      </c>
      <c r="I40" s="2"/>
      <c r="K40" s="60" t="str">
        <f>IF(OR(Tbla_proyectos[[#This Row],[fecha_inicio]]="",Tbla_proyectos[[#This Row],[fecha_fin]]=""),"",DATEDIF(Tbla_proyectos[[#This Row],[fecha_inicio]],Tbla_proyectos[[#This Row],[fecha_fin]],"M"))</f>
        <v/>
      </c>
      <c r="L40" s="60" t="s">
        <v>11689</v>
      </c>
      <c r="M40" s="62" t="s">
        <v>11690</v>
      </c>
      <c r="N40" s="62">
        <f ca="1">IF(Tbla_proyectos[[#This Row],[municipio]]="","",VLOOKUP(Tbla_proyectos[[#This Row],[municipio]],INDIRECT(Tbla_proyectos[[#This Row],[departamento]]),2,0))</f>
        <v>4.3161076979999997</v>
      </c>
      <c r="O40" s="62">
        <f ca="1">IF(Tbla_proyectos[[#This Row],[municipio]]="","",VLOOKUP(Tbla_proyectos[[#This Row],[municipio]],INDIRECT(Tbla_proyectos[[#This Row],[departamento]]),2,0))</f>
        <v>4.3161076979999997</v>
      </c>
    </row>
    <row r="41" spans="1:16">
      <c r="A41" t="s">
        <v>10196</v>
      </c>
      <c r="B41" s="62" t="str">
        <f>LEFT(Tbla_proyectos[[#This Row],[codigo_proyecto]],4)</f>
        <v>2530</v>
      </c>
      <c r="C41" s="4" t="s">
        <v>11764</v>
      </c>
      <c r="D41" s="15" t="s">
        <v>11684</v>
      </c>
      <c r="E41" s="4" t="s">
        <v>11765</v>
      </c>
      <c r="F41" s="4" t="s">
        <v>11749</v>
      </c>
      <c r="G41" s="62" t="s">
        <v>11694</v>
      </c>
      <c r="H41" t="s">
        <v>11744</v>
      </c>
      <c r="I41" s="2"/>
      <c r="K41" s="60" t="str">
        <f>IF(OR(Tbla_proyectos[[#This Row],[fecha_inicio]]="",Tbla_proyectos[[#This Row],[fecha_fin]]=""),"",DATEDIF(Tbla_proyectos[[#This Row],[fecha_inicio]],Tbla_proyectos[[#This Row],[fecha_fin]],"M"))</f>
        <v/>
      </c>
      <c r="N41" s="62" t="str">
        <f ca="1">IF(Tbla_proyectos[[#This Row],[municipio]]="","",VLOOKUP(Tbla_proyectos[[#This Row],[municipio]],INDIRECT(Tbla_proyectos[[#This Row],[departamento]]),2,0))</f>
        <v/>
      </c>
      <c r="O41" s="62" t="str">
        <f ca="1">IF(Tbla_proyectos[[#This Row],[municipio]]="","",VLOOKUP(Tbla_proyectos[[#This Row],[municipio]],INDIRECT(Tbla_proyectos[[#This Row],[departamento]]),2,0))</f>
        <v/>
      </c>
      <c r="P41" t="s">
        <v>11696</v>
      </c>
    </row>
    <row r="42" spans="1:16">
      <c r="A42" t="s">
        <v>10268</v>
      </c>
      <c r="B42" s="62" t="str">
        <f>LEFT(Tbla_proyectos[[#This Row],[codigo_proyecto]],4)</f>
        <v>2530</v>
      </c>
      <c r="C42" s="4" t="s">
        <v>11766</v>
      </c>
      <c r="D42" s="15" t="s">
        <v>11684</v>
      </c>
      <c r="E42" s="4" t="s">
        <v>11767</v>
      </c>
      <c r="F42" s="4" t="s">
        <v>11768</v>
      </c>
      <c r="G42" s="62" t="s">
        <v>11694</v>
      </c>
      <c r="H42" t="s">
        <v>11688</v>
      </c>
      <c r="I42" s="2"/>
      <c r="K42" s="60" t="str">
        <f>IF(OR(Tbla_proyectos[[#This Row],[fecha_inicio]]="",Tbla_proyectos[[#This Row],[fecha_fin]]=""),"",DATEDIF(Tbla_proyectos[[#This Row],[fecha_inicio]],Tbla_proyectos[[#This Row],[fecha_fin]],"M"))</f>
        <v/>
      </c>
      <c r="L42" s="60" t="s">
        <v>11689</v>
      </c>
      <c r="M42" s="62" t="s">
        <v>11690</v>
      </c>
      <c r="N42" s="62">
        <f ca="1">IF(Tbla_proyectos[[#This Row],[municipio]]="","",VLOOKUP(Tbla_proyectos[[#This Row],[municipio]],INDIRECT(Tbla_proyectos[[#This Row],[departamento]]),2,0))</f>
        <v>4.3161076979999997</v>
      </c>
      <c r="O42" s="62">
        <f ca="1">IF(Tbla_proyectos[[#This Row],[municipio]]="","",VLOOKUP(Tbla_proyectos[[#This Row],[municipio]],INDIRECT(Tbla_proyectos[[#This Row],[departamento]]),2,0))</f>
        <v>4.3161076979999997</v>
      </c>
    </row>
    <row r="43" spans="1:16">
      <c r="A43" t="s">
        <v>10279</v>
      </c>
      <c r="B43" s="62" t="str">
        <f>LEFT(Tbla_proyectos[[#This Row],[codigo_proyecto]],4)</f>
        <v>2530</v>
      </c>
      <c r="C43" s="4" t="s">
        <v>11766</v>
      </c>
      <c r="D43" s="15" t="s">
        <v>11684</v>
      </c>
      <c r="E43" s="4" t="s">
        <v>11769</v>
      </c>
      <c r="F43" s="4" t="s">
        <v>11770</v>
      </c>
      <c r="G43" s="62" t="s">
        <v>11694</v>
      </c>
      <c r="H43" t="s">
        <v>11688</v>
      </c>
      <c r="I43" s="2"/>
      <c r="K43" s="60" t="str">
        <f>IF(OR(Tbla_proyectos[[#This Row],[fecha_inicio]]="",Tbla_proyectos[[#This Row],[fecha_fin]]=""),"",DATEDIF(Tbla_proyectos[[#This Row],[fecha_inicio]],Tbla_proyectos[[#This Row],[fecha_fin]],"M"))</f>
        <v/>
      </c>
      <c r="L43" s="60" t="s">
        <v>11689</v>
      </c>
      <c r="M43" s="62" t="s">
        <v>11690</v>
      </c>
      <c r="N43" s="62">
        <f ca="1">IF(Tbla_proyectos[[#This Row],[municipio]]="","",VLOOKUP(Tbla_proyectos[[#This Row],[municipio]],INDIRECT(Tbla_proyectos[[#This Row],[departamento]]),2,0))</f>
        <v>4.3161076979999997</v>
      </c>
      <c r="O43" s="62">
        <f ca="1">IF(Tbla_proyectos[[#This Row],[municipio]]="","",VLOOKUP(Tbla_proyectos[[#This Row],[municipio]],INDIRECT(Tbla_proyectos[[#This Row],[departamento]]),2,0))</f>
        <v>4.3161076979999997</v>
      </c>
    </row>
    <row r="44" spans="1:16">
      <c r="A44" t="s">
        <v>10275</v>
      </c>
      <c r="B44" s="62" t="str">
        <f>LEFT(Tbla_proyectos[[#This Row],[codigo_proyecto]],4)</f>
        <v>2530</v>
      </c>
      <c r="C44" s="4" t="s">
        <v>11771</v>
      </c>
      <c r="D44" s="15" t="s">
        <v>11684</v>
      </c>
      <c r="E44" s="4" t="s">
        <v>11772</v>
      </c>
      <c r="F44" s="4" t="s">
        <v>11693</v>
      </c>
      <c r="G44" s="62" t="s">
        <v>11687</v>
      </c>
      <c r="H44" t="s">
        <v>11695</v>
      </c>
      <c r="I44" s="2"/>
      <c r="K44" s="60" t="str">
        <f>IF(OR(Tbla_proyectos[[#This Row],[fecha_inicio]]="",Tbla_proyectos[[#This Row],[fecha_fin]]=""),"",DATEDIF(Tbla_proyectos[[#This Row],[fecha_inicio]],Tbla_proyectos[[#This Row],[fecha_fin]],"M"))</f>
        <v/>
      </c>
      <c r="L44" s="60" t="s">
        <v>11689</v>
      </c>
      <c r="M44" s="62" t="s">
        <v>11690</v>
      </c>
      <c r="N44" s="62">
        <f ca="1">IF(Tbla_proyectos[[#This Row],[municipio]]="","",VLOOKUP(Tbla_proyectos[[#This Row],[municipio]],INDIRECT(Tbla_proyectos[[#This Row],[departamento]]),2,0))</f>
        <v>4.3161076979999997</v>
      </c>
      <c r="O44" s="62">
        <f ca="1">IF(Tbla_proyectos[[#This Row],[municipio]]="","",VLOOKUP(Tbla_proyectos[[#This Row],[municipio]],INDIRECT(Tbla_proyectos[[#This Row],[departamento]]),2,0))</f>
        <v>4.3161076979999997</v>
      </c>
    </row>
    <row r="45" spans="1:16">
      <c r="A45" t="s">
        <v>10080</v>
      </c>
      <c r="B45" s="62" t="str">
        <f>LEFT(Tbla_proyectos[[#This Row],[codigo_proyecto]],4)</f>
        <v>2530</v>
      </c>
      <c r="C45" s="4" t="s">
        <v>11683</v>
      </c>
      <c r="D45" s="15" t="s">
        <v>11684</v>
      </c>
      <c r="E45" s="4" t="s">
        <v>11685</v>
      </c>
      <c r="F45" s="4" t="s">
        <v>11768</v>
      </c>
      <c r="G45" s="62" t="s">
        <v>11687</v>
      </c>
      <c r="H45" t="s">
        <v>11688</v>
      </c>
      <c r="I45" s="2"/>
      <c r="K45" s="60" t="str">
        <f>IF(OR(Tbla_proyectos[[#This Row],[fecha_inicio]]="",Tbla_proyectos[[#This Row],[fecha_fin]]=""),"",DATEDIF(Tbla_proyectos[[#This Row],[fecha_inicio]],Tbla_proyectos[[#This Row],[fecha_fin]],"M"))</f>
        <v/>
      </c>
      <c r="L45" s="60" t="s">
        <v>11689</v>
      </c>
      <c r="M45" s="62" t="s">
        <v>11690</v>
      </c>
      <c r="N45" s="62">
        <f ca="1">IF(Tbla_proyectos[[#This Row],[municipio]]="","",VLOOKUP(Tbla_proyectos[[#This Row],[municipio]],INDIRECT(Tbla_proyectos[[#This Row],[departamento]]),2,0))</f>
        <v>4.3161076979999997</v>
      </c>
      <c r="O45" s="62">
        <f ca="1">IF(Tbla_proyectos[[#This Row],[municipio]]="","",VLOOKUP(Tbla_proyectos[[#This Row],[municipio]],INDIRECT(Tbla_proyectos[[#This Row],[departamento]]),2,0))</f>
        <v>4.3161076979999997</v>
      </c>
    </row>
    <row r="46" spans="1:16">
      <c r="A46" t="s">
        <v>8544</v>
      </c>
      <c r="B46" s="62" t="str">
        <f>LEFT(Tbla_proyectos[[#This Row],[codigo_proyecto]],4)</f>
        <v>2430</v>
      </c>
      <c r="C46" s="4" t="s">
        <v>11683</v>
      </c>
      <c r="D46" s="15" t="s">
        <v>11684</v>
      </c>
      <c r="E46" s="4" t="s">
        <v>11685</v>
      </c>
      <c r="F46" s="4" t="s">
        <v>11768</v>
      </c>
      <c r="G46" s="62" t="s">
        <v>11687</v>
      </c>
      <c r="H46" t="s">
        <v>11688</v>
      </c>
      <c r="I46" s="2"/>
      <c r="K46" s="60" t="str">
        <f>IF(OR(Tbla_proyectos[[#This Row],[fecha_inicio]]="",Tbla_proyectos[[#This Row],[fecha_fin]]=""),"",DATEDIF(Tbla_proyectos[[#This Row],[fecha_inicio]],Tbla_proyectos[[#This Row],[fecha_fin]],"M"))</f>
        <v/>
      </c>
      <c r="L46" s="60" t="s">
        <v>11689</v>
      </c>
      <c r="M46" s="62" t="s">
        <v>11690</v>
      </c>
      <c r="N46" s="62">
        <f ca="1">IF(Tbla_proyectos[[#This Row],[municipio]]="","",VLOOKUP(Tbla_proyectos[[#This Row],[municipio]],INDIRECT(Tbla_proyectos[[#This Row],[departamento]]),2,0))</f>
        <v>4.3161076979999997</v>
      </c>
      <c r="O46" s="62">
        <f ca="1">IF(Tbla_proyectos[[#This Row],[municipio]]="","",VLOOKUP(Tbla_proyectos[[#This Row],[municipio]],INDIRECT(Tbla_proyectos[[#This Row],[departamento]]),2,0))</f>
        <v>4.3161076979999997</v>
      </c>
    </row>
    <row r="47" spans="1:16">
      <c r="A47" t="s">
        <v>9455</v>
      </c>
      <c r="B47" s="62" t="str">
        <f>LEFT(Tbla_proyectos[[#This Row],[codigo_proyecto]],4)</f>
        <v>2510</v>
      </c>
      <c r="C47" s="4" t="s">
        <v>11773</v>
      </c>
      <c r="D47" s="15" t="s">
        <v>11684</v>
      </c>
      <c r="E47" s="4" t="s">
        <v>11774</v>
      </c>
      <c r="F47" s="4" t="s">
        <v>11718</v>
      </c>
      <c r="G47" s="62" t="s">
        <v>11719</v>
      </c>
      <c r="H47" t="s">
        <v>11727</v>
      </c>
      <c r="I47" s="2"/>
      <c r="K47" s="60" t="str">
        <f>IF(OR(Tbla_proyectos[[#This Row],[fecha_inicio]]="",Tbla_proyectos[[#This Row],[fecha_fin]]=""),"",DATEDIF(Tbla_proyectos[[#This Row],[fecha_inicio]],Tbla_proyectos[[#This Row],[fecha_fin]],"M"))</f>
        <v/>
      </c>
      <c r="L47" s="60" t="s">
        <v>11714</v>
      </c>
      <c r="M47" s="62" t="s">
        <v>11775</v>
      </c>
      <c r="N47" s="62">
        <f ca="1">IF(Tbla_proyectos[[#This Row],[municipio]]="","",VLOOKUP(Tbla_proyectos[[#This Row],[municipio]],INDIRECT(Tbla_proyectos[[#This Row],[departamento]]),2,0))</f>
        <v>4.8340523339999999</v>
      </c>
      <c r="O47" s="62">
        <f ca="1">IF(Tbla_proyectos[[#This Row],[municipio]]="","",VLOOKUP(Tbla_proyectos[[#This Row],[municipio]],INDIRECT(Tbla_proyectos[[#This Row],[departamento]]),2,0))</f>
        <v>4.8340523339999999</v>
      </c>
      <c r="P47" t="s">
        <v>11703</v>
      </c>
    </row>
    <row r="48" spans="1:16">
      <c r="A48" t="s">
        <v>9474</v>
      </c>
      <c r="B48" s="62" t="str">
        <f>LEFT(Tbla_proyectos[[#This Row],[codigo_proyecto]],4)</f>
        <v>2510</v>
      </c>
      <c r="C48" s="4" t="s">
        <v>11776</v>
      </c>
      <c r="D48" s="15" t="s">
        <v>11684</v>
      </c>
      <c r="E48" s="4" t="s">
        <v>11777</v>
      </c>
      <c r="F48" s="4" t="s">
        <v>11778</v>
      </c>
      <c r="G48" s="62" t="s">
        <v>11726</v>
      </c>
      <c r="H48" t="s">
        <v>11688</v>
      </c>
      <c r="I48" s="2"/>
      <c r="K48" s="60" t="str">
        <f>IF(OR(Tbla_proyectos[[#This Row],[fecha_inicio]]="",Tbla_proyectos[[#This Row],[fecha_fin]]=""),"",DATEDIF(Tbla_proyectos[[#This Row],[fecha_inicio]],Tbla_proyectos[[#This Row],[fecha_fin]],"M"))</f>
        <v/>
      </c>
      <c r="L48" s="60" t="s">
        <v>11689</v>
      </c>
      <c r="M48" s="62" t="s">
        <v>11690</v>
      </c>
      <c r="N48" s="62">
        <f ca="1">IF(Tbla_proyectos[[#This Row],[municipio]]="","",VLOOKUP(Tbla_proyectos[[#This Row],[municipio]],INDIRECT(Tbla_proyectos[[#This Row],[departamento]]),2,0))</f>
        <v>4.3161076979999997</v>
      </c>
      <c r="O48" s="62">
        <f ca="1">IF(Tbla_proyectos[[#This Row],[municipio]]="","",VLOOKUP(Tbla_proyectos[[#This Row],[municipio]],INDIRECT(Tbla_proyectos[[#This Row],[departamento]]),2,0))</f>
        <v>4.3161076979999997</v>
      </c>
    </row>
    <row r="49" spans="1:16">
      <c r="A49" t="s">
        <v>10084</v>
      </c>
      <c r="B49" s="62" t="str">
        <f>LEFT(Tbla_proyectos[[#This Row],[codigo_proyecto]],4)</f>
        <v>2530</v>
      </c>
      <c r="C49" s="4" t="s">
        <v>11776</v>
      </c>
      <c r="D49" s="15" t="s">
        <v>11684</v>
      </c>
      <c r="E49" s="4" t="s">
        <v>11777</v>
      </c>
      <c r="F49" s="4" t="s">
        <v>11778</v>
      </c>
      <c r="G49" s="62" t="s">
        <v>11726</v>
      </c>
      <c r="H49" t="s">
        <v>11688</v>
      </c>
      <c r="I49" s="2"/>
      <c r="K49" s="60" t="str">
        <f>IF(OR(Tbla_proyectos[[#This Row],[fecha_inicio]]="",Tbla_proyectos[[#This Row],[fecha_fin]]=""),"",DATEDIF(Tbla_proyectos[[#This Row],[fecha_inicio]],Tbla_proyectos[[#This Row],[fecha_fin]],"M"))</f>
        <v/>
      </c>
      <c r="L49" s="60" t="s">
        <v>11689</v>
      </c>
      <c r="M49" s="62" t="s">
        <v>11690</v>
      </c>
      <c r="N49" s="62">
        <f ca="1">IF(Tbla_proyectos[[#This Row],[municipio]]="","",VLOOKUP(Tbla_proyectos[[#This Row],[municipio]],INDIRECT(Tbla_proyectos[[#This Row],[departamento]]),2,0))</f>
        <v>4.3161076979999997</v>
      </c>
      <c r="O49" s="62">
        <f ca="1">IF(Tbla_proyectos[[#This Row],[municipio]]="","",VLOOKUP(Tbla_proyectos[[#This Row],[municipio]],INDIRECT(Tbla_proyectos[[#This Row],[departamento]]),2,0))</f>
        <v>4.3161076979999997</v>
      </c>
    </row>
    <row r="50" spans="1:16">
      <c r="A50" t="s">
        <v>8701</v>
      </c>
      <c r="B50" s="62" t="str">
        <f>LEFT(Tbla_proyectos[[#This Row],[codigo_proyecto]],4)</f>
        <v>2430</v>
      </c>
      <c r="C50" s="4" t="s">
        <v>11779</v>
      </c>
      <c r="D50" s="15" t="s">
        <v>11684</v>
      </c>
      <c r="E50" s="4" t="s">
        <v>11777</v>
      </c>
      <c r="F50" s="4" t="s">
        <v>11778</v>
      </c>
      <c r="G50" s="62" t="s">
        <v>11726</v>
      </c>
      <c r="H50" t="s">
        <v>11688</v>
      </c>
      <c r="I50" s="2"/>
      <c r="K50" s="60" t="str">
        <f>IF(OR(Tbla_proyectos[[#This Row],[fecha_inicio]]="",Tbla_proyectos[[#This Row],[fecha_fin]]=""),"",DATEDIF(Tbla_proyectos[[#This Row],[fecha_inicio]],Tbla_proyectos[[#This Row],[fecha_fin]],"M"))</f>
        <v/>
      </c>
      <c r="L50" s="60" t="s">
        <v>11689</v>
      </c>
      <c r="M50" s="62" t="s">
        <v>11690</v>
      </c>
      <c r="N50" s="62">
        <f ca="1">IF(Tbla_proyectos[[#This Row],[municipio]]="","",VLOOKUP(Tbla_proyectos[[#This Row],[municipio]],INDIRECT(Tbla_proyectos[[#This Row],[departamento]]),2,0))</f>
        <v>4.3161076979999997</v>
      </c>
      <c r="O50" s="62">
        <f ca="1">IF(Tbla_proyectos[[#This Row],[municipio]]="","",VLOOKUP(Tbla_proyectos[[#This Row],[municipio]],INDIRECT(Tbla_proyectos[[#This Row],[departamento]]),2,0))</f>
        <v>4.3161076979999997</v>
      </c>
    </row>
    <row r="51" spans="1:16">
      <c r="A51" t="s">
        <v>9485</v>
      </c>
      <c r="B51" s="62" t="str">
        <f>LEFT(Tbla_proyectos[[#This Row],[codigo_proyecto]],4)</f>
        <v>2510</v>
      </c>
      <c r="C51" s="4"/>
      <c r="D51" s="15" t="s">
        <v>11684</v>
      </c>
      <c r="E51" s="4" t="s">
        <v>11705</v>
      </c>
      <c r="F51" s="4" t="s">
        <v>11693</v>
      </c>
      <c r="G51" s="62" t="s">
        <v>11694</v>
      </c>
      <c r="H51" t="s">
        <v>11757</v>
      </c>
      <c r="I51" s="2"/>
      <c r="K51" s="60" t="str">
        <f>IF(OR(Tbla_proyectos[[#This Row],[fecha_inicio]]="",Tbla_proyectos[[#This Row],[fecha_fin]]=""),"",DATEDIF(Tbla_proyectos[[#This Row],[fecha_inicio]],Tbla_proyectos[[#This Row],[fecha_fin]],"M"))</f>
        <v/>
      </c>
      <c r="L51" s="60" t="s">
        <v>11689</v>
      </c>
      <c r="M51" s="62" t="s">
        <v>11690</v>
      </c>
      <c r="N51" s="62">
        <f ca="1">IF(Tbla_proyectos[[#This Row],[municipio]]="","",VLOOKUP(Tbla_proyectos[[#This Row],[municipio]],INDIRECT(Tbla_proyectos[[#This Row],[departamento]]),2,0))</f>
        <v>4.3161076979999997</v>
      </c>
      <c r="O51" s="62">
        <f ca="1">IF(Tbla_proyectos[[#This Row],[municipio]]="","",VLOOKUP(Tbla_proyectos[[#This Row],[municipio]],INDIRECT(Tbla_proyectos[[#This Row],[departamento]]),2,0))</f>
        <v>4.3161076979999997</v>
      </c>
      <c r="P51" t="s">
        <v>11703</v>
      </c>
    </row>
    <row r="52" spans="1:16">
      <c r="A52" t="s">
        <v>10360</v>
      </c>
      <c r="B52" s="62" t="str">
        <f>LEFT(Tbla_proyectos[[#This Row],[codigo_proyecto]],4)</f>
        <v>2530</v>
      </c>
      <c r="C52" s="4" t="s">
        <v>11780</v>
      </c>
      <c r="D52" s="15" t="s">
        <v>11684</v>
      </c>
      <c r="E52" s="4" t="s">
        <v>11705</v>
      </c>
      <c r="F52" s="4" t="s">
        <v>11693</v>
      </c>
      <c r="G52" s="62" t="s">
        <v>11694</v>
      </c>
      <c r="H52" t="s">
        <v>11757</v>
      </c>
      <c r="I52" s="2"/>
      <c r="K52" s="60" t="str">
        <f>IF(OR(Tbla_proyectos[[#This Row],[fecha_inicio]]="",Tbla_proyectos[[#This Row],[fecha_fin]]=""),"",DATEDIF(Tbla_proyectos[[#This Row],[fecha_inicio]],Tbla_proyectos[[#This Row],[fecha_fin]],"M"))</f>
        <v/>
      </c>
      <c r="L52" s="60" t="s">
        <v>11689</v>
      </c>
      <c r="M52" s="62" t="s">
        <v>11690</v>
      </c>
      <c r="N52" s="62">
        <f ca="1">IF(Tbla_proyectos[[#This Row],[municipio]]="","",VLOOKUP(Tbla_proyectos[[#This Row],[municipio]],INDIRECT(Tbla_proyectos[[#This Row],[departamento]]),2,0))</f>
        <v>4.3161076979999997</v>
      </c>
      <c r="O52" s="62">
        <f ca="1">IF(Tbla_proyectos[[#This Row],[municipio]]="","",VLOOKUP(Tbla_proyectos[[#This Row],[municipio]],INDIRECT(Tbla_proyectos[[#This Row],[departamento]]),2,0))</f>
        <v>4.3161076979999997</v>
      </c>
      <c r="P52" t="s">
        <v>11703</v>
      </c>
    </row>
    <row r="53" spans="1:16">
      <c r="A53" t="s">
        <v>8648</v>
      </c>
      <c r="B53" s="62" t="str">
        <f>LEFT(Tbla_proyectos[[#This Row],[codigo_proyecto]],4)</f>
        <v>2430</v>
      </c>
      <c r="C53" s="4"/>
      <c r="D53" s="15" t="s">
        <v>11684</v>
      </c>
      <c r="E53" s="4" t="s">
        <v>11705</v>
      </c>
      <c r="F53" s="4" t="s">
        <v>11693</v>
      </c>
      <c r="G53" s="62" t="s">
        <v>11694</v>
      </c>
      <c r="H53" t="s">
        <v>11757</v>
      </c>
      <c r="I53" s="2"/>
      <c r="K53" s="60" t="str">
        <f>IF(OR(Tbla_proyectos[[#This Row],[fecha_inicio]]="",Tbla_proyectos[[#This Row],[fecha_fin]]=""),"",DATEDIF(Tbla_proyectos[[#This Row],[fecha_inicio]],Tbla_proyectos[[#This Row],[fecha_fin]],"M"))</f>
        <v/>
      </c>
      <c r="L53" s="60" t="s">
        <v>11689</v>
      </c>
      <c r="M53" s="62" t="s">
        <v>11690</v>
      </c>
      <c r="N53" s="62">
        <f ca="1">IF(Tbla_proyectos[[#This Row],[municipio]]="","",VLOOKUP(Tbla_proyectos[[#This Row],[municipio]],INDIRECT(Tbla_proyectos[[#This Row],[departamento]]),2,0))</f>
        <v>4.3161076979999997</v>
      </c>
      <c r="O53" s="62">
        <f ca="1">IF(Tbla_proyectos[[#This Row],[municipio]]="","",VLOOKUP(Tbla_proyectos[[#This Row],[municipio]],INDIRECT(Tbla_proyectos[[#This Row],[departamento]]),2,0))</f>
        <v>4.3161076979999997</v>
      </c>
      <c r="P53" t="s">
        <v>11703</v>
      </c>
    </row>
    <row r="54" spans="1:16">
      <c r="A54" t="s">
        <v>9478</v>
      </c>
      <c r="B54" s="62" t="str">
        <f>LEFT(Tbla_proyectos[[#This Row],[codigo_proyecto]],4)</f>
        <v>2510</v>
      </c>
      <c r="C54" s="4" t="s">
        <v>11781</v>
      </c>
      <c r="D54" s="15" t="s">
        <v>11684</v>
      </c>
      <c r="E54" s="4" t="s">
        <v>11782</v>
      </c>
      <c r="F54" s="4" t="s">
        <v>11749</v>
      </c>
      <c r="G54" s="62" t="s">
        <v>11687</v>
      </c>
      <c r="H54" t="s">
        <v>11742</v>
      </c>
      <c r="I54" s="2"/>
      <c r="K54" s="60" t="str">
        <f>IF(OR(Tbla_proyectos[[#This Row],[fecha_inicio]]="",Tbla_proyectos[[#This Row],[fecha_fin]]=""),"",DATEDIF(Tbla_proyectos[[#This Row],[fecha_inicio]],Tbla_proyectos[[#This Row],[fecha_fin]],"M"))</f>
        <v/>
      </c>
      <c r="L54" s="60" t="s">
        <v>11689</v>
      </c>
      <c r="M54" s="62" t="s">
        <v>11690</v>
      </c>
      <c r="N54" s="62">
        <f ca="1">IF(Tbla_proyectos[[#This Row],[municipio]]="","",VLOOKUP(Tbla_proyectos[[#This Row],[municipio]],INDIRECT(Tbla_proyectos[[#This Row],[departamento]]),2,0))</f>
        <v>4.3161076979999997</v>
      </c>
      <c r="O54" s="62">
        <f ca="1">IF(Tbla_proyectos[[#This Row],[municipio]]="","",VLOOKUP(Tbla_proyectos[[#This Row],[municipio]],INDIRECT(Tbla_proyectos[[#This Row],[departamento]]),2,0))</f>
        <v>4.3161076979999997</v>
      </c>
      <c r="P54" t="s">
        <v>11703</v>
      </c>
    </row>
    <row r="55" spans="1:16">
      <c r="A55" t="s">
        <v>10181</v>
      </c>
      <c r="B55" s="62" t="str">
        <f>LEFT(Tbla_proyectos[[#This Row],[codigo_proyecto]],4)</f>
        <v>2530</v>
      </c>
      <c r="C55" s="4" t="s">
        <v>11781</v>
      </c>
      <c r="D55" s="15" t="s">
        <v>11684</v>
      </c>
      <c r="E55" s="4" t="s">
        <v>11782</v>
      </c>
      <c r="F55" s="4" t="s">
        <v>11749</v>
      </c>
      <c r="G55" s="62" t="s">
        <v>11687</v>
      </c>
      <c r="H55" t="s">
        <v>11744</v>
      </c>
      <c r="I55" s="2"/>
      <c r="K55" s="60" t="str">
        <f>IF(OR(Tbla_proyectos[[#This Row],[fecha_inicio]]="",Tbla_proyectos[[#This Row],[fecha_fin]]=""),"",DATEDIF(Tbla_proyectos[[#This Row],[fecha_inicio]],Tbla_proyectos[[#This Row],[fecha_fin]],"M"))</f>
        <v/>
      </c>
      <c r="L55" s="60" t="s">
        <v>11689</v>
      </c>
      <c r="M55" s="62" t="s">
        <v>11690</v>
      </c>
      <c r="N55" s="62">
        <f ca="1">IF(Tbla_proyectos[[#This Row],[municipio]]="","",VLOOKUP(Tbla_proyectos[[#This Row],[municipio]],INDIRECT(Tbla_proyectos[[#This Row],[departamento]]),2,0))</f>
        <v>4.3161076979999997</v>
      </c>
      <c r="O55" s="62">
        <f ca="1">IF(Tbla_proyectos[[#This Row],[municipio]]="","",VLOOKUP(Tbla_proyectos[[#This Row],[municipio]],INDIRECT(Tbla_proyectos[[#This Row],[departamento]]),2,0))</f>
        <v>4.3161076979999997</v>
      </c>
      <c r="P55" t="s">
        <v>11703</v>
      </c>
    </row>
    <row r="56" spans="1:16">
      <c r="A56" t="s">
        <v>8579</v>
      </c>
      <c r="B56" s="62" t="str">
        <f>LEFT(Tbla_proyectos[[#This Row],[codigo_proyecto]],4)</f>
        <v>2430</v>
      </c>
      <c r="C56" s="4" t="s">
        <v>11781</v>
      </c>
      <c r="D56" s="15" t="s">
        <v>11684</v>
      </c>
      <c r="E56" s="4" t="s">
        <v>11782</v>
      </c>
      <c r="F56" s="4" t="s">
        <v>11749</v>
      </c>
      <c r="G56" s="62" t="s">
        <v>11687</v>
      </c>
      <c r="H56" t="s">
        <v>11744</v>
      </c>
      <c r="I56" s="2"/>
      <c r="K56" s="60" t="str">
        <f>IF(OR(Tbla_proyectos[[#This Row],[fecha_inicio]]="",Tbla_proyectos[[#This Row],[fecha_fin]]=""),"",DATEDIF(Tbla_proyectos[[#This Row],[fecha_inicio]],Tbla_proyectos[[#This Row],[fecha_fin]],"M"))</f>
        <v/>
      </c>
      <c r="L56" s="60" t="s">
        <v>11689</v>
      </c>
      <c r="M56" s="62" t="s">
        <v>11690</v>
      </c>
      <c r="N56" s="62">
        <f ca="1">IF(Tbla_proyectos[[#This Row],[municipio]]="","",VLOOKUP(Tbla_proyectos[[#This Row],[municipio]],INDIRECT(Tbla_proyectos[[#This Row],[departamento]]),2,0))</f>
        <v>4.3161076979999997</v>
      </c>
      <c r="O56" s="62">
        <f ca="1">IF(Tbla_proyectos[[#This Row],[municipio]]="","",VLOOKUP(Tbla_proyectos[[#This Row],[municipio]],INDIRECT(Tbla_proyectos[[#This Row],[departamento]]),2,0))</f>
        <v>4.3161076979999997</v>
      </c>
      <c r="P56" t="s">
        <v>11703</v>
      </c>
    </row>
    <row r="57" spans="1:16">
      <c r="A57" t="s">
        <v>9495</v>
      </c>
      <c r="B57" s="62" t="str">
        <f>LEFT(Tbla_proyectos[[#This Row],[codigo_proyecto]],4)</f>
        <v>2510</v>
      </c>
      <c r="C57" s="4" t="s">
        <v>11783</v>
      </c>
      <c r="D57" s="15" t="s">
        <v>11684</v>
      </c>
      <c r="E57" s="4" t="s">
        <v>11784</v>
      </c>
      <c r="F57" s="4"/>
      <c r="G57" s="62" t="s">
        <v>11694</v>
      </c>
      <c r="H57" t="s">
        <v>11695</v>
      </c>
      <c r="I57" s="2"/>
      <c r="K57" s="60" t="str">
        <f>IF(OR(Tbla_proyectos[[#This Row],[fecha_inicio]]="",Tbla_proyectos[[#This Row],[fecha_fin]]=""),"",DATEDIF(Tbla_proyectos[[#This Row],[fecha_inicio]],Tbla_proyectos[[#This Row],[fecha_fin]],"M"))</f>
        <v/>
      </c>
      <c r="L57" s="60" t="s">
        <v>11689</v>
      </c>
      <c r="M57" s="62" t="s">
        <v>11690</v>
      </c>
      <c r="N57" s="62">
        <f ca="1">IF(Tbla_proyectos[[#This Row],[municipio]]="","",VLOOKUP(Tbla_proyectos[[#This Row],[municipio]],INDIRECT(Tbla_proyectos[[#This Row],[departamento]]),2,0))</f>
        <v>4.3161076979999997</v>
      </c>
      <c r="O57" s="62">
        <f ca="1">IF(Tbla_proyectos[[#This Row],[municipio]]="","",VLOOKUP(Tbla_proyectos[[#This Row],[municipio]],INDIRECT(Tbla_proyectos[[#This Row],[departamento]]),2,0))</f>
        <v>4.3161076979999997</v>
      </c>
      <c r="P57" t="s">
        <v>11703</v>
      </c>
    </row>
    <row r="58" spans="1:16">
      <c r="A58" t="s">
        <v>10328</v>
      </c>
      <c r="B58" s="62" t="str">
        <f>LEFT(Tbla_proyectos[[#This Row],[codigo_proyecto]],4)</f>
        <v>2530</v>
      </c>
      <c r="C58" s="4" t="s">
        <v>11785</v>
      </c>
      <c r="D58" s="15" t="s">
        <v>11684</v>
      </c>
      <c r="E58" s="4" t="s">
        <v>11786</v>
      </c>
      <c r="F58" s="4" t="s">
        <v>11699</v>
      </c>
      <c r="G58" s="62" t="s">
        <v>11694</v>
      </c>
      <c r="H58" t="s">
        <v>11695</v>
      </c>
      <c r="I58" s="2"/>
      <c r="K58" s="60" t="str">
        <f>IF(OR(Tbla_proyectos[[#This Row],[fecha_inicio]]="",Tbla_proyectos[[#This Row],[fecha_fin]]=""),"",DATEDIF(Tbla_proyectos[[#This Row],[fecha_inicio]],Tbla_proyectos[[#This Row],[fecha_fin]],"M"))</f>
        <v/>
      </c>
      <c r="L58" s="60" t="s">
        <v>11689</v>
      </c>
      <c r="M58" s="62" t="s">
        <v>11690</v>
      </c>
      <c r="N58" s="62">
        <f ca="1">IF(Tbla_proyectos[[#This Row],[municipio]]="","",VLOOKUP(Tbla_proyectos[[#This Row],[municipio]],INDIRECT(Tbla_proyectos[[#This Row],[departamento]]),2,0))</f>
        <v>4.3161076979999997</v>
      </c>
      <c r="O58" s="62">
        <f ca="1">IF(Tbla_proyectos[[#This Row],[municipio]]="","",VLOOKUP(Tbla_proyectos[[#This Row],[municipio]],INDIRECT(Tbla_proyectos[[#This Row],[departamento]]),2,0))</f>
        <v>4.3161076979999997</v>
      </c>
      <c r="P58" t="s">
        <v>11703</v>
      </c>
    </row>
    <row r="59" spans="1:16">
      <c r="A59" t="s">
        <v>10332</v>
      </c>
      <c r="B59" s="62" t="str">
        <f>LEFT(Tbla_proyectos[[#This Row],[codigo_proyecto]],4)</f>
        <v>2530</v>
      </c>
      <c r="C59" s="4" t="s">
        <v>11787</v>
      </c>
      <c r="D59" s="15" t="s">
        <v>11684</v>
      </c>
      <c r="E59" s="4" t="s">
        <v>11788</v>
      </c>
      <c r="F59" s="4" t="s">
        <v>11789</v>
      </c>
      <c r="G59" s="62" t="s">
        <v>11694</v>
      </c>
      <c r="H59" t="s">
        <v>11695</v>
      </c>
      <c r="I59" s="2"/>
      <c r="K59" s="60" t="str">
        <f>IF(OR(Tbla_proyectos[[#This Row],[fecha_inicio]]="",Tbla_proyectos[[#This Row],[fecha_fin]]=""),"",DATEDIF(Tbla_proyectos[[#This Row],[fecha_inicio]],Tbla_proyectos[[#This Row],[fecha_fin]],"M"))</f>
        <v/>
      </c>
      <c r="L59" s="60" t="s">
        <v>11689</v>
      </c>
      <c r="M59" s="62" t="s">
        <v>11690</v>
      </c>
      <c r="N59" s="62">
        <f ca="1">IF(Tbla_proyectos[[#This Row],[municipio]]="","",VLOOKUP(Tbla_proyectos[[#This Row],[municipio]],INDIRECT(Tbla_proyectos[[#This Row],[departamento]]),2,0))</f>
        <v>4.3161076979999997</v>
      </c>
      <c r="O59" s="62">
        <f ca="1">IF(Tbla_proyectos[[#This Row],[municipio]]="","",VLOOKUP(Tbla_proyectos[[#This Row],[municipio]],INDIRECT(Tbla_proyectos[[#This Row],[departamento]]),2,0))</f>
        <v>4.3161076979999997</v>
      </c>
      <c r="P59" t="s">
        <v>11703</v>
      </c>
    </row>
    <row r="60" spans="1:16">
      <c r="A60" t="s">
        <v>8660</v>
      </c>
      <c r="B60" s="62" t="str">
        <f>LEFT(Tbla_proyectos[[#This Row],[codigo_proyecto]],4)</f>
        <v>2430</v>
      </c>
      <c r="C60" s="4" t="s">
        <v>11776</v>
      </c>
      <c r="D60" s="15" t="s">
        <v>11684</v>
      </c>
      <c r="E60" s="4" t="s">
        <v>11790</v>
      </c>
      <c r="F60" s="4" t="s">
        <v>11791</v>
      </c>
      <c r="G60" s="62" t="s">
        <v>11694</v>
      </c>
      <c r="H60" t="s">
        <v>11695</v>
      </c>
      <c r="I60" s="2"/>
      <c r="K60" s="60" t="str">
        <f>IF(OR(Tbla_proyectos[[#This Row],[fecha_inicio]]="",Tbla_proyectos[[#This Row],[fecha_fin]]=""),"",DATEDIF(Tbla_proyectos[[#This Row],[fecha_inicio]],Tbla_proyectos[[#This Row],[fecha_fin]],"M"))</f>
        <v/>
      </c>
      <c r="L60" s="60" t="s">
        <v>11689</v>
      </c>
      <c r="M60" s="62" t="s">
        <v>11690</v>
      </c>
      <c r="N60" s="62">
        <f ca="1">IF(Tbla_proyectos[[#This Row],[municipio]]="","",VLOOKUP(Tbla_proyectos[[#This Row],[municipio]],INDIRECT(Tbla_proyectos[[#This Row],[departamento]]),2,0))</f>
        <v>4.3161076979999997</v>
      </c>
      <c r="O60" s="62">
        <f ca="1">IF(Tbla_proyectos[[#This Row],[municipio]]="","",VLOOKUP(Tbla_proyectos[[#This Row],[municipio]],INDIRECT(Tbla_proyectos[[#This Row],[departamento]]),2,0))</f>
        <v>4.3161076979999997</v>
      </c>
      <c r="P60" t="s">
        <v>11696</v>
      </c>
    </row>
    <row r="61" spans="1:16">
      <c r="A61" t="s">
        <v>10008</v>
      </c>
      <c r="B61" s="62" t="str">
        <f>LEFT(Tbla_proyectos[[#This Row],[codigo_proyecto]],4)</f>
        <v>2520</v>
      </c>
      <c r="C61" s="4" t="s">
        <v>11781</v>
      </c>
      <c r="D61" s="15" t="s">
        <v>11684</v>
      </c>
      <c r="E61" s="4" t="s">
        <v>11782</v>
      </c>
      <c r="F61" s="4" t="s">
        <v>11749</v>
      </c>
      <c r="G61" s="62" t="s">
        <v>11687</v>
      </c>
      <c r="H61" t="s">
        <v>11792</v>
      </c>
      <c r="I61" s="2"/>
      <c r="K61" s="60" t="str">
        <f>IF(OR(Tbla_proyectos[[#This Row],[fecha_inicio]]="",Tbla_proyectos[[#This Row],[fecha_fin]]=""),"",DATEDIF(Tbla_proyectos[[#This Row],[fecha_inicio]],Tbla_proyectos[[#This Row],[fecha_fin]],"M"))</f>
        <v/>
      </c>
      <c r="L61" s="60" t="s">
        <v>11689</v>
      </c>
      <c r="M61" s="62" t="s">
        <v>11690</v>
      </c>
      <c r="N61" s="62">
        <f ca="1">IF(Tbla_proyectos[[#This Row],[municipio]]="","",VLOOKUP(Tbla_proyectos[[#This Row],[municipio]],INDIRECT(Tbla_proyectos[[#This Row],[departamento]]),2,0))</f>
        <v>4.3161076979999997</v>
      </c>
      <c r="O61" s="62">
        <f ca="1">IF(Tbla_proyectos[[#This Row],[municipio]]="","",VLOOKUP(Tbla_proyectos[[#This Row],[municipio]],INDIRECT(Tbla_proyectos[[#This Row],[departamento]]),2,0))</f>
        <v>4.3161076979999997</v>
      </c>
      <c r="P61" t="s">
        <v>11703</v>
      </c>
    </row>
    <row r="62" spans="1:16">
      <c r="A62" t="s">
        <v>9533</v>
      </c>
      <c r="B62" s="62" t="str">
        <f>LEFT(Tbla_proyectos[[#This Row],[codigo_proyecto]],4)</f>
        <v>2510</v>
      </c>
      <c r="C62" s="4" t="s">
        <v>11793</v>
      </c>
      <c r="D62" s="15" t="s">
        <v>11684</v>
      </c>
      <c r="E62" s="4" t="s">
        <v>11794</v>
      </c>
      <c r="F62" s="4" t="s">
        <v>11795</v>
      </c>
      <c r="G62" s="62" t="s">
        <v>11687</v>
      </c>
      <c r="H62" t="s">
        <v>11688</v>
      </c>
      <c r="I62" s="2"/>
      <c r="K62" s="60" t="str">
        <f>IF(OR(Tbla_proyectos[[#This Row],[fecha_inicio]]="",Tbla_proyectos[[#This Row],[fecha_fin]]=""),"",DATEDIF(Tbla_proyectos[[#This Row],[fecha_inicio]],Tbla_proyectos[[#This Row],[fecha_fin]],"M"))</f>
        <v/>
      </c>
      <c r="L62" s="60" t="s">
        <v>11689</v>
      </c>
      <c r="M62" s="62" t="s">
        <v>11690</v>
      </c>
      <c r="N62" s="62">
        <f ca="1">IF(Tbla_proyectos[[#This Row],[municipio]]="","",VLOOKUP(Tbla_proyectos[[#This Row],[municipio]],INDIRECT(Tbla_proyectos[[#This Row],[departamento]]),2,0))</f>
        <v>4.3161076979999997</v>
      </c>
      <c r="O62" s="62">
        <f ca="1">IF(Tbla_proyectos[[#This Row],[municipio]]="","",VLOOKUP(Tbla_proyectos[[#This Row],[municipio]],INDIRECT(Tbla_proyectos[[#This Row],[departamento]]),2,0))</f>
        <v>4.3161076979999997</v>
      </c>
    </row>
    <row r="63" spans="1:16">
      <c r="A63" t="s">
        <v>10094</v>
      </c>
      <c r="B63" s="62" t="str">
        <f>LEFT(Tbla_proyectos[[#This Row],[codigo_proyecto]],4)</f>
        <v>2530</v>
      </c>
      <c r="C63" s="4" t="s">
        <v>11793</v>
      </c>
      <c r="D63" s="15" t="s">
        <v>11684</v>
      </c>
      <c r="E63" s="4" t="s">
        <v>11794</v>
      </c>
      <c r="F63" s="4" t="s">
        <v>11795</v>
      </c>
      <c r="G63" s="62" t="s">
        <v>11687</v>
      </c>
      <c r="H63" t="s">
        <v>11688</v>
      </c>
      <c r="I63" s="2"/>
      <c r="K63" s="60" t="str">
        <f>IF(OR(Tbla_proyectos[[#This Row],[fecha_inicio]]="",Tbla_proyectos[[#This Row],[fecha_fin]]=""),"",DATEDIF(Tbla_proyectos[[#This Row],[fecha_inicio]],Tbla_proyectos[[#This Row],[fecha_fin]],"M"))</f>
        <v/>
      </c>
      <c r="L63" s="60" t="s">
        <v>11689</v>
      </c>
      <c r="M63" s="62" t="s">
        <v>11690</v>
      </c>
      <c r="N63" s="62">
        <f ca="1">IF(Tbla_proyectos[[#This Row],[municipio]]="","",VLOOKUP(Tbla_proyectos[[#This Row],[municipio]],INDIRECT(Tbla_proyectos[[#This Row],[departamento]]),2,0))</f>
        <v>4.3161076979999997</v>
      </c>
      <c r="O63" s="62">
        <f ca="1">IF(Tbla_proyectos[[#This Row],[municipio]]="","",VLOOKUP(Tbla_proyectos[[#This Row],[municipio]],INDIRECT(Tbla_proyectos[[#This Row],[departamento]]),2,0))</f>
        <v>4.3161076979999997</v>
      </c>
    </row>
    <row r="64" spans="1:16">
      <c r="A64" t="s">
        <v>8770</v>
      </c>
      <c r="B64" s="62" t="str">
        <f>LEFT(Tbla_proyectos[[#This Row],[codigo_proyecto]],4)</f>
        <v>2430</v>
      </c>
      <c r="C64" s="4" t="s">
        <v>11776</v>
      </c>
      <c r="D64" s="15" t="s">
        <v>11684</v>
      </c>
      <c r="E64" s="4" t="s">
        <v>11794</v>
      </c>
      <c r="F64" s="4" t="s">
        <v>11795</v>
      </c>
      <c r="G64" s="62" t="s">
        <v>11687</v>
      </c>
      <c r="H64" t="s">
        <v>11688</v>
      </c>
      <c r="I64" s="2"/>
      <c r="K64" s="60" t="str">
        <f>IF(OR(Tbla_proyectos[[#This Row],[fecha_inicio]]="",Tbla_proyectos[[#This Row],[fecha_fin]]=""),"",DATEDIF(Tbla_proyectos[[#This Row],[fecha_inicio]],Tbla_proyectos[[#This Row],[fecha_fin]],"M"))</f>
        <v/>
      </c>
      <c r="L64" s="60" t="s">
        <v>11689</v>
      </c>
      <c r="M64" s="62" t="s">
        <v>11690</v>
      </c>
      <c r="N64" s="62">
        <f ca="1">IF(Tbla_proyectos[[#This Row],[municipio]]="","",VLOOKUP(Tbla_proyectos[[#This Row],[municipio]],INDIRECT(Tbla_proyectos[[#This Row],[departamento]]),2,0))</f>
        <v>4.3161076979999997</v>
      </c>
      <c r="O64" s="62">
        <f ca="1">IF(Tbla_proyectos[[#This Row],[municipio]]="","",VLOOKUP(Tbla_proyectos[[#This Row],[municipio]],INDIRECT(Tbla_proyectos[[#This Row],[departamento]]),2,0))</f>
        <v>4.3161076979999997</v>
      </c>
    </row>
    <row r="65" spans="1:16">
      <c r="A65" t="s">
        <v>9537</v>
      </c>
      <c r="B65" s="62" t="str">
        <f>LEFT(Tbla_proyectos[[#This Row],[codigo_proyecto]],4)</f>
        <v>2510</v>
      </c>
      <c r="C65" s="4" t="s">
        <v>11796</v>
      </c>
      <c r="D65" s="15" t="s">
        <v>11684</v>
      </c>
      <c r="E65" s="4" t="s">
        <v>11797</v>
      </c>
      <c r="F65" s="4" t="s">
        <v>11709</v>
      </c>
      <c r="G65" s="62" t="s">
        <v>11687</v>
      </c>
      <c r="H65" t="s">
        <v>11695</v>
      </c>
      <c r="I65" s="2"/>
      <c r="K65" s="60" t="str">
        <f>IF(OR(Tbla_proyectos[[#This Row],[fecha_inicio]]="",Tbla_proyectos[[#This Row],[fecha_fin]]=""),"",DATEDIF(Tbla_proyectos[[#This Row],[fecha_inicio]],Tbla_proyectos[[#This Row],[fecha_fin]],"M"))</f>
        <v/>
      </c>
      <c r="L65" s="60" t="s">
        <v>11689</v>
      </c>
      <c r="M65" s="62" t="s">
        <v>11690</v>
      </c>
      <c r="N65" s="62">
        <f ca="1">IF(Tbla_proyectos[[#This Row],[municipio]]="","",VLOOKUP(Tbla_proyectos[[#This Row],[municipio]],INDIRECT(Tbla_proyectos[[#This Row],[departamento]]),2,0))</f>
        <v>4.3161076979999997</v>
      </c>
      <c r="O65" s="62">
        <f ca="1">IF(Tbla_proyectos[[#This Row],[municipio]]="","",VLOOKUP(Tbla_proyectos[[#This Row],[municipio]],INDIRECT(Tbla_proyectos[[#This Row],[departamento]]),2,0))</f>
        <v>4.3161076979999997</v>
      </c>
      <c r="P65" t="s">
        <v>11703</v>
      </c>
    </row>
    <row r="66" spans="1:16">
      <c r="A66" t="s">
        <v>10367</v>
      </c>
      <c r="B66" s="62" t="str">
        <f>LEFT(Tbla_proyectos[[#This Row],[codigo_proyecto]],4)</f>
        <v>2530</v>
      </c>
      <c r="C66" s="4" t="s">
        <v>11796</v>
      </c>
      <c r="D66" s="15" t="s">
        <v>11684</v>
      </c>
      <c r="E66" s="4" t="s">
        <v>11797</v>
      </c>
      <c r="F66" s="4" t="s">
        <v>11709</v>
      </c>
      <c r="G66" s="62" t="s">
        <v>11687</v>
      </c>
      <c r="H66" t="s">
        <v>11744</v>
      </c>
      <c r="I66" s="2"/>
      <c r="K66" s="60" t="str">
        <f>IF(OR(Tbla_proyectos[[#This Row],[fecha_inicio]]="",Tbla_proyectos[[#This Row],[fecha_fin]]=""),"",DATEDIF(Tbla_proyectos[[#This Row],[fecha_inicio]],Tbla_proyectos[[#This Row],[fecha_fin]],"M"))</f>
        <v/>
      </c>
      <c r="L66" s="60" t="s">
        <v>11689</v>
      </c>
      <c r="M66" s="62" t="s">
        <v>11690</v>
      </c>
      <c r="N66" s="62">
        <f ca="1">IF(Tbla_proyectos[[#This Row],[municipio]]="","",VLOOKUP(Tbla_proyectos[[#This Row],[municipio]],INDIRECT(Tbla_proyectos[[#This Row],[departamento]]),2,0))</f>
        <v>4.3161076979999997</v>
      </c>
      <c r="O66" s="62">
        <f ca="1">IF(Tbla_proyectos[[#This Row],[municipio]]="","",VLOOKUP(Tbla_proyectos[[#This Row],[municipio]],INDIRECT(Tbla_proyectos[[#This Row],[departamento]]),2,0))</f>
        <v>4.3161076979999997</v>
      </c>
      <c r="P66" t="s">
        <v>11703</v>
      </c>
    </row>
    <row r="67" spans="1:16">
      <c r="A67" t="s">
        <v>10402</v>
      </c>
      <c r="B67" s="62" t="str">
        <f>LEFT(Tbla_proyectos[[#This Row],[codigo_proyecto]],4)</f>
        <v>2530</v>
      </c>
      <c r="C67" s="4" t="s">
        <v>11796</v>
      </c>
      <c r="D67" s="15" t="s">
        <v>11684</v>
      </c>
      <c r="E67" s="4" t="s">
        <v>11797</v>
      </c>
      <c r="F67" s="4" t="s">
        <v>11709</v>
      </c>
      <c r="G67" s="62" t="s">
        <v>11687</v>
      </c>
      <c r="H67" t="s">
        <v>11695</v>
      </c>
      <c r="I67" s="2"/>
      <c r="K67" s="60" t="str">
        <f>IF(OR(Tbla_proyectos[[#This Row],[fecha_inicio]]="",Tbla_proyectos[[#This Row],[fecha_fin]]=""),"",DATEDIF(Tbla_proyectos[[#This Row],[fecha_inicio]],Tbla_proyectos[[#This Row],[fecha_fin]],"M"))</f>
        <v/>
      </c>
      <c r="L67" s="60" t="s">
        <v>11689</v>
      </c>
      <c r="M67" s="62" t="s">
        <v>11690</v>
      </c>
      <c r="N67" s="62">
        <f ca="1">IF(Tbla_proyectos[[#This Row],[municipio]]="","",VLOOKUP(Tbla_proyectos[[#This Row],[municipio]],INDIRECT(Tbla_proyectos[[#This Row],[departamento]]),2,0))</f>
        <v>4.3161076979999997</v>
      </c>
      <c r="O67" s="62">
        <f ca="1">IF(Tbla_proyectos[[#This Row],[municipio]]="","",VLOOKUP(Tbla_proyectos[[#This Row],[municipio]],INDIRECT(Tbla_proyectos[[#This Row],[departamento]]),2,0))</f>
        <v>4.3161076979999997</v>
      </c>
      <c r="P67" t="s">
        <v>11703</v>
      </c>
    </row>
    <row r="68" spans="1:16">
      <c r="A68" t="s">
        <v>8923</v>
      </c>
      <c r="B68" s="62" t="str">
        <f>LEFT(Tbla_proyectos[[#This Row],[codigo_proyecto]],4)</f>
        <v>2430</v>
      </c>
      <c r="C68" s="4" t="s">
        <v>11796</v>
      </c>
      <c r="D68" s="15" t="s">
        <v>11684</v>
      </c>
      <c r="E68" s="4" t="s">
        <v>11797</v>
      </c>
      <c r="F68" s="4" t="s">
        <v>11709</v>
      </c>
      <c r="G68" s="62" t="s">
        <v>11687</v>
      </c>
      <c r="H68" t="s">
        <v>11695</v>
      </c>
      <c r="I68" s="2"/>
      <c r="K68" s="60" t="str">
        <f>IF(OR(Tbla_proyectos[[#This Row],[fecha_inicio]]="",Tbla_proyectos[[#This Row],[fecha_fin]]=""),"",DATEDIF(Tbla_proyectos[[#This Row],[fecha_inicio]],Tbla_proyectos[[#This Row],[fecha_fin]],"M"))</f>
        <v/>
      </c>
      <c r="L68" s="60" t="s">
        <v>11689</v>
      </c>
      <c r="M68" s="62" t="s">
        <v>11690</v>
      </c>
      <c r="N68" s="62">
        <f ca="1">IF(Tbla_proyectos[[#This Row],[municipio]]="","",VLOOKUP(Tbla_proyectos[[#This Row],[municipio]],INDIRECT(Tbla_proyectos[[#This Row],[departamento]]),2,0))</f>
        <v>4.3161076979999997</v>
      </c>
      <c r="O68" s="62">
        <f ca="1">IF(Tbla_proyectos[[#This Row],[municipio]]="","",VLOOKUP(Tbla_proyectos[[#This Row],[municipio]],INDIRECT(Tbla_proyectos[[#This Row],[departamento]]),2,0))</f>
        <v>4.3161076979999997</v>
      </c>
      <c r="P68" t="s">
        <v>11703</v>
      </c>
    </row>
    <row r="69" spans="1:16">
      <c r="A69" t="s">
        <v>8721</v>
      </c>
      <c r="B69" s="62" t="str">
        <f>LEFT(Tbla_proyectos[[#This Row],[codigo_proyecto]],4)</f>
        <v>2430</v>
      </c>
      <c r="C69" s="4" t="s">
        <v>11796</v>
      </c>
      <c r="D69" s="15" t="s">
        <v>11684</v>
      </c>
      <c r="E69" s="4" t="s">
        <v>11797</v>
      </c>
      <c r="F69" s="4" t="s">
        <v>11709</v>
      </c>
      <c r="G69" s="62" t="s">
        <v>11687</v>
      </c>
      <c r="H69" t="s">
        <v>11695</v>
      </c>
      <c r="I69" s="2"/>
      <c r="K69" s="60" t="str">
        <f>IF(OR(Tbla_proyectos[[#This Row],[fecha_inicio]]="",Tbla_proyectos[[#This Row],[fecha_fin]]=""),"",DATEDIF(Tbla_proyectos[[#This Row],[fecha_inicio]],Tbla_proyectos[[#This Row],[fecha_fin]],"M"))</f>
        <v/>
      </c>
      <c r="L69" s="60" t="s">
        <v>11689</v>
      </c>
      <c r="M69" s="62" t="s">
        <v>11690</v>
      </c>
      <c r="N69" s="62">
        <f ca="1">IF(Tbla_proyectos[[#This Row],[municipio]]="","",VLOOKUP(Tbla_proyectos[[#This Row],[municipio]],INDIRECT(Tbla_proyectos[[#This Row],[departamento]]),2,0))</f>
        <v>4.3161076979999997</v>
      </c>
      <c r="O69" s="62">
        <f ca="1">IF(Tbla_proyectos[[#This Row],[municipio]]="","",VLOOKUP(Tbla_proyectos[[#This Row],[municipio]],INDIRECT(Tbla_proyectos[[#This Row],[departamento]]),2,0))</f>
        <v>4.3161076979999997</v>
      </c>
      <c r="P69" t="s">
        <v>11703</v>
      </c>
    </row>
    <row r="70" spans="1:16">
      <c r="A70" t="s">
        <v>9544</v>
      </c>
      <c r="B70" s="62" t="str">
        <f>LEFT(Tbla_proyectos[[#This Row],[codigo_proyecto]],4)</f>
        <v>2510</v>
      </c>
      <c r="C70" s="4" t="s">
        <v>11766</v>
      </c>
      <c r="D70" s="15" t="s">
        <v>11684</v>
      </c>
      <c r="E70" s="4" t="s">
        <v>11767</v>
      </c>
      <c r="F70" s="4" t="s">
        <v>11768</v>
      </c>
      <c r="G70" s="62" t="s">
        <v>11694</v>
      </c>
      <c r="H70" t="s">
        <v>11688</v>
      </c>
      <c r="I70" s="2"/>
      <c r="K70" s="60" t="str">
        <f>IF(OR(Tbla_proyectos[[#This Row],[fecha_inicio]]="",Tbla_proyectos[[#This Row],[fecha_fin]]=""),"",DATEDIF(Tbla_proyectos[[#This Row],[fecha_inicio]],Tbla_proyectos[[#This Row],[fecha_fin]],"M"))</f>
        <v/>
      </c>
      <c r="L70" s="60" t="s">
        <v>11689</v>
      </c>
      <c r="M70" s="62" t="s">
        <v>11690</v>
      </c>
      <c r="N70" s="62">
        <f ca="1">IF(Tbla_proyectos[[#This Row],[municipio]]="","",VLOOKUP(Tbla_proyectos[[#This Row],[municipio]],INDIRECT(Tbla_proyectos[[#This Row],[departamento]]),2,0))</f>
        <v>4.3161076979999997</v>
      </c>
      <c r="O70" s="62">
        <f ca="1">IF(Tbla_proyectos[[#This Row],[municipio]]="","",VLOOKUP(Tbla_proyectos[[#This Row],[municipio]],INDIRECT(Tbla_proyectos[[#This Row],[departamento]]),2,0))</f>
        <v>4.3161076979999997</v>
      </c>
    </row>
    <row r="71" spans="1:16">
      <c r="A71" t="s">
        <v>8583</v>
      </c>
      <c r="B71" s="62" t="str">
        <f>LEFT(Tbla_proyectos[[#This Row],[codigo_proyecto]],4)</f>
        <v>2430</v>
      </c>
      <c r="C71" s="4" t="s">
        <v>11793</v>
      </c>
      <c r="D71" s="15" t="s">
        <v>11684</v>
      </c>
      <c r="E71" s="4" t="s">
        <v>11767</v>
      </c>
      <c r="F71" s="4" t="s">
        <v>11768</v>
      </c>
      <c r="G71" s="62" t="s">
        <v>11694</v>
      </c>
      <c r="H71" t="s">
        <v>11688</v>
      </c>
      <c r="I71" s="2"/>
      <c r="K71" s="60" t="str">
        <f>IF(OR(Tbla_proyectos[[#This Row],[fecha_inicio]]="",Tbla_proyectos[[#This Row],[fecha_fin]]=""),"",DATEDIF(Tbla_proyectos[[#This Row],[fecha_inicio]],Tbla_proyectos[[#This Row],[fecha_fin]],"M"))</f>
        <v/>
      </c>
      <c r="L71" s="60" t="s">
        <v>11689</v>
      </c>
      <c r="M71" s="62" t="s">
        <v>11690</v>
      </c>
      <c r="N71" s="62">
        <f ca="1">IF(Tbla_proyectos[[#This Row],[municipio]]="","",VLOOKUP(Tbla_proyectos[[#This Row],[municipio]],INDIRECT(Tbla_proyectos[[#This Row],[departamento]]),2,0))</f>
        <v>4.3161076979999997</v>
      </c>
      <c r="O71" s="62">
        <f ca="1">IF(Tbla_proyectos[[#This Row],[municipio]]="","",VLOOKUP(Tbla_proyectos[[#This Row],[municipio]],INDIRECT(Tbla_proyectos[[#This Row],[departamento]]),2,0))</f>
        <v>4.3161076979999997</v>
      </c>
    </row>
    <row r="72" spans="1:16">
      <c r="A72" t="s">
        <v>9563</v>
      </c>
      <c r="B72" s="62" t="str">
        <f>LEFT(Tbla_proyectos[[#This Row],[codigo_proyecto]],4)</f>
        <v>2510</v>
      </c>
      <c r="C72" s="4" t="s">
        <v>11764</v>
      </c>
      <c r="D72" s="15" t="s">
        <v>11684</v>
      </c>
      <c r="E72" s="4" t="s">
        <v>11798</v>
      </c>
      <c r="F72" s="4" t="s">
        <v>11799</v>
      </c>
      <c r="G72" s="62" t="s">
        <v>11694</v>
      </c>
      <c r="H72" t="s">
        <v>11742</v>
      </c>
      <c r="I72" s="2"/>
      <c r="K72" s="60" t="str">
        <f>IF(OR(Tbla_proyectos[[#This Row],[fecha_inicio]]="",Tbla_proyectos[[#This Row],[fecha_fin]]=""),"",DATEDIF(Tbla_proyectos[[#This Row],[fecha_inicio]],Tbla_proyectos[[#This Row],[fecha_fin]],"M"))</f>
        <v/>
      </c>
      <c r="N72" s="62" t="str">
        <f ca="1">IF(Tbla_proyectos[[#This Row],[municipio]]="","",VLOOKUP(Tbla_proyectos[[#This Row],[municipio]],INDIRECT(Tbla_proyectos[[#This Row],[departamento]]),2,0))</f>
        <v/>
      </c>
      <c r="O72" s="62" t="str">
        <f ca="1">IF(Tbla_proyectos[[#This Row],[municipio]]="","",VLOOKUP(Tbla_proyectos[[#This Row],[municipio]],INDIRECT(Tbla_proyectos[[#This Row],[departamento]]),2,0))</f>
        <v/>
      </c>
      <c r="P72" t="s">
        <v>11696</v>
      </c>
    </row>
    <row r="73" spans="1:16">
      <c r="A73" t="s">
        <v>8567</v>
      </c>
      <c r="B73" s="62" t="str">
        <f>LEFT(Tbla_proyectos[[#This Row],[codigo_proyecto]],4)</f>
        <v>2430</v>
      </c>
      <c r="C73" s="4" t="s">
        <v>11773</v>
      </c>
      <c r="D73" s="15" t="s">
        <v>11684</v>
      </c>
      <c r="E73" s="4" t="s">
        <v>11800</v>
      </c>
      <c r="F73" s="4" t="s">
        <v>11801</v>
      </c>
      <c r="G73" s="62" t="s">
        <v>11719</v>
      </c>
      <c r="H73" t="s">
        <v>11727</v>
      </c>
      <c r="I73" s="2"/>
      <c r="K73" s="60" t="str">
        <f>IF(OR(Tbla_proyectos[[#This Row],[fecha_inicio]]="",Tbla_proyectos[[#This Row],[fecha_fin]]=""),"",DATEDIF(Tbla_proyectos[[#This Row],[fecha_inicio]],Tbla_proyectos[[#This Row],[fecha_fin]],"M"))</f>
        <v/>
      </c>
      <c r="L73" s="60" t="s">
        <v>11714</v>
      </c>
      <c r="M73" s="62" t="s">
        <v>11802</v>
      </c>
      <c r="N73" s="62">
        <f ca="1">IF(Tbla_proyectos[[#This Row],[municipio]]="","",VLOOKUP(Tbla_proyectos[[#This Row],[municipio]],INDIRECT(Tbla_proyectos[[#This Row],[departamento]]),2,0))</f>
        <v>4.8340523339999999</v>
      </c>
      <c r="O73" s="62">
        <f ca="1">IF(Tbla_proyectos[[#This Row],[municipio]]="","",VLOOKUP(Tbla_proyectos[[#This Row],[municipio]],INDIRECT(Tbla_proyectos[[#This Row],[departamento]]),2,0))</f>
        <v>4.8340523339999999</v>
      </c>
      <c r="P73" t="s">
        <v>11703</v>
      </c>
    </row>
    <row r="74" spans="1:16">
      <c r="A74" t="s">
        <v>9570</v>
      </c>
      <c r="B74" s="62" t="str">
        <f>LEFT(Tbla_proyectos[[#This Row],[codigo_proyecto]],4)</f>
        <v>2510</v>
      </c>
      <c r="C74" s="4"/>
      <c r="D74" s="15" t="s">
        <v>11684</v>
      </c>
      <c r="E74" s="4" t="s">
        <v>11705</v>
      </c>
      <c r="F74" s="4" t="s">
        <v>11693</v>
      </c>
      <c r="G74" s="62" t="s">
        <v>11694</v>
      </c>
      <c r="H74" t="s">
        <v>11757</v>
      </c>
      <c r="I74" s="2"/>
      <c r="K74" s="60" t="str">
        <f>IF(OR(Tbla_proyectos[[#This Row],[fecha_inicio]]="",Tbla_proyectos[[#This Row],[fecha_fin]]=""),"",DATEDIF(Tbla_proyectos[[#This Row],[fecha_inicio]],Tbla_proyectos[[#This Row],[fecha_fin]],"M"))</f>
        <v/>
      </c>
      <c r="L74" s="60" t="s">
        <v>11689</v>
      </c>
      <c r="M74" s="62" t="s">
        <v>11690</v>
      </c>
      <c r="N74" s="62">
        <f ca="1">IF(Tbla_proyectos[[#This Row],[municipio]]="","",VLOOKUP(Tbla_proyectos[[#This Row],[municipio]],INDIRECT(Tbla_proyectos[[#This Row],[departamento]]),2,0))</f>
        <v>4.3161076979999997</v>
      </c>
      <c r="O74" s="62">
        <f ca="1">IF(Tbla_proyectos[[#This Row],[municipio]]="","",VLOOKUP(Tbla_proyectos[[#This Row],[municipio]],INDIRECT(Tbla_proyectos[[#This Row],[departamento]]),2,0))</f>
        <v>4.3161076979999997</v>
      </c>
      <c r="P74" t="s">
        <v>11703</v>
      </c>
    </row>
    <row r="75" spans="1:16">
      <c r="A75" t="s">
        <v>8532</v>
      </c>
      <c r="B75" s="62" t="str">
        <f>LEFT(Tbla_proyectos[[#This Row],[codigo_proyecto]],4)</f>
        <v>2430</v>
      </c>
      <c r="C75" s="4"/>
      <c r="D75" s="15" t="s">
        <v>11684</v>
      </c>
      <c r="E75" s="4" t="s">
        <v>11705</v>
      </c>
      <c r="F75" s="4" t="s">
        <v>11693</v>
      </c>
      <c r="G75" s="62" t="s">
        <v>11694</v>
      </c>
      <c r="H75" t="s">
        <v>11757</v>
      </c>
      <c r="I75" s="2"/>
      <c r="K75" s="60" t="str">
        <f>IF(OR(Tbla_proyectos[[#This Row],[fecha_inicio]]="",Tbla_proyectos[[#This Row],[fecha_fin]]=""),"",DATEDIF(Tbla_proyectos[[#This Row],[fecha_inicio]],Tbla_proyectos[[#This Row],[fecha_fin]],"M"))</f>
        <v/>
      </c>
      <c r="L75" s="60" t="s">
        <v>11689</v>
      </c>
      <c r="M75" s="62" t="s">
        <v>11690</v>
      </c>
      <c r="N75" s="62">
        <f ca="1">IF(Tbla_proyectos[[#This Row],[municipio]]="","",VLOOKUP(Tbla_proyectos[[#This Row],[municipio]],INDIRECT(Tbla_proyectos[[#This Row],[departamento]]),2,0))</f>
        <v>4.3161076979999997</v>
      </c>
      <c r="O75" s="62">
        <f ca="1">IF(Tbla_proyectos[[#This Row],[municipio]]="","",VLOOKUP(Tbla_proyectos[[#This Row],[municipio]],INDIRECT(Tbla_proyectos[[#This Row],[departamento]]),2,0))</f>
        <v>4.3161076979999997</v>
      </c>
      <c r="P75" t="s">
        <v>11703</v>
      </c>
    </row>
    <row r="76" spans="1:16">
      <c r="A76" t="s">
        <v>9577</v>
      </c>
      <c r="B76" s="62" t="str">
        <f>LEFT(Tbla_proyectos[[#This Row],[codigo_proyecto]],4)</f>
        <v>2510</v>
      </c>
      <c r="C76" s="4" t="s">
        <v>11803</v>
      </c>
      <c r="D76" s="15" t="s">
        <v>11684</v>
      </c>
      <c r="E76" s="4" t="s">
        <v>11804</v>
      </c>
      <c r="F76" s="4" t="s">
        <v>11805</v>
      </c>
      <c r="G76" s="62" t="s">
        <v>11726</v>
      </c>
      <c r="H76" t="s">
        <v>11722</v>
      </c>
      <c r="I76" s="2"/>
      <c r="K76" s="60" t="str">
        <f>IF(OR(Tbla_proyectos[[#This Row],[fecha_inicio]]="",Tbla_proyectos[[#This Row],[fecha_fin]]=""),"",DATEDIF(Tbla_proyectos[[#This Row],[fecha_inicio]],Tbla_proyectos[[#This Row],[fecha_fin]],"M"))</f>
        <v/>
      </c>
      <c r="L76" s="60" t="s">
        <v>11689</v>
      </c>
      <c r="M76" s="62" t="s">
        <v>11690</v>
      </c>
      <c r="N76" s="62">
        <f ca="1">IF(Tbla_proyectos[[#This Row],[municipio]]="","",VLOOKUP(Tbla_proyectos[[#This Row],[municipio]],INDIRECT(Tbla_proyectos[[#This Row],[departamento]]),2,0))</f>
        <v>4.3161076979999997</v>
      </c>
      <c r="O76" s="62">
        <f ca="1">IF(Tbla_proyectos[[#This Row],[municipio]]="","",VLOOKUP(Tbla_proyectos[[#This Row],[municipio]],INDIRECT(Tbla_proyectos[[#This Row],[departamento]]),2,0))</f>
        <v>4.3161076979999997</v>
      </c>
      <c r="P76" t="s">
        <v>11703</v>
      </c>
    </row>
    <row r="77" spans="1:16">
      <c r="A77" t="s">
        <v>8551</v>
      </c>
      <c r="B77" s="62" t="str">
        <f>LEFT(Tbla_proyectos[[#This Row],[codigo_proyecto]],4)</f>
        <v>2430</v>
      </c>
      <c r="C77" s="4" t="s">
        <v>11803</v>
      </c>
      <c r="D77" s="15" t="s">
        <v>11684</v>
      </c>
      <c r="E77" s="4" t="s">
        <v>11804</v>
      </c>
      <c r="F77" s="4" t="s">
        <v>11805</v>
      </c>
      <c r="G77" s="62" t="s">
        <v>11726</v>
      </c>
      <c r="H77" t="s">
        <v>11688</v>
      </c>
      <c r="I77" s="2"/>
      <c r="K77" s="60" t="str">
        <f>IF(OR(Tbla_proyectos[[#This Row],[fecha_inicio]]="",Tbla_proyectos[[#This Row],[fecha_fin]]=""),"",DATEDIF(Tbla_proyectos[[#This Row],[fecha_inicio]],Tbla_proyectos[[#This Row],[fecha_fin]],"M"))</f>
        <v/>
      </c>
      <c r="L77" s="60" t="s">
        <v>11689</v>
      </c>
      <c r="M77" s="62" t="s">
        <v>11690</v>
      </c>
      <c r="N77" s="62">
        <f ca="1">IF(Tbla_proyectos[[#This Row],[municipio]]="","",VLOOKUP(Tbla_proyectos[[#This Row],[municipio]],INDIRECT(Tbla_proyectos[[#This Row],[departamento]]),2,0))</f>
        <v>4.3161076979999997</v>
      </c>
      <c r="O77" s="62">
        <f ca="1">IF(Tbla_proyectos[[#This Row],[municipio]]="","",VLOOKUP(Tbla_proyectos[[#This Row],[municipio]],INDIRECT(Tbla_proyectos[[#This Row],[departamento]]),2,0))</f>
        <v>4.3161076979999997</v>
      </c>
    </row>
    <row r="78" spans="1:16">
      <c r="A78" t="s">
        <v>8528</v>
      </c>
      <c r="B78" s="62" t="str">
        <f>LEFT(Tbla_proyectos[[#This Row],[codigo_proyecto]],4)</f>
        <v>2430</v>
      </c>
      <c r="C78" s="4" t="s">
        <v>11806</v>
      </c>
      <c r="D78" s="15" t="s">
        <v>11684</v>
      </c>
      <c r="E78" s="4" t="s">
        <v>11807</v>
      </c>
      <c r="F78" s="4" t="s">
        <v>11795</v>
      </c>
      <c r="G78" s="62" t="s">
        <v>11687</v>
      </c>
      <c r="H78" t="s">
        <v>11688</v>
      </c>
      <c r="I78" s="2"/>
      <c r="K78" s="60" t="str">
        <f>IF(OR(Tbla_proyectos[[#This Row],[fecha_inicio]]="",Tbla_proyectos[[#This Row],[fecha_fin]]=""),"",DATEDIF(Tbla_proyectos[[#This Row],[fecha_inicio]],Tbla_proyectos[[#This Row],[fecha_fin]],"M"))</f>
        <v/>
      </c>
      <c r="L78" s="60" t="s">
        <v>11689</v>
      </c>
      <c r="M78" s="62" t="s">
        <v>11690</v>
      </c>
      <c r="N78" s="62">
        <f ca="1">IF(Tbla_proyectos[[#This Row],[municipio]]="","",VLOOKUP(Tbla_proyectos[[#This Row],[municipio]],INDIRECT(Tbla_proyectos[[#This Row],[departamento]]),2,0))</f>
        <v>4.3161076979999997</v>
      </c>
      <c r="O78" s="62">
        <f ca="1">IF(Tbla_proyectos[[#This Row],[municipio]]="","",VLOOKUP(Tbla_proyectos[[#This Row],[municipio]],INDIRECT(Tbla_proyectos[[#This Row],[departamento]]),2,0))</f>
        <v>4.3161076979999997</v>
      </c>
      <c r="P78" t="s">
        <v>11703</v>
      </c>
    </row>
    <row r="79" spans="1:16">
      <c r="A79" t="s">
        <v>9584</v>
      </c>
      <c r="B79" s="62" t="str">
        <f>LEFT(Tbla_proyectos[[#This Row],[codigo_proyecto]],4)</f>
        <v>2510</v>
      </c>
      <c r="C79" s="4" t="s">
        <v>11806</v>
      </c>
      <c r="D79" s="15" t="s">
        <v>11684</v>
      </c>
      <c r="E79" s="4" t="s">
        <v>11807</v>
      </c>
      <c r="F79" s="4" t="s">
        <v>11795</v>
      </c>
      <c r="G79" s="62" t="s">
        <v>11687</v>
      </c>
      <c r="H79" t="s">
        <v>11722</v>
      </c>
      <c r="I79" s="2"/>
      <c r="K79" s="60" t="str">
        <f>IF(OR(Tbla_proyectos[[#This Row],[fecha_inicio]]="",Tbla_proyectos[[#This Row],[fecha_fin]]=""),"",DATEDIF(Tbla_proyectos[[#This Row],[fecha_inicio]],Tbla_proyectos[[#This Row],[fecha_fin]],"M"))</f>
        <v/>
      </c>
      <c r="L79" s="60" t="s">
        <v>11689</v>
      </c>
      <c r="M79" s="62" t="s">
        <v>11690</v>
      </c>
      <c r="N79" s="62">
        <f ca="1">IF(Tbla_proyectos[[#This Row],[municipio]]="","",VLOOKUP(Tbla_proyectos[[#This Row],[municipio]],INDIRECT(Tbla_proyectos[[#This Row],[departamento]]),2,0))</f>
        <v>4.3161076979999997</v>
      </c>
      <c r="O79" s="62">
        <f ca="1">IF(Tbla_proyectos[[#This Row],[municipio]]="","",VLOOKUP(Tbla_proyectos[[#This Row],[municipio]],INDIRECT(Tbla_proyectos[[#This Row],[departamento]]),2,0))</f>
        <v>4.3161076979999997</v>
      </c>
      <c r="P79" t="s">
        <v>11703</v>
      </c>
    </row>
    <row r="80" spans="1:16">
      <c r="A80" t="s">
        <v>10409</v>
      </c>
      <c r="B80" s="62" t="str">
        <f>LEFT(Tbla_proyectos[[#This Row],[codigo_proyecto]],4)</f>
        <v>2530</v>
      </c>
      <c r="C80" s="4" t="s">
        <v>11806</v>
      </c>
      <c r="D80" s="15" t="s">
        <v>11684</v>
      </c>
      <c r="E80" s="4" t="s">
        <v>11807</v>
      </c>
      <c r="F80" s="4" t="s">
        <v>11795</v>
      </c>
      <c r="G80" s="62" t="s">
        <v>11687</v>
      </c>
      <c r="H80" t="s">
        <v>11722</v>
      </c>
      <c r="I80" s="2"/>
      <c r="K80" s="60" t="str">
        <f>IF(OR(Tbla_proyectos[[#This Row],[fecha_inicio]]="",Tbla_proyectos[[#This Row],[fecha_fin]]=""),"",DATEDIF(Tbla_proyectos[[#This Row],[fecha_inicio]],Tbla_proyectos[[#This Row],[fecha_fin]],"M"))</f>
        <v/>
      </c>
      <c r="L80" s="60" t="s">
        <v>11689</v>
      </c>
      <c r="M80" s="62" t="s">
        <v>11690</v>
      </c>
      <c r="N80" s="62">
        <f ca="1">IF(Tbla_proyectos[[#This Row],[municipio]]="","",VLOOKUP(Tbla_proyectos[[#This Row],[municipio]],INDIRECT(Tbla_proyectos[[#This Row],[departamento]]),2,0))</f>
        <v>4.3161076979999997</v>
      </c>
      <c r="O80" s="62">
        <f ca="1">IF(Tbla_proyectos[[#This Row],[municipio]]="","",VLOOKUP(Tbla_proyectos[[#This Row],[municipio]],INDIRECT(Tbla_proyectos[[#This Row],[departamento]]),2,0))</f>
        <v>4.3161076979999997</v>
      </c>
      <c r="P80" t="s">
        <v>11703</v>
      </c>
    </row>
    <row r="81" spans="1:16">
      <c r="A81" t="s">
        <v>9594</v>
      </c>
      <c r="B81" s="62" t="str">
        <f>LEFT(Tbla_proyectos[[#This Row],[codigo_proyecto]],4)</f>
        <v>2510</v>
      </c>
      <c r="C81" s="4" t="s">
        <v>11808</v>
      </c>
      <c r="D81" s="15" t="s">
        <v>11684</v>
      </c>
      <c r="E81" s="4" t="s">
        <v>11809</v>
      </c>
      <c r="F81" s="4" t="s">
        <v>11693</v>
      </c>
      <c r="G81" s="62" t="s">
        <v>11694</v>
      </c>
      <c r="H81" t="s">
        <v>11695</v>
      </c>
      <c r="I81" s="2"/>
      <c r="K81" s="60" t="str">
        <f>IF(OR(Tbla_proyectos[[#This Row],[fecha_inicio]]="",Tbla_proyectos[[#This Row],[fecha_fin]]=""),"",DATEDIF(Tbla_proyectos[[#This Row],[fecha_inicio]],Tbla_proyectos[[#This Row],[fecha_fin]],"M"))</f>
        <v/>
      </c>
      <c r="L81" s="60" t="s">
        <v>11689</v>
      </c>
      <c r="M81" s="62" t="s">
        <v>11690</v>
      </c>
      <c r="N81" s="62">
        <f ca="1">IF(Tbla_proyectos[[#This Row],[municipio]]="","",VLOOKUP(Tbla_proyectos[[#This Row],[municipio]],INDIRECT(Tbla_proyectos[[#This Row],[departamento]]),2,0))</f>
        <v>4.3161076979999997</v>
      </c>
      <c r="O81" s="62">
        <f ca="1">IF(Tbla_proyectos[[#This Row],[municipio]]="","",VLOOKUP(Tbla_proyectos[[#This Row],[municipio]],INDIRECT(Tbla_proyectos[[#This Row],[departamento]]),2,0))</f>
        <v>4.3161076979999997</v>
      </c>
      <c r="P81" t="s">
        <v>11696</v>
      </c>
    </row>
    <row r="82" spans="1:16">
      <c r="A82" t="s">
        <v>10422</v>
      </c>
      <c r="B82" s="62" t="str">
        <f>LEFT(Tbla_proyectos[[#This Row],[codigo_proyecto]],4)</f>
        <v>2530</v>
      </c>
      <c r="C82" s="4" t="s">
        <v>11810</v>
      </c>
      <c r="D82" s="15" t="s">
        <v>11684</v>
      </c>
      <c r="E82" s="4" t="s">
        <v>11809</v>
      </c>
      <c r="F82" s="4" t="s">
        <v>11693</v>
      </c>
      <c r="G82" s="62" t="s">
        <v>11694</v>
      </c>
      <c r="H82" t="s">
        <v>11695</v>
      </c>
      <c r="I82" s="2"/>
      <c r="K82" s="60" t="str">
        <f>IF(OR(Tbla_proyectos[[#This Row],[fecha_inicio]]="",Tbla_proyectos[[#This Row],[fecha_fin]]=""),"",DATEDIF(Tbla_proyectos[[#This Row],[fecha_inicio]],Tbla_proyectos[[#This Row],[fecha_fin]],"M"))</f>
        <v/>
      </c>
      <c r="L82" s="60" t="s">
        <v>11689</v>
      </c>
      <c r="M82" s="62" t="s">
        <v>11690</v>
      </c>
      <c r="N82" s="62">
        <f ca="1">IF(Tbla_proyectos[[#This Row],[municipio]]="","",VLOOKUP(Tbla_proyectos[[#This Row],[municipio]],INDIRECT(Tbla_proyectos[[#This Row],[departamento]]),2,0))</f>
        <v>4.3161076979999997</v>
      </c>
      <c r="O82" s="62">
        <f ca="1">IF(Tbla_proyectos[[#This Row],[municipio]]="","",VLOOKUP(Tbla_proyectos[[#This Row],[municipio]],INDIRECT(Tbla_proyectos[[#This Row],[departamento]]),2,0))</f>
        <v>4.3161076979999997</v>
      </c>
      <c r="P82" t="s">
        <v>11703</v>
      </c>
    </row>
    <row r="83" spans="1:16">
      <c r="A83" t="s">
        <v>10426</v>
      </c>
      <c r="B83" s="62" t="str">
        <f>LEFT(Tbla_proyectos[[#This Row],[codigo_proyecto]],4)</f>
        <v>2530</v>
      </c>
      <c r="C83" s="4" t="s">
        <v>11811</v>
      </c>
      <c r="D83" s="15" t="s">
        <v>11684</v>
      </c>
      <c r="E83" s="4" t="s">
        <v>11809</v>
      </c>
      <c r="F83" s="4" t="s">
        <v>11693</v>
      </c>
      <c r="G83" s="62" t="s">
        <v>11694</v>
      </c>
      <c r="H83" t="s">
        <v>11695</v>
      </c>
      <c r="I83" s="2"/>
      <c r="K83" s="60" t="str">
        <f>IF(OR(Tbla_proyectos[[#This Row],[fecha_inicio]]="",Tbla_proyectos[[#This Row],[fecha_fin]]=""),"",DATEDIF(Tbla_proyectos[[#This Row],[fecha_inicio]],Tbla_proyectos[[#This Row],[fecha_fin]],"M"))</f>
        <v/>
      </c>
      <c r="L83" s="60" t="s">
        <v>11689</v>
      </c>
      <c r="M83" s="62" t="s">
        <v>11690</v>
      </c>
      <c r="N83" s="62">
        <f ca="1">IF(Tbla_proyectos[[#This Row],[municipio]]="","",VLOOKUP(Tbla_proyectos[[#This Row],[municipio]],INDIRECT(Tbla_proyectos[[#This Row],[departamento]]),2,0))</f>
        <v>4.3161076979999997</v>
      </c>
      <c r="O83" s="62">
        <f ca="1">IF(Tbla_proyectos[[#This Row],[municipio]]="","",VLOOKUP(Tbla_proyectos[[#This Row],[municipio]],INDIRECT(Tbla_proyectos[[#This Row],[departamento]]),2,0))</f>
        <v>4.3161076979999997</v>
      </c>
      <c r="P83" t="s">
        <v>11703</v>
      </c>
    </row>
    <row r="84" spans="1:16">
      <c r="A84" t="s">
        <v>8848</v>
      </c>
      <c r="B84" s="62" t="str">
        <f>LEFT(Tbla_proyectos[[#This Row],[codigo_proyecto]],4)</f>
        <v>2430</v>
      </c>
      <c r="C84" s="4" t="s">
        <v>11812</v>
      </c>
      <c r="D84" s="15" t="s">
        <v>11684</v>
      </c>
      <c r="E84" s="4" t="s">
        <v>11813</v>
      </c>
      <c r="F84" s="4" t="s">
        <v>11814</v>
      </c>
      <c r="G84" s="62" t="s">
        <v>11694</v>
      </c>
      <c r="H84" t="s">
        <v>11695</v>
      </c>
      <c r="I84" s="2"/>
      <c r="K84" s="60" t="str">
        <f>IF(OR(Tbla_proyectos[[#This Row],[fecha_inicio]]="",Tbla_proyectos[[#This Row],[fecha_fin]]=""),"",DATEDIF(Tbla_proyectos[[#This Row],[fecha_inicio]],Tbla_proyectos[[#This Row],[fecha_fin]],"M"))</f>
        <v/>
      </c>
      <c r="L84" s="60" t="s">
        <v>11689</v>
      </c>
      <c r="M84" s="62" t="s">
        <v>11690</v>
      </c>
      <c r="N84" s="62">
        <f ca="1">IF(Tbla_proyectos[[#This Row],[municipio]]="","",VLOOKUP(Tbla_proyectos[[#This Row],[municipio]],INDIRECT(Tbla_proyectos[[#This Row],[departamento]]),2,0))</f>
        <v>4.3161076979999997</v>
      </c>
      <c r="O84" s="62">
        <f ca="1">IF(Tbla_proyectos[[#This Row],[municipio]]="","",VLOOKUP(Tbla_proyectos[[#This Row],[municipio]],INDIRECT(Tbla_proyectos[[#This Row],[departamento]]),2,0))</f>
        <v>4.3161076979999997</v>
      </c>
      <c r="P84" t="s">
        <v>11703</v>
      </c>
    </row>
    <row r="85" spans="1:16">
      <c r="A85" t="s">
        <v>9614</v>
      </c>
      <c r="B85" s="62" t="str">
        <f>LEFT(Tbla_proyectos[[#This Row],[codigo_proyecto]],4)</f>
        <v>2510</v>
      </c>
      <c r="C85" s="4"/>
      <c r="D85" s="15" t="s">
        <v>11684</v>
      </c>
      <c r="E85" s="4" t="s">
        <v>11705</v>
      </c>
      <c r="F85" s="4" t="s">
        <v>11693</v>
      </c>
      <c r="G85" s="62" t="s">
        <v>11694</v>
      </c>
      <c r="H85" t="s">
        <v>11757</v>
      </c>
      <c r="I85" s="2"/>
      <c r="K85" s="60" t="str">
        <f>IF(OR(Tbla_proyectos[[#This Row],[fecha_inicio]]="",Tbla_proyectos[[#This Row],[fecha_fin]]=""),"",DATEDIF(Tbla_proyectos[[#This Row],[fecha_inicio]],Tbla_proyectos[[#This Row],[fecha_fin]],"M"))</f>
        <v/>
      </c>
      <c r="L85" s="60" t="s">
        <v>11689</v>
      </c>
      <c r="M85" s="62" t="s">
        <v>11690</v>
      </c>
      <c r="N85" s="62">
        <f ca="1">IF(Tbla_proyectos[[#This Row],[municipio]]="","",VLOOKUP(Tbla_proyectos[[#This Row],[municipio]],INDIRECT(Tbla_proyectos[[#This Row],[departamento]]),2,0))</f>
        <v>4.3161076979999997</v>
      </c>
      <c r="O85" s="62">
        <f ca="1">IF(Tbla_proyectos[[#This Row],[municipio]]="","",VLOOKUP(Tbla_proyectos[[#This Row],[municipio]],INDIRECT(Tbla_proyectos[[#This Row],[departamento]]),2,0))</f>
        <v>4.3161076979999997</v>
      </c>
      <c r="P85" t="s">
        <v>11703</v>
      </c>
    </row>
    <row r="86" spans="1:16">
      <c r="A86" t="s">
        <v>10101</v>
      </c>
      <c r="B86" s="62" t="str">
        <f>LEFT(Tbla_proyectos[[#This Row],[codigo_proyecto]],4)</f>
        <v>2530</v>
      </c>
      <c r="C86" s="4" t="s">
        <v>11815</v>
      </c>
      <c r="D86" s="15" t="s">
        <v>11684</v>
      </c>
      <c r="E86" s="4" t="s">
        <v>11705</v>
      </c>
      <c r="F86" s="4" t="s">
        <v>11693</v>
      </c>
      <c r="G86" s="62" t="s">
        <v>11694</v>
      </c>
      <c r="H86" t="s">
        <v>11757</v>
      </c>
      <c r="I86" s="2"/>
      <c r="K86" s="60" t="str">
        <f>IF(OR(Tbla_proyectos[[#This Row],[fecha_inicio]]="",Tbla_proyectos[[#This Row],[fecha_fin]]=""),"",DATEDIF(Tbla_proyectos[[#This Row],[fecha_inicio]],Tbla_proyectos[[#This Row],[fecha_fin]],"M"))</f>
        <v/>
      </c>
      <c r="L86" s="60" t="s">
        <v>11689</v>
      </c>
      <c r="M86" s="62" t="s">
        <v>11690</v>
      </c>
      <c r="N86" s="62">
        <f ca="1">IF(Tbla_proyectos[[#This Row],[municipio]]="","",VLOOKUP(Tbla_proyectos[[#This Row],[municipio]],INDIRECT(Tbla_proyectos[[#This Row],[departamento]]),2,0))</f>
        <v>4.3161076979999997</v>
      </c>
      <c r="O86" s="62">
        <f ca="1">IF(Tbla_proyectos[[#This Row],[municipio]]="","",VLOOKUP(Tbla_proyectos[[#This Row],[municipio]],INDIRECT(Tbla_proyectos[[#This Row],[departamento]]),2,0))</f>
        <v>4.3161076979999997</v>
      </c>
      <c r="P86" t="s">
        <v>11703</v>
      </c>
    </row>
    <row r="87" spans="1:16">
      <c r="A87" t="s">
        <v>8797</v>
      </c>
      <c r="B87" s="62" t="str">
        <f>LEFT(Tbla_proyectos[[#This Row],[codigo_proyecto]],4)</f>
        <v>2430</v>
      </c>
      <c r="C87" s="4"/>
      <c r="D87" s="15" t="s">
        <v>11684</v>
      </c>
      <c r="E87" s="4" t="s">
        <v>11705</v>
      </c>
      <c r="F87" s="4" t="s">
        <v>11693</v>
      </c>
      <c r="G87" s="62" t="s">
        <v>11694</v>
      </c>
      <c r="H87" t="s">
        <v>11757</v>
      </c>
      <c r="I87" s="2"/>
      <c r="K87" s="60" t="str">
        <f>IF(OR(Tbla_proyectos[[#This Row],[fecha_inicio]]="",Tbla_proyectos[[#This Row],[fecha_fin]]=""),"",DATEDIF(Tbla_proyectos[[#This Row],[fecha_inicio]],Tbla_proyectos[[#This Row],[fecha_fin]],"M"))</f>
        <v/>
      </c>
      <c r="L87" s="60" t="s">
        <v>11689</v>
      </c>
      <c r="M87" s="62" t="s">
        <v>11690</v>
      </c>
      <c r="N87" s="62">
        <f ca="1">IF(Tbla_proyectos[[#This Row],[municipio]]="","",VLOOKUP(Tbla_proyectos[[#This Row],[municipio]],INDIRECT(Tbla_proyectos[[#This Row],[departamento]]),2,0))</f>
        <v>4.3161076979999997</v>
      </c>
      <c r="O87" s="62">
        <f ca="1">IF(Tbla_proyectos[[#This Row],[municipio]]="","",VLOOKUP(Tbla_proyectos[[#This Row],[municipio]],INDIRECT(Tbla_proyectos[[#This Row],[departamento]]),2,0))</f>
        <v>4.3161076979999997</v>
      </c>
      <c r="P87" t="s">
        <v>11703</v>
      </c>
    </row>
    <row r="88" spans="1:16">
      <c r="A88" t="s">
        <v>9601</v>
      </c>
      <c r="B88" s="62" t="str">
        <f>LEFT(Tbla_proyectos[[#This Row],[codigo_proyecto]],4)</f>
        <v>2510</v>
      </c>
      <c r="C88" s="4" t="s">
        <v>11816</v>
      </c>
      <c r="D88" s="15" t="s">
        <v>11684</v>
      </c>
      <c r="E88" s="4" t="s">
        <v>11817</v>
      </c>
      <c r="F88" s="4" t="s">
        <v>11709</v>
      </c>
      <c r="G88" s="62" t="s">
        <v>11687</v>
      </c>
      <c r="H88" t="s">
        <v>11695</v>
      </c>
      <c r="I88" s="2"/>
      <c r="K88" s="60" t="str">
        <f>IF(OR(Tbla_proyectos[[#This Row],[fecha_inicio]]="",Tbla_proyectos[[#This Row],[fecha_fin]]=""),"",DATEDIF(Tbla_proyectos[[#This Row],[fecha_inicio]],Tbla_proyectos[[#This Row],[fecha_fin]],"M"))</f>
        <v/>
      </c>
      <c r="L88" s="60" t="s">
        <v>11689</v>
      </c>
      <c r="M88" s="62" t="s">
        <v>11690</v>
      </c>
      <c r="N88" s="62">
        <f ca="1">IF(Tbla_proyectos[[#This Row],[municipio]]="","",VLOOKUP(Tbla_proyectos[[#This Row],[municipio]],INDIRECT(Tbla_proyectos[[#This Row],[departamento]]),2,0))</f>
        <v>4.3161076979999997</v>
      </c>
      <c r="O88" s="62">
        <f ca="1">IF(Tbla_proyectos[[#This Row],[municipio]]="","",VLOOKUP(Tbla_proyectos[[#This Row],[municipio]],INDIRECT(Tbla_proyectos[[#This Row],[departamento]]),2,0))</f>
        <v>4.3161076979999997</v>
      </c>
      <c r="P88" t="s">
        <v>11703</v>
      </c>
    </row>
    <row r="89" spans="1:16">
      <c r="A89" t="s">
        <v>10455</v>
      </c>
      <c r="B89" s="62" t="str">
        <f>LEFT(Tbla_proyectos[[#This Row],[codigo_proyecto]],4)</f>
        <v>2530</v>
      </c>
      <c r="C89" s="4" t="s">
        <v>11816</v>
      </c>
      <c r="D89" s="15" t="s">
        <v>11684</v>
      </c>
      <c r="E89" s="4" t="s">
        <v>11817</v>
      </c>
      <c r="F89" s="4" t="s">
        <v>11709</v>
      </c>
      <c r="G89" s="62" t="s">
        <v>11687</v>
      </c>
      <c r="H89" t="s">
        <v>11695</v>
      </c>
      <c r="I89" s="2"/>
      <c r="K89" s="60" t="str">
        <f>IF(OR(Tbla_proyectos[[#This Row],[fecha_inicio]]="",Tbla_proyectos[[#This Row],[fecha_fin]]=""),"",DATEDIF(Tbla_proyectos[[#This Row],[fecha_inicio]],Tbla_proyectos[[#This Row],[fecha_fin]],"M"))</f>
        <v/>
      </c>
      <c r="L89" s="60" t="s">
        <v>11689</v>
      </c>
      <c r="M89" s="62" t="s">
        <v>11690</v>
      </c>
      <c r="N89" s="62">
        <f ca="1">IF(Tbla_proyectos[[#This Row],[municipio]]="","",VLOOKUP(Tbla_proyectos[[#This Row],[municipio]],INDIRECT(Tbla_proyectos[[#This Row],[departamento]]),2,0))</f>
        <v>4.3161076979999997</v>
      </c>
      <c r="O89" s="62">
        <f ca="1">IF(Tbla_proyectos[[#This Row],[municipio]]="","",VLOOKUP(Tbla_proyectos[[#This Row],[municipio]],INDIRECT(Tbla_proyectos[[#This Row],[departamento]]),2,0))</f>
        <v>4.3161076979999997</v>
      </c>
      <c r="P89" t="s">
        <v>11703</v>
      </c>
    </row>
    <row r="90" spans="1:16">
      <c r="A90" t="s">
        <v>10436</v>
      </c>
      <c r="B90" s="62" t="str">
        <f>LEFT(Tbla_proyectos[[#This Row],[codigo_proyecto]],4)</f>
        <v>2530</v>
      </c>
      <c r="C90" s="4" t="s">
        <v>11818</v>
      </c>
      <c r="D90" s="15" t="s">
        <v>11684</v>
      </c>
      <c r="E90" s="4" t="s">
        <v>11817</v>
      </c>
      <c r="F90" s="4" t="s">
        <v>11709</v>
      </c>
      <c r="G90" s="62" t="s">
        <v>11687</v>
      </c>
      <c r="H90" t="s">
        <v>11695</v>
      </c>
      <c r="I90" s="2"/>
      <c r="K90" s="60" t="str">
        <f>IF(OR(Tbla_proyectos[[#This Row],[fecha_inicio]]="",Tbla_proyectos[[#This Row],[fecha_fin]]=""),"",DATEDIF(Tbla_proyectos[[#This Row],[fecha_inicio]],Tbla_proyectos[[#This Row],[fecha_fin]],"M"))</f>
        <v/>
      </c>
      <c r="L90" s="60" t="s">
        <v>11689</v>
      </c>
      <c r="M90" s="62" t="s">
        <v>11690</v>
      </c>
      <c r="N90" s="62">
        <f ca="1">IF(Tbla_proyectos[[#This Row],[municipio]]="","",VLOOKUP(Tbla_proyectos[[#This Row],[municipio]],INDIRECT(Tbla_proyectos[[#This Row],[departamento]]),2,0))</f>
        <v>4.3161076979999997</v>
      </c>
      <c r="O90" s="62">
        <f ca="1">IF(Tbla_proyectos[[#This Row],[municipio]]="","",VLOOKUP(Tbla_proyectos[[#This Row],[municipio]],INDIRECT(Tbla_proyectos[[#This Row],[departamento]]),2,0))</f>
        <v>4.3161076979999997</v>
      </c>
      <c r="P90" t="s">
        <v>11703</v>
      </c>
    </row>
    <row r="91" spans="1:16">
      <c r="A91" t="s">
        <v>8691</v>
      </c>
      <c r="B91" s="62" t="str">
        <f>LEFT(Tbla_proyectos[[#This Row],[codigo_proyecto]],4)</f>
        <v>2430</v>
      </c>
      <c r="C91" s="4" t="s">
        <v>11819</v>
      </c>
      <c r="D91" s="15" t="s">
        <v>11684</v>
      </c>
      <c r="E91" s="4" t="s">
        <v>11820</v>
      </c>
      <c r="F91" s="4" t="s">
        <v>11709</v>
      </c>
      <c r="G91" s="62" t="s">
        <v>11687</v>
      </c>
      <c r="H91" t="s">
        <v>11695</v>
      </c>
      <c r="I91" s="2"/>
      <c r="K91" s="60" t="str">
        <f>IF(OR(Tbla_proyectos[[#This Row],[fecha_inicio]]="",Tbla_proyectos[[#This Row],[fecha_fin]]=""),"",DATEDIF(Tbla_proyectos[[#This Row],[fecha_inicio]],Tbla_proyectos[[#This Row],[fecha_fin]],"M"))</f>
        <v/>
      </c>
      <c r="L91" s="60" t="s">
        <v>11689</v>
      </c>
      <c r="M91" s="62" t="s">
        <v>11690</v>
      </c>
      <c r="N91" s="62">
        <f ca="1">IF(Tbla_proyectos[[#This Row],[municipio]]="","",VLOOKUP(Tbla_proyectos[[#This Row],[municipio]],INDIRECT(Tbla_proyectos[[#This Row],[departamento]]),2,0))</f>
        <v>4.3161076979999997</v>
      </c>
      <c r="O91" s="62">
        <f ca="1">IF(Tbla_proyectos[[#This Row],[municipio]]="","",VLOOKUP(Tbla_proyectos[[#This Row],[municipio]],INDIRECT(Tbla_proyectos[[#This Row],[departamento]]),2,0))</f>
        <v>4.3161076979999997</v>
      </c>
      <c r="P91" t="s">
        <v>11703</v>
      </c>
    </row>
    <row r="92" spans="1:16">
      <c r="A92" t="s">
        <v>8520</v>
      </c>
      <c r="B92" s="62" t="str">
        <f>LEFT(Tbla_proyectos[[#This Row],[codigo_proyecto]],4)</f>
        <v>2430</v>
      </c>
      <c r="C92" s="4" t="s">
        <v>11819</v>
      </c>
      <c r="D92" s="15" t="s">
        <v>11684</v>
      </c>
      <c r="E92" s="4" t="s">
        <v>11820</v>
      </c>
      <c r="F92" s="4" t="s">
        <v>11709</v>
      </c>
      <c r="G92" s="62" t="s">
        <v>11687</v>
      </c>
      <c r="H92" t="s">
        <v>11695</v>
      </c>
      <c r="I92" s="2"/>
      <c r="K92" s="60" t="str">
        <f>IF(OR(Tbla_proyectos[[#This Row],[fecha_inicio]]="",Tbla_proyectos[[#This Row],[fecha_fin]]=""),"",DATEDIF(Tbla_proyectos[[#This Row],[fecha_inicio]],Tbla_proyectos[[#This Row],[fecha_fin]],"M"))</f>
        <v/>
      </c>
      <c r="L92" s="60" t="s">
        <v>11689</v>
      </c>
      <c r="M92" s="62" t="s">
        <v>11690</v>
      </c>
      <c r="N92" s="62">
        <f ca="1">IF(Tbla_proyectos[[#This Row],[municipio]]="","",VLOOKUP(Tbla_proyectos[[#This Row],[municipio]],INDIRECT(Tbla_proyectos[[#This Row],[departamento]]),2,0))</f>
        <v>4.3161076979999997</v>
      </c>
      <c r="O92" s="62">
        <f ca="1">IF(Tbla_proyectos[[#This Row],[municipio]]="","",VLOOKUP(Tbla_proyectos[[#This Row],[municipio]],INDIRECT(Tbla_proyectos[[#This Row],[departamento]]),2,0))</f>
        <v>4.3161076979999997</v>
      </c>
      <c r="P92" t="s">
        <v>11703</v>
      </c>
    </row>
    <row r="93" spans="1:16">
      <c r="A93" t="s">
        <v>8633</v>
      </c>
      <c r="B93" s="62" t="str">
        <f>LEFT(Tbla_proyectos[[#This Row],[codigo_proyecto]],4)</f>
        <v>2430</v>
      </c>
      <c r="C93" s="4" t="s">
        <v>11821</v>
      </c>
      <c r="D93" s="15" t="s">
        <v>11684</v>
      </c>
      <c r="E93" s="4" t="s">
        <v>11822</v>
      </c>
      <c r="F93" s="4" t="s">
        <v>11823</v>
      </c>
      <c r="G93" s="62" t="s">
        <v>11694</v>
      </c>
      <c r="H93" t="s">
        <v>11710</v>
      </c>
      <c r="I93" s="2"/>
      <c r="K93" s="60" t="str">
        <f>IF(OR(Tbla_proyectos[[#This Row],[fecha_inicio]]="",Tbla_proyectos[[#This Row],[fecha_fin]]=""),"",DATEDIF(Tbla_proyectos[[#This Row],[fecha_inicio]],Tbla_proyectos[[#This Row],[fecha_fin]],"M"))</f>
        <v/>
      </c>
      <c r="L93" s="60" t="s">
        <v>11689</v>
      </c>
      <c r="M93" s="62" t="s">
        <v>11690</v>
      </c>
      <c r="N93" s="62">
        <f ca="1">IF(Tbla_proyectos[[#This Row],[municipio]]="","",VLOOKUP(Tbla_proyectos[[#This Row],[municipio]],INDIRECT(Tbla_proyectos[[#This Row],[departamento]]),2,0))</f>
        <v>4.3161076979999997</v>
      </c>
      <c r="O93" s="62">
        <f ca="1">IF(Tbla_proyectos[[#This Row],[municipio]]="","",VLOOKUP(Tbla_proyectos[[#This Row],[municipio]],INDIRECT(Tbla_proyectos[[#This Row],[departamento]]),2,0))</f>
        <v>4.3161076979999997</v>
      </c>
      <c r="P93" t="s">
        <v>11703</v>
      </c>
    </row>
    <row r="94" spans="1:16">
      <c r="A94" t="s">
        <v>10462</v>
      </c>
      <c r="B94" s="62" t="str">
        <f>LEFT(Tbla_proyectos[[#This Row],[codigo_proyecto]],4)</f>
        <v>2530</v>
      </c>
      <c r="C94" s="4" t="s">
        <v>11766</v>
      </c>
      <c r="D94" s="15" t="s">
        <v>11684</v>
      </c>
      <c r="E94" s="4" t="s">
        <v>11824</v>
      </c>
      <c r="F94" s="4" t="s">
        <v>11795</v>
      </c>
      <c r="G94" s="62" t="s">
        <v>11687</v>
      </c>
      <c r="H94" t="s">
        <v>11688</v>
      </c>
      <c r="I94" s="2"/>
      <c r="K94" s="60" t="str">
        <f>IF(OR(Tbla_proyectos[[#This Row],[fecha_inicio]]="",Tbla_proyectos[[#This Row],[fecha_fin]]=""),"",DATEDIF(Tbla_proyectos[[#This Row],[fecha_inicio]],Tbla_proyectos[[#This Row],[fecha_fin]],"M"))</f>
        <v/>
      </c>
      <c r="L94" s="60" t="s">
        <v>11689</v>
      </c>
      <c r="M94" s="62" t="s">
        <v>11690</v>
      </c>
      <c r="N94" s="62">
        <f ca="1">IF(Tbla_proyectos[[#This Row],[municipio]]="","",VLOOKUP(Tbla_proyectos[[#This Row],[municipio]],INDIRECT(Tbla_proyectos[[#This Row],[departamento]]),2,0))</f>
        <v>4.3161076979999997</v>
      </c>
      <c r="O94" s="62">
        <f ca="1">IF(Tbla_proyectos[[#This Row],[municipio]]="","",VLOOKUP(Tbla_proyectos[[#This Row],[municipio]],INDIRECT(Tbla_proyectos[[#This Row],[departamento]]),2,0))</f>
        <v>4.3161076979999997</v>
      </c>
    </row>
    <row r="95" spans="1:16">
      <c r="A95" t="s">
        <v>8637</v>
      </c>
      <c r="B95" s="62" t="str">
        <f>LEFT(Tbla_proyectos[[#This Row],[codigo_proyecto]],4)</f>
        <v>2430</v>
      </c>
      <c r="C95" s="4" t="s">
        <v>11766</v>
      </c>
      <c r="D95" s="15" t="s">
        <v>11684</v>
      </c>
      <c r="E95" s="4" t="s">
        <v>11824</v>
      </c>
      <c r="F95" s="4" t="s">
        <v>11795</v>
      </c>
      <c r="G95" s="62" t="s">
        <v>11687</v>
      </c>
      <c r="H95" t="s">
        <v>11688</v>
      </c>
      <c r="I95" s="2"/>
      <c r="K95" s="60" t="str">
        <f>IF(OR(Tbla_proyectos[[#This Row],[fecha_inicio]]="",Tbla_proyectos[[#This Row],[fecha_fin]]=""),"",DATEDIF(Tbla_proyectos[[#This Row],[fecha_inicio]],Tbla_proyectos[[#This Row],[fecha_fin]],"M"))</f>
        <v/>
      </c>
      <c r="L95" s="60" t="s">
        <v>11689</v>
      </c>
      <c r="M95" s="62" t="s">
        <v>11690</v>
      </c>
      <c r="N95" s="62">
        <f ca="1">IF(Tbla_proyectos[[#This Row],[municipio]]="","",VLOOKUP(Tbla_proyectos[[#This Row],[municipio]],INDIRECT(Tbla_proyectos[[#This Row],[departamento]]),2,0))</f>
        <v>4.3161076979999997</v>
      </c>
      <c r="O95" s="62">
        <f ca="1">IF(Tbla_proyectos[[#This Row],[municipio]]="","",VLOOKUP(Tbla_proyectos[[#This Row],[municipio]],INDIRECT(Tbla_proyectos[[#This Row],[departamento]]),2,0))</f>
        <v>4.3161076979999997</v>
      </c>
    </row>
    <row r="96" spans="1:16">
      <c r="A96" t="s">
        <v>9627</v>
      </c>
      <c r="B96" s="62" t="str">
        <f>LEFT(Tbla_proyectos[[#This Row],[codigo_proyecto]],4)</f>
        <v>2510</v>
      </c>
      <c r="C96" s="4" t="s">
        <v>11766</v>
      </c>
      <c r="D96" s="15" t="s">
        <v>11684</v>
      </c>
      <c r="E96" s="4" t="s">
        <v>11824</v>
      </c>
      <c r="F96" s="4" t="s">
        <v>11795</v>
      </c>
      <c r="G96" s="62" t="s">
        <v>11687</v>
      </c>
      <c r="H96" t="s">
        <v>11722</v>
      </c>
      <c r="I96" s="2"/>
      <c r="K96" s="60" t="str">
        <f>IF(OR(Tbla_proyectos[[#This Row],[fecha_inicio]]="",Tbla_proyectos[[#This Row],[fecha_fin]]=""),"",DATEDIF(Tbla_proyectos[[#This Row],[fecha_inicio]],Tbla_proyectos[[#This Row],[fecha_fin]],"M"))</f>
        <v/>
      </c>
      <c r="L96" s="60" t="s">
        <v>11689</v>
      </c>
      <c r="M96" s="62" t="s">
        <v>11690</v>
      </c>
      <c r="N96" s="62">
        <f ca="1">IF(Tbla_proyectos[[#This Row],[municipio]]="","",VLOOKUP(Tbla_proyectos[[#This Row],[municipio]],INDIRECT(Tbla_proyectos[[#This Row],[departamento]]),2,0))</f>
        <v>4.3161076979999997</v>
      </c>
      <c r="O96" s="62">
        <f ca="1">IF(Tbla_proyectos[[#This Row],[municipio]]="","",VLOOKUP(Tbla_proyectos[[#This Row],[municipio]],INDIRECT(Tbla_proyectos[[#This Row],[departamento]]),2,0))</f>
        <v>4.3161076979999997</v>
      </c>
    </row>
    <row r="97" spans="1:16">
      <c r="A97" t="s">
        <v>9634</v>
      </c>
      <c r="B97" s="62" t="str">
        <f>LEFT(Tbla_proyectos[[#This Row],[codigo_proyecto]],4)</f>
        <v>2510</v>
      </c>
      <c r="C97" s="4" t="s">
        <v>11825</v>
      </c>
      <c r="D97" s="15" t="s">
        <v>11684</v>
      </c>
      <c r="E97" s="4" t="s">
        <v>11782</v>
      </c>
      <c r="F97" s="4" t="s">
        <v>11749</v>
      </c>
      <c r="G97" s="62" t="s">
        <v>11687</v>
      </c>
      <c r="H97" t="s">
        <v>11742</v>
      </c>
      <c r="I97" s="2"/>
      <c r="K97" s="60" t="str">
        <f>IF(OR(Tbla_proyectos[[#This Row],[fecha_inicio]]="",Tbla_proyectos[[#This Row],[fecha_fin]]=""),"",DATEDIF(Tbla_proyectos[[#This Row],[fecha_inicio]],Tbla_proyectos[[#This Row],[fecha_fin]],"M"))</f>
        <v/>
      </c>
      <c r="L97" s="60" t="s">
        <v>11714</v>
      </c>
      <c r="M97" s="62" t="s">
        <v>11826</v>
      </c>
      <c r="N97" s="62">
        <f ca="1">IF(Tbla_proyectos[[#This Row],[municipio]]="","",VLOOKUP(Tbla_proyectos[[#This Row],[municipio]],INDIRECT(Tbla_proyectos[[#This Row],[departamento]]),2,0))</f>
        <v>4.9304027789999996</v>
      </c>
      <c r="O97" s="62">
        <f ca="1">IF(Tbla_proyectos[[#This Row],[municipio]]="","",VLOOKUP(Tbla_proyectos[[#This Row],[municipio]],INDIRECT(Tbla_proyectos[[#This Row],[departamento]]),2,0))</f>
        <v>4.9304027789999996</v>
      </c>
      <c r="P97" t="s">
        <v>11703</v>
      </c>
    </row>
    <row r="98" spans="1:16">
      <c r="A98" t="s">
        <v>10189</v>
      </c>
      <c r="B98" s="62" t="str">
        <f>LEFT(Tbla_proyectos[[#This Row],[codigo_proyecto]],4)</f>
        <v>2530</v>
      </c>
      <c r="C98" s="4" t="s">
        <v>11825</v>
      </c>
      <c r="D98" s="15" t="s">
        <v>11684</v>
      </c>
      <c r="E98" s="4" t="s">
        <v>11782</v>
      </c>
      <c r="F98" s="4" t="s">
        <v>11749</v>
      </c>
      <c r="G98" s="62" t="s">
        <v>11687</v>
      </c>
      <c r="H98" t="s">
        <v>11744</v>
      </c>
      <c r="I98" s="2"/>
      <c r="K98" s="60" t="str">
        <f>IF(OR(Tbla_proyectos[[#This Row],[fecha_inicio]]="",Tbla_proyectos[[#This Row],[fecha_fin]]=""),"",DATEDIF(Tbla_proyectos[[#This Row],[fecha_inicio]],Tbla_proyectos[[#This Row],[fecha_fin]],"M"))</f>
        <v/>
      </c>
      <c r="L98" s="60" t="s">
        <v>11714</v>
      </c>
      <c r="M98" s="62" t="s">
        <v>11826</v>
      </c>
      <c r="N98" s="62">
        <f ca="1">IF(Tbla_proyectos[[#This Row],[municipio]]="","",VLOOKUP(Tbla_proyectos[[#This Row],[municipio]],INDIRECT(Tbla_proyectos[[#This Row],[departamento]]),2,0))</f>
        <v>4.9304027789999996</v>
      </c>
      <c r="O98" s="62">
        <f ca="1">IF(Tbla_proyectos[[#This Row],[municipio]]="","",VLOOKUP(Tbla_proyectos[[#This Row],[municipio]],INDIRECT(Tbla_proyectos[[#This Row],[departamento]]),2,0))</f>
        <v>4.9304027789999996</v>
      </c>
      <c r="P98" t="s">
        <v>11703</v>
      </c>
    </row>
    <row r="99" spans="1:16">
      <c r="A99" t="s">
        <v>8664</v>
      </c>
      <c r="B99" s="62" t="str">
        <f>LEFT(Tbla_proyectos[[#This Row],[codigo_proyecto]],4)</f>
        <v>2430</v>
      </c>
      <c r="C99" s="4" t="s">
        <v>11825</v>
      </c>
      <c r="D99" s="15" t="s">
        <v>11684</v>
      </c>
      <c r="E99" s="4" t="s">
        <v>11782</v>
      </c>
      <c r="F99" s="4" t="s">
        <v>11749</v>
      </c>
      <c r="G99" s="62" t="s">
        <v>11687</v>
      </c>
      <c r="H99" t="s">
        <v>11744</v>
      </c>
      <c r="I99" s="2"/>
      <c r="K99" s="60" t="str">
        <f>IF(OR(Tbla_proyectos[[#This Row],[fecha_inicio]]="",Tbla_proyectos[[#This Row],[fecha_fin]]=""),"",DATEDIF(Tbla_proyectos[[#This Row],[fecha_inicio]],Tbla_proyectos[[#This Row],[fecha_fin]],"M"))</f>
        <v/>
      </c>
      <c r="L99" s="60" t="s">
        <v>11714</v>
      </c>
      <c r="M99" s="62" t="s">
        <v>11826</v>
      </c>
      <c r="N99" s="62">
        <f ca="1">IF(Tbla_proyectos[[#This Row],[municipio]]="","",VLOOKUP(Tbla_proyectos[[#This Row],[municipio]],INDIRECT(Tbla_proyectos[[#This Row],[departamento]]),2,0))</f>
        <v>4.9304027789999996</v>
      </c>
      <c r="O99" s="62">
        <f ca="1">IF(Tbla_proyectos[[#This Row],[municipio]]="","",VLOOKUP(Tbla_proyectos[[#This Row],[municipio]],INDIRECT(Tbla_proyectos[[#This Row],[departamento]]),2,0))</f>
        <v>4.9304027789999996</v>
      </c>
      <c r="P99" t="s">
        <v>11703</v>
      </c>
    </row>
    <row r="100" spans="1:16">
      <c r="A100" t="s">
        <v>10024</v>
      </c>
      <c r="B100" s="62" t="str">
        <f>LEFT(Tbla_proyectos[[#This Row],[codigo_proyecto]],4)</f>
        <v>2520</v>
      </c>
      <c r="C100" s="4" t="s">
        <v>11825</v>
      </c>
      <c r="D100" s="15" t="s">
        <v>11684</v>
      </c>
      <c r="E100" s="4" t="s">
        <v>11782</v>
      </c>
      <c r="F100" s="4" t="s">
        <v>11749</v>
      </c>
      <c r="G100" s="62" t="s">
        <v>11687</v>
      </c>
      <c r="H100" t="s">
        <v>11792</v>
      </c>
      <c r="I100" s="2"/>
      <c r="K100" s="60" t="str">
        <f>IF(OR(Tbla_proyectos[[#This Row],[fecha_inicio]]="",Tbla_proyectos[[#This Row],[fecha_fin]]=""),"",DATEDIF(Tbla_proyectos[[#This Row],[fecha_inicio]],Tbla_proyectos[[#This Row],[fecha_fin]],"M"))</f>
        <v/>
      </c>
      <c r="L100" s="60" t="s">
        <v>11714</v>
      </c>
      <c r="M100" s="62" t="s">
        <v>11826</v>
      </c>
      <c r="N100" s="62">
        <f ca="1">IF(Tbla_proyectos[[#This Row],[municipio]]="","",VLOOKUP(Tbla_proyectos[[#This Row],[municipio]],INDIRECT(Tbla_proyectos[[#This Row],[departamento]]),2,0))</f>
        <v>4.9304027789999996</v>
      </c>
      <c r="O100" s="62">
        <f ca="1">IF(Tbla_proyectos[[#This Row],[municipio]]="","",VLOOKUP(Tbla_proyectos[[#This Row],[municipio]],INDIRECT(Tbla_proyectos[[#This Row],[departamento]]),2,0))</f>
        <v>4.9304027789999996</v>
      </c>
      <c r="P100" t="s">
        <v>11703</v>
      </c>
    </row>
    <row r="101" spans="1:16">
      <c r="A101" t="s">
        <v>11827</v>
      </c>
      <c r="B101" s="62" t="str">
        <f>LEFT(Tbla_proyectos[[#This Row],[codigo_proyecto]],4)</f>
        <v>2530</v>
      </c>
      <c r="C101" s="4" t="s">
        <v>11815</v>
      </c>
      <c r="D101" s="15" t="s">
        <v>11684</v>
      </c>
      <c r="E101" s="4" t="s">
        <v>11705</v>
      </c>
      <c r="F101" s="4" t="s">
        <v>11693</v>
      </c>
      <c r="G101" s="62" t="s">
        <v>11694</v>
      </c>
      <c r="H101" t="s">
        <v>11757</v>
      </c>
      <c r="I101" s="2"/>
      <c r="K101" s="60" t="str">
        <f>IF(OR(Tbla_proyectos[[#This Row],[fecha_inicio]]="",Tbla_proyectos[[#This Row],[fecha_fin]]=""),"",DATEDIF(Tbla_proyectos[[#This Row],[fecha_inicio]],Tbla_proyectos[[#This Row],[fecha_fin]],"M"))</f>
        <v/>
      </c>
      <c r="L101" s="60" t="s">
        <v>11689</v>
      </c>
      <c r="M101" s="62" t="s">
        <v>11690</v>
      </c>
      <c r="N101" s="62">
        <f ca="1">IF(Tbla_proyectos[[#This Row],[municipio]]="","",VLOOKUP(Tbla_proyectos[[#This Row],[municipio]],INDIRECT(Tbla_proyectos[[#This Row],[departamento]]),2,0))</f>
        <v>4.3161076979999997</v>
      </c>
      <c r="O101" s="62">
        <f ca="1">IF(Tbla_proyectos[[#This Row],[municipio]]="","",VLOOKUP(Tbla_proyectos[[#This Row],[municipio]],INDIRECT(Tbla_proyectos[[#This Row],[departamento]]),2,0))</f>
        <v>4.3161076979999997</v>
      </c>
      <c r="P101" t="s">
        <v>11696</v>
      </c>
    </row>
    <row r="102" spans="1:16">
      <c r="A102" t="s">
        <v>8595</v>
      </c>
      <c r="B102" s="62" t="str">
        <f>LEFT(Tbla_proyectos[[#This Row],[codigo_proyecto]],4)</f>
        <v>2430</v>
      </c>
      <c r="C102" s="4" t="s">
        <v>11828</v>
      </c>
      <c r="D102" s="15" t="s">
        <v>11684</v>
      </c>
      <c r="E102" s="4" t="s">
        <v>11829</v>
      </c>
      <c r="F102" s="4" t="s">
        <v>11795</v>
      </c>
      <c r="G102" s="62" t="s">
        <v>11687</v>
      </c>
      <c r="H102" t="s">
        <v>11688</v>
      </c>
      <c r="I102" s="2"/>
      <c r="K102" s="60" t="str">
        <f>IF(OR(Tbla_proyectos[[#This Row],[fecha_inicio]]="",Tbla_proyectos[[#This Row],[fecha_fin]]=""),"",DATEDIF(Tbla_proyectos[[#This Row],[fecha_inicio]],Tbla_proyectos[[#This Row],[fecha_fin]],"M"))</f>
        <v/>
      </c>
      <c r="L102" s="60" t="s">
        <v>11689</v>
      </c>
      <c r="M102" s="62" t="s">
        <v>11690</v>
      </c>
      <c r="N102" s="62">
        <f ca="1">IF(Tbla_proyectos[[#This Row],[municipio]]="","",VLOOKUP(Tbla_proyectos[[#This Row],[municipio]],INDIRECT(Tbla_proyectos[[#This Row],[departamento]]),2,0))</f>
        <v>4.3161076979999997</v>
      </c>
      <c r="O102" s="62">
        <f ca="1">IF(Tbla_proyectos[[#This Row],[municipio]]="","",VLOOKUP(Tbla_proyectos[[#This Row],[municipio]],INDIRECT(Tbla_proyectos[[#This Row],[departamento]]),2,0))</f>
        <v>4.3161076979999997</v>
      </c>
    </row>
    <row r="103" spans="1:16">
      <c r="A103" t="s">
        <v>8563</v>
      </c>
      <c r="B103" s="62" t="str">
        <f>LEFT(Tbla_proyectos[[#This Row],[codigo_proyecto]],4)</f>
        <v>2430</v>
      </c>
      <c r="C103" s="4"/>
      <c r="D103" s="15" t="s">
        <v>11684</v>
      </c>
      <c r="E103" s="4" t="s">
        <v>11705</v>
      </c>
      <c r="F103" s="4" t="s">
        <v>11693</v>
      </c>
      <c r="G103" s="62" t="s">
        <v>11694</v>
      </c>
      <c r="H103" t="s">
        <v>11757</v>
      </c>
      <c r="I103" s="2"/>
      <c r="K103" s="60" t="str">
        <f>IF(OR(Tbla_proyectos[[#This Row],[fecha_inicio]]="",Tbla_proyectos[[#This Row],[fecha_fin]]=""),"",DATEDIF(Tbla_proyectos[[#This Row],[fecha_inicio]],Tbla_proyectos[[#This Row],[fecha_fin]],"M"))</f>
        <v/>
      </c>
      <c r="L103" s="60" t="s">
        <v>11689</v>
      </c>
      <c r="M103" s="62" t="s">
        <v>11690</v>
      </c>
      <c r="N103" s="62">
        <f ca="1">IF(Tbla_proyectos[[#This Row],[municipio]]="","",VLOOKUP(Tbla_proyectos[[#This Row],[municipio]],INDIRECT(Tbla_proyectos[[#This Row],[departamento]]),2,0))</f>
        <v>4.3161076979999997</v>
      </c>
      <c r="O103" s="62">
        <f ca="1">IF(Tbla_proyectos[[#This Row],[municipio]]="","",VLOOKUP(Tbla_proyectos[[#This Row],[municipio]],INDIRECT(Tbla_proyectos[[#This Row],[departamento]]),2,0))</f>
        <v>4.3161076979999997</v>
      </c>
      <c r="P103" t="s">
        <v>11703</v>
      </c>
    </row>
    <row r="104" spans="1:16">
      <c r="A104" t="s">
        <v>9653</v>
      </c>
      <c r="B104" s="62" t="str">
        <f>LEFT(Tbla_proyectos[[#This Row],[codigo_proyecto]],4)</f>
        <v>2510</v>
      </c>
      <c r="C104" s="4" t="s">
        <v>11828</v>
      </c>
      <c r="D104" s="15" t="s">
        <v>11684</v>
      </c>
      <c r="E104" s="4" t="s">
        <v>11829</v>
      </c>
      <c r="F104" s="4" t="s">
        <v>11795</v>
      </c>
      <c r="G104" s="62" t="s">
        <v>11687</v>
      </c>
      <c r="H104" t="s">
        <v>11722</v>
      </c>
      <c r="I104" s="2"/>
      <c r="K104" s="60" t="str">
        <f>IF(OR(Tbla_proyectos[[#This Row],[fecha_inicio]]="",Tbla_proyectos[[#This Row],[fecha_fin]]=""),"",DATEDIF(Tbla_proyectos[[#This Row],[fecha_inicio]],Tbla_proyectos[[#This Row],[fecha_fin]],"M"))</f>
        <v/>
      </c>
      <c r="L104" s="60" t="s">
        <v>11689</v>
      </c>
      <c r="M104" s="62" t="s">
        <v>11690</v>
      </c>
      <c r="N104" s="62">
        <f ca="1">IF(Tbla_proyectos[[#This Row],[municipio]]="","",VLOOKUP(Tbla_proyectos[[#This Row],[municipio]],INDIRECT(Tbla_proyectos[[#This Row],[departamento]]),2,0))</f>
        <v>4.3161076979999997</v>
      </c>
      <c r="O104" s="62">
        <f ca="1">IF(Tbla_proyectos[[#This Row],[municipio]]="","",VLOOKUP(Tbla_proyectos[[#This Row],[municipio]],INDIRECT(Tbla_proyectos[[#This Row],[departamento]]),2,0))</f>
        <v>4.3161076979999997</v>
      </c>
      <c r="P104" t="s">
        <v>11703</v>
      </c>
    </row>
    <row r="105" spans="1:16">
      <c r="A105" t="s">
        <v>10501</v>
      </c>
      <c r="B105" s="62" t="str">
        <f>LEFT(Tbla_proyectos[[#This Row],[codigo_proyecto]],4)</f>
        <v>2530</v>
      </c>
      <c r="C105" s="4" t="s">
        <v>11828</v>
      </c>
      <c r="D105" s="15" t="s">
        <v>11684</v>
      </c>
      <c r="E105" s="4" t="s">
        <v>11829</v>
      </c>
      <c r="F105" s="4" t="s">
        <v>11795</v>
      </c>
      <c r="G105" s="62" t="s">
        <v>11687</v>
      </c>
      <c r="H105" t="s">
        <v>11722</v>
      </c>
      <c r="I105" s="2"/>
      <c r="K105" s="60" t="str">
        <f>IF(OR(Tbla_proyectos[[#This Row],[fecha_inicio]]="",Tbla_proyectos[[#This Row],[fecha_fin]]=""),"",DATEDIF(Tbla_proyectos[[#This Row],[fecha_inicio]],Tbla_proyectos[[#This Row],[fecha_fin]],"M"))</f>
        <v/>
      </c>
      <c r="L105" s="60" t="s">
        <v>11689</v>
      </c>
      <c r="M105" s="62" t="s">
        <v>11690</v>
      </c>
      <c r="N105" s="62">
        <f ca="1">IF(Tbla_proyectos[[#This Row],[municipio]]="","",VLOOKUP(Tbla_proyectos[[#This Row],[municipio]],INDIRECT(Tbla_proyectos[[#This Row],[departamento]]),2,0))</f>
        <v>4.3161076979999997</v>
      </c>
      <c r="O105" s="62">
        <f ca="1">IF(Tbla_proyectos[[#This Row],[municipio]]="","",VLOOKUP(Tbla_proyectos[[#This Row],[municipio]],INDIRECT(Tbla_proyectos[[#This Row],[departamento]]),2,0))</f>
        <v>4.3161076979999997</v>
      </c>
      <c r="P105" t="s">
        <v>11703</v>
      </c>
    </row>
    <row r="106" spans="1:16">
      <c r="A106" t="s">
        <v>9657</v>
      </c>
      <c r="B106" s="62" t="str">
        <f>LEFT(Tbla_proyectos[[#This Row],[codigo_proyecto]],4)</f>
        <v>2510</v>
      </c>
      <c r="C106" s="4" t="s">
        <v>11830</v>
      </c>
      <c r="D106" s="15" t="s">
        <v>11684</v>
      </c>
      <c r="E106" s="4" t="s">
        <v>11831</v>
      </c>
      <c r="F106" s="4" t="s">
        <v>11832</v>
      </c>
      <c r="G106" s="62" t="s">
        <v>11687</v>
      </c>
      <c r="H106" t="s">
        <v>11695</v>
      </c>
      <c r="I106" s="2"/>
      <c r="K106" s="60" t="str">
        <f>IF(OR(Tbla_proyectos[[#This Row],[fecha_inicio]]="",Tbla_proyectos[[#This Row],[fecha_fin]]=""),"",DATEDIF(Tbla_proyectos[[#This Row],[fecha_inicio]],Tbla_proyectos[[#This Row],[fecha_fin]],"M"))</f>
        <v/>
      </c>
      <c r="L106" s="60" t="s">
        <v>11689</v>
      </c>
      <c r="M106" s="62" t="s">
        <v>11690</v>
      </c>
      <c r="N106" s="62">
        <f ca="1">IF(Tbla_proyectos[[#This Row],[municipio]]="","",VLOOKUP(Tbla_proyectos[[#This Row],[municipio]],INDIRECT(Tbla_proyectos[[#This Row],[departamento]]),2,0))</f>
        <v>4.3161076979999997</v>
      </c>
      <c r="O106" s="62">
        <f ca="1">IF(Tbla_proyectos[[#This Row],[municipio]]="","",VLOOKUP(Tbla_proyectos[[#This Row],[municipio]],INDIRECT(Tbla_proyectos[[#This Row],[departamento]]),2,0))</f>
        <v>4.3161076979999997</v>
      </c>
      <c r="P106" t="s">
        <v>11703</v>
      </c>
    </row>
    <row r="107" spans="1:16">
      <c r="A107" t="s">
        <v>10511</v>
      </c>
      <c r="B107" s="62" t="str">
        <f>LEFT(Tbla_proyectos[[#This Row],[codigo_proyecto]],4)</f>
        <v>2530</v>
      </c>
      <c r="C107" s="4" t="s">
        <v>11830</v>
      </c>
      <c r="D107" s="15" t="s">
        <v>11684</v>
      </c>
      <c r="E107" s="4" t="s">
        <v>11831</v>
      </c>
      <c r="F107" s="4" t="s">
        <v>11832</v>
      </c>
      <c r="G107" s="62" t="s">
        <v>11687</v>
      </c>
      <c r="H107" t="s">
        <v>11695</v>
      </c>
      <c r="I107" s="2"/>
      <c r="K107" s="60" t="str">
        <f>IF(OR(Tbla_proyectos[[#This Row],[fecha_inicio]]="",Tbla_proyectos[[#This Row],[fecha_fin]]=""),"",DATEDIF(Tbla_proyectos[[#This Row],[fecha_inicio]],Tbla_proyectos[[#This Row],[fecha_fin]],"M"))</f>
        <v/>
      </c>
      <c r="L107" s="60" t="s">
        <v>11689</v>
      </c>
      <c r="M107" s="62" t="s">
        <v>11690</v>
      </c>
      <c r="N107" s="62">
        <f ca="1">IF(Tbla_proyectos[[#This Row],[municipio]]="","",VLOOKUP(Tbla_proyectos[[#This Row],[municipio]],INDIRECT(Tbla_proyectos[[#This Row],[departamento]]),2,0))</f>
        <v>4.3161076979999997</v>
      </c>
      <c r="O107" s="62">
        <f ca="1">IF(Tbla_proyectos[[#This Row],[municipio]]="","",VLOOKUP(Tbla_proyectos[[#This Row],[municipio]],INDIRECT(Tbla_proyectos[[#This Row],[departamento]]),2,0))</f>
        <v>4.3161076979999997</v>
      </c>
      <c r="P107" t="s">
        <v>11703</v>
      </c>
    </row>
    <row r="108" spans="1:16">
      <c r="A108" t="s">
        <v>10106</v>
      </c>
      <c r="B108" s="62" t="str">
        <f>LEFT(Tbla_proyectos[[#This Row],[codigo_proyecto]],4)</f>
        <v>2530</v>
      </c>
      <c r="C108" s="4" t="s">
        <v>11830</v>
      </c>
      <c r="D108" s="15" t="s">
        <v>11684</v>
      </c>
      <c r="E108" s="4" t="s">
        <v>11831</v>
      </c>
      <c r="F108" s="4" t="s">
        <v>11832</v>
      </c>
      <c r="G108" s="62" t="s">
        <v>11687</v>
      </c>
      <c r="H108" t="s">
        <v>11695</v>
      </c>
      <c r="I108" s="2"/>
      <c r="K108" s="60" t="str">
        <f>IF(OR(Tbla_proyectos[[#This Row],[fecha_inicio]]="",Tbla_proyectos[[#This Row],[fecha_fin]]=""),"",DATEDIF(Tbla_proyectos[[#This Row],[fecha_inicio]],Tbla_proyectos[[#This Row],[fecha_fin]],"M"))</f>
        <v/>
      </c>
      <c r="L108" s="60" t="s">
        <v>11689</v>
      </c>
      <c r="M108" s="62" t="s">
        <v>11690</v>
      </c>
      <c r="N108" s="62">
        <f ca="1">IF(Tbla_proyectos[[#This Row],[municipio]]="","",VLOOKUP(Tbla_proyectos[[#This Row],[municipio]],INDIRECT(Tbla_proyectos[[#This Row],[departamento]]),2,0))</f>
        <v>4.3161076979999997</v>
      </c>
      <c r="O108" s="62">
        <f ca="1">IF(Tbla_proyectos[[#This Row],[municipio]]="","",VLOOKUP(Tbla_proyectos[[#This Row],[municipio]],INDIRECT(Tbla_proyectos[[#This Row],[departamento]]),2,0))</f>
        <v>4.3161076979999997</v>
      </c>
      <c r="P108" t="s">
        <v>11703</v>
      </c>
    </row>
    <row r="109" spans="1:16">
      <c r="A109" t="s">
        <v>8555</v>
      </c>
      <c r="B109" s="62" t="str">
        <f>LEFT(Tbla_proyectos[[#This Row],[codigo_proyecto]],4)</f>
        <v>2430</v>
      </c>
      <c r="C109" s="4" t="s">
        <v>11833</v>
      </c>
      <c r="D109" s="15" t="s">
        <v>11684</v>
      </c>
      <c r="E109" s="4" t="s">
        <v>11831</v>
      </c>
      <c r="F109" s="4" t="s">
        <v>11832</v>
      </c>
      <c r="G109" s="62" t="s">
        <v>11687</v>
      </c>
      <c r="H109" t="s">
        <v>11695</v>
      </c>
      <c r="I109" s="2"/>
      <c r="K109" s="60" t="str">
        <f>IF(OR(Tbla_proyectos[[#This Row],[fecha_inicio]]="",Tbla_proyectos[[#This Row],[fecha_fin]]=""),"",DATEDIF(Tbla_proyectos[[#This Row],[fecha_inicio]],Tbla_proyectos[[#This Row],[fecha_fin]],"M"))</f>
        <v/>
      </c>
      <c r="L109" s="60" t="s">
        <v>11689</v>
      </c>
      <c r="M109" s="62" t="s">
        <v>11690</v>
      </c>
      <c r="N109" s="62">
        <f ca="1">IF(Tbla_proyectos[[#This Row],[municipio]]="","",VLOOKUP(Tbla_proyectos[[#This Row],[municipio]],INDIRECT(Tbla_proyectos[[#This Row],[departamento]]),2,0))</f>
        <v>4.3161076979999997</v>
      </c>
      <c r="O109" s="62">
        <f ca="1">IF(Tbla_proyectos[[#This Row],[municipio]]="","",VLOOKUP(Tbla_proyectos[[#This Row],[municipio]],INDIRECT(Tbla_proyectos[[#This Row],[departamento]]),2,0))</f>
        <v>4.3161076979999997</v>
      </c>
      <c r="P109" t="s">
        <v>11703</v>
      </c>
    </row>
    <row r="110" spans="1:16">
      <c r="A110" t="s">
        <v>8617</v>
      </c>
      <c r="B110" s="62" t="str">
        <f>LEFT(Tbla_proyectos[[#This Row],[codigo_proyecto]],4)</f>
        <v>2430</v>
      </c>
      <c r="C110" s="4" t="s">
        <v>11833</v>
      </c>
      <c r="D110" s="15" t="s">
        <v>11684</v>
      </c>
      <c r="E110" s="4" t="s">
        <v>11831</v>
      </c>
      <c r="F110" s="4" t="s">
        <v>11832</v>
      </c>
      <c r="G110" s="62" t="s">
        <v>11687</v>
      </c>
      <c r="H110" t="s">
        <v>11695</v>
      </c>
      <c r="I110" s="2"/>
      <c r="K110" s="60" t="str">
        <f>IF(OR(Tbla_proyectos[[#This Row],[fecha_inicio]]="",Tbla_proyectos[[#This Row],[fecha_fin]]=""),"",DATEDIF(Tbla_proyectos[[#This Row],[fecha_inicio]],Tbla_proyectos[[#This Row],[fecha_fin]],"M"))</f>
        <v/>
      </c>
      <c r="L110" s="60" t="s">
        <v>11689</v>
      </c>
      <c r="M110" s="62" t="s">
        <v>11690</v>
      </c>
      <c r="N110" s="62">
        <f ca="1">IF(Tbla_proyectos[[#This Row],[municipio]]="","",VLOOKUP(Tbla_proyectos[[#This Row],[municipio]],INDIRECT(Tbla_proyectos[[#This Row],[departamento]]),2,0))</f>
        <v>4.3161076979999997</v>
      </c>
      <c r="O110" s="62">
        <f ca="1">IF(Tbla_proyectos[[#This Row],[municipio]]="","",VLOOKUP(Tbla_proyectos[[#This Row],[municipio]],INDIRECT(Tbla_proyectos[[#This Row],[departamento]]),2,0))</f>
        <v>4.3161076979999997</v>
      </c>
      <c r="P110" t="s">
        <v>11703</v>
      </c>
    </row>
    <row r="111" spans="1:16">
      <c r="A111" t="s">
        <v>8687</v>
      </c>
      <c r="B111" s="62" t="str">
        <f>LEFT(Tbla_proyectos[[#This Row],[codigo_proyecto]],4)</f>
        <v>2430</v>
      </c>
      <c r="C111" s="4" t="s">
        <v>11834</v>
      </c>
      <c r="D111" s="15" t="s">
        <v>11684</v>
      </c>
      <c r="E111" s="4" t="s">
        <v>11835</v>
      </c>
      <c r="F111" s="4" t="s">
        <v>11836</v>
      </c>
      <c r="G111" s="62" t="s">
        <v>11687</v>
      </c>
      <c r="H111" t="s">
        <v>11688</v>
      </c>
      <c r="I111" s="2"/>
      <c r="K111" s="60" t="str">
        <f>IF(OR(Tbla_proyectos[[#This Row],[fecha_inicio]]="",Tbla_proyectos[[#This Row],[fecha_fin]]=""),"",DATEDIF(Tbla_proyectos[[#This Row],[fecha_inicio]],Tbla_proyectos[[#This Row],[fecha_fin]],"M"))</f>
        <v/>
      </c>
      <c r="L111" s="60" t="s">
        <v>11689</v>
      </c>
      <c r="M111" s="62" t="s">
        <v>11690</v>
      </c>
      <c r="N111" s="62">
        <f ca="1">IF(Tbla_proyectos[[#This Row],[municipio]]="","",VLOOKUP(Tbla_proyectos[[#This Row],[municipio]],INDIRECT(Tbla_proyectos[[#This Row],[departamento]]),2,0))</f>
        <v>4.3161076979999997</v>
      </c>
      <c r="O111" s="62">
        <f ca="1">IF(Tbla_proyectos[[#This Row],[municipio]]="","",VLOOKUP(Tbla_proyectos[[#This Row],[municipio]],INDIRECT(Tbla_proyectos[[#This Row],[departamento]]),2,0))</f>
        <v>4.3161076979999997</v>
      </c>
    </row>
    <row r="112" spans="1:16">
      <c r="A112" t="s">
        <v>8536</v>
      </c>
      <c r="B112" s="62" t="str">
        <f>LEFT(Tbla_proyectos[[#This Row],[codigo_proyecto]],4)</f>
        <v>2430</v>
      </c>
      <c r="C112" s="4" t="s">
        <v>11837</v>
      </c>
      <c r="D112" s="15" t="s">
        <v>11684</v>
      </c>
      <c r="E112" s="4" t="s">
        <v>11838</v>
      </c>
      <c r="F112" s="4" t="s">
        <v>11795</v>
      </c>
      <c r="G112" s="62" t="s">
        <v>11687</v>
      </c>
      <c r="H112" t="s">
        <v>11688</v>
      </c>
      <c r="I112" s="2"/>
      <c r="K112" s="60" t="str">
        <f>IF(OR(Tbla_proyectos[[#This Row],[fecha_inicio]]="",Tbla_proyectos[[#This Row],[fecha_fin]]=""),"",DATEDIF(Tbla_proyectos[[#This Row],[fecha_inicio]],Tbla_proyectos[[#This Row],[fecha_fin]],"M"))</f>
        <v/>
      </c>
      <c r="L112" s="60" t="s">
        <v>11689</v>
      </c>
      <c r="M112" s="62" t="s">
        <v>11690</v>
      </c>
      <c r="N112" s="62">
        <f ca="1">IF(Tbla_proyectos[[#This Row],[municipio]]="","",VLOOKUP(Tbla_proyectos[[#This Row],[municipio]],INDIRECT(Tbla_proyectos[[#This Row],[departamento]]),2,0))</f>
        <v>4.3161076979999997</v>
      </c>
      <c r="O112" s="62">
        <f ca="1">IF(Tbla_proyectos[[#This Row],[municipio]]="","",VLOOKUP(Tbla_proyectos[[#This Row],[municipio]],INDIRECT(Tbla_proyectos[[#This Row],[departamento]]),2,0))</f>
        <v>4.3161076979999997</v>
      </c>
      <c r="P112" t="s">
        <v>11703</v>
      </c>
    </row>
    <row r="113" spans="1:16">
      <c r="A113" t="s">
        <v>9673</v>
      </c>
      <c r="B113" s="62" t="str">
        <f>LEFT(Tbla_proyectos[[#This Row],[codigo_proyecto]],4)</f>
        <v>2510</v>
      </c>
      <c r="C113" s="4" t="s">
        <v>11834</v>
      </c>
      <c r="D113" s="15" t="s">
        <v>11684</v>
      </c>
      <c r="E113" s="4" t="s">
        <v>11839</v>
      </c>
      <c r="F113" s="4" t="s">
        <v>11801</v>
      </c>
      <c r="G113" s="62" t="s">
        <v>11687</v>
      </c>
      <c r="H113" t="s">
        <v>11688</v>
      </c>
      <c r="I113" s="2"/>
      <c r="K113" s="60" t="str">
        <f>IF(OR(Tbla_proyectos[[#This Row],[fecha_inicio]]="",Tbla_proyectos[[#This Row],[fecha_fin]]=""),"",DATEDIF(Tbla_proyectos[[#This Row],[fecha_inicio]],Tbla_proyectos[[#This Row],[fecha_fin]],"M"))</f>
        <v/>
      </c>
      <c r="L113" s="60" t="s">
        <v>11689</v>
      </c>
      <c r="M113" s="62" t="s">
        <v>11690</v>
      </c>
      <c r="N113" s="62">
        <f ca="1">IF(Tbla_proyectos[[#This Row],[municipio]]="","",VLOOKUP(Tbla_proyectos[[#This Row],[municipio]],INDIRECT(Tbla_proyectos[[#This Row],[departamento]]),2,0))</f>
        <v>4.3161076979999997</v>
      </c>
      <c r="O113" s="62">
        <f ca="1">IF(Tbla_proyectos[[#This Row],[municipio]]="","",VLOOKUP(Tbla_proyectos[[#This Row],[municipio]],INDIRECT(Tbla_proyectos[[#This Row],[departamento]]),2,0))</f>
        <v>4.3161076979999997</v>
      </c>
    </row>
    <row r="114" spans="1:16">
      <c r="A114" t="s">
        <v>11840</v>
      </c>
      <c r="B114" s="62" t="str">
        <f>LEFT(Tbla_proyectos[[#This Row],[codigo_proyecto]],4)</f>
        <v>2430</v>
      </c>
      <c r="C114" s="4" t="s">
        <v>11841</v>
      </c>
      <c r="D114" s="15" t="s">
        <v>11684</v>
      </c>
      <c r="E114" s="4" t="s">
        <v>11839</v>
      </c>
      <c r="F114" s="4" t="s">
        <v>11801</v>
      </c>
      <c r="H114" t="s">
        <v>11688</v>
      </c>
      <c r="I114" s="2"/>
      <c r="K114" s="60" t="str">
        <f>IF(OR(Tbla_proyectos[[#This Row],[fecha_inicio]]="",Tbla_proyectos[[#This Row],[fecha_fin]]=""),"",DATEDIF(Tbla_proyectos[[#This Row],[fecha_inicio]],Tbla_proyectos[[#This Row],[fecha_fin]],"M"))</f>
        <v/>
      </c>
      <c r="L114" s="60" t="s">
        <v>11689</v>
      </c>
      <c r="M114" s="62" t="s">
        <v>11690</v>
      </c>
      <c r="N114" s="62">
        <f ca="1">IF(Tbla_proyectos[[#This Row],[municipio]]="","",VLOOKUP(Tbla_proyectos[[#This Row],[municipio]],INDIRECT(Tbla_proyectos[[#This Row],[departamento]]),2,0))</f>
        <v>4.3161076979999997</v>
      </c>
      <c r="O114" s="62">
        <f ca="1">IF(Tbla_proyectos[[#This Row],[municipio]]="","",VLOOKUP(Tbla_proyectos[[#This Row],[municipio]],INDIRECT(Tbla_proyectos[[#This Row],[departamento]]),2,0))</f>
        <v>4.3161076979999997</v>
      </c>
    </row>
    <row r="115" spans="1:16">
      <c r="A115" t="s">
        <v>11842</v>
      </c>
      <c r="B115" s="62" t="str">
        <f>LEFT(Tbla_proyectos[[#This Row],[codigo_proyecto]],4)</f>
        <v>2430</v>
      </c>
      <c r="C115" s="4" t="s">
        <v>11843</v>
      </c>
      <c r="D115" s="15" t="s">
        <v>11684</v>
      </c>
      <c r="E115" s="4" t="s">
        <v>11844</v>
      </c>
      <c r="F115" s="4" t="s">
        <v>11801</v>
      </c>
      <c r="G115" s="62" t="s">
        <v>11694</v>
      </c>
      <c r="H115" t="s">
        <v>11688</v>
      </c>
      <c r="I115" s="2"/>
      <c r="K115" s="60" t="str">
        <f>IF(OR(Tbla_proyectos[[#This Row],[fecha_inicio]]="",Tbla_proyectos[[#This Row],[fecha_fin]]=""),"",DATEDIF(Tbla_proyectos[[#This Row],[fecha_inicio]],Tbla_proyectos[[#This Row],[fecha_fin]],"M"))</f>
        <v/>
      </c>
      <c r="L115" s="60" t="s">
        <v>11689</v>
      </c>
      <c r="M115" s="62" t="s">
        <v>11690</v>
      </c>
      <c r="N115" s="62">
        <f ca="1">IF(Tbla_proyectos[[#This Row],[municipio]]="","",VLOOKUP(Tbla_proyectos[[#This Row],[municipio]],INDIRECT(Tbla_proyectos[[#This Row],[departamento]]),2,0))</f>
        <v>4.3161076979999997</v>
      </c>
      <c r="O115" s="62">
        <f ca="1">IF(Tbla_proyectos[[#This Row],[municipio]]="","",VLOOKUP(Tbla_proyectos[[#This Row],[municipio]],INDIRECT(Tbla_proyectos[[#This Row],[departamento]]),2,0))</f>
        <v>4.3161076979999997</v>
      </c>
    </row>
    <row r="116" spans="1:16">
      <c r="A116" t="s">
        <v>11845</v>
      </c>
      <c r="B116" s="62" t="str">
        <f>LEFT(Tbla_proyectos[[#This Row],[codigo_proyecto]],4)</f>
        <v>2430</v>
      </c>
      <c r="C116" s="4" t="s">
        <v>11846</v>
      </c>
      <c r="D116" s="15" t="s">
        <v>11684</v>
      </c>
      <c r="E116" s="4" t="s">
        <v>11847</v>
      </c>
      <c r="F116" s="4" t="s">
        <v>11801</v>
      </c>
      <c r="G116" s="62" t="s">
        <v>11726</v>
      </c>
      <c r="H116" t="s">
        <v>11688</v>
      </c>
      <c r="I116" s="2"/>
      <c r="K116" s="60" t="str">
        <f>IF(OR(Tbla_proyectos[[#This Row],[fecha_inicio]]="",Tbla_proyectos[[#This Row],[fecha_fin]]=""),"",DATEDIF(Tbla_proyectos[[#This Row],[fecha_inicio]],Tbla_proyectos[[#This Row],[fecha_fin]],"M"))</f>
        <v/>
      </c>
      <c r="L116" s="60" t="s">
        <v>11689</v>
      </c>
      <c r="M116" s="62" t="s">
        <v>11690</v>
      </c>
      <c r="N116" s="62">
        <f ca="1">IF(Tbla_proyectos[[#This Row],[municipio]]="","",VLOOKUP(Tbla_proyectos[[#This Row],[municipio]],INDIRECT(Tbla_proyectos[[#This Row],[departamento]]),2,0))</f>
        <v>4.3161076979999997</v>
      </c>
      <c r="O116" s="62">
        <f ca="1">IF(Tbla_proyectos[[#This Row],[municipio]]="","",VLOOKUP(Tbla_proyectos[[#This Row],[municipio]],INDIRECT(Tbla_proyectos[[#This Row],[departamento]]),2,0))</f>
        <v>4.3161076979999997</v>
      </c>
    </row>
    <row r="117" spans="1:16">
      <c r="A117" t="s">
        <v>11848</v>
      </c>
      <c r="B117" s="62" t="str">
        <f>LEFT(Tbla_proyectos[[#This Row],[codigo_proyecto]],4)</f>
        <v>2430</v>
      </c>
      <c r="C117" s="4" t="s">
        <v>11849</v>
      </c>
      <c r="D117" s="15" t="s">
        <v>11684</v>
      </c>
      <c r="E117" s="4" t="s">
        <v>11850</v>
      </c>
      <c r="F117" s="4" t="s">
        <v>11851</v>
      </c>
      <c r="G117" s="62" t="s">
        <v>11687</v>
      </c>
      <c r="H117" t="s">
        <v>11688</v>
      </c>
      <c r="I117" s="2"/>
      <c r="K117" s="60" t="str">
        <f>IF(OR(Tbla_proyectos[[#This Row],[fecha_inicio]]="",Tbla_proyectos[[#This Row],[fecha_fin]]=""),"",DATEDIF(Tbla_proyectos[[#This Row],[fecha_inicio]],Tbla_proyectos[[#This Row],[fecha_fin]],"M"))</f>
        <v/>
      </c>
      <c r="L117" s="60" t="s">
        <v>11689</v>
      </c>
      <c r="M117" s="62" t="s">
        <v>11690</v>
      </c>
      <c r="N117" s="62">
        <f ca="1">IF(Tbla_proyectos[[#This Row],[municipio]]="","",VLOOKUP(Tbla_proyectos[[#This Row],[municipio]],INDIRECT(Tbla_proyectos[[#This Row],[departamento]]),2,0))</f>
        <v>4.3161076979999997</v>
      </c>
      <c r="O117" s="62">
        <f ca="1">IF(Tbla_proyectos[[#This Row],[municipio]]="","",VLOOKUP(Tbla_proyectos[[#This Row],[municipio]],INDIRECT(Tbla_proyectos[[#This Row],[departamento]]),2,0))</f>
        <v>4.3161076979999997</v>
      </c>
    </row>
    <row r="118" spans="1:16">
      <c r="A118" t="s">
        <v>8621</v>
      </c>
      <c r="B118" s="62" t="str">
        <f>LEFT(Tbla_proyectos[[#This Row],[codigo_proyecto]],4)</f>
        <v>2430</v>
      </c>
      <c r="C118" s="4" t="s">
        <v>11852</v>
      </c>
      <c r="D118" s="15" t="s">
        <v>11684</v>
      </c>
      <c r="E118" s="4" t="s">
        <v>11853</v>
      </c>
      <c r="F118" s="4" t="s">
        <v>11854</v>
      </c>
      <c r="G118" s="62" t="s">
        <v>11694</v>
      </c>
      <c r="H118" t="s">
        <v>11688</v>
      </c>
      <c r="I118" s="2"/>
      <c r="K118" s="60" t="str">
        <f>IF(OR(Tbla_proyectos[[#This Row],[fecha_inicio]]="",Tbla_proyectos[[#This Row],[fecha_fin]]=""),"",DATEDIF(Tbla_proyectos[[#This Row],[fecha_inicio]],Tbla_proyectos[[#This Row],[fecha_fin]],"M"))</f>
        <v/>
      </c>
      <c r="L118" s="60" t="s">
        <v>11689</v>
      </c>
      <c r="M118" s="62" t="s">
        <v>11690</v>
      </c>
      <c r="N118" s="62">
        <f ca="1">IF(Tbla_proyectos[[#This Row],[municipio]]="","",VLOOKUP(Tbla_proyectos[[#This Row],[municipio]],INDIRECT(Tbla_proyectos[[#This Row],[departamento]]),2,0))</f>
        <v>4.3161076979999997</v>
      </c>
      <c r="O118" s="62">
        <f ca="1">IF(Tbla_proyectos[[#This Row],[municipio]]="","",VLOOKUP(Tbla_proyectos[[#This Row],[municipio]],INDIRECT(Tbla_proyectos[[#This Row],[departamento]]),2,0))</f>
        <v>4.3161076979999997</v>
      </c>
    </row>
    <row r="119" spans="1:16">
      <c r="A119" t="s">
        <v>9680</v>
      </c>
      <c r="B119" s="62" t="str">
        <f>LEFT(Tbla_proyectos[[#This Row],[codigo_proyecto]],4)</f>
        <v>2510</v>
      </c>
      <c r="C119" s="4" t="s">
        <v>11843</v>
      </c>
      <c r="D119" s="15" t="s">
        <v>11684</v>
      </c>
      <c r="E119" s="4" t="s">
        <v>11844</v>
      </c>
      <c r="F119" s="4" t="s">
        <v>11801</v>
      </c>
      <c r="G119" s="62" t="s">
        <v>11694</v>
      </c>
      <c r="H119" t="s">
        <v>11722</v>
      </c>
      <c r="I119" s="2"/>
      <c r="K119" s="60" t="str">
        <f>IF(OR(Tbla_proyectos[[#This Row],[fecha_inicio]]="",Tbla_proyectos[[#This Row],[fecha_fin]]=""),"",DATEDIF(Tbla_proyectos[[#This Row],[fecha_inicio]],Tbla_proyectos[[#This Row],[fecha_fin]],"M"))</f>
        <v/>
      </c>
      <c r="L119" s="60" t="s">
        <v>11689</v>
      </c>
      <c r="M119" s="62" t="s">
        <v>11690</v>
      </c>
      <c r="N119" s="62">
        <f ca="1">IF(Tbla_proyectos[[#This Row],[municipio]]="","",VLOOKUP(Tbla_proyectos[[#This Row],[municipio]],INDIRECT(Tbla_proyectos[[#This Row],[departamento]]),2,0))</f>
        <v>4.3161076979999997</v>
      </c>
      <c r="O119" s="62">
        <f ca="1">IF(Tbla_proyectos[[#This Row],[municipio]]="","",VLOOKUP(Tbla_proyectos[[#This Row],[municipio]],INDIRECT(Tbla_proyectos[[#This Row],[departamento]]),2,0))</f>
        <v>4.3161076979999997</v>
      </c>
    </row>
    <row r="120" spans="1:16">
      <c r="A120" t="s">
        <v>10533</v>
      </c>
      <c r="B120" s="62" t="str">
        <f>LEFT(Tbla_proyectos[[#This Row],[codigo_proyecto]],4)</f>
        <v>2530</v>
      </c>
      <c r="C120" s="4" t="s">
        <v>11843</v>
      </c>
      <c r="D120" s="15" t="s">
        <v>11684</v>
      </c>
      <c r="E120" s="4" t="s">
        <v>11844</v>
      </c>
      <c r="F120" s="4" t="s">
        <v>11801</v>
      </c>
      <c r="G120" s="62" t="s">
        <v>11694</v>
      </c>
      <c r="H120" t="s">
        <v>11722</v>
      </c>
      <c r="I120" s="2"/>
      <c r="K120" s="60" t="str">
        <f>IF(OR(Tbla_proyectos[[#This Row],[fecha_inicio]]="",Tbla_proyectos[[#This Row],[fecha_fin]]=""),"",DATEDIF(Tbla_proyectos[[#This Row],[fecha_inicio]],Tbla_proyectos[[#This Row],[fecha_fin]],"M"))</f>
        <v/>
      </c>
      <c r="L120" s="60" t="s">
        <v>11689</v>
      </c>
      <c r="M120" s="62" t="s">
        <v>11690</v>
      </c>
      <c r="N120" s="62">
        <f ca="1">IF(Tbla_proyectos[[#This Row],[municipio]]="","",VLOOKUP(Tbla_proyectos[[#This Row],[municipio]],INDIRECT(Tbla_proyectos[[#This Row],[departamento]]),2,0))</f>
        <v>4.3161076979999997</v>
      </c>
      <c r="O120" s="62">
        <f ca="1">IF(Tbla_proyectos[[#This Row],[municipio]]="","",VLOOKUP(Tbla_proyectos[[#This Row],[municipio]],INDIRECT(Tbla_proyectos[[#This Row],[departamento]]),2,0))</f>
        <v>4.3161076979999997</v>
      </c>
      <c r="P120" t="s">
        <v>11703</v>
      </c>
    </row>
    <row r="121" spans="1:16">
      <c r="A121" t="s">
        <v>10537</v>
      </c>
      <c r="B121" s="62" t="str">
        <f>LEFT(Tbla_proyectos[[#This Row],[codigo_proyecto]],4)</f>
        <v>2530</v>
      </c>
      <c r="C121" s="4" t="s">
        <v>11846</v>
      </c>
      <c r="D121" s="15" t="s">
        <v>11684</v>
      </c>
      <c r="E121" s="4" t="s">
        <v>11847</v>
      </c>
      <c r="F121" s="4" t="s">
        <v>11801</v>
      </c>
      <c r="G121" s="62" t="s">
        <v>11726</v>
      </c>
      <c r="H121" t="s">
        <v>11722</v>
      </c>
      <c r="I121" s="2"/>
      <c r="K121" s="60" t="str">
        <f>IF(OR(Tbla_proyectos[[#This Row],[fecha_inicio]]="",Tbla_proyectos[[#This Row],[fecha_fin]]=""),"",DATEDIF(Tbla_proyectos[[#This Row],[fecha_inicio]],Tbla_proyectos[[#This Row],[fecha_fin]],"M"))</f>
        <v/>
      </c>
      <c r="L121" s="60" t="s">
        <v>11689</v>
      </c>
      <c r="M121" s="62" t="s">
        <v>11690</v>
      </c>
      <c r="N121" s="62">
        <f ca="1">IF(Tbla_proyectos[[#This Row],[municipio]]="","",VLOOKUP(Tbla_proyectos[[#This Row],[municipio]],INDIRECT(Tbla_proyectos[[#This Row],[departamento]]),2,0))</f>
        <v>4.3161076979999997</v>
      </c>
      <c r="O121" s="62">
        <f ca="1">IF(Tbla_proyectos[[#This Row],[municipio]]="","",VLOOKUP(Tbla_proyectos[[#This Row],[municipio]],INDIRECT(Tbla_proyectos[[#This Row],[departamento]]),2,0))</f>
        <v>4.3161076979999997</v>
      </c>
      <c r="P121" t="s">
        <v>11703</v>
      </c>
    </row>
    <row r="122" spans="1:16">
      <c r="A122" t="s">
        <v>10545</v>
      </c>
      <c r="B122" s="62" t="str">
        <f>LEFT(Tbla_proyectos[[#This Row],[codigo_proyecto]],4)</f>
        <v>2530</v>
      </c>
      <c r="C122" s="4" t="s">
        <v>11849</v>
      </c>
      <c r="D122" s="15" t="s">
        <v>11684</v>
      </c>
      <c r="E122" s="4" t="s">
        <v>11850</v>
      </c>
      <c r="F122" s="4" t="s">
        <v>11851</v>
      </c>
      <c r="G122" s="62" t="s">
        <v>11687</v>
      </c>
      <c r="H122" t="s">
        <v>11722</v>
      </c>
      <c r="I122" s="2"/>
      <c r="K122" s="60" t="str">
        <f>IF(OR(Tbla_proyectos[[#This Row],[fecha_inicio]]="",Tbla_proyectos[[#This Row],[fecha_fin]]=""),"",DATEDIF(Tbla_proyectos[[#This Row],[fecha_inicio]],Tbla_proyectos[[#This Row],[fecha_fin]],"M"))</f>
        <v/>
      </c>
      <c r="L122" s="60" t="s">
        <v>11689</v>
      </c>
      <c r="M122" s="62" t="s">
        <v>11690</v>
      </c>
      <c r="N122" s="62">
        <f ca="1">IF(Tbla_proyectos[[#This Row],[municipio]]="","",VLOOKUP(Tbla_proyectos[[#This Row],[municipio]],INDIRECT(Tbla_proyectos[[#This Row],[departamento]]),2,0))</f>
        <v>4.3161076979999997</v>
      </c>
      <c r="O122" s="62">
        <f ca="1">IF(Tbla_proyectos[[#This Row],[municipio]]="","",VLOOKUP(Tbla_proyectos[[#This Row],[municipio]],INDIRECT(Tbla_proyectos[[#This Row],[departamento]]),2,0))</f>
        <v>4.3161076979999997</v>
      </c>
      <c r="P122" t="s">
        <v>11703</v>
      </c>
    </row>
    <row r="123" spans="1:16">
      <c r="A123" t="s">
        <v>10541</v>
      </c>
      <c r="B123" s="62" t="str">
        <f>LEFT(Tbla_proyectos[[#This Row],[codigo_proyecto]],4)</f>
        <v>2530</v>
      </c>
      <c r="C123" s="4" t="s">
        <v>11852</v>
      </c>
      <c r="D123" s="15" t="s">
        <v>11684</v>
      </c>
      <c r="E123" s="4" t="s">
        <v>11853</v>
      </c>
      <c r="F123" s="4" t="s">
        <v>11854</v>
      </c>
      <c r="G123" s="62" t="s">
        <v>11694</v>
      </c>
      <c r="H123" t="s">
        <v>11722</v>
      </c>
      <c r="I123" s="2"/>
      <c r="K123" s="60" t="str">
        <f>IF(OR(Tbla_proyectos[[#This Row],[fecha_inicio]]="",Tbla_proyectos[[#This Row],[fecha_fin]]=""),"",DATEDIF(Tbla_proyectos[[#This Row],[fecha_inicio]],Tbla_proyectos[[#This Row],[fecha_fin]],"M"))</f>
        <v/>
      </c>
      <c r="L123" s="60" t="s">
        <v>11689</v>
      </c>
      <c r="M123" s="62" t="s">
        <v>11690</v>
      </c>
      <c r="N123" s="62">
        <f ca="1">IF(Tbla_proyectos[[#This Row],[municipio]]="","",VLOOKUP(Tbla_proyectos[[#This Row],[municipio]],INDIRECT(Tbla_proyectos[[#This Row],[departamento]]),2,0))</f>
        <v>4.3161076979999997</v>
      </c>
      <c r="O123" s="62">
        <f ca="1">IF(Tbla_proyectos[[#This Row],[municipio]]="","",VLOOKUP(Tbla_proyectos[[#This Row],[municipio]],INDIRECT(Tbla_proyectos[[#This Row],[departamento]]),2,0))</f>
        <v>4.3161076979999997</v>
      </c>
      <c r="P123" t="s">
        <v>11703</v>
      </c>
    </row>
    <row r="124" spans="1:16">
      <c r="A124" t="s">
        <v>9693</v>
      </c>
      <c r="B124" s="62" t="str">
        <f>LEFT(Tbla_proyectos[[#This Row],[codigo_proyecto]],4)</f>
        <v>2510</v>
      </c>
      <c r="C124" s="4" t="s">
        <v>11855</v>
      </c>
      <c r="D124" s="15" t="s">
        <v>11684</v>
      </c>
      <c r="E124" s="4" t="s">
        <v>11856</v>
      </c>
      <c r="F124" s="4" t="s">
        <v>11801</v>
      </c>
      <c r="G124" s="62" t="s">
        <v>11687</v>
      </c>
      <c r="H124" t="s">
        <v>11695</v>
      </c>
      <c r="I124" s="2"/>
      <c r="K124" s="60" t="str">
        <f>IF(OR(Tbla_proyectos[[#This Row],[fecha_inicio]]="",Tbla_proyectos[[#This Row],[fecha_fin]]=""),"",DATEDIF(Tbla_proyectos[[#This Row],[fecha_inicio]],Tbla_proyectos[[#This Row],[fecha_fin]],"M"))</f>
        <v/>
      </c>
      <c r="L124" s="60" t="s">
        <v>11689</v>
      </c>
      <c r="M124" s="62" t="s">
        <v>11690</v>
      </c>
      <c r="N124" s="62">
        <f ca="1">IF(Tbla_proyectos[[#This Row],[municipio]]="","",VLOOKUP(Tbla_proyectos[[#This Row],[municipio]],INDIRECT(Tbla_proyectos[[#This Row],[departamento]]),2,0))</f>
        <v>4.3161076979999997</v>
      </c>
      <c r="O124" s="62">
        <f ca="1">IF(Tbla_proyectos[[#This Row],[municipio]]="","",VLOOKUP(Tbla_proyectos[[#This Row],[municipio]],INDIRECT(Tbla_proyectos[[#This Row],[departamento]]),2,0))</f>
        <v>4.3161076979999997</v>
      </c>
      <c r="P124" t="s">
        <v>11703</v>
      </c>
    </row>
    <row r="125" spans="1:16">
      <c r="A125" t="s">
        <v>9697</v>
      </c>
      <c r="B125" s="62" t="str">
        <f>LEFT(Tbla_proyectos[[#This Row],[codigo_proyecto]],4)</f>
        <v>2510</v>
      </c>
      <c r="C125" s="4"/>
      <c r="D125" s="15" t="s">
        <v>11684</v>
      </c>
      <c r="E125" s="4" t="s">
        <v>11705</v>
      </c>
      <c r="F125" s="4" t="s">
        <v>11693</v>
      </c>
      <c r="G125" s="62" t="s">
        <v>11694</v>
      </c>
      <c r="H125" t="s">
        <v>11757</v>
      </c>
      <c r="I125" s="2"/>
      <c r="K125" s="60" t="str">
        <f>IF(OR(Tbla_proyectos[[#This Row],[fecha_inicio]]="",Tbla_proyectos[[#This Row],[fecha_fin]]=""),"",DATEDIF(Tbla_proyectos[[#This Row],[fecha_inicio]],Tbla_proyectos[[#This Row],[fecha_fin]],"M"))</f>
        <v/>
      </c>
      <c r="L125" s="60" t="s">
        <v>11689</v>
      </c>
      <c r="M125" s="62" t="s">
        <v>11690</v>
      </c>
      <c r="N125" s="62">
        <f ca="1">IF(Tbla_proyectos[[#This Row],[municipio]]="","",VLOOKUP(Tbla_proyectos[[#This Row],[municipio]],INDIRECT(Tbla_proyectos[[#This Row],[departamento]]),2,0))</f>
        <v>4.3161076979999997</v>
      </c>
      <c r="O125" s="62">
        <f ca="1">IF(Tbla_proyectos[[#This Row],[municipio]]="","",VLOOKUP(Tbla_proyectos[[#This Row],[municipio]],INDIRECT(Tbla_proyectos[[#This Row],[departamento]]),2,0))</f>
        <v>4.3161076979999997</v>
      </c>
      <c r="P125" t="s">
        <v>11703</v>
      </c>
    </row>
    <row r="126" spans="1:16">
      <c r="A126" t="s">
        <v>9056</v>
      </c>
      <c r="B126" s="62" t="str">
        <f>LEFT(Tbla_proyectos[[#This Row],[codigo_proyecto]],4)</f>
        <v>2430</v>
      </c>
      <c r="C126" s="4"/>
      <c r="D126" s="15" t="s">
        <v>11684</v>
      </c>
      <c r="E126" s="4" t="s">
        <v>11705</v>
      </c>
      <c r="F126" s="4" t="s">
        <v>11693</v>
      </c>
      <c r="G126" s="62" t="s">
        <v>11694</v>
      </c>
      <c r="H126" t="s">
        <v>11757</v>
      </c>
      <c r="I126" s="2"/>
      <c r="K126" s="60" t="str">
        <f>IF(OR(Tbla_proyectos[[#This Row],[fecha_inicio]]="",Tbla_proyectos[[#This Row],[fecha_fin]]=""),"",DATEDIF(Tbla_proyectos[[#This Row],[fecha_inicio]],Tbla_proyectos[[#This Row],[fecha_fin]],"M"))</f>
        <v/>
      </c>
      <c r="L126" s="60" t="s">
        <v>11689</v>
      </c>
      <c r="M126" s="62" t="s">
        <v>11690</v>
      </c>
      <c r="N126" s="62">
        <f ca="1">IF(Tbla_proyectos[[#This Row],[municipio]]="","",VLOOKUP(Tbla_proyectos[[#This Row],[municipio]],INDIRECT(Tbla_proyectos[[#This Row],[departamento]]),2,0))</f>
        <v>4.3161076979999997</v>
      </c>
      <c r="O126" s="62">
        <f ca="1">IF(Tbla_proyectos[[#This Row],[municipio]]="","",VLOOKUP(Tbla_proyectos[[#This Row],[municipio]],INDIRECT(Tbla_proyectos[[#This Row],[departamento]]),2,0))</f>
        <v>4.3161076979999997</v>
      </c>
      <c r="P126" t="s">
        <v>11703</v>
      </c>
    </row>
    <row r="127" spans="1:16">
      <c r="A127" t="s">
        <v>9704</v>
      </c>
      <c r="B127" s="62" t="str">
        <f>LEFT(Tbla_proyectos[[#This Row],[codigo_proyecto]],4)</f>
        <v>2510</v>
      </c>
      <c r="C127" s="4" t="s">
        <v>11857</v>
      </c>
      <c r="D127" s="15" t="s">
        <v>11684</v>
      </c>
      <c r="E127" s="4" t="s">
        <v>11858</v>
      </c>
      <c r="F127" s="4" t="s">
        <v>11859</v>
      </c>
      <c r="G127" s="62" t="s">
        <v>11687</v>
      </c>
      <c r="H127" t="s">
        <v>11713</v>
      </c>
      <c r="I127" s="2"/>
      <c r="K127" s="60" t="str">
        <f>IF(OR(Tbla_proyectos[[#This Row],[fecha_inicio]]="",Tbla_proyectos[[#This Row],[fecha_fin]]=""),"",DATEDIF(Tbla_proyectos[[#This Row],[fecha_inicio]],Tbla_proyectos[[#This Row],[fecha_fin]],"M"))</f>
        <v/>
      </c>
      <c r="L127" s="60" t="s">
        <v>11689</v>
      </c>
      <c r="M127" s="62" t="s">
        <v>11690</v>
      </c>
      <c r="N127" s="62">
        <f ca="1">IF(Tbla_proyectos[[#This Row],[municipio]]="","",VLOOKUP(Tbla_proyectos[[#This Row],[municipio]],INDIRECT(Tbla_proyectos[[#This Row],[departamento]]),2,0))</f>
        <v>4.3161076979999997</v>
      </c>
      <c r="O127" s="62">
        <f ca="1">IF(Tbla_proyectos[[#This Row],[municipio]]="","",VLOOKUP(Tbla_proyectos[[#This Row],[municipio]],INDIRECT(Tbla_proyectos[[#This Row],[departamento]]),2,0))</f>
        <v>4.3161076979999997</v>
      </c>
      <c r="P127" t="s">
        <v>11703</v>
      </c>
    </row>
    <row r="128" spans="1:16">
      <c r="A128" t="s">
        <v>10130</v>
      </c>
      <c r="B128" s="62" t="str">
        <f>LEFT(Tbla_proyectos[[#This Row],[codigo_proyecto]],4)</f>
        <v>2530</v>
      </c>
      <c r="C128" s="4" t="s">
        <v>11860</v>
      </c>
      <c r="D128" s="15" t="s">
        <v>11684</v>
      </c>
      <c r="E128" s="4" t="s">
        <v>11861</v>
      </c>
      <c r="F128" s="4" t="s">
        <v>11862</v>
      </c>
      <c r="G128" s="62" t="s">
        <v>11687</v>
      </c>
      <c r="H128" t="s">
        <v>11688</v>
      </c>
      <c r="I128" s="2"/>
      <c r="K128" s="60" t="str">
        <f>IF(OR(Tbla_proyectos[[#This Row],[fecha_inicio]]="",Tbla_proyectos[[#This Row],[fecha_fin]]=""),"",DATEDIF(Tbla_proyectos[[#This Row],[fecha_inicio]],Tbla_proyectos[[#This Row],[fecha_fin]],"M"))</f>
        <v/>
      </c>
      <c r="L128" s="60" t="s">
        <v>11689</v>
      </c>
      <c r="M128" s="62" t="s">
        <v>11690</v>
      </c>
      <c r="N128" s="62">
        <f ca="1">IF(Tbla_proyectos[[#This Row],[municipio]]="","",VLOOKUP(Tbla_proyectos[[#This Row],[municipio]],INDIRECT(Tbla_proyectos[[#This Row],[departamento]]),2,0))</f>
        <v>4.3161076979999997</v>
      </c>
      <c r="O128" s="62">
        <f ca="1">IF(Tbla_proyectos[[#This Row],[municipio]]="","",VLOOKUP(Tbla_proyectos[[#This Row],[municipio]],INDIRECT(Tbla_proyectos[[#This Row],[departamento]]),2,0))</f>
        <v>4.3161076979999997</v>
      </c>
      <c r="P128" t="s">
        <v>11696</v>
      </c>
    </row>
    <row r="129" spans="1:16">
      <c r="A129" t="s">
        <v>10484</v>
      </c>
      <c r="B129" s="62" t="str">
        <f>LEFT(Tbla_proyectos[[#This Row],[codigo_proyecto]],4)</f>
        <v>2530</v>
      </c>
      <c r="C129" s="4" t="s">
        <v>11863</v>
      </c>
      <c r="D129" s="15" t="s">
        <v>11684</v>
      </c>
      <c r="E129" s="4" t="s">
        <v>11755</v>
      </c>
      <c r="F129" s="4" t="s">
        <v>11864</v>
      </c>
      <c r="G129" s="62" t="s">
        <v>11726</v>
      </c>
      <c r="H129" t="s">
        <v>11688</v>
      </c>
      <c r="I129" s="2"/>
      <c r="K129" s="60" t="str">
        <f>IF(OR(Tbla_proyectos[[#This Row],[fecha_inicio]]="",Tbla_proyectos[[#This Row],[fecha_fin]]=""),"",DATEDIF(Tbla_proyectos[[#This Row],[fecha_inicio]],Tbla_proyectos[[#This Row],[fecha_fin]],"M"))</f>
        <v/>
      </c>
      <c r="L129" s="60" t="s">
        <v>11689</v>
      </c>
      <c r="M129" s="62" t="s">
        <v>11690</v>
      </c>
      <c r="N129" s="62">
        <f ca="1">IF(Tbla_proyectos[[#This Row],[municipio]]="","",VLOOKUP(Tbla_proyectos[[#This Row],[municipio]],INDIRECT(Tbla_proyectos[[#This Row],[departamento]]),2,0))</f>
        <v>4.3161076979999997</v>
      </c>
      <c r="O129" s="62">
        <f ca="1">IF(Tbla_proyectos[[#This Row],[municipio]]="","",VLOOKUP(Tbla_proyectos[[#This Row],[municipio]],INDIRECT(Tbla_proyectos[[#This Row],[departamento]]),2,0))</f>
        <v>4.3161076979999997</v>
      </c>
    </row>
    <row r="130" spans="1:16">
      <c r="A130" t="s">
        <v>10558</v>
      </c>
      <c r="B130" s="62" t="str">
        <f>LEFT(Tbla_proyectos[[#This Row],[codigo_proyecto]],4)</f>
        <v>2530</v>
      </c>
      <c r="C130" s="4" t="s">
        <v>11865</v>
      </c>
      <c r="D130" s="15" t="s">
        <v>11684</v>
      </c>
      <c r="E130" s="4" t="s">
        <v>11866</v>
      </c>
      <c r="F130" s="4" t="s">
        <v>11867</v>
      </c>
      <c r="G130" s="62" t="s">
        <v>11687</v>
      </c>
      <c r="H130" t="s">
        <v>11688</v>
      </c>
      <c r="I130" s="2"/>
      <c r="K130" s="60" t="str">
        <f>IF(OR(Tbla_proyectos[[#This Row],[fecha_inicio]]="",Tbla_proyectos[[#This Row],[fecha_fin]]=""),"",DATEDIF(Tbla_proyectos[[#This Row],[fecha_inicio]],Tbla_proyectos[[#This Row],[fecha_fin]],"M"))</f>
        <v/>
      </c>
      <c r="L130" s="60" t="s">
        <v>11689</v>
      </c>
      <c r="M130" s="62" t="s">
        <v>11690</v>
      </c>
      <c r="N130" s="62">
        <f ca="1">IF(Tbla_proyectos[[#This Row],[municipio]]="","",VLOOKUP(Tbla_proyectos[[#This Row],[municipio]],INDIRECT(Tbla_proyectos[[#This Row],[departamento]]),2,0))</f>
        <v>4.3161076979999997</v>
      </c>
      <c r="O130" s="62">
        <f ca="1">IF(Tbla_proyectos[[#This Row],[municipio]]="","",VLOOKUP(Tbla_proyectos[[#This Row],[municipio]],INDIRECT(Tbla_proyectos[[#This Row],[departamento]]),2,0))</f>
        <v>4.3161076979999997</v>
      </c>
      <c r="P130" t="s">
        <v>11703</v>
      </c>
    </row>
    <row r="131" spans="1:16">
      <c r="A131" t="s">
        <v>10118</v>
      </c>
      <c r="B131" s="62" t="str">
        <f>LEFT(Tbla_proyectos[[#This Row],[codigo_proyecto]],4)</f>
        <v>2530</v>
      </c>
      <c r="C131" s="4" t="s">
        <v>11868</v>
      </c>
      <c r="D131" s="15" t="s">
        <v>11684</v>
      </c>
      <c r="E131" s="4" t="s">
        <v>11869</v>
      </c>
      <c r="F131" s="4" t="s">
        <v>11693</v>
      </c>
      <c r="G131" s="62" t="s">
        <v>11687</v>
      </c>
      <c r="H131" t="s">
        <v>11688</v>
      </c>
      <c r="I131" s="2"/>
      <c r="K131" s="60" t="str">
        <f>IF(OR(Tbla_proyectos[[#This Row],[fecha_inicio]]="",Tbla_proyectos[[#This Row],[fecha_fin]]=""),"",DATEDIF(Tbla_proyectos[[#This Row],[fecha_inicio]],Tbla_proyectos[[#This Row],[fecha_fin]],"M"))</f>
        <v/>
      </c>
      <c r="L131" s="60" t="s">
        <v>11689</v>
      </c>
      <c r="M131" s="62" t="s">
        <v>11690</v>
      </c>
      <c r="N131" s="62">
        <f ca="1">IF(Tbla_proyectos[[#This Row],[municipio]]="","",VLOOKUP(Tbla_proyectos[[#This Row],[municipio]],INDIRECT(Tbla_proyectos[[#This Row],[departamento]]),2,0))</f>
        <v>4.3161076979999997</v>
      </c>
      <c r="O131" s="62">
        <f ca="1">IF(Tbla_proyectos[[#This Row],[municipio]]="","",VLOOKUP(Tbla_proyectos[[#This Row],[municipio]],INDIRECT(Tbla_proyectos[[#This Row],[departamento]]),2,0))</f>
        <v>4.3161076979999997</v>
      </c>
    </row>
    <row r="132" spans="1:16">
      <c r="A132" t="s">
        <v>8641</v>
      </c>
      <c r="B132" s="62" t="str">
        <f>LEFT(Tbla_proyectos[[#This Row],[codigo_proyecto]],4)</f>
        <v>2430</v>
      </c>
      <c r="C132" s="4" t="s">
        <v>11868</v>
      </c>
      <c r="D132" s="15" t="s">
        <v>11684</v>
      </c>
      <c r="E132" s="4" t="s">
        <v>11869</v>
      </c>
      <c r="F132" s="4" t="s">
        <v>11693</v>
      </c>
      <c r="G132" s="62" t="s">
        <v>11687</v>
      </c>
      <c r="H132" t="s">
        <v>11688</v>
      </c>
      <c r="I132" s="2"/>
      <c r="K132" s="60" t="str">
        <f>IF(OR(Tbla_proyectos[[#This Row],[fecha_inicio]]="",Tbla_proyectos[[#This Row],[fecha_fin]]=""),"",DATEDIF(Tbla_proyectos[[#This Row],[fecha_inicio]],Tbla_proyectos[[#This Row],[fecha_fin]],"M"))</f>
        <v/>
      </c>
      <c r="L132" s="60" t="s">
        <v>11689</v>
      </c>
      <c r="M132" s="62" t="s">
        <v>11690</v>
      </c>
      <c r="N132" s="62">
        <f ca="1">IF(Tbla_proyectos[[#This Row],[municipio]]="","",VLOOKUP(Tbla_proyectos[[#This Row],[municipio]],INDIRECT(Tbla_proyectos[[#This Row],[departamento]]),2,0))</f>
        <v>4.3161076979999997</v>
      </c>
      <c r="O132" s="62">
        <f ca="1">IF(Tbla_proyectos[[#This Row],[municipio]]="","",VLOOKUP(Tbla_proyectos[[#This Row],[municipio]],INDIRECT(Tbla_proyectos[[#This Row],[departamento]]),2,0))</f>
        <v>4.3161076979999997</v>
      </c>
    </row>
    <row r="133" spans="1:16">
      <c r="A133" t="s">
        <v>8840</v>
      </c>
      <c r="B133" s="62" t="str">
        <f>LEFT(Tbla_proyectos[[#This Row],[codigo_proyecto]],4)</f>
        <v>2430</v>
      </c>
      <c r="C133" s="4" t="s">
        <v>11870</v>
      </c>
      <c r="D133" s="15" t="s">
        <v>11684</v>
      </c>
      <c r="E133" s="4" t="s">
        <v>11871</v>
      </c>
      <c r="F133" s="4" t="s">
        <v>11872</v>
      </c>
      <c r="G133" s="62" t="s">
        <v>11687</v>
      </c>
      <c r="H133" t="s">
        <v>11688</v>
      </c>
      <c r="I133" s="2"/>
      <c r="K133" s="60" t="str">
        <f>IF(OR(Tbla_proyectos[[#This Row],[fecha_inicio]]="",Tbla_proyectos[[#This Row],[fecha_fin]]=""),"",DATEDIF(Tbla_proyectos[[#This Row],[fecha_inicio]],Tbla_proyectos[[#This Row],[fecha_fin]],"M"))</f>
        <v/>
      </c>
      <c r="L133" s="60" t="s">
        <v>11689</v>
      </c>
      <c r="M133" s="62" t="s">
        <v>11690</v>
      </c>
      <c r="N133" s="62">
        <f ca="1">IF(Tbla_proyectos[[#This Row],[municipio]]="","",VLOOKUP(Tbla_proyectos[[#This Row],[municipio]],INDIRECT(Tbla_proyectos[[#This Row],[departamento]]),2,0))</f>
        <v>4.3161076979999997</v>
      </c>
      <c r="O133" s="62">
        <f ca="1">IF(Tbla_proyectos[[#This Row],[municipio]]="","",VLOOKUP(Tbla_proyectos[[#This Row],[municipio]],INDIRECT(Tbla_proyectos[[#This Row],[departamento]]),2,0))</f>
        <v>4.3161076979999997</v>
      </c>
      <c r="P133" t="s">
        <v>11703</v>
      </c>
    </row>
    <row r="134" spans="1:16">
      <c r="A134" t="s">
        <v>9034</v>
      </c>
      <c r="B134" s="62" t="str">
        <f>LEFT(Tbla_proyectos[[#This Row],[codigo_proyecto]],4)</f>
        <v>2430</v>
      </c>
      <c r="C134" s="4" t="s">
        <v>11865</v>
      </c>
      <c r="D134" s="15" t="s">
        <v>11684</v>
      </c>
      <c r="E134" s="4" t="s">
        <v>11866</v>
      </c>
      <c r="F134" s="4" t="s">
        <v>11867</v>
      </c>
      <c r="G134" s="62" t="s">
        <v>11687</v>
      </c>
      <c r="H134" t="s">
        <v>11688</v>
      </c>
      <c r="I134" s="2"/>
      <c r="K134" s="60" t="str">
        <f>IF(OR(Tbla_proyectos[[#This Row],[fecha_inicio]]="",Tbla_proyectos[[#This Row],[fecha_fin]]=""),"",DATEDIF(Tbla_proyectos[[#This Row],[fecha_inicio]],Tbla_proyectos[[#This Row],[fecha_fin]],"M"))</f>
        <v/>
      </c>
      <c r="L134" s="60" t="s">
        <v>11689</v>
      </c>
      <c r="M134" s="62" t="s">
        <v>11690</v>
      </c>
      <c r="N134" s="62">
        <f ca="1">IF(Tbla_proyectos[[#This Row],[municipio]]="","",VLOOKUP(Tbla_proyectos[[#This Row],[municipio]],INDIRECT(Tbla_proyectos[[#This Row],[departamento]]),2,0))</f>
        <v>4.3161076979999997</v>
      </c>
      <c r="O134" s="62">
        <f ca="1">IF(Tbla_proyectos[[#This Row],[municipio]]="","",VLOOKUP(Tbla_proyectos[[#This Row],[municipio]],INDIRECT(Tbla_proyectos[[#This Row],[departamento]]),2,0))</f>
        <v>4.3161076979999997</v>
      </c>
      <c r="P134" t="s">
        <v>11703</v>
      </c>
    </row>
    <row r="135" spans="1:16">
      <c r="A135" t="s">
        <v>11873</v>
      </c>
      <c r="B135" s="62" t="str">
        <f>LEFT(Tbla_proyectos[[#This Row],[codigo_proyecto]],4)</f>
        <v>2430</v>
      </c>
      <c r="C135" s="4" t="s">
        <v>11743</v>
      </c>
      <c r="D135" s="15" t="s">
        <v>11684</v>
      </c>
      <c r="E135" s="4" t="s">
        <v>11874</v>
      </c>
      <c r="F135" s="4" t="s">
        <v>11875</v>
      </c>
      <c r="G135" s="62" t="s">
        <v>11687</v>
      </c>
      <c r="H135" t="s">
        <v>11688</v>
      </c>
      <c r="I135" s="2"/>
      <c r="K135" s="60" t="str">
        <f>IF(OR(Tbla_proyectos[[#This Row],[fecha_inicio]]="",Tbla_proyectos[[#This Row],[fecha_fin]]=""),"",DATEDIF(Tbla_proyectos[[#This Row],[fecha_inicio]],Tbla_proyectos[[#This Row],[fecha_fin]],"M"))</f>
        <v/>
      </c>
      <c r="L135" s="60" t="s">
        <v>11689</v>
      </c>
      <c r="M135" s="62" t="s">
        <v>11690</v>
      </c>
      <c r="N135" s="62">
        <f ca="1">IF(Tbla_proyectos[[#This Row],[municipio]]="","",VLOOKUP(Tbla_proyectos[[#This Row],[municipio]],INDIRECT(Tbla_proyectos[[#This Row],[departamento]]),2,0))</f>
        <v>4.3161076979999997</v>
      </c>
      <c r="O135" s="62">
        <f ca="1">IF(Tbla_proyectos[[#This Row],[municipio]]="","",VLOOKUP(Tbla_proyectos[[#This Row],[municipio]],INDIRECT(Tbla_proyectos[[#This Row],[departamento]]),2,0))</f>
        <v>4.3161076979999997</v>
      </c>
      <c r="P135" t="s">
        <v>11703</v>
      </c>
    </row>
    <row r="136" spans="1:16">
      <c r="A136" t="s">
        <v>8833</v>
      </c>
      <c r="B136" s="62" t="str">
        <f>LEFT(Tbla_proyectos[[#This Row],[codigo_proyecto]],4)</f>
        <v>2430</v>
      </c>
      <c r="C136" s="4" t="s">
        <v>11863</v>
      </c>
      <c r="D136" s="15" t="s">
        <v>11684</v>
      </c>
      <c r="E136" s="4" t="s">
        <v>11876</v>
      </c>
      <c r="F136" s="4" t="s">
        <v>11877</v>
      </c>
      <c r="G136" s="62" t="s">
        <v>11687</v>
      </c>
      <c r="H136" t="s">
        <v>11688</v>
      </c>
      <c r="I136" s="2"/>
      <c r="K136" s="60" t="str">
        <f>IF(OR(Tbla_proyectos[[#This Row],[fecha_inicio]]="",Tbla_proyectos[[#This Row],[fecha_fin]]=""),"",DATEDIF(Tbla_proyectos[[#This Row],[fecha_inicio]],Tbla_proyectos[[#This Row],[fecha_fin]],"M"))</f>
        <v/>
      </c>
      <c r="L136" s="60" t="s">
        <v>11689</v>
      </c>
      <c r="M136" s="62" t="s">
        <v>11690</v>
      </c>
      <c r="N136" s="62">
        <f ca="1">IF(Tbla_proyectos[[#This Row],[municipio]]="","",VLOOKUP(Tbla_proyectos[[#This Row],[municipio]],INDIRECT(Tbla_proyectos[[#This Row],[departamento]]),2,0))</f>
        <v>4.3161076979999997</v>
      </c>
      <c r="O136" s="62">
        <f ca="1">IF(Tbla_proyectos[[#This Row],[municipio]]="","",VLOOKUP(Tbla_proyectos[[#This Row],[municipio]],INDIRECT(Tbla_proyectos[[#This Row],[departamento]]),2,0))</f>
        <v>4.3161076979999997</v>
      </c>
    </row>
    <row r="137" spans="1:16">
      <c r="A137" t="s">
        <v>9069</v>
      </c>
      <c r="B137" s="62" t="str">
        <f>LEFT(Tbla_proyectos[[#This Row],[codigo_proyecto]],4)</f>
        <v>2430</v>
      </c>
      <c r="C137" s="4" t="s">
        <v>11863</v>
      </c>
      <c r="D137" s="15" t="s">
        <v>11684</v>
      </c>
      <c r="E137" s="4" t="s">
        <v>11755</v>
      </c>
      <c r="F137" s="4" t="s">
        <v>11864</v>
      </c>
      <c r="G137" s="62" t="s">
        <v>11726</v>
      </c>
      <c r="H137" t="s">
        <v>11688</v>
      </c>
      <c r="I137" s="2"/>
      <c r="K137" s="60" t="str">
        <f>IF(OR(Tbla_proyectos[[#This Row],[fecha_inicio]]="",Tbla_proyectos[[#This Row],[fecha_fin]]=""),"",DATEDIF(Tbla_proyectos[[#This Row],[fecha_inicio]],Tbla_proyectos[[#This Row],[fecha_fin]],"M"))</f>
        <v/>
      </c>
      <c r="L137" s="60" t="s">
        <v>11689</v>
      </c>
      <c r="M137" s="62" t="s">
        <v>11690</v>
      </c>
      <c r="N137" s="62">
        <f ca="1">IF(Tbla_proyectos[[#This Row],[municipio]]="","",VLOOKUP(Tbla_proyectos[[#This Row],[municipio]],INDIRECT(Tbla_proyectos[[#This Row],[departamento]]),2,0))</f>
        <v>4.3161076979999997</v>
      </c>
      <c r="O137" s="62">
        <f ca="1">IF(Tbla_proyectos[[#This Row],[municipio]]="","",VLOOKUP(Tbla_proyectos[[#This Row],[municipio]],INDIRECT(Tbla_proyectos[[#This Row],[departamento]]),2,0))</f>
        <v>4.3161076979999997</v>
      </c>
    </row>
    <row r="138" spans="1:16">
      <c r="A138" t="s">
        <v>8559</v>
      </c>
      <c r="B138" s="62" t="str">
        <f>LEFT(Tbla_proyectos[[#This Row],[codigo_proyecto]],4)</f>
        <v>2430</v>
      </c>
      <c r="C138" s="4" t="s">
        <v>11878</v>
      </c>
      <c r="D138" s="15" t="s">
        <v>11684</v>
      </c>
      <c r="E138" s="4" t="s">
        <v>11879</v>
      </c>
      <c r="F138" s="4" t="s">
        <v>11736</v>
      </c>
      <c r="G138" s="62" t="s">
        <v>11687</v>
      </c>
      <c r="H138" t="s">
        <v>11688</v>
      </c>
      <c r="I138" s="2"/>
      <c r="K138" s="60" t="str">
        <f>IF(OR(Tbla_proyectos[[#This Row],[fecha_inicio]]="",Tbla_proyectos[[#This Row],[fecha_fin]]=""),"",DATEDIF(Tbla_proyectos[[#This Row],[fecha_inicio]],Tbla_proyectos[[#This Row],[fecha_fin]],"M"))</f>
        <v/>
      </c>
      <c r="L138" s="60" t="s">
        <v>11689</v>
      </c>
      <c r="M138" s="62" t="s">
        <v>11690</v>
      </c>
      <c r="N138" s="62">
        <f ca="1">IF(Tbla_proyectos[[#This Row],[municipio]]="","",VLOOKUP(Tbla_proyectos[[#This Row],[municipio]],INDIRECT(Tbla_proyectos[[#This Row],[departamento]]),2,0))</f>
        <v>4.3161076979999997</v>
      </c>
      <c r="O138" s="62">
        <f ca="1">IF(Tbla_proyectos[[#This Row],[municipio]]="","",VLOOKUP(Tbla_proyectos[[#This Row],[municipio]],INDIRECT(Tbla_proyectos[[#This Row],[departamento]]),2,0))</f>
        <v>4.3161076979999997</v>
      </c>
    </row>
    <row r="139" spans="1:16">
      <c r="A139" t="s">
        <v>8629</v>
      </c>
      <c r="B139" s="62" t="str">
        <f>LEFT(Tbla_proyectos[[#This Row],[codigo_proyecto]],4)</f>
        <v>2430</v>
      </c>
      <c r="C139" s="4" t="s">
        <v>11880</v>
      </c>
      <c r="D139" s="15" t="s">
        <v>11684</v>
      </c>
      <c r="E139" s="4" t="s">
        <v>11881</v>
      </c>
      <c r="F139" s="4" t="s">
        <v>11881</v>
      </c>
      <c r="G139" s="62" t="s">
        <v>11694</v>
      </c>
      <c r="H139" t="s">
        <v>11688</v>
      </c>
      <c r="I139" s="2"/>
      <c r="K139" s="60" t="str">
        <f>IF(OR(Tbla_proyectos[[#This Row],[fecha_inicio]]="",Tbla_proyectos[[#This Row],[fecha_fin]]=""),"",DATEDIF(Tbla_proyectos[[#This Row],[fecha_inicio]],Tbla_proyectos[[#This Row],[fecha_fin]],"M"))</f>
        <v/>
      </c>
      <c r="L139" s="60" t="s">
        <v>11689</v>
      </c>
      <c r="M139" s="62" t="s">
        <v>11690</v>
      </c>
      <c r="N139" s="62">
        <f ca="1">IF(Tbla_proyectos[[#This Row],[municipio]]="","",VLOOKUP(Tbla_proyectos[[#This Row],[municipio]],INDIRECT(Tbla_proyectos[[#This Row],[departamento]]),2,0))</f>
        <v>4.3161076979999997</v>
      </c>
      <c r="O139" s="62">
        <f ca="1">IF(Tbla_proyectos[[#This Row],[municipio]]="","",VLOOKUP(Tbla_proyectos[[#This Row],[municipio]],INDIRECT(Tbla_proyectos[[#This Row],[departamento]]),2,0))</f>
        <v>4.3161076979999997</v>
      </c>
    </row>
    <row r="140" spans="1:16">
      <c r="A140" t="s">
        <v>9728</v>
      </c>
      <c r="B140" s="62" t="str">
        <f>LEFT(Tbla_proyectos[[#This Row],[codigo_proyecto]],4)</f>
        <v>2510</v>
      </c>
      <c r="C140" s="4" t="s">
        <v>11882</v>
      </c>
      <c r="D140" s="15" t="s">
        <v>11684</v>
      </c>
      <c r="E140" s="4" t="s">
        <v>11883</v>
      </c>
      <c r="F140" s="4" t="s">
        <v>11859</v>
      </c>
      <c r="G140" s="62" t="s">
        <v>11687</v>
      </c>
      <c r="H140" t="s">
        <v>11713</v>
      </c>
      <c r="I140" s="2"/>
      <c r="K140" s="60" t="str">
        <f>IF(OR(Tbla_proyectos[[#This Row],[fecha_inicio]]="",Tbla_proyectos[[#This Row],[fecha_fin]]=""),"",DATEDIF(Tbla_proyectos[[#This Row],[fecha_inicio]],Tbla_proyectos[[#This Row],[fecha_fin]],"M"))</f>
        <v/>
      </c>
      <c r="L140" s="60" t="s">
        <v>11689</v>
      </c>
      <c r="M140" s="62" t="s">
        <v>11690</v>
      </c>
      <c r="N140" s="62">
        <f ca="1">IF(Tbla_proyectos[[#This Row],[municipio]]="","",VLOOKUP(Tbla_proyectos[[#This Row],[municipio]],INDIRECT(Tbla_proyectos[[#This Row],[departamento]]),2,0))</f>
        <v>4.3161076979999997</v>
      </c>
      <c r="O140" s="62">
        <f ca="1">IF(Tbla_proyectos[[#This Row],[municipio]]="","",VLOOKUP(Tbla_proyectos[[#This Row],[municipio]],INDIRECT(Tbla_proyectos[[#This Row],[departamento]]),2,0))</f>
        <v>4.3161076979999997</v>
      </c>
      <c r="P140" t="s">
        <v>11696</v>
      </c>
    </row>
    <row r="141" spans="1:16">
      <c r="A141" t="s">
        <v>9743</v>
      </c>
      <c r="B141" s="62" t="str">
        <f>LEFT(Tbla_proyectos[[#This Row],[codigo_proyecto]],4)</f>
        <v>2510</v>
      </c>
      <c r="C141" s="4" t="s">
        <v>11884</v>
      </c>
      <c r="D141" s="15" t="s">
        <v>11684</v>
      </c>
      <c r="E141" s="4" t="s">
        <v>11885</v>
      </c>
      <c r="F141" s="4" t="s">
        <v>11886</v>
      </c>
      <c r="G141" s="62" t="s">
        <v>11687</v>
      </c>
      <c r="H141" t="s">
        <v>11713</v>
      </c>
      <c r="I141" s="2"/>
      <c r="K141" s="60" t="str">
        <f>IF(OR(Tbla_proyectos[[#This Row],[fecha_inicio]]="",Tbla_proyectos[[#This Row],[fecha_fin]]=""),"",DATEDIF(Tbla_proyectos[[#This Row],[fecha_inicio]],Tbla_proyectos[[#This Row],[fecha_fin]],"M"))</f>
        <v/>
      </c>
      <c r="L141" s="60" t="s">
        <v>11689</v>
      </c>
      <c r="M141" s="62" t="s">
        <v>11690</v>
      </c>
      <c r="N141" s="62">
        <f ca="1">IF(Tbla_proyectos[[#This Row],[municipio]]="","",VLOOKUP(Tbla_proyectos[[#This Row],[municipio]],INDIRECT(Tbla_proyectos[[#This Row],[departamento]]),2,0))</f>
        <v>4.3161076979999997</v>
      </c>
      <c r="O141" s="62">
        <f ca="1">IF(Tbla_proyectos[[#This Row],[municipio]]="","",VLOOKUP(Tbla_proyectos[[#This Row],[municipio]],INDIRECT(Tbla_proyectos[[#This Row],[departamento]]),2,0))</f>
        <v>4.3161076979999997</v>
      </c>
      <c r="P141" t="s">
        <v>11696</v>
      </c>
    </row>
    <row r="142" spans="1:16">
      <c r="A142" t="s">
        <v>9770</v>
      </c>
      <c r="B142" s="62" t="str">
        <f>LEFT(Tbla_proyectos[[#This Row],[codigo_proyecto]],4)</f>
        <v>2510</v>
      </c>
      <c r="C142" s="4" t="s">
        <v>11887</v>
      </c>
      <c r="D142" s="15" t="s">
        <v>11684</v>
      </c>
      <c r="E142" s="4" t="s">
        <v>11888</v>
      </c>
      <c r="F142" s="4" t="s">
        <v>11859</v>
      </c>
      <c r="G142" s="62" t="s">
        <v>11687</v>
      </c>
      <c r="H142" t="s">
        <v>11713</v>
      </c>
      <c r="I142" s="2"/>
      <c r="K142" s="60" t="str">
        <f>IF(OR(Tbla_proyectos[[#This Row],[fecha_inicio]]="",Tbla_proyectos[[#This Row],[fecha_fin]]=""),"",DATEDIF(Tbla_proyectos[[#This Row],[fecha_inicio]],Tbla_proyectos[[#This Row],[fecha_fin]],"M"))</f>
        <v/>
      </c>
      <c r="L142" s="60" t="s">
        <v>11689</v>
      </c>
      <c r="M142" s="62" t="s">
        <v>11690</v>
      </c>
      <c r="N142" s="62">
        <f ca="1">IF(Tbla_proyectos[[#This Row],[municipio]]="","",VLOOKUP(Tbla_proyectos[[#This Row],[municipio]],INDIRECT(Tbla_proyectos[[#This Row],[departamento]]),2,0))</f>
        <v>4.3161076979999997</v>
      </c>
      <c r="O142" s="62">
        <f ca="1">IF(Tbla_proyectos[[#This Row],[municipio]]="","",VLOOKUP(Tbla_proyectos[[#This Row],[municipio]],INDIRECT(Tbla_proyectos[[#This Row],[departamento]]),2,0))</f>
        <v>4.3161076979999997</v>
      </c>
      <c r="P142" t="s">
        <v>11696</v>
      </c>
    </row>
    <row r="143" spans="1:16">
      <c r="A143" t="s">
        <v>10610</v>
      </c>
      <c r="B143" s="62" t="str">
        <f>LEFT(Tbla_proyectos[[#This Row],[codigo_proyecto]],4)</f>
        <v>2530</v>
      </c>
      <c r="C143" s="4" t="s">
        <v>11882</v>
      </c>
      <c r="D143" s="15" t="s">
        <v>11684</v>
      </c>
      <c r="E143" s="4" t="s">
        <v>11883</v>
      </c>
      <c r="F143" s="4" t="s">
        <v>11859</v>
      </c>
      <c r="G143" s="62" t="s">
        <v>11687</v>
      </c>
      <c r="H143" t="s">
        <v>11713</v>
      </c>
      <c r="I143" s="2"/>
      <c r="K143" s="60" t="str">
        <f>IF(OR(Tbla_proyectos[[#This Row],[fecha_inicio]]="",Tbla_proyectos[[#This Row],[fecha_fin]]=""),"",DATEDIF(Tbla_proyectos[[#This Row],[fecha_inicio]],Tbla_proyectos[[#This Row],[fecha_fin]],"M"))</f>
        <v/>
      </c>
      <c r="L143" s="60" t="s">
        <v>11689</v>
      </c>
      <c r="M143" s="62" t="s">
        <v>11690</v>
      </c>
      <c r="N143" s="62">
        <f ca="1">IF(Tbla_proyectos[[#This Row],[municipio]]="","",VLOOKUP(Tbla_proyectos[[#This Row],[municipio]],INDIRECT(Tbla_proyectos[[#This Row],[departamento]]),2,0))</f>
        <v>4.3161076979999997</v>
      </c>
      <c r="O143" s="62">
        <f ca="1">IF(Tbla_proyectos[[#This Row],[municipio]]="","",VLOOKUP(Tbla_proyectos[[#This Row],[municipio]],INDIRECT(Tbla_proyectos[[#This Row],[departamento]]),2,0))</f>
        <v>4.3161076979999997</v>
      </c>
      <c r="P143" t="s">
        <v>11703</v>
      </c>
    </row>
    <row r="144" spans="1:16">
      <c r="A144" t="s">
        <v>10140</v>
      </c>
      <c r="B144" s="62" t="str">
        <f>LEFT(Tbla_proyectos[[#This Row],[codigo_proyecto]],4)</f>
        <v>2530</v>
      </c>
      <c r="C144" s="4" t="s">
        <v>11889</v>
      </c>
      <c r="D144" s="15" t="s">
        <v>11684</v>
      </c>
      <c r="E144" s="4" t="s">
        <v>11890</v>
      </c>
      <c r="F144" s="4" t="s">
        <v>11693</v>
      </c>
      <c r="G144" s="62" t="s">
        <v>11687</v>
      </c>
      <c r="H144" t="s">
        <v>11713</v>
      </c>
      <c r="I144" s="2"/>
      <c r="K144" s="60" t="str">
        <f>IF(OR(Tbla_proyectos[[#This Row],[fecha_inicio]]="",Tbla_proyectos[[#This Row],[fecha_fin]]=""),"",DATEDIF(Tbla_proyectos[[#This Row],[fecha_inicio]],Tbla_proyectos[[#This Row],[fecha_fin]],"M"))</f>
        <v/>
      </c>
      <c r="L144" s="60" t="s">
        <v>11689</v>
      </c>
      <c r="M144" s="62" t="s">
        <v>11690</v>
      </c>
      <c r="N144" s="62">
        <f ca="1">IF(Tbla_proyectos[[#This Row],[municipio]]="","",VLOOKUP(Tbla_proyectos[[#This Row],[municipio]],INDIRECT(Tbla_proyectos[[#This Row],[departamento]]),2,0))</f>
        <v>4.3161076979999997</v>
      </c>
      <c r="O144" s="62">
        <f ca="1">IF(Tbla_proyectos[[#This Row],[municipio]]="","",VLOOKUP(Tbla_proyectos[[#This Row],[municipio]],INDIRECT(Tbla_proyectos[[#This Row],[departamento]]),2,0))</f>
        <v>4.3161076979999997</v>
      </c>
      <c r="P144" t="s">
        <v>11696</v>
      </c>
    </row>
    <row r="145" spans="1:16">
      <c r="A145" t="s">
        <v>10110</v>
      </c>
      <c r="B145" s="62" t="str">
        <f>LEFT(Tbla_proyectos[[#This Row],[codigo_proyecto]],4)</f>
        <v>2530</v>
      </c>
      <c r="C145" s="4" t="s">
        <v>11891</v>
      </c>
      <c r="D145" s="15" t="s">
        <v>11684</v>
      </c>
      <c r="E145" s="4" t="s">
        <v>11892</v>
      </c>
      <c r="F145" s="4" t="s">
        <v>11859</v>
      </c>
      <c r="G145" s="62" t="s">
        <v>11687</v>
      </c>
      <c r="H145" t="s">
        <v>11713</v>
      </c>
      <c r="I145" s="2"/>
      <c r="K145" s="60" t="str">
        <f>IF(OR(Tbla_proyectos[[#This Row],[fecha_inicio]]="",Tbla_proyectos[[#This Row],[fecha_fin]]=""),"",DATEDIF(Tbla_proyectos[[#This Row],[fecha_inicio]],Tbla_proyectos[[#This Row],[fecha_fin]],"M"))</f>
        <v/>
      </c>
      <c r="L145" s="60" t="s">
        <v>11689</v>
      </c>
      <c r="M145" s="62" t="s">
        <v>11690</v>
      </c>
      <c r="N145" s="62">
        <f ca="1">IF(Tbla_proyectos[[#This Row],[municipio]]="","",VLOOKUP(Tbla_proyectos[[#This Row],[municipio]],INDIRECT(Tbla_proyectos[[#This Row],[departamento]]),2,0))</f>
        <v>4.3161076979999997</v>
      </c>
      <c r="O145" s="62">
        <f ca="1">IF(Tbla_proyectos[[#This Row],[municipio]]="","",VLOOKUP(Tbla_proyectos[[#This Row],[municipio]],INDIRECT(Tbla_proyectos[[#This Row],[departamento]]),2,0))</f>
        <v>4.3161076979999997</v>
      </c>
      <c r="P145" t="s">
        <v>11696</v>
      </c>
    </row>
    <row r="146" spans="1:16">
      <c r="A146" t="s">
        <v>10634</v>
      </c>
      <c r="B146" s="62" t="str">
        <f>LEFT(Tbla_proyectos[[#This Row],[codigo_proyecto]],4)</f>
        <v>2530</v>
      </c>
      <c r="C146" s="4" t="s">
        <v>11893</v>
      </c>
      <c r="D146" s="15" t="s">
        <v>11684</v>
      </c>
      <c r="E146" s="4" t="s">
        <v>11894</v>
      </c>
      <c r="F146" s="4" t="s">
        <v>11895</v>
      </c>
      <c r="G146" s="62" t="s">
        <v>11687</v>
      </c>
      <c r="H146" t="s">
        <v>11713</v>
      </c>
      <c r="I146" s="2"/>
      <c r="K146" s="60" t="str">
        <f>IF(OR(Tbla_proyectos[[#This Row],[fecha_inicio]]="",Tbla_proyectos[[#This Row],[fecha_fin]]=""),"",DATEDIF(Tbla_proyectos[[#This Row],[fecha_inicio]],Tbla_proyectos[[#This Row],[fecha_fin]],"M"))</f>
        <v/>
      </c>
      <c r="L146" s="60" t="s">
        <v>11689</v>
      </c>
      <c r="M146" s="62" t="s">
        <v>11690</v>
      </c>
      <c r="N146" s="62">
        <f ca="1">IF(Tbla_proyectos[[#This Row],[municipio]]="","",VLOOKUP(Tbla_proyectos[[#This Row],[municipio]],INDIRECT(Tbla_proyectos[[#This Row],[departamento]]),2,0))</f>
        <v>4.3161076979999997</v>
      </c>
      <c r="O146" s="62">
        <f ca="1">IF(Tbla_proyectos[[#This Row],[municipio]]="","",VLOOKUP(Tbla_proyectos[[#This Row],[municipio]],INDIRECT(Tbla_proyectos[[#This Row],[departamento]]),2,0))</f>
        <v>4.3161076979999997</v>
      </c>
      <c r="P146" t="s">
        <v>11696</v>
      </c>
    </row>
    <row r="147" spans="1:16">
      <c r="A147" t="s">
        <v>10126</v>
      </c>
      <c r="B147" s="62" t="str">
        <f>LEFT(Tbla_proyectos[[#This Row],[codigo_proyecto]],4)</f>
        <v>2530</v>
      </c>
      <c r="C147" s="4" t="s">
        <v>11896</v>
      </c>
      <c r="D147" s="15" t="s">
        <v>11684</v>
      </c>
      <c r="E147" s="4" t="s">
        <v>11897</v>
      </c>
      <c r="F147" s="4" t="s">
        <v>11859</v>
      </c>
      <c r="G147" s="62" t="s">
        <v>11694</v>
      </c>
      <c r="H147" t="s">
        <v>11713</v>
      </c>
      <c r="I147" s="2"/>
      <c r="K147" s="60" t="str">
        <f>IF(OR(Tbla_proyectos[[#This Row],[fecha_inicio]]="",Tbla_proyectos[[#This Row],[fecha_fin]]=""),"",DATEDIF(Tbla_proyectos[[#This Row],[fecha_inicio]],Tbla_proyectos[[#This Row],[fecha_fin]],"M"))</f>
        <v/>
      </c>
      <c r="L147" s="60" t="s">
        <v>11689</v>
      </c>
      <c r="M147" s="62" t="s">
        <v>11690</v>
      </c>
      <c r="N147" s="62">
        <f ca="1">IF(Tbla_proyectos[[#This Row],[municipio]]="","",VLOOKUP(Tbla_proyectos[[#This Row],[municipio]],INDIRECT(Tbla_proyectos[[#This Row],[departamento]]),2,0))</f>
        <v>4.3161076979999997</v>
      </c>
      <c r="O147" s="62">
        <f ca="1">IF(Tbla_proyectos[[#This Row],[municipio]]="","",VLOOKUP(Tbla_proyectos[[#This Row],[municipio]],INDIRECT(Tbla_proyectos[[#This Row],[departamento]]),2,0))</f>
        <v>4.3161076979999997</v>
      </c>
      <c r="P147" t="s">
        <v>11703</v>
      </c>
    </row>
    <row r="148" spans="1:16">
      <c r="A148" t="s">
        <v>8996</v>
      </c>
      <c r="B148" s="62" t="str">
        <f>LEFT(Tbla_proyectos[[#This Row],[codigo_proyecto]],4)</f>
        <v>2430</v>
      </c>
      <c r="C148" s="4" t="s">
        <v>11732</v>
      </c>
      <c r="D148" s="15" t="s">
        <v>11684</v>
      </c>
      <c r="E148" s="4" t="s">
        <v>11733</v>
      </c>
      <c r="F148" s="4" t="s">
        <v>11693</v>
      </c>
      <c r="G148" s="62" t="s">
        <v>11687</v>
      </c>
      <c r="H148" t="s">
        <v>11713</v>
      </c>
      <c r="I148" s="2"/>
      <c r="K148" s="60" t="str">
        <f>IF(OR(Tbla_proyectos[[#This Row],[fecha_inicio]]="",Tbla_proyectos[[#This Row],[fecha_fin]]=""),"",DATEDIF(Tbla_proyectos[[#This Row],[fecha_inicio]],Tbla_proyectos[[#This Row],[fecha_fin]],"M"))</f>
        <v/>
      </c>
      <c r="L148" s="60" t="s">
        <v>11689</v>
      </c>
      <c r="M148" s="62" t="s">
        <v>11690</v>
      </c>
      <c r="N148" s="62">
        <f ca="1">IF(Tbla_proyectos[[#This Row],[municipio]]="","",VLOOKUP(Tbla_proyectos[[#This Row],[municipio]],INDIRECT(Tbla_proyectos[[#This Row],[departamento]]),2,0))</f>
        <v>4.3161076979999997</v>
      </c>
      <c r="O148" s="62">
        <f ca="1">IF(Tbla_proyectos[[#This Row],[municipio]]="","",VLOOKUP(Tbla_proyectos[[#This Row],[municipio]],INDIRECT(Tbla_proyectos[[#This Row],[departamento]]),2,0))</f>
        <v>4.3161076979999997</v>
      </c>
      <c r="P148" t="s">
        <v>11703</v>
      </c>
    </row>
    <row r="149" spans="1:16">
      <c r="A149" t="s">
        <v>8599</v>
      </c>
      <c r="B149" s="62" t="str">
        <f>LEFT(Tbla_proyectos[[#This Row],[codigo_proyecto]],4)</f>
        <v>2430</v>
      </c>
      <c r="C149" s="4" t="s">
        <v>11898</v>
      </c>
      <c r="D149" s="15" t="s">
        <v>11684</v>
      </c>
      <c r="E149" s="4" t="s">
        <v>11899</v>
      </c>
      <c r="F149" s="4" t="s">
        <v>11693</v>
      </c>
      <c r="G149" s="62" t="s">
        <v>11687</v>
      </c>
      <c r="H149" t="s">
        <v>11713</v>
      </c>
      <c r="I149" s="2"/>
      <c r="K149" s="60" t="str">
        <f>IF(OR(Tbla_proyectos[[#This Row],[fecha_inicio]]="",Tbla_proyectos[[#This Row],[fecha_fin]]=""),"",DATEDIF(Tbla_proyectos[[#This Row],[fecha_inicio]],Tbla_proyectos[[#This Row],[fecha_fin]],"M"))</f>
        <v/>
      </c>
      <c r="L149" s="60" t="s">
        <v>11689</v>
      </c>
      <c r="M149" s="62" t="s">
        <v>11690</v>
      </c>
      <c r="N149" s="62">
        <f ca="1">IF(Tbla_proyectos[[#This Row],[municipio]]="","",VLOOKUP(Tbla_proyectos[[#This Row],[municipio]],INDIRECT(Tbla_proyectos[[#This Row],[departamento]]),2,0))</f>
        <v>4.3161076979999997</v>
      </c>
      <c r="O149" s="62">
        <f ca="1">IF(Tbla_proyectos[[#This Row],[municipio]]="","",VLOOKUP(Tbla_proyectos[[#This Row],[municipio]],INDIRECT(Tbla_proyectos[[#This Row],[departamento]]),2,0))</f>
        <v>4.3161076979999997</v>
      </c>
      <c r="P149" t="s">
        <v>11703</v>
      </c>
    </row>
    <row r="150" spans="1:16">
      <c r="A150" t="s">
        <v>8540</v>
      </c>
      <c r="B150" s="62" t="str">
        <f>LEFT(Tbla_proyectos[[#This Row],[codigo_proyecto]],4)</f>
        <v>2430</v>
      </c>
      <c r="C150" s="4" t="s">
        <v>11900</v>
      </c>
      <c r="D150" s="15" t="s">
        <v>11684</v>
      </c>
      <c r="E150" s="4" t="s">
        <v>11901</v>
      </c>
      <c r="F150" s="4" t="s">
        <v>11895</v>
      </c>
      <c r="G150" s="62" t="s">
        <v>11687</v>
      </c>
      <c r="H150" t="s">
        <v>11713</v>
      </c>
      <c r="I150" s="2"/>
      <c r="K150" s="60" t="str">
        <f>IF(OR(Tbla_proyectos[[#This Row],[fecha_inicio]]="",Tbla_proyectos[[#This Row],[fecha_fin]]=""),"",DATEDIF(Tbla_proyectos[[#This Row],[fecha_inicio]],Tbla_proyectos[[#This Row],[fecha_fin]],"M"))</f>
        <v/>
      </c>
      <c r="L150" s="60" t="s">
        <v>11689</v>
      </c>
      <c r="M150" s="62" t="s">
        <v>11690</v>
      </c>
      <c r="N150" s="62">
        <f ca="1">IF(Tbla_proyectos[[#This Row],[municipio]]="","",VLOOKUP(Tbla_proyectos[[#This Row],[municipio]],INDIRECT(Tbla_proyectos[[#This Row],[departamento]]),2,0))</f>
        <v>4.3161076979999997</v>
      </c>
      <c r="O150" s="62">
        <f ca="1">IF(Tbla_proyectos[[#This Row],[municipio]]="","",VLOOKUP(Tbla_proyectos[[#This Row],[municipio]],INDIRECT(Tbla_proyectos[[#This Row],[departamento]]),2,0))</f>
        <v>4.3161076979999997</v>
      </c>
      <c r="P150" t="s">
        <v>11696</v>
      </c>
    </row>
    <row r="151" spans="1:16">
      <c r="A151" t="s">
        <v>8575</v>
      </c>
      <c r="B151" s="62" t="str">
        <f>LEFT(Tbla_proyectos[[#This Row],[codigo_proyecto]],4)</f>
        <v>2430</v>
      </c>
      <c r="C151" s="4" t="s">
        <v>11902</v>
      </c>
      <c r="D151" s="15" t="s">
        <v>11684</v>
      </c>
      <c r="E151" s="4" t="s">
        <v>11903</v>
      </c>
      <c r="F151" s="4" t="s">
        <v>11859</v>
      </c>
      <c r="G151" s="62" t="s">
        <v>11687</v>
      </c>
      <c r="H151" t="s">
        <v>11713</v>
      </c>
      <c r="I151" s="2"/>
      <c r="K151" s="60" t="str">
        <f>IF(OR(Tbla_proyectos[[#This Row],[fecha_inicio]]="",Tbla_proyectos[[#This Row],[fecha_fin]]=""),"",DATEDIF(Tbla_proyectos[[#This Row],[fecha_inicio]],Tbla_proyectos[[#This Row],[fecha_fin]],"M"))</f>
        <v/>
      </c>
      <c r="L151" s="60" t="s">
        <v>11689</v>
      </c>
      <c r="M151" s="62" t="s">
        <v>11690</v>
      </c>
      <c r="N151" s="62">
        <f ca="1">IF(Tbla_proyectos[[#This Row],[municipio]]="","",VLOOKUP(Tbla_proyectos[[#This Row],[municipio]],INDIRECT(Tbla_proyectos[[#This Row],[departamento]]),2,0))</f>
        <v>4.3161076979999997</v>
      </c>
      <c r="O151" s="62">
        <f ca="1">IF(Tbla_proyectos[[#This Row],[municipio]]="","",VLOOKUP(Tbla_proyectos[[#This Row],[municipio]],INDIRECT(Tbla_proyectos[[#This Row],[departamento]]),2,0))</f>
        <v>4.3161076979999997</v>
      </c>
      <c r="P151" t="s">
        <v>11703</v>
      </c>
    </row>
    <row r="152" spans="1:16">
      <c r="A152" t="s">
        <v>9852</v>
      </c>
      <c r="B152" s="62" t="str">
        <f>LEFT(Tbla_proyectos[[#This Row],[codigo_proyecto]],4)</f>
        <v>2510</v>
      </c>
      <c r="C152" s="4" t="s">
        <v>11904</v>
      </c>
      <c r="D152" s="15" t="s">
        <v>11684</v>
      </c>
      <c r="E152" s="4" t="s">
        <v>11905</v>
      </c>
      <c r="F152" s="4" t="s">
        <v>11709</v>
      </c>
      <c r="G152" s="62" t="s">
        <v>11719</v>
      </c>
      <c r="H152" t="s">
        <v>11710</v>
      </c>
      <c r="I152" s="2"/>
      <c r="K152" s="60" t="str">
        <f>IF(OR(Tbla_proyectos[[#This Row],[fecha_inicio]]="",Tbla_proyectos[[#This Row],[fecha_fin]]=""),"",DATEDIF(Tbla_proyectos[[#This Row],[fecha_inicio]],Tbla_proyectos[[#This Row],[fecha_fin]],"M"))</f>
        <v/>
      </c>
      <c r="L152" s="60" t="s">
        <v>11689</v>
      </c>
      <c r="M152" s="62" t="s">
        <v>11690</v>
      </c>
      <c r="N152" s="62">
        <f ca="1">IF(Tbla_proyectos[[#This Row],[municipio]]="","",VLOOKUP(Tbla_proyectos[[#This Row],[municipio]],INDIRECT(Tbla_proyectos[[#This Row],[departamento]]),2,0))</f>
        <v>4.3161076979999997</v>
      </c>
      <c r="O152" s="62">
        <f ca="1">IF(Tbla_proyectos[[#This Row],[municipio]]="","",VLOOKUP(Tbla_proyectos[[#This Row],[municipio]],INDIRECT(Tbla_proyectos[[#This Row],[departamento]]),2,0))</f>
        <v>4.3161076979999997</v>
      </c>
      <c r="P152" t="s">
        <v>11696</v>
      </c>
    </row>
    <row r="153" spans="1:16">
      <c r="A153" t="s">
        <v>10603</v>
      </c>
      <c r="B153" s="62" t="str">
        <f>LEFT(Tbla_proyectos[[#This Row],[codigo_proyecto]],4)</f>
        <v>2530</v>
      </c>
      <c r="C153" s="4" t="s">
        <v>11904</v>
      </c>
      <c r="D153" s="15" t="s">
        <v>11684</v>
      </c>
      <c r="E153" s="4" t="s">
        <v>11906</v>
      </c>
      <c r="F153" s="4" t="s">
        <v>11907</v>
      </c>
      <c r="G153" s="62" t="s">
        <v>11719</v>
      </c>
      <c r="H153" t="s">
        <v>11710</v>
      </c>
      <c r="I153" s="2"/>
      <c r="K153" s="60" t="str">
        <f>IF(OR(Tbla_proyectos[[#This Row],[fecha_inicio]]="",Tbla_proyectos[[#This Row],[fecha_fin]]=""),"",DATEDIF(Tbla_proyectos[[#This Row],[fecha_inicio]],Tbla_proyectos[[#This Row],[fecha_fin]],"M"))</f>
        <v/>
      </c>
      <c r="L153" s="60" t="s">
        <v>11689</v>
      </c>
      <c r="M153" s="62" t="s">
        <v>11690</v>
      </c>
      <c r="N153" s="62">
        <f ca="1">IF(Tbla_proyectos[[#This Row],[municipio]]="","",VLOOKUP(Tbla_proyectos[[#This Row],[municipio]],INDIRECT(Tbla_proyectos[[#This Row],[departamento]]),2,0))</f>
        <v>4.3161076979999997</v>
      </c>
      <c r="O153" s="62">
        <f ca="1">IF(Tbla_proyectos[[#This Row],[municipio]]="","",VLOOKUP(Tbla_proyectos[[#This Row],[municipio]],INDIRECT(Tbla_proyectos[[#This Row],[departamento]]),2,0))</f>
        <v>4.3161076979999997</v>
      </c>
      <c r="P153" t="s">
        <v>11703</v>
      </c>
    </row>
    <row r="154" spans="1:16">
      <c r="A154" t="s">
        <v>8780</v>
      </c>
      <c r="B154" s="62" t="str">
        <f>LEFT(Tbla_proyectos[[#This Row],[codigo_proyecto]],4)</f>
        <v>2430</v>
      </c>
      <c r="C154" s="4" t="s">
        <v>11908</v>
      </c>
      <c r="D154" s="15" t="s">
        <v>11684</v>
      </c>
      <c r="E154" s="4" t="s">
        <v>11909</v>
      </c>
      <c r="F154" s="4" t="s">
        <v>11910</v>
      </c>
      <c r="G154" s="62" t="s">
        <v>11687</v>
      </c>
      <c r="H154" t="s">
        <v>11710</v>
      </c>
      <c r="I154" s="2"/>
      <c r="K154" s="60" t="str">
        <f>IF(OR(Tbla_proyectos[[#This Row],[fecha_inicio]]="",Tbla_proyectos[[#This Row],[fecha_fin]]=""),"",DATEDIF(Tbla_proyectos[[#This Row],[fecha_inicio]],Tbla_proyectos[[#This Row],[fecha_fin]],"M"))</f>
        <v/>
      </c>
      <c r="L154" s="60" t="s">
        <v>11689</v>
      </c>
      <c r="M154" s="62" t="s">
        <v>11690</v>
      </c>
      <c r="N154" s="62">
        <f ca="1">IF(Tbla_proyectos[[#This Row],[municipio]]="","",VLOOKUP(Tbla_proyectos[[#This Row],[municipio]],INDIRECT(Tbla_proyectos[[#This Row],[departamento]]),2,0))</f>
        <v>4.3161076979999997</v>
      </c>
      <c r="O154" s="62">
        <f ca="1">IF(Tbla_proyectos[[#This Row],[municipio]]="","",VLOOKUP(Tbla_proyectos[[#This Row],[municipio]],INDIRECT(Tbla_proyectos[[#This Row],[departamento]]),2,0))</f>
        <v>4.3161076979999997</v>
      </c>
      <c r="P154" t="s">
        <v>11703</v>
      </c>
    </row>
    <row r="155" spans="1:16">
      <c r="A155" t="s">
        <v>9856</v>
      </c>
      <c r="B155" s="62" t="str">
        <f>LEFT(Tbla_proyectos[[#This Row],[codigo_proyecto]],4)</f>
        <v>2510</v>
      </c>
      <c r="C155" s="4" t="s">
        <v>11911</v>
      </c>
      <c r="D155" s="15" t="s">
        <v>11684</v>
      </c>
      <c r="E155" s="4" t="s">
        <v>11705</v>
      </c>
      <c r="F155" s="4" t="s">
        <v>11693</v>
      </c>
      <c r="G155" s="62" t="s">
        <v>11687</v>
      </c>
      <c r="H155" t="s">
        <v>11706</v>
      </c>
      <c r="I155" s="2"/>
      <c r="K155" s="60" t="str">
        <f>IF(OR(Tbla_proyectos[[#This Row],[fecha_inicio]]="",Tbla_proyectos[[#This Row],[fecha_fin]]=""),"",DATEDIF(Tbla_proyectos[[#This Row],[fecha_inicio]],Tbla_proyectos[[#This Row],[fecha_fin]],"M"))</f>
        <v/>
      </c>
      <c r="L155" s="60" t="s">
        <v>11689</v>
      </c>
      <c r="M155" s="62" t="s">
        <v>11690</v>
      </c>
      <c r="N155" s="62">
        <f ca="1">IF(Tbla_proyectos[[#This Row],[municipio]]="","",VLOOKUP(Tbla_proyectos[[#This Row],[municipio]],INDIRECT(Tbla_proyectos[[#This Row],[departamento]]),2,0))</f>
        <v>4.3161076979999997</v>
      </c>
      <c r="O155" s="62">
        <f ca="1">IF(Tbla_proyectos[[#This Row],[municipio]]="","",VLOOKUP(Tbla_proyectos[[#This Row],[municipio]],INDIRECT(Tbla_proyectos[[#This Row],[departamento]]),2,0))</f>
        <v>4.3161076979999997</v>
      </c>
      <c r="P155" t="s">
        <v>11703</v>
      </c>
    </row>
    <row r="156" spans="1:16">
      <c r="A156" t="s">
        <v>9720</v>
      </c>
      <c r="B156" s="62" t="str">
        <f>LEFT(Tbla_proyectos[[#This Row],[codigo_proyecto]],4)</f>
        <v>2510</v>
      </c>
      <c r="C156" s="4" t="s">
        <v>11912</v>
      </c>
      <c r="D156" s="15" t="s">
        <v>11684</v>
      </c>
      <c r="E156" s="4" t="s">
        <v>11705</v>
      </c>
      <c r="F156" s="4" t="s">
        <v>11693</v>
      </c>
      <c r="G156" s="62" t="s">
        <v>11694</v>
      </c>
      <c r="H156" t="s">
        <v>11706</v>
      </c>
      <c r="I156" s="2"/>
      <c r="K156" s="60" t="str">
        <f>IF(OR(Tbla_proyectos[[#This Row],[fecha_inicio]]="",Tbla_proyectos[[#This Row],[fecha_fin]]=""),"",DATEDIF(Tbla_proyectos[[#This Row],[fecha_inicio]],Tbla_proyectos[[#This Row],[fecha_fin]],"M"))</f>
        <v/>
      </c>
      <c r="L156" s="60" t="s">
        <v>11689</v>
      </c>
      <c r="M156" s="62" t="s">
        <v>11690</v>
      </c>
      <c r="N156" s="62">
        <f ca="1">IF(Tbla_proyectos[[#This Row],[municipio]]="","",VLOOKUP(Tbla_proyectos[[#This Row],[municipio]],INDIRECT(Tbla_proyectos[[#This Row],[departamento]]),2,0))</f>
        <v>4.3161076979999997</v>
      </c>
      <c r="O156" s="62">
        <f ca="1">IF(Tbla_proyectos[[#This Row],[municipio]]="","",VLOOKUP(Tbla_proyectos[[#This Row],[municipio]],INDIRECT(Tbla_proyectos[[#This Row],[departamento]]),2,0))</f>
        <v>4.3161076979999997</v>
      </c>
      <c r="P156" t="s">
        <v>11696</v>
      </c>
    </row>
    <row r="157" spans="1:16">
      <c r="A157" t="s">
        <v>9814</v>
      </c>
      <c r="B157" s="62" t="str">
        <f>LEFT(Tbla_proyectos[[#This Row],[codigo_proyecto]],4)</f>
        <v>2510</v>
      </c>
      <c r="C157" s="4" t="s">
        <v>11913</v>
      </c>
      <c r="D157" s="15" t="s">
        <v>11684</v>
      </c>
      <c r="E157" s="4" t="s">
        <v>11705</v>
      </c>
      <c r="F157" s="4" t="s">
        <v>11693</v>
      </c>
      <c r="G157" s="62" t="s">
        <v>11694</v>
      </c>
      <c r="H157" t="s">
        <v>11706</v>
      </c>
      <c r="I157" s="2"/>
      <c r="K157" s="60" t="str">
        <f>IF(OR(Tbla_proyectos[[#This Row],[fecha_inicio]]="",Tbla_proyectos[[#This Row],[fecha_fin]]=""),"",DATEDIF(Tbla_proyectos[[#This Row],[fecha_inicio]],Tbla_proyectos[[#This Row],[fecha_fin]],"M"))</f>
        <v/>
      </c>
      <c r="L157" s="60" t="s">
        <v>11689</v>
      </c>
      <c r="M157" s="62" t="s">
        <v>11690</v>
      </c>
      <c r="N157" s="62">
        <f ca="1">IF(Tbla_proyectos[[#This Row],[municipio]]="","",VLOOKUP(Tbla_proyectos[[#This Row],[municipio]],INDIRECT(Tbla_proyectos[[#This Row],[departamento]]),2,0))</f>
        <v>4.3161076979999997</v>
      </c>
      <c r="O157" s="62">
        <f ca="1">IF(Tbla_proyectos[[#This Row],[municipio]]="","",VLOOKUP(Tbla_proyectos[[#This Row],[municipio]],INDIRECT(Tbla_proyectos[[#This Row],[departamento]]),2,0))</f>
        <v>4.3161076979999997</v>
      </c>
      <c r="P157" t="s">
        <v>11703</v>
      </c>
    </row>
    <row r="158" spans="1:16">
      <c r="A158" t="s">
        <v>10494</v>
      </c>
      <c r="B158" s="62" t="str">
        <f>LEFT(Tbla_proyectos[[#This Row],[codigo_proyecto]],4)</f>
        <v>2530</v>
      </c>
      <c r="C158" s="4" t="s">
        <v>11913</v>
      </c>
      <c r="D158" s="15" t="s">
        <v>11684</v>
      </c>
      <c r="E158" s="4" t="s">
        <v>11705</v>
      </c>
      <c r="F158" s="4" t="s">
        <v>11693</v>
      </c>
      <c r="G158" s="62" t="s">
        <v>11694</v>
      </c>
      <c r="H158" t="s">
        <v>11706</v>
      </c>
      <c r="I158" s="2"/>
      <c r="K158" s="60" t="str">
        <f>IF(OR(Tbla_proyectos[[#This Row],[fecha_inicio]]="",Tbla_proyectos[[#This Row],[fecha_fin]]=""),"",DATEDIF(Tbla_proyectos[[#This Row],[fecha_inicio]],Tbla_proyectos[[#This Row],[fecha_fin]],"M"))</f>
        <v/>
      </c>
      <c r="L158" s="60" t="s">
        <v>11689</v>
      </c>
      <c r="M158" s="62" t="s">
        <v>11690</v>
      </c>
      <c r="N158" s="62">
        <f ca="1">IF(Tbla_proyectos[[#This Row],[municipio]]="","",VLOOKUP(Tbla_proyectos[[#This Row],[municipio]],INDIRECT(Tbla_proyectos[[#This Row],[departamento]]),2,0))</f>
        <v>4.3161076979999997</v>
      </c>
      <c r="O158" s="62">
        <f ca="1">IF(Tbla_proyectos[[#This Row],[municipio]]="","",VLOOKUP(Tbla_proyectos[[#This Row],[municipio]],INDIRECT(Tbla_proyectos[[#This Row],[departamento]]),2,0))</f>
        <v>4.3161076979999997</v>
      </c>
      <c r="P158" t="s">
        <v>11703</v>
      </c>
    </row>
    <row r="159" spans="1:16">
      <c r="A159" t="s">
        <v>10142</v>
      </c>
      <c r="B159" s="62" t="str">
        <f>LEFT(Tbla_proyectos[[#This Row],[codigo_proyecto]],4)</f>
        <v>2530</v>
      </c>
      <c r="C159" s="4" t="s">
        <v>11913</v>
      </c>
      <c r="D159" s="15" t="s">
        <v>11684</v>
      </c>
      <c r="E159" s="4" t="s">
        <v>11705</v>
      </c>
      <c r="F159" s="4" t="s">
        <v>11693</v>
      </c>
      <c r="G159" s="62" t="s">
        <v>11694</v>
      </c>
      <c r="H159" t="s">
        <v>11706</v>
      </c>
      <c r="I159" s="2"/>
      <c r="K159" s="60" t="str">
        <f>IF(OR(Tbla_proyectos[[#This Row],[fecha_inicio]]="",Tbla_proyectos[[#This Row],[fecha_fin]]=""),"",DATEDIF(Tbla_proyectos[[#This Row],[fecha_inicio]],Tbla_proyectos[[#This Row],[fecha_fin]],"M"))</f>
        <v/>
      </c>
      <c r="L159" s="60" t="s">
        <v>11689</v>
      </c>
      <c r="M159" s="62" t="s">
        <v>11690</v>
      </c>
      <c r="N159" s="62">
        <f ca="1">IF(Tbla_proyectos[[#This Row],[municipio]]="","",VLOOKUP(Tbla_proyectos[[#This Row],[municipio]],INDIRECT(Tbla_proyectos[[#This Row],[departamento]]),2,0))</f>
        <v>4.3161076979999997</v>
      </c>
      <c r="O159" s="62">
        <f ca="1">IF(Tbla_proyectos[[#This Row],[municipio]]="","",VLOOKUP(Tbla_proyectos[[#This Row],[municipio]],INDIRECT(Tbla_proyectos[[#This Row],[departamento]]),2,0))</f>
        <v>4.3161076979999997</v>
      </c>
      <c r="P159" t="s">
        <v>11703</v>
      </c>
    </row>
    <row r="160" spans="1:16">
      <c r="A160" t="s">
        <v>10650</v>
      </c>
      <c r="B160" s="62" t="str">
        <f>LEFT(Tbla_proyectos[[#This Row],[codigo_proyecto]],4)</f>
        <v>2530</v>
      </c>
      <c r="C160" s="4" t="s">
        <v>11912</v>
      </c>
      <c r="D160" s="15" t="s">
        <v>11684</v>
      </c>
      <c r="E160" s="4" t="s">
        <v>11705</v>
      </c>
      <c r="F160" s="4" t="s">
        <v>11693</v>
      </c>
      <c r="G160" s="62" t="s">
        <v>11694</v>
      </c>
      <c r="H160" t="s">
        <v>11706</v>
      </c>
      <c r="I160" s="2"/>
      <c r="K160" s="60" t="str">
        <f>IF(OR(Tbla_proyectos[[#This Row],[fecha_inicio]]="",Tbla_proyectos[[#This Row],[fecha_fin]]=""),"",DATEDIF(Tbla_proyectos[[#This Row],[fecha_inicio]],Tbla_proyectos[[#This Row],[fecha_fin]],"M"))</f>
        <v/>
      </c>
      <c r="L160" s="60" t="s">
        <v>11689</v>
      </c>
      <c r="M160" s="62" t="s">
        <v>11690</v>
      </c>
      <c r="N160" s="62">
        <f ca="1">IF(Tbla_proyectos[[#This Row],[municipio]]="","",VLOOKUP(Tbla_proyectos[[#This Row],[municipio]],INDIRECT(Tbla_proyectos[[#This Row],[departamento]]),2,0))</f>
        <v>4.3161076979999997</v>
      </c>
      <c r="O160" s="62">
        <f ca="1">IF(Tbla_proyectos[[#This Row],[municipio]]="","",VLOOKUP(Tbla_proyectos[[#This Row],[municipio]],INDIRECT(Tbla_proyectos[[#This Row],[departamento]]),2,0))</f>
        <v>4.3161076979999997</v>
      </c>
      <c r="P160" t="s">
        <v>11696</v>
      </c>
    </row>
    <row r="161" spans="1:16">
      <c r="A161" t="s">
        <v>10395</v>
      </c>
      <c r="B161" s="62" t="str">
        <f>LEFT(Tbla_proyectos[[#This Row],[codigo_proyecto]],4)</f>
        <v>2530</v>
      </c>
      <c r="C161" s="4" t="s">
        <v>11911</v>
      </c>
      <c r="D161" s="15" t="s">
        <v>11684</v>
      </c>
      <c r="E161" s="4" t="s">
        <v>11705</v>
      </c>
      <c r="F161" s="4" t="s">
        <v>11693</v>
      </c>
      <c r="G161" s="62" t="s">
        <v>11687</v>
      </c>
      <c r="H161" t="s">
        <v>11706</v>
      </c>
      <c r="I161" s="2"/>
      <c r="K161" s="60" t="str">
        <f>IF(OR(Tbla_proyectos[[#This Row],[fecha_inicio]]="",Tbla_proyectos[[#This Row],[fecha_fin]]=""),"",DATEDIF(Tbla_proyectos[[#This Row],[fecha_inicio]],Tbla_proyectos[[#This Row],[fecha_fin]],"M"))</f>
        <v/>
      </c>
      <c r="L161" s="60" t="s">
        <v>11689</v>
      </c>
      <c r="M161" s="62" t="s">
        <v>11690</v>
      </c>
      <c r="N161" s="62">
        <f ca="1">IF(Tbla_proyectos[[#This Row],[municipio]]="","",VLOOKUP(Tbla_proyectos[[#This Row],[municipio]],INDIRECT(Tbla_proyectos[[#This Row],[departamento]]),2,0))</f>
        <v>4.3161076979999997</v>
      </c>
      <c r="O161" s="62">
        <f ca="1">IF(Tbla_proyectos[[#This Row],[municipio]]="","",VLOOKUP(Tbla_proyectos[[#This Row],[municipio]],INDIRECT(Tbla_proyectos[[#This Row],[departamento]]),2,0))</f>
        <v>4.3161076979999997</v>
      </c>
      <c r="P161" t="s">
        <v>11703</v>
      </c>
    </row>
    <row r="162" spans="1:16">
      <c r="A162" t="s">
        <v>9106</v>
      </c>
      <c r="B162" s="62" t="str">
        <f>LEFT(Tbla_proyectos[[#This Row],[codigo_proyecto]],4)</f>
        <v>2430</v>
      </c>
      <c r="C162" s="4" t="s">
        <v>11914</v>
      </c>
      <c r="D162" s="15" t="s">
        <v>11684</v>
      </c>
      <c r="E162" s="4" t="s">
        <v>11705</v>
      </c>
      <c r="F162" s="4" t="s">
        <v>11693</v>
      </c>
      <c r="G162" s="62" t="s">
        <v>11694</v>
      </c>
      <c r="H162" t="s">
        <v>11706</v>
      </c>
      <c r="I162" s="2"/>
      <c r="K162" s="60" t="str">
        <f>IF(OR(Tbla_proyectos[[#This Row],[fecha_inicio]]="",Tbla_proyectos[[#This Row],[fecha_fin]]=""),"",DATEDIF(Tbla_proyectos[[#This Row],[fecha_inicio]],Tbla_proyectos[[#This Row],[fecha_fin]],"M"))</f>
        <v/>
      </c>
      <c r="L162" s="60" t="s">
        <v>11689</v>
      </c>
      <c r="M162" s="62" t="s">
        <v>11690</v>
      </c>
      <c r="N162" s="62">
        <f ca="1">IF(Tbla_proyectos[[#This Row],[municipio]]="","",VLOOKUP(Tbla_proyectos[[#This Row],[municipio]],INDIRECT(Tbla_proyectos[[#This Row],[departamento]]),2,0))</f>
        <v>4.3161076979999997</v>
      </c>
      <c r="O162" s="62">
        <f ca="1">IF(Tbla_proyectos[[#This Row],[municipio]]="","",VLOOKUP(Tbla_proyectos[[#This Row],[municipio]],INDIRECT(Tbla_proyectos[[#This Row],[departamento]]),2,0))</f>
        <v>4.3161076979999997</v>
      </c>
      <c r="P162" t="s">
        <v>11703</v>
      </c>
    </row>
    <row r="163" spans="1:16">
      <c r="A163" t="s">
        <v>8757</v>
      </c>
      <c r="B163" s="62" t="str">
        <f>LEFT(Tbla_proyectos[[#This Row],[codigo_proyecto]],4)</f>
        <v>2430</v>
      </c>
      <c r="C163" s="4" t="s">
        <v>11913</v>
      </c>
      <c r="D163" s="15" t="s">
        <v>11684</v>
      </c>
      <c r="E163" s="4" t="s">
        <v>11705</v>
      </c>
      <c r="F163" s="4" t="s">
        <v>11693</v>
      </c>
      <c r="G163" s="62" t="s">
        <v>11694</v>
      </c>
      <c r="H163" t="s">
        <v>11706</v>
      </c>
      <c r="I163" s="2"/>
      <c r="K163" s="60" t="str">
        <f>IF(OR(Tbla_proyectos[[#This Row],[fecha_inicio]]="",Tbla_proyectos[[#This Row],[fecha_fin]]=""),"",DATEDIF(Tbla_proyectos[[#This Row],[fecha_inicio]],Tbla_proyectos[[#This Row],[fecha_fin]],"M"))</f>
        <v/>
      </c>
      <c r="L163" s="60" t="s">
        <v>11689</v>
      </c>
      <c r="M163" s="62" t="s">
        <v>11690</v>
      </c>
      <c r="N163" s="62">
        <f ca="1">IF(Tbla_proyectos[[#This Row],[municipio]]="","",VLOOKUP(Tbla_proyectos[[#This Row],[municipio]],INDIRECT(Tbla_proyectos[[#This Row],[departamento]]),2,0))</f>
        <v>4.3161076979999997</v>
      </c>
      <c r="O163" s="62">
        <f ca="1">IF(Tbla_proyectos[[#This Row],[municipio]]="","",VLOOKUP(Tbla_proyectos[[#This Row],[municipio]],INDIRECT(Tbla_proyectos[[#This Row],[departamento]]),2,0))</f>
        <v>4.3161076979999997</v>
      </c>
      <c r="P163" t="s">
        <v>11703</v>
      </c>
    </row>
    <row r="164" spans="1:16">
      <c r="A164" t="s">
        <v>8790</v>
      </c>
      <c r="B164" s="62" t="str">
        <f>LEFT(Tbla_proyectos[[#This Row],[codigo_proyecto]],4)</f>
        <v>2430</v>
      </c>
      <c r="C164" s="4" t="s">
        <v>11913</v>
      </c>
      <c r="D164" s="15" t="s">
        <v>11684</v>
      </c>
      <c r="E164" s="4" t="s">
        <v>11705</v>
      </c>
      <c r="F164" s="4" t="s">
        <v>11693</v>
      </c>
      <c r="G164" s="62" t="s">
        <v>11694</v>
      </c>
      <c r="H164" t="s">
        <v>11706</v>
      </c>
      <c r="I164" s="2"/>
      <c r="K164" s="60" t="str">
        <f>IF(OR(Tbla_proyectos[[#This Row],[fecha_inicio]]="",Tbla_proyectos[[#This Row],[fecha_fin]]=""),"",DATEDIF(Tbla_proyectos[[#This Row],[fecha_inicio]],Tbla_proyectos[[#This Row],[fecha_fin]],"M"))</f>
        <v/>
      </c>
      <c r="L164" s="60" t="s">
        <v>11689</v>
      </c>
      <c r="M164" s="62" t="s">
        <v>11690</v>
      </c>
      <c r="N164" s="62">
        <f ca="1">IF(Tbla_proyectos[[#This Row],[municipio]]="","",VLOOKUP(Tbla_proyectos[[#This Row],[municipio]],INDIRECT(Tbla_proyectos[[#This Row],[departamento]]),2,0))</f>
        <v>4.3161076979999997</v>
      </c>
      <c r="O164" s="62">
        <f ca="1">IF(Tbla_proyectos[[#This Row],[municipio]]="","",VLOOKUP(Tbla_proyectos[[#This Row],[municipio]],INDIRECT(Tbla_proyectos[[#This Row],[departamento]]),2,0))</f>
        <v>4.3161076979999997</v>
      </c>
      <c r="P164" t="s">
        <v>11703</v>
      </c>
    </row>
    <row r="165" spans="1:16">
      <c r="A165" t="s">
        <v>8610</v>
      </c>
      <c r="B165" s="62" t="str">
        <f>LEFT(Tbla_proyectos[[#This Row],[codigo_proyecto]],4)</f>
        <v>2430</v>
      </c>
      <c r="C165" s="4" t="s">
        <v>11912</v>
      </c>
      <c r="D165" s="15" t="s">
        <v>11684</v>
      </c>
      <c r="E165" s="4" t="s">
        <v>11705</v>
      </c>
      <c r="F165" s="4" t="s">
        <v>11693</v>
      </c>
      <c r="G165" s="62" t="s">
        <v>11694</v>
      </c>
      <c r="H165" t="s">
        <v>11706</v>
      </c>
      <c r="I165" s="2"/>
      <c r="K165" s="60" t="str">
        <f>IF(OR(Tbla_proyectos[[#This Row],[fecha_inicio]]="",Tbla_proyectos[[#This Row],[fecha_fin]]=""),"",DATEDIF(Tbla_proyectos[[#This Row],[fecha_inicio]],Tbla_proyectos[[#This Row],[fecha_fin]],"M"))</f>
        <v/>
      </c>
      <c r="L165" s="60" t="s">
        <v>11689</v>
      </c>
      <c r="M165" s="62" t="s">
        <v>11690</v>
      </c>
      <c r="N165" s="62">
        <f ca="1">IF(Tbla_proyectos[[#This Row],[municipio]]="","",VLOOKUP(Tbla_proyectos[[#This Row],[municipio]],INDIRECT(Tbla_proyectos[[#This Row],[departamento]]),2,0))</f>
        <v>4.3161076979999997</v>
      </c>
      <c r="O165" s="62">
        <f ca="1">IF(Tbla_proyectos[[#This Row],[municipio]]="","",VLOOKUP(Tbla_proyectos[[#This Row],[municipio]],INDIRECT(Tbla_proyectos[[#This Row],[departamento]]),2,0))</f>
        <v>4.3161076979999997</v>
      </c>
      <c r="P165" t="s">
        <v>11696</v>
      </c>
    </row>
    <row r="166" spans="1:16">
      <c r="A166" t="s">
        <v>9888</v>
      </c>
      <c r="B166" s="62" t="str">
        <f>LEFT(Tbla_proyectos[[#This Row],[codigo_proyecto]],4)</f>
        <v>2510</v>
      </c>
      <c r="C166" s="4" t="s">
        <v>11915</v>
      </c>
      <c r="D166" s="15" t="s">
        <v>11684</v>
      </c>
      <c r="E166" s="4" t="s">
        <v>11916</v>
      </c>
      <c r="F166" s="4" t="s">
        <v>11917</v>
      </c>
      <c r="G166" s="62" t="s">
        <v>11694</v>
      </c>
      <c r="H166" t="s">
        <v>11742</v>
      </c>
      <c r="I166" s="2"/>
      <c r="K166" s="60" t="str">
        <f>IF(OR(Tbla_proyectos[[#This Row],[fecha_inicio]]="",Tbla_proyectos[[#This Row],[fecha_fin]]=""),"",DATEDIF(Tbla_proyectos[[#This Row],[fecha_inicio]],Tbla_proyectos[[#This Row],[fecha_fin]],"M"))</f>
        <v/>
      </c>
      <c r="L166" s="60" t="s">
        <v>11689</v>
      </c>
      <c r="M166" s="62" t="s">
        <v>11690</v>
      </c>
      <c r="N166" s="62">
        <f ca="1">IF(Tbla_proyectos[[#This Row],[municipio]]="","",VLOOKUP(Tbla_proyectos[[#This Row],[municipio]],INDIRECT(Tbla_proyectos[[#This Row],[departamento]]),2,0))</f>
        <v>4.3161076979999997</v>
      </c>
      <c r="O166" s="62">
        <f ca="1">IF(Tbla_proyectos[[#This Row],[municipio]]="","",VLOOKUP(Tbla_proyectos[[#This Row],[municipio]],INDIRECT(Tbla_proyectos[[#This Row],[departamento]]),2,0))</f>
        <v>4.3161076979999997</v>
      </c>
      <c r="P166" t="s">
        <v>11696</v>
      </c>
    </row>
    <row r="167" spans="1:16">
      <c r="A167" t="s">
        <v>10756</v>
      </c>
      <c r="B167" s="62" t="str">
        <f>LEFT(Tbla_proyectos[[#This Row],[codigo_proyecto]],4)</f>
        <v>2530</v>
      </c>
      <c r="C167" s="4" t="s">
        <v>11915</v>
      </c>
      <c r="D167" s="15" t="s">
        <v>11684</v>
      </c>
      <c r="E167" s="4" t="s">
        <v>11918</v>
      </c>
      <c r="F167" s="4" t="s">
        <v>11851</v>
      </c>
      <c r="G167" s="62" t="s">
        <v>11726</v>
      </c>
      <c r="H167" t="s">
        <v>11744</v>
      </c>
      <c r="I167" s="2"/>
      <c r="K167" s="60" t="str">
        <f>IF(OR(Tbla_proyectos[[#This Row],[fecha_inicio]]="",Tbla_proyectos[[#This Row],[fecha_fin]]=""),"",DATEDIF(Tbla_proyectos[[#This Row],[fecha_inicio]],Tbla_proyectos[[#This Row],[fecha_fin]],"M"))</f>
        <v/>
      </c>
      <c r="L167" s="60" t="s">
        <v>11689</v>
      </c>
      <c r="M167" s="62" t="s">
        <v>11690</v>
      </c>
      <c r="N167" s="62">
        <f ca="1">IF(Tbla_proyectos[[#This Row],[municipio]]="","",VLOOKUP(Tbla_proyectos[[#This Row],[municipio]],INDIRECT(Tbla_proyectos[[#This Row],[departamento]]),2,0))</f>
        <v>4.3161076979999997</v>
      </c>
      <c r="O167" s="62">
        <f ca="1">IF(Tbla_proyectos[[#This Row],[municipio]]="","",VLOOKUP(Tbla_proyectos[[#This Row],[municipio]],INDIRECT(Tbla_proyectos[[#This Row],[departamento]]),2,0))</f>
        <v>4.3161076979999997</v>
      </c>
      <c r="P167" t="s">
        <v>11696</v>
      </c>
    </row>
    <row r="168" spans="1:16">
      <c r="A168" t="s">
        <v>10775</v>
      </c>
      <c r="B168" s="62" t="str">
        <f>LEFT(Tbla_proyectos[[#This Row],[codigo_proyecto]],4)</f>
        <v>2530</v>
      </c>
      <c r="C168" s="4" t="s">
        <v>11919</v>
      </c>
      <c r="D168" s="15" t="s">
        <v>11684</v>
      </c>
      <c r="E168" s="4" t="s">
        <v>11920</v>
      </c>
      <c r="F168" s="4" t="s">
        <v>11921</v>
      </c>
      <c r="G168" s="62" t="s">
        <v>11694</v>
      </c>
      <c r="H168" t="s">
        <v>11744</v>
      </c>
      <c r="I168" s="2"/>
      <c r="K168" s="60" t="str">
        <f>IF(OR(Tbla_proyectos[[#This Row],[fecha_inicio]]="",Tbla_proyectos[[#This Row],[fecha_fin]]=""),"",DATEDIF(Tbla_proyectos[[#This Row],[fecha_inicio]],Tbla_proyectos[[#This Row],[fecha_fin]],"M"))</f>
        <v/>
      </c>
      <c r="L168" s="60" t="s">
        <v>11689</v>
      </c>
      <c r="M168" s="62" t="s">
        <v>11690</v>
      </c>
      <c r="N168" s="62">
        <f ca="1">IF(Tbla_proyectos[[#This Row],[municipio]]="","",VLOOKUP(Tbla_proyectos[[#This Row],[municipio]],INDIRECT(Tbla_proyectos[[#This Row],[departamento]]),2,0))</f>
        <v>4.3161076979999997</v>
      </c>
      <c r="O168" s="62">
        <f ca="1">IF(Tbla_proyectos[[#This Row],[municipio]]="","",VLOOKUP(Tbla_proyectos[[#This Row],[municipio]],INDIRECT(Tbla_proyectos[[#This Row],[departamento]]),2,0))</f>
        <v>4.3161076979999997</v>
      </c>
      <c r="P168" t="s">
        <v>11703</v>
      </c>
    </row>
    <row r="169" spans="1:16">
      <c r="A169" t="s">
        <v>10673</v>
      </c>
      <c r="B169" s="62" t="str">
        <f>LEFT(Tbla_proyectos[[#This Row],[codigo_proyecto]],4)</f>
        <v>2530</v>
      </c>
      <c r="C169" s="4" t="s">
        <v>11922</v>
      </c>
      <c r="D169" s="15" t="s">
        <v>11684</v>
      </c>
      <c r="E169" s="4" t="s">
        <v>11923</v>
      </c>
      <c r="F169" s="4" t="s">
        <v>11749</v>
      </c>
      <c r="G169" s="62" t="s">
        <v>11924</v>
      </c>
      <c r="H169" t="s">
        <v>11744</v>
      </c>
      <c r="I169" s="2"/>
      <c r="K169" s="60" t="str">
        <f>IF(OR(Tbla_proyectos[[#This Row],[fecha_inicio]]="",Tbla_proyectos[[#This Row],[fecha_fin]]=""),"",DATEDIF(Tbla_proyectos[[#This Row],[fecha_inicio]],Tbla_proyectos[[#This Row],[fecha_fin]],"M"))</f>
        <v/>
      </c>
      <c r="N169" s="62" t="str">
        <f ca="1">IF(Tbla_proyectos[[#This Row],[municipio]]="","",VLOOKUP(Tbla_proyectos[[#This Row],[municipio]],INDIRECT(Tbla_proyectos[[#This Row],[departamento]]),2,0))</f>
        <v/>
      </c>
      <c r="O169" s="62" t="str">
        <f ca="1">IF(Tbla_proyectos[[#This Row],[municipio]]="","",VLOOKUP(Tbla_proyectos[[#This Row],[municipio]],INDIRECT(Tbla_proyectos[[#This Row],[departamento]]),2,0))</f>
        <v/>
      </c>
      <c r="P169" t="s">
        <v>11696</v>
      </c>
    </row>
    <row r="170" spans="1:16">
      <c r="A170" t="s">
        <v>11925</v>
      </c>
      <c r="B170" s="62" t="str">
        <f>LEFT(Tbla_proyectos[[#This Row],[codigo_proyecto]],4)</f>
        <v>2430</v>
      </c>
      <c r="C170" s="4" t="s">
        <v>11915</v>
      </c>
      <c r="D170" s="15" t="s">
        <v>11684</v>
      </c>
      <c r="E170" s="4" t="s">
        <v>11926</v>
      </c>
      <c r="F170" s="4" t="s">
        <v>11851</v>
      </c>
      <c r="G170" s="62" t="s">
        <v>11726</v>
      </c>
      <c r="H170" t="s">
        <v>11744</v>
      </c>
      <c r="I170" s="2"/>
      <c r="K170" s="60" t="str">
        <f>IF(OR(Tbla_proyectos[[#This Row],[fecha_inicio]]="",Tbla_proyectos[[#This Row],[fecha_fin]]=""),"",DATEDIF(Tbla_proyectos[[#This Row],[fecha_inicio]],Tbla_proyectos[[#This Row],[fecha_fin]],"M"))</f>
        <v/>
      </c>
      <c r="L170" s="60" t="s">
        <v>11689</v>
      </c>
      <c r="M170" s="62" t="s">
        <v>11690</v>
      </c>
      <c r="N170" s="62">
        <f ca="1">IF(Tbla_proyectos[[#This Row],[municipio]]="","",VLOOKUP(Tbla_proyectos[[#This Row],[municipio]],INDIRECT(Tbla_proyectos[[#This Row],[departamento]]),2,0))</f>
        <v>4.3161076979999997</v>
      </c>
      <c r="O170" s="62">
        <f ca="1">IF(Tbla_proyectos[[#This Row],[municipio]]="","",VLOOKUP(Tbla_proyectos[[#This Row],[municipio]],INDIRECT(Tbla_proyectos[[#This Row],[departamento]]),2,0))</f>
        <v>4.3161076979999997</v>
      </c>
      <c r="P170" t="s">
        <v>11696</v>
      </c>
    </row>
    <row r="171" spans="1:16">
      <c r="A171" t="s">
        <v>9783</v>
      </c>
      <c r="B171" s="62" t="str">
        <f>LEFT(Tbla_proyectos[[#This Row],[codigo_proyecto]],4)</f>
        <v>2510</v>
      </c>
      <c r="C171" s="4" t="s">
        <v>11880</v>
      </c>
      <c r="D171" s="15" t="s">
        <v>11684</v>
      </c>
      <c r="E171" s="4" t="s">
        <v>11881</v>
      </c>
      <c r="F171" s="4" t="s">
        <v>11927</v>
      </c>
      <c r="G171" s="62" t="s">
        <v>11694</v>
      </c>
      <c r="H171" t="s">
        <v>11722</v>
      </c>
      <c r="I171" s="2"/>
      <c r="K171" s="60" t="str">
        <f>IF(OR(Tbla_proyectos[[#This Row],[fecha_inicio]]="",Tbla_proyectos[[#This Row],[fecha_fin]]=""),"",DATEDIF(Tbla_proyectos[[#This Row],[fecha_inicio]],Tbla_proyectos[[#This Row],[fecha_fin]],"M"))</f>
        <v/>
      </c>
      <c r="L171" s="60" t="s">
        <v>11689</v>
      </c>
      <c r="M171" s="62" t="s">
        <v>11690</v>
      </c>
      <c r="N171" s="62">
        <f ca="1">IF(Tbla_proyectos[[#This Row],[municipio]]="","",VLOOKUP(Tbla_proyectos[[#This Row],[municipio]],INDIRECT(Tbla_proyectos[[#This Row],[departamento]]),2,0))</f>
        <v>4.3161076979999997</v>
      </c>
      <c r="O171" s="62">
        <f ca="1">IF(Tbla_proyectos[[#This Row],[municipio]]="","",VLOOKUP(Tbla_proyectos[[#This Row],[municipio]],INDIRECT(Tbla_proyectos[[#This Row],[departamento]]),2,0))</f>
        <v>4.3161076979999997</v>
      </c>
    </row>
    <row r="172" spans="1:16">
      <c r="A172" t="s">
        <v>9919</v>
      </c>
      <c r="B172" s="62" t="str">
        <f>LEFT(Tbla_proyectos[[#This Row],[codigo_proyecto]],4)</f>
        <v>2510</v>
      </c>
      <c r="C172" s="4" t="s">
        <v>11743</v>
      </c>
      <c r="D172" s="15" t="s">
        <v>11684</v>
      </c>
      <c r="E172" s="4" t="s">
        <v>11874</v>
      </c>
      <c r="F172" s="4" t="s">
        <v>11875</v>
      </c>
      <c r="G172" s="62" t="s">
        <v>11687</v>
      </c>
      <c r="H172" t="s">
        <v>11722</v>
      </c>
      <c r="I172" s="2"/>
      <c r="K172" s="60" t="str">
        <f>IF(OR(Tbla_proyectos[[#This Row],[fecha_inicio]]="",Tbla_proyectos[[#This Row],[fecha_fin]]=""),"",DATEDIF(Tbla_proyectos[[#This Row],[fecha_inicio]],Tbla_proyectos[[#This Row],[fecha_fin]],"M"))</f>
        <v/>
      </c>
      <c r="L172" s="60" t="s">
        <v>11689</v>
      </c>
      <c r="M172" s="62" t="s">
        <v>11690</v>
      </c>
      <c r="N172" s="62">
        <f ca="1">IF(Tbla_proyectos[[#This Row],[municipio]]="","",VLOOKUP(Tbla_proyectos[[#This Row],[municipio]],INDIRECT(Tbla_proyectos[[#This Row],[departamento]]),2,0))</f>
        <v>4.3161076979999997</v>
      </c>
      <c r="O172" s="62">
        <f ca="1">IF(Tbla_proyectos[[#This Row],[municipio]]="","",VLOOKUP(Tbla_proyectos[[#This Row],[municipio]],INDIRECT(Tbla_proyectos[[#This Row],[departamento]]),2,0))</f>
        <v>4.3161076979999997</v>
      </c>
      <c r="P172" t="s">
        <v>11703</v>
      </c>
    </row>
    <row r="173" spans="1:16">
      <c r="A173" t="s">
        <v>9866</v>
      </c>
      <c r="B173" s="62" t="str">
        <f>LEFT(Tbla_proyectos[[#This Row],[codigo_proyecto]],4)</f>
        <v>2510</v>
      </c>
      <c r="C173" s="4" t="s">
        <v>11878</v>
      </c>
      <c r="D173" s="15" t="s">
        <v>11684</v>
      </c>
      <c r="E173" s="4" t="s">
        <v>11879</v>
      </c>
      <c r="F173" s="4" t="s">
        <v>11736</v>
      </c>
      <c r="G173" s="62" t="s">
        <v>11687</v>
      </c>
      <c r="H173" t="s">
        <v>11722</v>
      </c>
      <c r="I173" s="2"/>
      <c r="K173" s="60" t="str">
        <f>IF(OR(Tbla_proyectos[[#This Row],[fecha_inicio]]="",Tbla_proyectos[[#This Row],[fecha_fin]]=""),"",DATEDIF(Tbla_proyectos[[#This Row],[fecha_inicio]],Tbla_proyectos[[#This Row],[fecha_fin]],"M"))</f>
        <v/>
      </c>
      <c r="L173" s="60" t="s">
        <v>11689</v>
      </c>
      <c r="M173" s="62" t="s">
        <v>11690</v>
      </c>
      <c r="N173" s="62">
        <f ca="1">IF(Tbla_proyectos[[#This Row],[municipio]]="","",VLOOKUP(Tbla_proyectos[[#This Row],[municipio]],INDIRECT(Tbla_proyectos[[#This Row],[departamento]]),2,0))</f>
        <v>4.3161076979999997</v>
      </c>
      <c r="O173" s="62">
        <f ca="1">IF(Tbla_proyectos[[#This Row],[municipio]]="","",VLOOKUP(Tbla_proyectos[[#This Row],[municipio]],INDIRECT(Tbla_proyectos[[#This Row],[departamento]]),2,0))</f>
        <v>4.3161076979999997</v>
      </c>
      <c r="P173" t="s">
        <v>11703</v>
      </c>
    </row>
    <row r="174" spans="1:16">
      <c r="A174" t="s">
        <v>9895</v>
      </c>
      <c r="B174" s="62" t="str">
        <f>LEFT(Tbla_proyectos[[#This Row],[codigo_proyecto]],4)</f>
        <v>2510</v>
      </c>
      <c r="C174" s="4" t="s">
        <v>11870</v>
      </c>
      <c r="D174" s="15" t="s">
        <v>11684</v>
      </c>
      <c r="E174" s="4" t="s">
        <v>11871</v>
      </c>
      <c r="F174" s="4" t="s">
        <v>11872</v>
      </c>
      <c r="G174" s="62" t="s">
        <v>11687</v>
      </c>
      <c r="H174" t="s">
        <v>11722</v>
      </c>
      <c r="I174" s="2"/>
      <c r="K174" s="60" t="str">
        <f>IF(OR(Tbla_proyectos[[#This Row],[fecha_inicio]]="",Tbla_proyectos[[#This Row],[fecha_fin]]=""),"",DATEDIF(Tbla_proyectos[[#This Row],[fecha_inicio]],Tbla_proyectos[[#This Row],[fecha_fin]],"M"))</f>
        <v/>
      </c>
      <c r="L174" s="60" t="s">
        <v>11689</v>
      </c>
      <c r="M174" s="62" t="s">
        <v>11690</v>
      </c>
      <c r="N174" s="62">
        <f ca="1">IF(Tbla_proyectos[[#This Row],[municipio]]="","",VLOOKUP(Tbla_proyectos[[#This Row],[municipio]],INDIRECT(Tbla_proyectos[[#This Row],[departamento]]),2,0))</f>
        <v>4.3161076979999997</v>
      </c>
      <c r="O174" s="62">
        <f ca="1">IF(Tbla_proyectos[[#This Row],[municipio]]="","",VLOOKUP(Tbla_proyectos[[#This Row],[municipio]],INDIRECT(Tbla_proyectos[[#This Row],[departamento]]),2,0))</f>
        <v>4.3161076979999997</v>
      </c>
      <c r="P174" t="s">
        <v>11703</v>
      </c>
    </row>
    <row r="175" spans="1:16">
      <c r="A175" t="s">
        <v>10568</v>
      </c>
      <c r="B175" s="62" t="str">
        <f>LEFT(Tbla_proyectos[[#This Row],[codigo_proyecto]],4)</f>
        <v>2530</v>
      </c>
      <c r="C175" s="4" t="s">
        <v>11928</v>
      </c>
      <c r="D175" s="15" t="s">
        <v>11684</v>
      </c>
      <c r="E175" s="4" t="s">
        <v>11929</v>
      </c>
      <c r="F175" s="4" t="s">
        <v>11778</v>
      </c>
      <c r="G175" s="62" t="s">
        <v>11726</v>
      </c>
      <c r="H175" t="s">
        <v>11722</v>
      </c>
      <c r="I175" s="2"/>
      <c r="K175" s="60" t="str">
        <f>IF(OR(Tbla_proyectos[[#This Row],[fecha_inicio]]="",Tbla_proyectos[[#This Row],[fecha_fin]]=""),"",DATEDIF(Tbla_proyectos[[#This Row],[fecha_inicio]],Tbla_proyectos[[#This Row],[fecha_fin]],"M"))</f>
        <v/>
      </c>
      <c r="L175" s="60" t="s">
        <v>11689</v>
      </c>
      <c r="M175" s="62" t="s">
        <v>11690</v>
      </c>
      <c r="N175" s="62">
        <f ca="1">IF(Tbla_proyectos[[#This Row],[municipio]]="","",VLOOKUP(Tbla_proyectos[[#This Row],[municipio]],INDIRECT(Tbla_proyectos[[#This Row],[departamento]]),2,0))</f>
        <v>4.3161076979999997</v>
      </c>
      <c r="O175" s="62">
        <f ca="1">IF(Tbla_proyectos[[#This Row],[municipio]]="","",VLOOKUP(Tbla_proyectos[[#This Row],[municipio]],INDIRECT(Tbla_proyectos[[#This Row],[departamento]]),2,0))</f>
        <v>4.3161076979999997</v>
      </c>
      <c r="P175" t="s">
        <v>11696</v>
      </c>
    </row>
    <row r="176" spans="1:16">
      <c r="A176" t="s">
        <v>10587</v>
      </c>
      <c r="B176" s="62" t="str">
        <f>LEFT(Tbla_proyectos[[#This Row],[codigo_proyecto]],4)</f>
        <v>2530</v>
      </c>
      <c r="C176" s="4" t="s">
        <v>11930</v>
      </c>
      <c r="D176" s="15" t="s">
        <v>11684</v>
      </c>
      <c r="E176" s="4" t="s">
        <v>11871</v>
      </c>
      <c r="F176" s="4" t="s">
        <v>11872</v>
      </c>
      <c r="G176" s="62" t="s">
        <v>11687</v>
      </c>
      <c r="H176" t="s">
        <v>11722</v>
      </c>
      <c r="I176" s="2"/>
      <c r="K176" s="60" t="str">
        <f>IF(OR(Tbla_proyectos[[#This Row],[fecha_inicio]]="",Tbla_proyectos[[#This Row],[fecha_fin]]=""),"",DATEDIF(Tbla_proyectos[[#This Row],[fecha_inicio]],Tbla_proyectos[[#This Row],[fecha_fin]],"M"))</f>
        <v/>
      </c>
      <c r="L176" s="60" t="s">
        <v>11689</v>
      </c>
      <c r="M176" s="62" t="s">
        <v>11690</v>
      </c>
      <c r="N176" s="62">
        <f ca="1">IF(Tbla_proyectos[[#This Row],[municipio]]="","",VLOOKUP(Tbla_proyectos[[#This Row],[municipio]],INDIRECT(Tbla_proyectos[[#This Row],[departamento]]),2,0))</f>
        <v>4.3161076979999997</v>
      </c>
      <c r="O176" s="62">
        <f ca="1">IF(Tbla_proyectos[[#This Row],[municipio]]="","",VLOOKUP(Tbla_proyectos[[#This Row],[municipio]],INDIRECT(Tbla_proyectos[[#This Row],[departamento]]),2,0))</f>
        <v>4.3161076979999997</v>
      </c>
      <c r="P176" t="s">
        <v>11703</v>
      </c>
    </row>
    <row r="177" spans="1:16">
      <c r="A177" t="s">
        <v>10114</v>
      </c>
      <c r="B177" s="62" t="str">
        <f>LEFT(Tbla_proyectos[[#This Row],[codigo_proyecto]],4)</f>
        <v>2530</v>
      </c>
      <c r="C177" s="4" t="s">
        <v>11880</v>
      </c>
      <c r="D177" s="15" t="s">
        <v>11684</v>
      </c>
      <c r="E177" s="4" t="s">
        <v>11931</v>
      </c>
      <c r="F177" s="4" t="s">
        <v>11778</v>
      </c>
      <c r="G177" s="62" t="s">
        <v>11694</v>
      </c>
      <c r="H177" t="s">
        <v>11722</v>
      </c>
      <c r="I177" s="2"/>
      <c r="K177" s="60" t="str">
        <f>IF(OR(Tbla_proyectos[[#This Row],[fecha_inicio]]="",Tbla_proyectos[[#This Row],[fecha_fin]]=""),"",DATEDIF(Tbla_proyectos[[#This Row],[fecha_inicio]],Tbla_proyectos[[#This Row],[fecha_fin]],"M"))</f>
        <v/>
      </c>
      <c r="L177" s="60" t="s">
        <v>11689</v>
      </c>
      <c r="M177" s="62" t="s">
        <v>11690</v>
      </c>
      <c r="N177" s="62">
        <f ca="1">IF(Tbla_proyectos[[#This Row],[municipio]]="","",VLOOKUP(Tbla_proyectos[[#This Row],[municipio]],INDIRECT(Tbla_proyectos[[#This Row],[departamento]]),2,0))</f>
        <v>4.3161076979999997</v>
      </c>
      <c r="O177" s="62">
        <f ca="1">IF(Tbla_proyectos[[#This Row],[municipio]]="","",VLOOKUP(Tbla_proyectos[[#This Row],[municipio]],INDIRECT(Tbla_proyectos[[#This Row],[departamento]]),2,0))</f>
        <v>4.3161076979999997</v>
      </c>
      <c r="P177" t="s">
        <v>11703</v>
      </c>
    </row>
    <row r="178" spans="1:16">
      <c r="A178" t="s">
        <v>10657</v>
      </c>
      <c r="B178" s="62" t="str">
        <f>LEFT(Tbla_proyectos[[#This Row],[codigo_proyecto]],4)</f>
        <v>2530</v>
      </c>
      <c r="C178" s="4" t="s">
        <v>11932</v>
      </c>
      <c r="D178" s="15" t="s">
        <v>11684</v>
      </c>
      <c r="E178" s="4" t="s">
        <v>11933</v>
      </c>
      <c r="F178" s="4" t="s">
        <v>11934</v>
      </c>
      <c r="G178" s="62" t="s">
        <v>11694</v>
      </c>
      <c r="H178" t="s">
        <v>11722</v>
      </c>
      <c r="I178" s="2"/>
      <c r="K178" s="60" t="str">
        <f>IF(OR(Tbla_proyectos[[#This Row],[fecha_inicio]]="",Tbla_proyectos[[#This Row],[fecha_fin]]=""),"",DATEDIF(Tbla_proyectos[[#This Row],[fecha_inicio]],Tbla_proyectos[[#This Row],[fecha_fin]],"M"))</f>
        <v/>
      </c>
      <c r="L178" s="60" t="s">
        <v>11689</v>
      </c>
      <c r="M178" s="62" t="s">
        <v>11690</v>
      </c>
      <c r="N178" s="62">
        <f ca="1">IF(Tbla_proyectos[[#This Row],[municipio]]="","",VLOOKUP(Tbla_proyectos[[#This Row],[municipio]],INDIRECT(Tbla_proyectos[[#This Row],[departamento]]),2,0))</f>
        <v>4.3161076979999997</v>
      </c>
      <c r="O178" s="62">
        <f ca="1">IF(Tbla_proyectos[[#This Row],[municipio]]="","",VLOOKUP(Tbla_proyectos[[#This Row],[municipio]],INDIRECT(Tbla_proyectos[[#This Row],[departamento]]),2,0))</f>
        <v>4.3161076979999997</v>
      </c>
      <c r="P178" t="s">
        <v>11703</v>
      </c>
    </row>
    <row r="179" spans="1:16">
      <c r="A179" t="s">
        <v>10125</v>
      </c>
      <c r="B179" s="62" t="str">
        <f>LEFT(Tbla_proyectos[[#This Row],[codigo_proyecto]],4)</f>
        <v>2530</v>
      </c>
      <c r="C179" s="4" t="s">
        <v>11935</v>
      </c>
      <c r="D179" s="15" t="s">
        <v>11684</v>
      </c>
      <c r="E179" s="4" t="s">
        <v>11874</v>
      </c>
      <c r="F179" s="4" t="s">
        <v>11875</v>
      </c>
      <c r="G179" s="62" t="s">
        <v>11687</v>
      </c>
      <c r="H179" t="s">
        <v>11722</v>
      </c>
      <c r="I179" s="2"/>
      <c r="K179" s="60" t="str">
        <f>IF(OR(Tbla_proyectos[[#This Row],[fecha_inicio]]="",Tbla_proyectos[[#This Row],[fecha_fin]]=""),"",DATEDIF(Tbla_proyectos[[#This Row],[fecha_inicio]],Tbla_proyectos[[#This Row],[fecha_fin]],"M"))</f>
        <v/>
      </c>
      <c r="L179" s="60" t="s">
        <v>11689</v>
      </c>
      <c r="M179" s="62" t="s">
        <v>11690</v>
      </c>
      <c r="N179" s="62">
        <f ca="1">IF(Tbla_proyectos[[#This Row],[municipio]]="","",VLOOKUP(Tbla_proyectos[[#This Row],[municipio]],INDIRECT(Tbla_proyectos[[#This Row],[departamento]]),2,0))</f>
        <v>4.3161076979999997</v>
      </c>
      <c r="O179" s="62">
        <f ca="1">IF(Tbla_proyectos[[#This Row],[municipio]]="","",VLOOKUP(Tbla_proyectos[[#This Row],[municipio]],INDIRECT(Tbla_proyectos[[#This Row],[departamento]]),2,0))</f>
        <v>4.3161076979999997</v>
      </c>
      <c r="P179" t="s">
        <v>11703</v>
      </c>
    </row>
    <row r="180" spans="1:16">
      <c r="A180" t="s">
        <v>9810</v>
      </c>
      <c r="B180" s="62" t="str">
        <f>LEFT(Tbla_proyectos[[#This Row],[codigo_proyecto]],4)</f>
        <v>2510</v>
      </c>
      <c r="C180" s="4" t="s">
        <v>11936</v>
      </c>
      <c r="D180" s="15" t="s">
        <v>11684</v>
      </c>
      <c r="E180" s="4" t="s">
        <v>11937</v>
      </c>
      <c r="F180" s="4" t="s">
        <v>11938</v>
      </c>
      <c r="G180" s="62" t="s">
        <v>11687</v>
      </c>
      <c r="H180" t="s">
        <v>11727</v>
      </c>
      <c r="I180" s="2"/>
      <c r="K180" s="60" t="str">
        <f>IF(OR(Tbla_proyectos[[#This Row],[fecha_inicio]]="",Tbla_proyectos[[#This Row],[fecha_fin]]=""),"",DATEDIF(Tbla_proyectos[[#This Row],[fecha_inicio]],Tbla_proyectos[[#This Row],[fecha_fin]],"M"))</f>
        <v/>
      </c>
      <c r="L180" s="60" t="s">
        <v>11689</v>
      </c>
      <c r="M180" s="62" t="s">
        <v>11690</v>
      </c>
      <c r="N180" s="62">
        <f ca="1">IF(Tbla_proyectos[[#This Row],[municipio]]="","",VLOOKUP(Tbla_proyectos[[#This Row],[municipio]],INDIRECT(Tbla_proyectos[[#This Row],[departamento]]),2,0))</f>
        <v>4.3161076979999997</v>
      </c>
      <c r="O180" s="62">
        <f ca="1">IF(Tbla_proyectos[[#This Row],[municipio]]="","",VLOOKUP(Tbla_proyectos[[#This Row],[municipio]],INDIRECT(Tbla_proyectos[[#This Row],[departamento]]),2,0))</f>
        <v>4.3161076979999997</v>
      </c>
      <c r="P180" t="s">
        <v>11703</v>
      </c>
    </row>
    <row r="181" spans="1:16">
      <c r="A181" t="s">
        <v>9747</v>
      </c>
      <c r="B181" s="62" t="str">
        <f>LEFT(Tbla_proyectos[[#This Row],[codigo_proyecto]],4)</f>
        <v>2510</v>
      </c>
      <c r="C181" s="4" t="s">
        <v>11939</v>
      </c>
      <c r="D181" s="15" t="s">
        <v>11684</v>
      </c>
      <c r="E181" s="4" t="s">
        <v>11940</v>
      </c>
      <c r="F181" s="4" t="s">
        <v>11941</v>
      </c>
      <c r="G181" s="62" t="s">
        <v>11687</v>
      </c>
      <c r="H181" t="s">
        <v>11727</v>
      </c>
      <c r="I181" s="2"/>
      <c r="K181" s="60" t="str">
        <f>IF(OR(Tbla_proyectos[[#This Row],[fecha_inicio]]="",Tbla_proyectos[[#This Row],[fecha_fin]]=""),"",DATEDIF(Tbla_proyectos[[#This Row],[fecha_inicio]],Tbla_proyectos[[#This Row],[fecha_fin]],"M"))</f>
        <v/>
      </c>
      <c r="L181" s="60" t="s">
        <v>11689</v>
      </c>
      <c r="M181" s="62" t="s">
        <v>11690</v>
      </c>
      <c r="N181" s="62">
        <f ca="1">IF(Tbla_proyectos[[#This Row],[municipio]]="","",VLOOKUP(Tbla_proyectos[[#This Row],[municipio]],INDIRECT(Tbla_proyectos[[#This Row],[departamento]]),2,0))</f>
        <v>4.3161076979999997</v>
      </c>
      <c r="O181" s="62">
        <f ca="1">IF(Tbla_proyectos[[#This Row],[municipio]]="","",VLOOKUP(Tbla_proyectos[[#This Row],[municipio]],INDIRECT(Tbla_proyectos[[#This Row],[departamento]]),2,0))</f>
        <v>4.3161076979999997</v>
      </c>
      <c r="P181" t="s">
        <v>11703</v>
      </c>
    </row>
    <row r="182" spans="1:16">
      <c r="A182" t="s">
        <v>10725</v>
      </c>
      <c r="B182" s="62" t="str">
        <f>LEFT(Tbla_proyectos[[#This Row],[codigo_proyecto]],4)</f>
        <v>2530</v>
      </c>
      <c r="C182" s="4" t="s">
        <v>11942</v>
      </c>
      <c r="D182" s="15" t="s">
        <v>11684</v>
      </c>
      <c r="E182" s="4" t="s">
        <v>11943</v>
      </c>
      <c r="F182" s="4" t="s">
        <v>11938</v>
      </c>
      <c r="G182" s="62" t="s">
        <v>11687</v>
      </c>
      <c r="H182" t="s">
        <v>11727</v>
      </c>
      <c r="I182" s="2"/>
      <c r="K182" s="60" t="str">
        <f>IF(OR(Tbla_proyectos[[#This Row],[fecha_inicio]]="",Tbla_proyectos[[#This Row],[fecha_fin]]=""),"",DATEDIF(Tbla_proyectos[[#This Row],[fecha_inicio]],Tbla_proyectos[[#This Row],[fecha_fin]],"M"))</f>
        <v/>
      </c>
      <c r="L182" s="60" t="s">
        <v>11689</v>
      </c>
      <c r="M182" s="62" t="s">
        <v>11690</v>
      </c>
      <c r="N182" s="62">
        <f ca="1">IF(Tbla_proyectos[[#This Row],[municipio]]="","",VLOOKUP(Tbla_proyectos[[#This Row],[municipio]],INDIRECT(Tbla_proyectos[[#This Row],[departamento]]),2,0))</f>
        <v>4.3161076979999997</v>
      </c>
      <c r="O182" s="62">
        <f ca="1">IF(Tbla_proyectos[[#This Row],[municipio]]="","",VLOOKUP(Tbla_proyectos[[#This Row],[municipio]],INDIRECT(Tbla_proyectos[[#This Row],[departamento]]),2,0))</f>
        <v>4.3161076979999997</v>
      </c>
      <c r="P182" t="s">
        <v>11696</v>
      </c>
    </row>
    <row r="183" spans="1:16">
      <c r="A183" t="s">
        <v>10614</v>
      </c>
      <c r="B183" s="62" t="str">
        <f>LEFT(Tbla_proyectos[[#This Row],[codigo_proyecto]],4)</f>
        <v>2530</v>
      </c>
      <c r="C183" s="4" t="s">
        <v>11944</v>
      </c>
      <c r="D183" s="15" t="s">
        <v>11684</v>
      </c>
      <c r="E183" s="4" t="s">
        <v>11945</v>
      </c>
      <c r="F183" s="4" t="s">
        <v>11938</v>
      </c>
      <c r="G183" s="62" t="s">
        <v>11687</v>
      </c>
      <c r="H183" t="s">
        <v>11727</v>
      </c>
      <c r="I183" s="2"/>
      <c r="K183" s="60" t="str">
        <f>IF(OR(Tbla_proyectos[[#This Row],[fecha_inicio]]="",Tbla_proyectos[[#This Row],[fecha_fin]]=""),"",DATEDIF(Tbla_proyectos[[#This Row],[fecha_inicio]],Tbla_proyectos[[#This Row],[fecha_fin]],"M"))</f>
        <v/>
      </c>
      <c r="L183" s="60" t="s">
        <v>11689</v>
      </c>
      <c r="M183" s="62" t="s">
        <v>11690</v>
      </c>
      <c r="N183" s="62">
        <f ca="1">IF(Tbla_proyectos[[#This Row],[municipio]]="","",VLOOKUP(Tbla_proyectos[[#This Row],[municipio]],INDIRECT(Tbla_proyectos[[#This Row],[departamento]]),2,0))</f>
        <v>4.3161076979999997</v>
      </c>
      <c r="O183" s="62">
        <f ca="1">IF(Tbla_proyectos[[#This Row],[municipio]]="","",VLOOKUP(Tbla_proyectos[[#This Row],[municipio]],INDIRECT(Tbla_proyectos[[#This Row],[departamento]]),2,0))</f>
        <v>4.3161076979999997</v>
      </c>
      <c r="P183" t="s">
        <v>11696</v>
      </c>
    </row>
    <row r="184" spans="1:16">
      <c r="A184" t="s">
        <v>10076</v>
      </c>
      <c r="B184" s="62" t="str">
        <f>LEFT(Tbla_proyectos[[#This Row],[codigo_proyecto]],4)</f>
        <v>2530</v>
      </c>
      <c r="C184" s="4" t="s">
        <v>11939</v>
      </c>
      <c r="D184" s="15" t="s">
        <v>11684</v>
      </c>
      <c r="E184" s="4" t="s">
        <v>11946</v>
      </c>
      <c r="F184" s="4" t="s">
        <v>11941</v>
      </c>
      <c r="G184" s="62" t="s">
        <v>11687</v>
      </c>
      <c r="H184" t="s">
        <v>11727</v>
      </c>
      <c r="I184" s="2"/>
      <c r="K184" s="60" t="str">
        <f>IF(OR(Tbla_proyectos[[#This Row],[fecha_inicio]]="",Tbla_proyectos[[#This Row],[fecha_fin]]=""),"",DATEDIF(Tbla_proyectos[[#This Row],[fecha_inicio]],Tbla_proyectos[[#This Row],[fecha_fin]],"M"))</f>
        <v/>
      </c>
      <c r="L184" s="60" t="s">
        <v>11689</v>
      </c>
      <c r="M184" s="62" t="s">
        <v>11690</v>
      </c>
      <c r="N184" s="62">
        <f ca="1">IF(Tbla_proyectos[[#This Row],[municipio]]="","",VLOOKUP(Tbla_proyectos[[#This Row],[municipio]],INDIRECT(Tbla_proyectos[[#This Row],[departamento]]),2,0))</f>
        <v>4.3161076979999997</v>
      </c>
      <c r="O184" s="62">
        <f ca="1">IF(Tbla_proyectos[[#This Row],[municipio]]="","",VLOOKUP(Tbla_proyectos[[#This Row],[municipio]],INDIRECT(Tbla_proyectos[[#This Row],[departamento]]),2,0))</f>
        <v>4.3161076979999997</v>
      </c>
      <c r="P184" t="s">
        <v>11703</v>
      </c>
    </row>
    <row r="185" spans="1:16">
      <c r="A185" t="s">
        <v>10624</v>
      </c>
      <c r="B185" s="62" t="str">
        <f>LEFT(Tbla_proyectos[[#This Row],[codigo_proyecto]],4)</f>
        <v>2530</v>
      </c>
      <c r="C185" s="4" t="s">
        <v>11947</v>
      </c>
      <c r="D185" s="15" t="s">
        <v>11684</v>
      </c>
      <c r="E185" s="4" t="s">
        <v>11948</v>
      </c>
      <c r="F185" s="4" t="s">
        <v>11910</v>
      </c>
      <c r="G185" s="62" t="s">
        <v>11719</v>
      </c>
      <c r="H185" t="s">
        <v>11727</v>
      </c>
      <c r="I185" s="2"/>
      <c r="K185" s="60" t="str">
        <f>IF(OR(Tbla_proyectos[[#This Row],[fecha_inicio]]="",Tbla_proyectos[[#This Row],[fecha_fin]]=""),"",DATEDIF(Tbla_proyectos[[#This Row],[fecha_inicio]],Tbla_proyectos[[#This Row],[fecha_fin]],"M"))</f>
        <v/>
      </c>
      <c r="L185" s="60" t="s">
        <v>11689</v>
      </c>
      <c r="M185" s="62" t="s">
        <v>11690</v>
      </c>
      <c r="N185" s="62">
        <f ca="1">IF(Tbla_proyectos[[#This Row],[municipio]]="","",VLOOKUP(Tbla_proyectos[[#This Row],[municipio]],INDIRECT(Tbla_proyectos[[#This Row],[departamento]]),2,0))</f>
        <v>4.3161076979999997</v>
      </c>
      <c r="O185" s="62">
        <f ca="1">IF(Tbla_proyectos[[#This Row],[municipio]]="","",VLOOKUP(Tbla_proyectos[[#This Row],[municipio]],INDIRECT(Tbla_proyectos[[#This Row],[departamento]]),2,0))</f>
        <v>4.3161076979999997</v>
      </c>
      <c r="P185" t="s">
        <v>11696</v>
      </c>
    </row>
    <row r="186" spans="1:16">
      <c r="A186" t="s">
        <v>8652</v>
      </c>
      <c r="B186" s="62" t="str">
        <f>LEFT(Tbla_proyectos[[#This Row],[codigo_proyecto]],4)</f>
        <v>2430</v>
      </c>
      <c r="C186" s="4" t="s">
        <v>11939</v>
      </c>
      <c r="D186" s="15" t="s">
        <v>11684</v>
      </c>
      <c r="E186" s="4" t="s">
        <v>11946</v>
      </c>
      <c r="F186" s="4" t="s">
        <v>11941</v>
      </c>
      <c r="G186" s="62" t="s">
        <v>11687</v>
      </c>
      <c r="H186" t="s">
        <v>11727</v>
      </c>
      <c r="I186" s="2"/>
      <c r="K186" s="60" t="str">
        <f>IF(OR(Tbla_proyectos[[#This Row],[fecha_inicio]]="",Tbla_proyectos[[#This Row],[fecha_fin]]=""),"",DATEDIF(Tbla_proyectos[[#This Row],[fecha_inicio]],Tbla_proyectos[[#This Row],[fecha_fin]],"M"))</f>
        <v/>
      </c>
      <c r="L186" s="60" t="s">
        <v>11689</v>
      </c>
      <c r="M186" s="62" t="s">
        <v>11690</v>
      </c>
      <c r="N186" s="62">
        <f ca="1">IF(Tbla_proyectos[[#This Row],[municipio]]="","",VLOOKUP(Tbla_proyectos[[#This Row],[municipio]],INDIRECT(Tbla_proyectos[[#This Row],[departamento]]),2,0))</f>
        <v>4.3161076979999997</v>
      </c>
      <c r="O186" s="62">
        <f ca="1">IF(Tbla_proyectos[[#This Row],[municipio]]="","",VLOOKUP(Tbla_proyectos[[#This Row],[municipio]],INDIRECT(Tbla_proyectos[[#This Row],[departamento]]),2,0))</f>
        <v>4.3161076979999997</v>
      </c>
      <c r="P186" t="s">
        <v>11703</v>
      </c>
    </row>
    <row r="187" spans="1:16">
      <c r="A187" t="s">
        <v>8728</v>
      </c>
      <c r="B187" s="62" t="str">
        <f>LEFT(Tbla_proyectos[[#This Row],[codigo_proyecto]],4)</f>
        <v>2430</v>
      </c>
      <c r="C187" s="4" t="s">
        <v>11936</v>
      </c>
      <c r="D187" s="15" t="s">
        <v>11684</v>
      </c>
      <c r="E187" s="4" t="s">
        <v>11949</v>
      </c>
      <c r="F187" s="4" t="s">
        <v>11938</v>
      </c>
      <c r="G187" s="62" t="s">
        <v>11687</v>
      </c>
      <c r="H187" t="s">
        <v>11727</v>
      </c>
      <c r="I187" s="2"/>
      <c r="K187" s="60" t="str">
        <f>IF(OR(Tbla_proyectos[[#This Row],[fecha_inicio]]="",Tbla_proyectos[[#This Row],[fecha_fin]]=""),"",DATEDIF(Tbla_proyectos[[#This Row],[fecha_inicio]],Tbla_proyectos[[#This Row],[fecha_fin]],"M"))</f>
        <v/>
      </c>
      <c r="L187" s="60" t="s">
        <v>11689</v>
      </c>
      <c r="M187" s="62" t="s">
        <v>11690</v>
      </c>
      <c r="N187" s="62">
        <f ca="1">IF(Tbla_proyectos[[#This Row],[municipio]]="","",VLOOKUP(Tbla_proyectos[[#This Row],[municipio]],INDIRECT(Tbla_proyectos[[#This Row],[departamento]]),2,0))</f>
        <v>4.3161076979999997</v>
      </c>
      <c r="O187" s="62">
        <f ca="1">IF(Tbla_proyectos[[#This Row],[municipio]]="","",VLOOKUP(Tbla_proyectos[[#This Row],[municipio]],INDIRECT(Tbla_proyectos[[#This Row],[departamento]]),2,0))</f>
        <v>4.3161076979999997</v>
      </c>
      <c r="P187" t="s">
        <v>11696</v>
      </c>
    </row>
    <row r="188" spans="1:16">
      <c r="A188" t="s">
        <v>9027</v>
      </c>
      <c r="B188" s="62" t="str">
        <f>LEFT(Tbla_proyectos[[#This Row],[codigo_proyecto]],4)</f>
        <v>2430</v>
      </c>
      <c r="C188" s="4" t="s">
        <v>11950</v>
      </c>
      <c r="D188" s="15" t="s">
        <v>11684</v>
      </c>
      <c r="E188" s="4" t="s">
        <v>11951</v>
      </c>
      <c r="F188" s="4" t="s">
        <v>11859</v>
      </c>
      <c r="G188" s="62" t="s">
        <v>11687</v>
      </c>
      <c r="H188" t="s">
        <v>11695</v>
      </c>
      <c r="I188" s="2"/>
      <c r="K188" s="60" t="str">
        <f>IF(OR(Tbla_proyectos[[#This Row],[fecha_inicio]]="",Tbla_proyectos[[#This Row],[fecha_fin]]=""),"",DATEDIF(Tbla_proyectos[[#This Row],[fecha_inicio]],Tbla_proyectos[[#This Row],[fecha_fin]],"M"))</f>
        <v/>
      </c>
      <c r="L188" s="60" t="s">
        <v>11689</v>
      </c>
      <c r="M188" s="62" t="s">
        <v>11690</v>
      </c>
      <c r="N188" s="62">
        <f ca="1">IF(Tbla_proyectos[[#This Row],[municipio]]="","",VLOOKUP(Tbla_proyectos[[#This Row],[municipio]],INDIRECT(Tbla_proyectos[[#This Row],[departamento]]),2,0))</f>
        <v>4.3161076979999997</v>
      </c>
      <c r="O188" s="62">
        <f ca="1">IF(Tbla_proyectos[[#This Row],[municipio]]="","",VLOOKUP(Tbla_proyectos[[#This Row],[municipio]],INDIRECT(Tbla_proyectos[[#This Row],[departamento]]),2,0))</f>
        <v>4.3161076979999997</v>
      </c>
      <c r="P188" t="s">
        <v>11696</v>
      </c>
    </row>
    <row r="189" spans="1:16">
      <c r="A189" t="s">
        <v>10041</v>
      </c>
      <c r="B189" s="62" t="str">
        <f>LEFT(Tbla_proyectos[[#This Row],[codigo_proyecto]],4)</f>
        <v>2520</v>
      </c>
      <c r="C189" s="4" t="s">
        <v>11904</v>
      </c>
      <c r="D189" s="15" t="s">
        <v>11684</v>
      </c>
      <c r="E189" s="4" t="s">
        <v>11952</v>
      </c>
      <c r="F189" s="4" t="s">
        <v>11709</v>
      </c>
      <c r="G189" s="62" t="s">
        <v>11719</v>
      </c>
      <c r="H189" t="s">
        <v>11710</v>
      </c>
      <c r="I189" s="2"/>
      <c r="K189" s="60" t="str">
        <f>IF(OR(Tbla_proyectos[[#This Row],[fecha_inicio]]="",Tbla_proyectos[[#This Row],[fecha_fin]]=""),"",DATEDIF(Tbla_proyectos[[#This Row],[fecha_inicio]],Tbla_proyectos[[#This Row],[fecha_fin]],"M"))</f>
        <v/>
      </c>
      <c r="L189" s="60" t="s">
        <v>11689</v>
      </c>
      <c r="M189" s="62" t="s">
        <v>11690</v>
      </c>
      <c r="N189" s="62">
        <f ca="1">IF(Tbla_proyectos[[#This Row],[municipio]]="","",VLOOKUP(Tbla_proyectos[[#This Row],[municipio]],INDIRECT(Tbla_proyectos[[#This Row],[departamento]]),2,0))</f>
        <v>4.3161076979999997</v>
      </c>
      <c r="O189" s="62">
        <f ca="1">IF(Tbla_proyectos[[#This Row],[municipio]]="","",VLOOKUP(Tbla_proyectos[[#This Row],[municipio]],INDIRECT(Tbla_proyectos[[#This Row],[departamento]]),2,0))</f>
        <v>4.3161076979999997</v>
      </c>
      <c r="P189" t="s">
        <v>11696</v>
      </c>
    </row>
    <row r="190" spans="1:16">
      <c r="A190" t="s">
        <v>9735</v>
      </c>
      <c r="B190" s="62" t="str">
        <f>LEFT(Tbla_proyectos[[#This Row],[codigo_proyecto]],4)</f>
        <v>2510</v>
      </c>
      <c r="C190" s="4" t="s">
        <v>11868</v>
      </c>
      <c r="D190" s="15" t="s">
        <v>11684</v>
      </c>
      <c r="E190" s="4" t="s">
        <v>11869</v>
      </c>
      <c r="F190" s="4" t="s">
        <v>11693</v>
      </c>
      <c r="G190" s="62" t="s">
        <v>11687</v>
      </c>
      <c r="H190" t="s">
        <v>11688</v>
      </c>
      <c r="I190" s="2"/>
      <c r="K190" s="60" t="str">
        <f>IF(OR(Tbla_proyectos[[#This Row],[fecha_inicio]]="",Tbla_proyectos[[#This Row],[fecha_fin]]=""),"",DATEDIF(Tbla_proyectos[[#This Row],[fecha_inicio]],Tbla_proyectos[[#This Row],[fecha_fin]],"M"))</f>
        <v/>
      </c>
      <c r="L190" s="60" t="s">
        <v>11689</v>
      </c>
      <c r="M190" s="62" t="s">
        <v>11690</v>
      </c>
      <c r="N190" s="62">
        <f ca="1">IF(Tbla_proyectos[[#This Row],[municipio]]="","",VLOOKUP(Tbla_proyectos[[#This Row],[municipio]],INDIRECT(Tbla_proyectos[[#This Row],[departamento]]),2,0))</f>
        <v>4.3161076979999997</v>
      </c>
      <c r="O190" s="62">
        <f ca="1">IF(Tbla_proyectos[[#This Row],[municipio]]="","",VLOOKUP(Tbla_proyectos[[#This Row],[municipio]],INDIRECT(Tbla_proyectos[[#This Row],[departamento]]),2,0))</f>
        <v>4.3161076979999997</v>
      </c>
    </row>
    <row r="191" spans="1:16">
      <c r="A191" t="s">
        <v>9739</v>
      </c>
      <c r="B191" s="62" t="str">
        <f>LEFT(Tbla_proyectos[[#This Row],[codigo_proyecto]],4)</f>
        <v>2510</v>
      </c>
      <c r="C191" s="4" t="s">
        <v>11865</v>
      </c>
      <c r="D191" s="15" t="s">
        <v>11684</v>
      </c>
      <c r="E191" s="4" t="s">
        <v>11866</v>
      </c>
      <c r="F191" s="4" t="s">
        <v>11867</v>
      </c>
      <c r="G191" s="62" t="s">
        <v>11687</v>
      </c>
      <c r="H191" t="s">
        <v>11688</v>
      </c>
      <c r="I191" s="2"/>
      <c r="K191" s="60" t="str">
        <f>IF(OR(Tbla_proyectos[[#This Row],[fecha_inicio]]="",Tbla_proyectos[[#This Row],[fecha_fin]]=""),"",DATEDIF(Tbla_proyectos[[#This Row],[fecha_inicio]],Tbla_proyectos[[#This Row],[fecha_fin]],"M"))</f>
        <v/>
      </c>
      <c r="L191" s="60" t="s">
        <v>11689</v>
      </c>
      <c r="M191" s="62" t="s">
        <v>11690</v>
      </c>
      <c r="N191" s="62">
        <f ca="1">IF(Tbla_proyectos[[#This Row],[municipio]]="","",VLOOKUP(Tbla_proyectos[[#This Row],[municipio]],INDIRECT(Tbla_proyectos[[#This Row],[departamento]]),2,0))</f>
        <v>4.3161076979999997</v>
      </c>
      <c r="O191" s="62">
        <f ca="1">IF(Tbla_proyectos[[#This Row],[municipio]]="","",VLOOKUP(Tbla_proyectos[[#This Row],[municipio]],INDIRECT(Tbla_proyectos[[#This Row],[departamento]]),2,0))</f>
        <v>4.3161076979999997</v>
      </c>
      <c r="P191" t="s">
        <v>11703</v>
      </c>
    </row>
    <row r="192" spans="1:16">
      <c r="A192" t="s">
        <v>9802</v>
      </c>
      <c r="B192" s="62" t="str">
        <f>LEFT(Tbla_proyectos[[#This Row],[codigo_proyecto]],4)</f>
        <v>2510</v>
      </c>
      <c r="C192" s="4" t="s">
        <v>11863</v>
      </c>
      <c r="D192" s="15" t="s">
        <v>11684</v>
      </c>
      <c r="E192" s="4" t="s">
        <v>11755</v>
      </c>
      <c r="F192" s="4" t="s">
        <v>11864</v>
      </c>
      <c r="G192" s="62" t="s">
        <v>11726</v>
      </c>
      <c r="H192" t="s">
        <v>11688</v>
      </c>
      <c r="I192" s="2"/>
      <c r="K192" s="60" t="str">
        <f>IF(OR(Tbla_proyectos[[#This Row],[fecha_inicio]]="",Tbla_proyectos[[#This Row],[fecha_fin]]=""),"",DATEDIF(Tbla_proyectos[[#This Row],[fecha_inicio]],Tbla_proyectos[[#This Row],[fecha_fin]],"M"))</f>
        <v/>
      </c>
      <c r="L192" s="60" t="s">
        <v>11689</v>
      </c>
      <c r="M192" s="62" t="s">
        <v>11690</v>
      </c>
      <c r="N192" s="62">
        <f ca="1">IF(Tbla_proyectos[[#This Row],[municipio]]="","",VLOOKUP(Tbla_proyectos[[#This Row],[municipio]],INDIRECT(Tbla_proyectos[[#This Row],[departamento]]),2,0))</f>
        <v>4.3161076979999997</v>
      </c>
      <c r="O192" s="62">
        <f ca="1">IF(Tbla_proyectos[[#This Row],[municipio]]="","",VLOOKUP(Tbla_proyectos[[#This Row],[municipio]],INDIRECT(Tbla_proyectos[[#This Row],[departamento]]),2,0))</f>
        <v>4.3161076979999997</v>
      </c>
    </row>
    <row r="193" spans="1:16">
      <c r="A193" t="s">
        <v>10797</v>
      </c>
      <c r="B193" s="62" t="str">
        <f>LEFT(Tbla_proyectos[[#This Row],[codigo_proyecto]],4)</f>
        <v>2530</v>
      </c>
      <c r="C193" s="4" t="s">
        <v>11953</v>
      </c>
      <c r="D193" s="15" t="s">
        <v>11684</v>
      </c>
      <c r="E193" s="4" t="s">
        <v>11954</v>
      </c>
      <c r="F193" s="4" t="s">
        <v>11955</v>
      </c>
      <c r="G193" s="62" t="s">
        <v>11687</v>
      </c>
      <c r="H193" t="s">
        <v>11688</v>
      </c>
      <c r="I193" s="2"/>
      <c r="K193" s="60" t="str">
        <f>IF(OR(Tbla_proyectos[[#This Row],[fecha_inicio]]="",Tbla_proyectos[[#This Row],[fecha_fin]]=""),"",DATEDIF(Tbla_proyectos[[#This Row],[fecha_inicio]],Tbla_proyectos[[#This Row],[fecha_fin]],"M"))</f>
        <v/>
      </c>
      <c r="L193" s="60" t="s">
        <v>11689</v>
      </c>
      <c r="M193" s="62" t="s">
        <v>11690</v>
      </c>
      <c r="N193" s="62">
        <f ca="1">IF(Tbla_proyectos[[#This Row],[municipio]]="","",VLOOKUP(Tbla_proyectos[[#This Row],[municipio]],INDIRECT(Tbla_proyectos[[#This Row],[departamento]]),2,0))</f>
        <v>4.3161076979999997</v>
      </c>
      <c r="O193" s="62">
        <f ca="1">IF(Tbla_proyectos[[#This Row],[municipio]]="","",VLOOKUP(Tbla_proyectos[[#This Row],[municipio]],INDIRECT(Tbla_proyectos[[#This Row],[departamento]]),2,0))</f>
        <v>4.3161076979999997</v>
      </c>
      <c r="P193" t="s">
        <v>11703</v>
      </c>
    </row>
    <row r="194" spans="1:16">
      <c r="A194" t="s">
        <v>8714</v>
      </c>
      <c r="B194" s="62" t="str">
        <f>LEFT(Tbla_proyectos[[#This Row],[codigo_proyecto]],4)</f>
        <v>2430</v>
      </c>
      <c r="C194" s="4" t="s">
        <v>11953</v>
      </c>
      <c r="D194" s="15" t="s">
        <v>11684</v>
      </c>
      <c r="E194" s="4" t="s">
        <v>11954</v>
      </c>
      <c r="F194" s="4" t="s">
        <v>11955</v>
      </c>
      <c r="G194" s="62" t="s">
        <v>11687</v>
      </c>
      <c r="H194" t="s">
        <v>11688</v>
      </c>
      <c r="I194" s="2"/>
      <c r="K194" s="60" t="str">
        <f>IF(OR(Tbla_proyectos[[#This Row],[fecha_inicio]]="",Tbla_proyectos[[#This Row],[fecha_fin]]=""),"",DATEDIF(Tbla_proyectos[[#This Row],[fecha_inicio]],Tbla_proyectos[[#This Row],[fecha_fin]],"M"))</f>
        <v/>
      </c>
      <c r="L194" s="60" t="s">
        <v>11689</v>
      </c>
      <c r="M194" s="62" t="s">
        <v>11690</v>
      </c>
      <c r="N194" s="62">
        <f ca="1">IF(Tbla_proyectos[[#This Row],[municipio]]="","",VLOOKUP(Tbla_proyectos[[#This Row],[municipio]],INDIRECT(Tbla_proyectos[[#This Row],[departamento]]),2,0))</f>
        <v>4.3161076979999997</v>
      </c>
      <c r="O194" s="62">
        <f ca="1">IF(Tbla_proyectos[[#This Row],[municipio]]="","",VLOOKUP(Tbla_proyectos[[#This Row],[municipio]],INDIRECT(Tbla_proyectos[[#This Row],[departamento]]),2,0))</f>
        <v>4.3161076979999997</v>
      </c>
      <c r="P194" t="s">
        <v>11703</v>
      </c>
    </row>
    <row r="195" spans="1:16">
      <c r="A195" t="s">
        <v>9978</v>
      </c>
      <c r="B195" s="62" t="str">
        <f>LEFT(Tbla_proyectos[[#This Row],[codigo_proyecto]],4)</f>
        <v>2510</v>
      </c>
      <c r="C195" s="4"/>
      <c r="D195" s="15" t="s">
        <v>11684</v>
      </c>
      <c r="E195" s="4" t="s">
        <v>11705</v>
      </c>
      <c r="F195" s="4" t="s">
        <v>11693</v>
      </c>
      <c r="G195" s="62" t="s">
        <v>11694</v>
      </c>
      <c r="H195" t="s">
        <v>11757</v>
      </c>
      <c r="I195" s="2"/>
      <c r="K195" s="60" t="str">
        <f>IF(OR(Tbla_proyectos[[#This Row],[fecha_inicio]]="",Tbla_proyectos[[#This Row],[fecha_fin]]=""),"",DATEDIF(Tbla_proyectos[[#This Row],[fecha_inicio]],Tbla_proyectos[[#This Row],[fecha_fin]],"M"))</f>
        <v/>
      </c>
      <c r="L195" s="60" t="s">
        <v>11689</v>
      </c>
      <c r="M195" s="62" t="s">
        <v>11690</v>
      </c>
      <c r="N195" s="62">
        <f ca="1">IF(Tbla_proyectos[[#This Row],[municipio]]="","",VLOOKUP(Tbla_proyectos[[#This Row],[municipio]],INDIRECT(Tbla_proyectos[[#This Row],[departamento]]),2,0))</f>
        <v>4.3161076979999997</v>
      </c>
      <c r="O195" s="62">
        <f ca="1">IF(Tbla_proyectos[[#This Row],[municipio]]="","",VLOOKUP(Tbla_proyectos[[#This Row],[municipio]],INDIRECT(Tbla_proyectos[[#This Row],[departamento]]),2,0))</f>
        <v>4.3161076979999997</v>
      </c>
      <c r="P195" t="s">
        <v>11703</v>
      </c>
    </row>
    <row r="196" spans="1:16">
      <c r="A196" t="s">
        <v>8677</v>
      </c>
      <c r="B196" s="62" t="str">
        <f>LEFT(Tbla_proyectos[[#This Row],[codigo_proyecto]],4)</f>
        <v>2430</v>
      </c>
      <c r="C196" s="4"/>
      <c r="D196" s="15" t="s">
        <v>11684</v>
      </c>
      <c r="E196" s="4" t="s">
        <v>11705</v>
      </c>
      <c r="F196" s="4" t="s">
        <v>11693</v>
      </c>
      <c r="G196" s="62" t="s">
        <v>11694</v>
      </c>
      <c r="H196" t="s">
        <v>11757</v>
      </c>
      <c r="I196" s="2"/>
      <c r="K196" s="60" t="str">
        <f>IF(OR(Tbla_proyectos[[#This Row],[fecha_inicio]]="",Tbla_proyectos[[#This Row],[fecha_fin]]=""),"",DATEDIF(Tbla_proyectos[[#This Row],[fecha_inicio]],Tbla_proyectos[[#This Row],[fecha_fin]],"M"))</f>
        <v/>
      </c>
      <c r="L196" s="60" t="s">
        <v>11689</v>
      </c>
      <c r="M196" s="62" t="s">
        <v>11690</v>
      </c>
      <c r="N196" s="62">
        <f ca="1">IF(Tbla_proyectos[[#This Row],[municipio]]="","",VLOOKUP(Tbla_proyectos[[#This Row],[municipio]],INDIRECT(Tbla_proyectos[[#This Row],[departamento]]),2,0))</f>
        <v>4.3161076979999997</v>
      </c>
      <c r="O196" s="62">
        <f ca="1">IF(Tbla_proyectos[[#This Row],[municipio]]="","",VLOOKUP(Tbla_proyectos[[#This Row],[municipio]],INDIRECT(Tbla_proyectos[[#This Row],[departamento]]),2,0))</f>
        <v>4.3161076979999997</v>
      </c>
      <c r="P196" t="s">
        <v>11703</v>
      </c>
    </row>
    <row r="197" spans="1:16">
      <c r="A197" t="s">
        <v>9962</v>
      </c>
      <c r="B197" s="62" t="str">
        <f>LEFT(Tbla_proyectos[[#This Row],[codigo_proyecto]],4)</f>
        <v>2510</v>
      </c>
      <c r="C197" s="4" t="s">
        <v>11953</v>
      </c>
      <c r="D197" s="15" t="s">
        <v>11684</v>
      </c>
      <c r="E197" s="4" t="s">
        <v>11954</v>
      </c>
      <c r="F197" s="4" t="s">
        <v>11955</v>
      </c>
      <c r="G197" s="62" t="s">
        <v>11687</v>
      </c>
      <c r="H197" t="s">
        <v>11722</v>
      </c>
      <c r="I197" s="2"/>
      <c r="K197" s="60" t="str">
        <f>IF(OR(Tbla_proyectos[[#This Row],[fecha_inicio]]="",Tbla_proyectos[[#This Row],[fecha_fin]]=""),"",DATEDIF(Tbla_proyectos[[#This Row],[fecha_inicio]],Tbla_proyectos[[#This Row],[fecha_fin]],"M"))</f>
        <v/>
      </c>
      <c r="L197" s="60" t="s">
        <v>11689</v>
      </c>
      <c r="M197" s="62" t="s">
        <v>11690</v>
      </c>
      <c r="N197" s="62">
        <f ca="1">IF(Tbla_proyectos[[#This Row],[municipio]]="","",VLOOKUP(Tbla_proyectos[[#This Row],[municipio]],INDIRECT(Tbla_proyectos[[#This Row],[departamento]]),2,0))</f>
        <v>4.3161076979999997</v>
      </c>
      <c r="O197" s="62">
        <f ca="1">IF(Tbla_proyectos[[#This Row],[municipio]]="","",VLOOKUP(Tbla_proyectos[[#This Row],[municipio]],INDIRECT(Tbla_proyectos[[#This Row],[departamento]]),2,0))</f>
        <v>4.3161076979999997</v>
      </c>
      <c r="P197" t="s">
        <v>11703</v>
      </c>
    </row>
    <row r="198" spans="1:16">
      <c r="A198" t="s">
        <v>11132</v>
      </c>
      <c r="B198" s="62" t="str">
        <f>LEFT(Tbla_proyectos[[#This Row],[codigo_proyecto]],4)</f>
        <v>2610</v>
      </c>
      <c r="C198" s="4" t="s">
        <v>11683</v>
      </c>
      <c r="D198" s="15" t="s">
        <v>11684</v>
      </c>
      <c r="E198" s="4" t="s">
        <v>11685</v>
      </c>
      <c r="F198" s="4" t="s">
        <v>11686</v>
      </c>
      <c r="G198" s="62" t="s">
        <v>11687</v>
      </c>
      <c r="H198" t="s">
        <v>11688</v>
      </c>
      <c r="I198" s="2"/>
      <c r="K198" s="60" t="str">
        <f>IF(OR(Tbla_proyectos[[#This Row],[fecha_inicio]]="",Tbla_proyectos[[#This Row],[fecha_fin]]=""),"",DATEDIF(Tbla_proyectos[[#This Row],[fecha_inicio]],Tbla_proyectos[[#This Row],[fecha_fin]],"M"))</f>
        <v/>
      </c>
      <c r="L198" s="60" t="s">
        <v>11689</v>
      </c>
      <c r="M198" s="62" t="s">
        <v>11690</v>
      </c>
      <c r="N198" s="62">
        <f ca="1">IF(Tbla_proyectos[[#This Row],[municipio]]="","",VLOOKUP(Tbla_proyectos[[#This Row],[municipio]],INDIRECT(Tbla_proyectos[[#This Row],[departamento]]),2,0))</f>
        <v>4.3161076979999997</v>
      </c>
      <c r="O198" s="62">
        <f ca="1">IF(Tbla_proyectos[[#This Row],[municipio]]="","",VLOOKUP(Tbla_proyectos[[#This Row],[municipio]],INDIRECT(Tbla_proyectos[[#This Row],[departamento]]),2,0))</f>
        <v>4.3161076979999997</v>
      </c>
      <c r="P198" t="s">
        <v>11703</v>
      </c>
    </row>
    <row r="199" spans="1:16">
      <c r="A199" t="s">
        <v>10993</v>
      </c>
      <c r="B199" s="62" t="str">
        <f>LEFT(Tbla_proyectos[[#This Row],[codigo_proyecto]],4)</f>
        <v>2610</v>
      </c>
      <c r="C199" s="4" t="s">
        <v>11697</v>
      </c>
      <c r="D199" s="15" t="s">
        <v>11684</v>
      </c>
      <c r="E199" s="4" t="s">
        <v>11956</v>
      </c>
      <c r="F199" s="4" t="s">
        <v>11699</v>
      </c>
      <c r="G199" s="62" t="s">
        <v>11694</v>
      </c>
      <c r="H199" t="s">
        <v>11695</v>
      </c>
      <c r="I199" s="2"/>
      <c r="K199" s="60" t="str">
        <f>IF(OR(Tbla_proyectos[[#This Row],[fecha_inicio]]="",Tbla_proyectos[[#This Row],[fecha_fin]]=""),"",DATEDIF(Tbla_proyectos[[#This Row],[fecha_inicio]],Tbla_proyectos[[#This Row],[fecha_fin]],"M"))</f>
        <v/>
      </c>
      <c r="L199" s="60" t="s">
        <v>11689</v>
      </c>
      <c r="M199" s="62" t="s">
        <v>11690</v>
      </c>
      <c r="N199" s="62">
        <f ca="1">IF(Tbla_proyectos[[#This Row],[municipio]]="","",VLOOKUP(Tbla_proyectos[[#This Row],[municipio]],INDIRECT(Tbla_proyectos[[#This Row],[departamento]]),2,0))</f>
        <v>4.3161076979999997</v>
      </c>
      <c r="O199" s="62">
        <f ca="1">IF(Tbla_proyectos[[#This Row],[municipio]]="","",VLOOKUP(Tbla_proyectos[[#This Row],[municipio]],INDIRECT(Tbla_proyectos[[#This Row],[departamento]]),2,0))</f>
        <v>4.3161076979999997</v>
      </c>
      <c r="P199" t="s">
        <v>11703</v>
      </c>
    </row>
    <row r="200" spans="1:16">
      <c r="A200" t="s">
        <v>11453</v>
      </c>
      <c r="B200" s="62" t="str">
        <f>LEFT(Tbla_proyectos[[#This Row],[codigo_proyecto]],4)</f>
        <v>2610</v>
      </c>
      <c r="C200" s="4" t="s">
        <v>11704</v>
      </c>
      <c r="D200" s="15" t="s">
        <v>11684</v>
      </c>
      <c r="E200" s="4" t="s">
        <v>11705</v>
      </c>
      <c r="F200" s="4" t="s">
        <v>11693</v>
      </c>
      <c r="G200" s="62" t="s">
        <v>11694</v>
      </c>
      <c r="H200" t="s">
        <v>11706</v>
      </c>
      <c r="I200" s="2"/>
      <c r="K200" s="60" t="str">
        <f>IF(OR(Tbla_proyectos[[#This Row],[fecha_inicio]]="",Tbla_proyectos[[#This Row],[fecha_fin]]=""),"",DATEDIF(Tbla_proyectos[[#This Row],[fecha_inicio]],Tbla_proyectos[[#This Row],[fecha_fin]],"M"))</f>
        <v/>
      </c>
      <c r="L200" s="60" t="s">
        <v>11689</v>
      </c>
      <c r="M200" s="62" t="s">
        <v>11690</v>
      </c>
      <c r="N200" s="62">
        <f ca="1">IF(Tbla_proyectos[[#This Row],[municipio]]="","",VLOOKUP(Tbla_proyectos[[#This Row],[municipio]],INDIRECT(Tbla_proyectos[[#This Row],[departamento]]),2,0))</f>
        <v>4.3161076979999997</v>
      </c>
      <c r="O200" s="62">
        <f ca="1">IF(Tbla_proyectos[[#This Row],[municipio]]="","",VLOOKUP(Tbla_proyectos[[#This Row],[municipio]],INDIRECT(Tbla_proyectos[[#This Row],[departamento]]),2,0))</f>
        <v>4.3161076979999997</v>
      </c>
      <c r="P200" t="s">
        <v>11703</v>
      </c>
    </row>
    <row r="201" spans="1:16">
      <c r="A201" t="s">
        <v>11350</v>
      </c>
      <c r="B201" s="62" t="str">
        <f>LEFT(Tbla_proyectos[[#This Row],[codigo_proyecto]],4)</f>
        <v>2610</v>
      </c>
      <c r="C201" s="4" t="s">
        <v>11707</v>
      </c>
      <c r="D201" s="15" t="s">
        <v>11684</v>
      </c>
      <c r="E201" s="4" t="s">
        <v>11957</v>
      </c>
      <c r="F201" s="4" t="s">
        <v>11958</v>
      </c>
      <c r="G201" s="62" t="s">
        <v>11687</v>
      </c>
      <c r="H201" t="s">
        <v>11959</v>
      </c>
      <c r="I201" s="2"/>
      <c r="K201" s="60" t="str">
        <f>IF(OR(Tbla_proyectos[[#This Row],[fecha_inicio]]="",Tbla_proyectos[[#This Row],[fecha_fin]]=""),"",DATEDIF(Tbla_proyectos[[#This Row],[fecha_inicio]],Tbla_proyectos[[#This Row],[fecha_fin]],"M"))</f>
        <v/>
      </c>
      <c r="L201" s="60" t="s">
        <v>11689</v>
      </c>
      <c r="M201" s="62" t="s">
        <v>11690</v>
      </c>
      <c r="N201" s="62">
        <f ca="1">IF(Tbla_proyectos[[#This Row],[municipio]]="","",VLOOKUP(Tbla_proyectos[[#This Row],[municipio]],INDIRECT(Tbla_proyectos[[#This Row],[departamento]]),2,0))</f>
        <v>4.3161076979999997</v>
      </c>
      <c r="O201" s="62">
        <f ca="1">IF(Tbla_proyectos[[#This Row],[municipio]]="","",VLOOKUP(Tbla_proyectos[[#This Row],[municipio]],INDIRECT(Tbla_proyectos[[#This Row],[departamento]]),2,0))</f>
        <v>4.3161076979999997</v>
      </c>
      <c r="P201" t="s">
        <v>11703</v>
      </c>
    </row>
    <row r="202" spans="1:16">
      <c r="A202" t="s">
        <v>10850</v>
      </c>
      <c r="B202" s="62" t="str">
        <f>LEFT(Tbla_proyectos[[#This Row],[codigo_proyecto]],4)</f>
        <v>2610</v>
      </c>
      <c r="C202" s="4" t="s">
        <v>11960</v>
      </c>
      <c r="D202" s="15" t="s">
        <v>11684</v>
      </c>
      <c r="E202" s="4" t="s">
        <v>11961</v>
      </c>
      <c r="F202" s="4" t="s">
        <v>11718</v>
      </c>
      <c r="G202" s="62" t="s">
        <v>11719</v>
      </c>
      <c r="H202" t="s">
        <v>11720</v>
      </c>
      <c r="I202" s="2"/>
      <c r="K202" s="60" t="str">
        <f>IF(OR(Tbla_proyectos[[#This Row],[fecha_inicio]]="",Tbla_proyectos[[#This Row],[fecha_fin]]=""),"",DATEDIF(Tbla_proyectos[[#This Row],[fecha_inicio]],Tbla_proyectos[[#This Row],[fecha_fin]],"M"))</f>
        <v/>
      </c>
      <c r="L202" s="60" t="s">
        <v>11714</v>
      </c>
      <c r="M202" s="62" t="s">
        <v>11962</v>
      </c>
      <c r="N202" s="62">
        <f ca="1">IF(Tbla_proyectos[[#This Row],[municipio]]="","",VLOOKUP(Tbla_proyectos[[#This Row],[municipio]],INDIRECT(Tbla_proyectos[[#This Row],[departamento]]),2,0))</f>
        <v>4.0633420740000004</v>
      </c>
      <c r="O202" s="62">
        <f ca="1">IF(Tbla_proyectos[[#This Row],[municipio]]="","",VLOOKUP(Tbla_proyectos[[#This Row],[municipio]],INDIRECT(Tbla_proyectos[[#This Row],[departamento]]),2,0))</f>
        <v>4.0633420740000004</v>
      </c>
      <c r="P202" t="s">
        <v>11703</v>
      </c>
    </row>
    <row r="203" spans="1:16">
      <c r="A203" t="s">
        <v>10824</v>
      </c>
      <c r="B203" s="62" t="str">
        <f>LEFT(Tbla_proyectos[[#This Row],[codigo_proyecto]],4)</f>
        <v>2610</v>
      </c>
      <c r="C203" s="4" t="s">
        <v>11724</v>
      </c>
      <c r="D203" s="15" t="s">
        <v>11684</v>
      </c>
      <c r="E203" s="4" t="s">
        <v>11963</v>
      </c>
      <c r="F203" s="4" t="s">
        <v>11702</v>
      </c>
      <c r="G203" s="62" t="s">
        <v>11726</v>
      </c>
      <c r="H203" t="s">
        <v>11727</v>
      </c>
      <c r="I203" s="2"/>
      <c r="K203" s="60" t="str">
        <f>IF(OR(Tbla_proyectos[[#This Row],[fecha_inicio]]="",Tbla_proyectos[[#This Row],[fecha_fin]]=""),"",DATEDIF(Tbla_proyectos[[#This Row],[fecha_inicio]],Tbla_proyectos[[#This Row],[fecha_fin]],"M"))</f>
        <v/>
      </c>
      <c r="L203" s="60" t="s">
        <v>11689</v>
      </c>
      <c r="M203" s="62" t="s">
        <v>11690</v>
      </c>
      <c r="N203" s="62">
        <f ca="1">IF(Tbla_proyectos[[#This Row],[municipio]]="","",VLOOKUP(Tbla_proyectos[[#This Row],[municipio]],INDIRECT(Tbla_proyectos[[#This Row],[departamento]]),2,0))</f>
        <v>4.3161076979999997</v>
      </c>
      <c r="O203" s="62">
        <f ca="1">IF(Tbla_proyectos[[#This Row],[municipio]]="","",VLOOKUP(Tbla_proyectos[[#This Row],[municipio]],INDIRECT(Tbla_proyectos[[#This Row],[departamento]]),2,0))</f>
        <v>4.3161076979999997</v>
      </c>
      <c r="P203" t="s">
        <v>11703</v>
      </c>
    </row>
    <row r="204" spans="1:16">
      <c r="A204" t="s">
        <v>11340</v>
      </c>
      <c r="B204" s="62" t="str">
        <f>LEFT(Tbla_proyectos[[#This Row],[codigo_proyecto]],4)</f>
        <v>2610</v>
      </c>
      <c r="C204" s="4" t="s">
        <v>11964</v>
      </c>
      <c r="D204" s="15" t="s">
        <v>11684</v>
      </c>
      <c r="E204" s="4" t="s">
        <v>11731</v>
      </c>
      <c r="F204" s="4" t="s">
        <v>11958</v>
      </c>
      <c r="G204" s="62" t="s">
        <v>11687</v>
      </c>
      <c r="H204" t="s">
        <v>11959</v>
      </c>
      <c r="I204" s="2"/>
      <c r="K204" s="60" t="str">
        <f>IF(OR(Tbla_proyectos[[#This Row],[fecha_inicio]]="",Tbla_proyectos[[#This Row],[fecha_fin]]=""),"",DATEDIF(Tbla_proyectos[[#This Row],[fecha_inicio]],Tbla_proyectos[[#This Row],[fecha_fin]],"M"))</f>
        <v/>
      </c>
      <c r="L204" s="60" t="s">
        <v>11689</v>
      </c>
      <c r="M204" s="62" t="s">
        <v>11690</v>
      </c>
      <c r="N204" s="62">
        <f ca="1">IF(Tbla_proyectos[[#This Row],[municipio]]="","",VLOOKUP(Tbla_proyectos[[#This Row],[municipio]],INDIRECT(Tbla_proyectos[[#This Row],[departamento]]),2,0))</f>
        <v>4.3161076979999997</v>
      </c>
      <c r="O204" s="62">
        <f ca="1">IF(Tbla_proyectos[[#This Row],[municipio]]="","",VLOOKUP(Tbla_proyectos[[#This Row],[municipio]],INDIRECT(Tbla_proyectos[[#This Row],[departamento]]),2,0))</f>
        <v>4.3161076979999997</v>
      </c>
      <c r="P204" t="s">
        <v>11696</v>
      </c>
    </row>
    <row r="205" spans="1:16">
      <c r="A205" t="s">
        <v>11048</v>
      </c>
      <c r="B205" s="62" t="str">
        <f>LEFT(Tbla_proyectos[[#This Row],[codigo_proyecto]],4)</f>
        <v>2610</v>
      </c>
      <c r="C205" s="4" t="s">
        <v>11739</v>
      </c>
      <c r="D205" s="15" t="s">
        <v>11684</v>
      </c>
      <c r="E205" s="4" t="s">
        <v>11737</v>
      </c>
      <c r="F205" s="4" t="s">
        <v>11738</v>
      </c>
      <c r="G205" s="62" t="s">
        <v>11726</v>
      </c>
      <c r="H205" t="s">
        <v>11688</v>
      </c>
      <c r="I205" s="2"/>
      <c r="K205" s="60" t="str">
        <f>IF(OR(Tbla_proyectos[[#This Row],[fecha_inicio]]="",Tbla_proyectos[[#This Row],[fecha_fin]]=""),"",DATEDIF(Tbla_proyectos[[#This Row],[fecha_inicio]],Tbla_proyectos[[#This Row],[fecha_fin]],"M"))</f>
        <v/>
      </c>
      <c r="L205" s="60" t="s">
        <v>11689</v>
      </c>
      <c r="M205" s="62" t="s">
        <v>11690</v>
      </c>
      <c r="N205" s="62">
        <f ca="1">IF(Tbla_proyectos[[#This Row],[municipio]]="","",VLOOKUP(Tbla_proyectos[[#This Row],[municipio]],INDIRECT(Tbla_proyectos[[#This Row],[departamento]]),2,0))</f>
        <v>4.3161076979999997</v>
      </c>
      <c r="O205" s="62">
        <f ca="1">IF(Tbla_proyectos[[#This Row],[municipio]]="","",VLOOKUP(Tbla_proyectos[[#This Row],[municipio]],INDIRECT(Tbla_proyectos[[#This Row],[departamento]]),2,0))</f>
        <v>4.3161076979999997</v>
      </c>
      <c r="P205" t="s">
        <v>11703</v>
      </c>
    </row>
    <row r="206" spans="1:16">
      <c r="A206" t="s">
        <v>11623</v>
      </c>
      <c r="B206" s="62" t="str">
        <f>LEFT(Tbla_proyectos[[#This Row],[codigo_proyecto]],4)</f>
        <v>2610</v>
      </c>
      <c r="C206" s="4" t="s">
        <v>11758</v>
      </c>
      <c r="D206" s="15" t="s">
        <v>11684</v>
      </c>
      <c r="E206" s="4" t="s">
        <v>11705</v>
      </c>
      <c r="F206" s="4" t="s">
        <v>11693</v>
      </c>
      <c r="G206" s="62" t="s">
        <v>11694</v>
      </c>
      <c r="H206" t="s">
        <v>11757</v>
      </c>
      <c r="I206" s="2"/>
      <c r="K206" s="60" t="str">
        <f>IF(OR(Tbla_proyectos[[#This Row],[fecha_inicio]]="",Tbla_proyectos[[#This Row],[fecha_fin]]=""),"",DATEDIF(Tbla_proyectos[[#This Row],[fecha_inicio]],Tbla_proyectos[[#This Row],[fecha_fin]],"M"))</f>
        <v/>
      </c>
      <c r="L206" s="60" t="s">
        <v>11689</v>
      </c>
      <c r="M206" s="62" t="s">
        <v>11690</v>
      </c>
      <c r="N206" s="62">
        <f ca="1">IF(Tbla_proyectos[[#This Row],[municipio]]="","",VLOOKUP(Tbla_proyectos[[#This Row],[municipio]],INDIRECT(Tbla_proyectos[[#This Row],[departamento]]),2,0))</f>
        <v>4.3161076979999997</v>
      </c>
      <c r="O206" s="62">
        <f ca="1">IF(Tbla_proyectos[[#This Row],[municipio]]="","",VLOOKUP(Tbla_proyectos[[#This Row],[municipio]],INDIRECT(Tbla_proyectos[[#This Row],[departamento]]),2,0))</f>
        <v>4.3161076979999997</v>
      </c>
      <c r="P206" t="s">
        <v>11703</v>
      </c>
    </row>
    <row r="207" spans="1:16">
      <c r="A207" t="s">
        <v>11136</v>
      </c>
      <c r="B207" s="62" t="str">
        <f>LEFT(Tbla_proyectos[[#This Row],[codigo_proyecto]],4)</f>
        <v>2610</v>
      </c>
      <c r="C207" s="4" t="s">
        <v>11762</v>
      </c>
      <c r="D207" s="15" t="s">
        <v>11684</v>
      </c>
      <c r="E207" s="4" t="s">
        <v>11761</v>
      </c>
      <c r="F207" s="4" t="s">
        <v>11686</v>
      </c>
      <c r="G207" s="62" t="s">
        <v>11694</v>
      </c>
      <c r="H207" t="s">
        <v>11688</v>
      </c>
      <c r="I207" s="2"/>
      <c r="K207" s="60" t="str">
        <f>IF(OR(Tbla_proyectos[[#This Row],[fecha_inicio]]="",Tbla_proyectos[[#This Row],[fecha_fin]]=""),"",DATEDIF(Tbla_proyectos[[#This Row],[fecha_inicio]],Tbla_proyectos[[#This Row],[fecha_fin]],"M"))</f>
        <v/>
      </c>
      <c r="L207" s="60" t="s">
        <v>11689</v>
      </c>
      <c r="M207" s="62" t="s">
        <v>11690</v>
      </c>
      <c r="N207" s="62">
        <f ca="1">IF(Tbla_proyectos[[#This Row],[municipio]]="","",VLOOKUP(Tbla_proyectos[[#This Row],[municipio]],INDIRECT(Tbla_proyectos[[#This Row],[departamento]]),2,0))</f>
        <v>4.3161076979999997</v>
      </c>
      <c r="O207" s="62">
        <f ca="1">IF(Tbla_proyectos[[#This Row],[municipio]]="","",VLOOKUP(Tbla_proyectos[[#This Row],[municipio]],INDIRECT(Tbla_proyectos[[#This Row],[departamento]]),2,0))</f>
        <v>4.3161076979999997</v>
      </c>
      <c r="P207" t="s">
        <v>11703</v>
      </c>
    </row>
    <row r="208" spans="1:16">
      <c r="A208" t="s">
        <v>10963</v>
      </c>
      <c r="B208" s="62" t="str">
        <f>LEFT(Tbla_proyectos[[#This Row],[codigo_proyecto]],4)</f>
        <v>2610</v>
      </c>
      <c r="C208" s="4" t="s">
        <v>11965</v>
      </c>
      <c r="D208" s="15" t="s">
        <v>11684</v>
      </c>
      <c r="E208" s="4" t="s">
        <v>11966</v>
      </c>
      <c r="F208" s="4" t="s">
        <v>11967</v>
      </c>
      <c r="G208" s="62" t="s">
        <v>11694</v>
      </c>
      <c r="H208" t="s">
        <v>11695</v>
      </c>
      <c r="I208" s="2"/>
      <c r="K208" s="60" t="str">
        <f>IF(OR(Tbla_proyectos[[#This Row],[fecha_inicio]]="",Tbla_proyectos[[#This Row],[fecha_fin]]=""),"",DATEDIF(Tbla_proyectos[[#This Row],[fecha_inicio]],Tbla_proyectos[[#This Row],[fecha_fin]],"M"))</f>
        <v/>
      </c>
      <c r="L208" s="60" t="s">
        <v>11689</v>
      </c>
      <c r="M208" s="62" t="s">
        <v>11690</v>
      </c>
      <c r="N208" s="62">
        <f ca="1">IF(Tbla_proyectos[[#This Row],[municipio]]="","",VLOOKUP(Tbla_proyectos[[#This Row],[municipio]],INDIRECT(Tbla_proyectos[[#This Row],[departamento]]),2,0))</f>
        <v>4.3161076979999997</v>
      </c>
      <c r="O208" s="62">
        <f ca="1">IF(Tbla_proyectos[[#This Row],[municipio]]="","",VLOOKUP(Tbla_proyectos[[#This Row],[municipio]],INDIRECT(Tbla_proyectos[[#This Row],[departamento]]),2,0))</f>
        <v>4.3161076979999997</v>
      </c>
      <c r="P208" t="s">
        <v>11703</v>
      </c>
    </row>
    <row r="209" spans="1:16">
      <c r="A209" t="s">
        <v>11396</v>
      </c>
      <c r="B209" s="62" t="str">
        <f>LEFT(Tbla_proyectos[[#This Row],[codigo_proyecto]],4)</f>
        <v>2610</v>
      </c>
      <c r="C209" s="4" t="s">
        <v>11764</v>
      </c>
      <c r="D209" s="15" t="s">
        <v>11684</v>
      </c>
      <c r="E209" s="4" t="s">
        <v>11968</v>
      </c>
      <c r="F209" s="4" t="s">
        <v>11958</v>
      </c>
      <c r="G209" s="62" t="s">
        <v>11694</v>
      </c>
      <c r="H209" t="s">
        <v>11744</v>
      </c>
      <c r="I209" s="2"/>
      <c r="K209" s="60" t="str">
        <f>IF(OR(Tbla_proyectos[[#This Row],[fecha_inicio]]="",Tbla_proyectos[[#This Row],[fecha_fin]]=""),"",DATEDIF(Tbla_proyectos[[#This Row],[fecha_inicio]],Tbla_proyectos[[#This Row],[fecha_fin]],"M"))</f>
        <v/>
      </c>
      <c r="L209" s="60" t="s">
        <v>11689</v>
      </c>
      <c r="M209" s="62" t="s">
        <v>11690</v>
      </c>
      <c r="N209" s="62">
        <f ca="1">IF(Tbla_proyectos[[#This Row],[municipio]]="","",VLOOKUP(Tbla_proyectos[[#This Row],[municipio]],INDIRECT(Tbla_proyectos[[#This Row],[departamento]]),2,0))</f>
        <v>4.3161076979999997</v>
      </c>
      <c r="O209" s="62">
        <f ca="1">IF(Tbla_proyectos[[#This Row],[municipio]]="","",VLOOKUP(Tbla_proyectos[[#This Row],[municipio]],INDIRECT(Tbla_proyectos[[#This Row],[departamento]]),2,0))</f>
        <v>4.3161076979999997</v>
      </c>
      <c r="P209" t="s">
        <v>11696</v>
      </c>
    </row>
    <row r="210" spans="1:16">
      <c r="A210" t="s">
        <v>11612</v>
      </c>
      <c r="B210" s="62" t="str">
        <f>LEFT(Tbla_proyectos[[#This Row],[codigo_proyecto]],4)</f>
        <v>2610</v>
      </c>
      <c r="C210" s="4" t="s">
        <v>11815</v>
      </c>
      <c r="D210" s="15" t="s">
        <v>11684</v>
      </c>
      <c r="E210" s="4" t="s">
        <v>11705</v>
      </c>
      <c r="F210" s="4" t="s">
        <v>11693</v>
      </c>
      <c r="G210" s="62" t="s">
        <v>11694</v>
      </c>
      <c r="H210" t="s">
        <v>11757</v>
      </c>
      <c r="I210" s="2"/>
      <c r="K210" s="60" t="str">
        <f>IF(OR(Tbla_proyectos[[#This Row],[fecha_inicio]]="",Tbla_proyectos[[#This Row],[fecha_fin]]=""),"",DATEDIF(Tbla_proyectos[[#This Row],[fecha_inicio]],Tbla_proyectos[[#This Row],[fecha_fin]],"M"))</f>
        <v/>
      </c>
      <c r="L210" s="60" t="s">
        <v>11689</v>
      </c>
      <c r="M210" s="62" t="s">
        <v>11690</v>
      </c>
      <c r="N210" s="62">
        <f ca="1">IF(Tbla_proyectos[[#This Row],[municipio]]="","",VLOOKUP(Tbla_proyectos[[#This Row],[municipio]],INDIRECT(Tbla_proyectos[[#This Row],[departamento]]),2,0))</f>
        <v>4.3161076979999997</v>
      </c>
      <c r="O210" s="62">
        <f ca="1">IF(Tbla_proyectos[[#This Row],[municipio]]="","",VLOOKUP(Tbla_proyectos[[#This Row],[municipio]],INDIRECT(Tbla_proyectos[[#This Row],[departamento]]),2,0))</f>
        <v>4.3161076979999997</v>
      </c>
      <c r="P210" t="s">
        <v>11703</v>
      </c>
    </row>
    <row r="211" spans="1:16">
      <c r="A211" t="s">
        <v>11007</v>
      </c>
      <c r="B211" s="62" t="str">
        <f>LEFT(Tbla_proyectos[[#This Row],[codigo_proyecto]],4)</f>
        <v>2610</v>
      </c>
      <c r="C211" s="4" t="s">
        <v>11969</v>
      </c>
      <c r="D211" s="15" t="s">
        <v>11684</v>
      </c>
      <c r="E211" s="4" t="s">
        <v>11970</v>
      </c>
      <c r="F211" s="4" t="s">
        <v>11770</v>
      </c>
      <c r="G211" s="62" t="s">
        <v>11726</v>
      </c>
      <c r="H211" t="s">
        <v>11688</v>
      </c>
      <c r="I211" s="2"/>
      <c r="K211" s="60" t="str">
        <f>IF(OR(Tbla_proyectos[[#This Row],[fecha_inicio]]="",Tbla_proyectos[[#This Row],[fecha_fin]]=""),"",DATEDIF(Tbla_proyectos[[#This Row],[fecha_inicio]],Tbla_proyectos[[#This Row],[fecha_fin]],"M"))</f>
        <v/>
      </c>
      <c r="L211" s="60" t="s">
        <v>11689</v>
      </c>
      <c r="M211" s="62" t="s">
        <v>11690</v>
      </c>
      <c r="N211" s="62">
        <f ca="1">IF(Tbla_proyectos[[#This Row],[municipio]]="","",VLOOKUP(Tbla_proyectos[[#This Row],[municipio]],INDIRECT(Tbla_proyectos[[#This Row],[departamento]]),2,0))</f>
        <v>4.3161076979999997</v>
      </c>
      <c r="O211" s="62">
        <f ca="1">IF(Tbla_proyectos[[#This Row],[municipio]]="","",VLOOKUP(Tbla_proyectos[[#This Row],[municipio]],INDIRECT(Tbla_proyectos[[#This Row],[departamento]]),2,0))</f>
        <v>4.3161076979999997</v>
      </c>
      <c r="P211" t="s">
        <v>11703</v>
      </c>
    </row>
    <row r="212" spans="1:16">
      <c r="A212" t="s">
        <v>11052</v>
      </c>
      <c r="B212" s="62" t="str">
        <f>LEFT(Tbla_proyectos[[#This Row],[codigo_proyecto]],4)</f>
        <v>2610</v>
      </c>
      <c r="C212" s="4" t="s">
        <v>11793</v>
      </c>
      <c r="D212" s="15" t="s">
        <v>11684</v>
      </c>
      <c r="E212" s="4" t="s">
        <v>11767</v>
      </c>
      <c r="F212" s="4" t="s">
        <v>11686</v>
      </c>
      <c r="G212" s="62" t="s">
        <v>11694</v>
      </c>
      <c r="H212" t="s">
        <v>11688</v>
      </c>
      <c r="I212" s="2"/>
      <c r="K212" s="60" t="str">
        <f>IF(OR(Tbla_proyectos[[#This Row],[fecha_inicio]]="",Tbla_proyectos[[#This Row],[fecha_fin]]=""),"",DATEDIF(Tbla_proyectos[[#This Row],[fecha_inicio]],Tbla_proyectos[[#This Row],[fecha_fin]],"M"))</f>
        <v/>
      </c>
      <c r="L212" s="60" t="s">
        <v>11689</v>
      </c>
      <c r="M212" s="62" t="s">
        <v>11690</v>
      </c>
      <c r="N212" s="62">
        <f ca="1">IF(Tbla_proyectos[[#This Row],[municipio]]="","",VLOOKUP(Tbla_proyectos[[#This Row],[municipio]],INDIRECT(Tbla_proyectos[[#This Row],[departamento]]),2,0))</f>
        <v>4.3161076979999997</v>
      </c>
      <c r="O212" s="62">
        <f ca="1">IF(Tbla_proyectos[[#This Row],[municipio]]="","",VLOOKUP(Tbla_proyectos[[#This Row],[municipio]],INDIRECT(Tbla_proyectos[[#This Row],[departamento]]),2,0))</f>
        <v>4.3161076979999997</v>
      </c>
      <c r="P212" t="s">
        <v>11703</v>
      </c>
    </row>
    <row r="213" spans="1:16">
      <c r="A213" t="s">
        <v>11384</v>
      </c>
      <c r="B213" s="62" t="str">
        <f>LEFT(Tbla_proyectos[[#This Row],[codigo_proyecto]],4)</f>
        <v>2610</v>
      </c>
      <c r="C213" s="4" t="s">
        <v>11781</v>
      </c>
      <c r="D213" s="15" t="s">
        <v>11684</v>
      </c>
      <c r="E213" s="4" t="s">
        <v>11782</v>
      </c>
      <c r="F213" s="4" t="s">
        <v>11749</v>
      </c>
      <c r="G213" s="62" t="s">
        <v>11687</v>
      </c>
      <c r="H213" t="s">
        <v>11744</v>
      </c>
      <c r="I213" s="2"/>
      <c r="K213" s="60" t="str">
        <f>IF(OR(Tbla_proyectos[[#This Row],[fecha_inicio]]="",Tbla_proyectos[[#This Row],[fecha_fin]]=""),"",DATEDIF(Tbla_proyectos[[#This Row],[fecha_inicio]],Tbla_proyectos[[#This Row],[fecha_fin]],"M"))</f>
        <v/>
      </c>
      <c r="L213" s="60" t="s">
        <v>11689</v>
      </c>
      <c r="M213" s="62" t="s">
        <v>11690</v>
      </c>
      <c r="N213" s="62">
        <f ca="1">IF(Tbla_proyectos[[#This Row],[municipio]]="","",VLOOKUP(Tbla_proyectos[[#This Row],[municipio]],INDIRECT(Tbla_proyectos[[#This Row],[departamento]]),2,0))</f>
        <v>4.3161076979999997</v>
      </c>
      <c r="O213" s="62">
        <f ca="1">IF(Tbla_proyectos[[#This Row],[municipio]]="","",VLOOKUP(Tbla_proyectos[[#This Row],[municipio]],INDIRECT(Tbla_proyectos[[#This Row],[departamento]]),2,0))</f>
        <v>4.3161076979999997</v>
      </c>
      <c r="P213" t="s">
        <v>11703</v>
      </c>
    </row>
    <row r="214" spans="1:16">
      <c r="A214" t="s">
        <v>11616</v>
      </c>
      <c r="B214" s="62" t="str">
        <f>LEFT(Tbla_proyectos[[#This Row],[codigo_proyecto]],4)</f>
        <v>2610</v>
      </c>
      <c r="C214" s="4" t="s">
        <v>11780</v>
      </c>
      <c r="D214" s="15" t="s">
        <v>11684</v>
      </c>
      <c r="E214" s="4" t="s">
        <v>11705</v>
      </c>
      <c r="F214" s="4" t="s">
        <v>11693</v>
      </c>
      <c r="G214" s="62" t="s">
        <v>11694</v>
      </c>
      <c r="H214" t="s">
        <v>11757</v>
      </c>
      <c r="I214" s="2"/>
      <c r="K214" s="60" t="str">
        <f>IF(OR(Tbla_proyectos[[#This Row],[fecha_inicio]]="",Tbla_proyectos[[#This Row],[fecha_fin]]=""),"",DATEDIF(Tbla_proyectos[[#This Row],[fecha_inicio]],Tbla_proyectos[[#This Row],[fecha_fin]],"M"))</f>
        <v/>
      </c>
      <c r="L214" s="60" t="s">
        <v>11689</v>
      </c>
      <c r="M214" s="62" t="s">
        <v>11690</v>
      </c>
      <c r="N214" s="62">
        <f ca="1">IF(Tbla_proyectos[[#This Row],[municipio]]="","",VLOOKUP(Tbla_proyectos[[#This Row],[municipio]],INDIRECT(Tbla_proyectos[[#This Row],[departamento]]),2,0))</f>
        <v>4.3161076979999997</v>
      </c>
      <c r="O214" s="62">
        <f ca="1">IF(Tbla_proyectos[[#This Row],[municipio]]="","",VLOOKUP(Tbla_proyectos[[#This Row],[municipio]],INDIRECT(Tbla_proyectos[[#This Row],[departamento]]),2,0))</f>
        <v>4.3161076979999997</v>
      </c>
      <c r="P214" t="s">
        <v>11703</v>
      </c>
    </row>
    <row r="215" spans="1:16">
      <c r="A215" t="s">
        <v>10925</v>
      </c>
      <c r="B215" s="62" t="str">
        <f>LEFT(Tbla_proyectos[[#This Row],[codigo_proyecto]],4)</f>
        <v>2610</v>
      </c>
      <c r="C215" s="4" t="s">
        <v>11787</v>
      </c>
      <c r="D215" s="15" t="s">
        <v>11684</v>
      </c>
      <c r="E215" s="4" t="s">
        <v>11971</v>
      </c>
      <c r="F215" s="4" t="s">
        <v>11967</v>
      </c>
      <c r="G215" s="62" t="s">
        <v>11694</v>
      </c>
      <c r="H215" t="s">
        <v>11972</v>
      </c>
      <c r="I215" s="2"/>
      <c r="K215" s="60" t="str">
        <f>IF(OR(Tbla_proyectos[[#This Row],[fecha_inicio]]="",Tbla_proyectos[[#This Row],[fecha_fin]]=""),"",DATEDIF(Tbla_proyectos[[#This Row],[fecha_inicio]],Tbla_proyectos[[#This Row],[fecha_fin]],"M"))</f>
        <v/>
      </c>
      <c r="L215" s="60" t="s">
        <v>11689</v>
      </c>
      <c r="M215" s="62" t="s">
        <v>11690</v>
      </c>
      <c r="N215" s="62">
        <f ca="1">IF(Tbla_proyectos[[#This Row],[municipio]]="","",VLOOKUP(Tbla_proyectos[[#This Row],[municipio]],INDIRECT(Tbla_proyectos[[#This Row],[departamento]]),2,0))</f>
        <v>4.3161076979999997</v>
      </c>
      <c r="O215" s="62">
        <f ca="1">IF(Tbla_proyectos[[#This Row],[municipio]]="","",VLOOKUP(Tbla_proyectos[[#This Row],[municipio]],INDIRECT(Tbla_proyectos[[#This Row],[departamento]]),2,0))</f>
        <v>4.3161076979999997</v>
      </c>
      <c r="P215" t="s">
        <v>11703</v>
      </c>
    </row>
    <row r="216" spans="1:16">
      <c r="A216" t="s">
        <v>11036</v>
      </c>
      <c r="B216" s="62" t="str">
        <f>LEFT(Tbla_proyectos[[#This Row],[codigo_proyecto]],4)</f>
        <v>2610</v>
      </c>
      <c r="C216" s="4" t="s">
        <v>11973</v>
      </c>
      <c r="D216" s="15" t="s">
        <v>11684</v>
      </c>
      <c r="E216" s="4" t="s">
        <v>11974</v>
      </c>
      <c r="F216" s="4" t="s">
        <v>11736</v>
      </c>
      <c r="G216" s="62" t="s">
        <v>11687</v>
      </c>
      <c r="H216" t="s">
        <v>11688</v>
      </c>
      <c r="I216" s="2"/>
      <c r="K216" s="60" t="str">
        <f>IF(OR(Tbla_proyectos[[#This Row],[fecha_inicio]]="",Tbla_proyectos[[#This Row],[fecha_fin]]=""),"",DATEDIF(Tbla_proyectos[[#This Row],[fecha_inicio]],Tbla_proyectos[[#This Row],[fecha_fin]],"M"))</f>
        <v/>
      </c>
      <c r="L216" s="60" t="s">
        <v>11689</v>
      </c>
      <c r="M216" s="62" t="s">
        <v>11690</v>
      </c>
      <c r="N216" s="62">
        <f ca="1">IF(Tbla_proyectos[[#This Row],[municipio]]="","",VLOOKUP(Tbla_proyectos[[#This Row],[municipio]],INDIRECT(Tbla_proyectos[[#This Row],[departamento]]),2,0))</f>
        <v>4.3161076979999997</v>
      </c>
      <c r="O216" s="62">
        <f ca="1">IF(Tbla_proyectos[[#This Row],[municipio]]="","",VLOOKUP(Tbla_proyectos[[#This Row],[municipio]],INDIRECT(Tbla_proyectos[[#This Row],[departamento]]),2,0))</f>
        <v>4.3161076979999997</v>
      </c>
      <c r="P216" t="s">
        <v>11703</v>
      </c>
    </row>
    <row r="217" spans="1:16">
      <c r="A217" t="s">
        <v>11056</v>
      </c>
      <c r="B217" s="62" t="str">
        <f>LEFT(Tbla_proyectos[[#This Row],[codigo_proyecto]],4)</f>
        <v>2610</v>
      </c>
      <c r="C217" s="4" t="s">
        <v>11779</v>
      </c>
      <c r="D217" s="15" t="s">
        <v>11684</v>
      </c>
      <c r="E217" s="4" t="s">
        <v>11777</v>
      </c>
      <c r="F217" s="4" t="s">
        <v>11778</v>
      </c>
      <c r="G217" s="62" t="s">
        <v>11726</v>
      </c>
      <c r="H217" t="s">
        <v>11688</v>
      </c>
      <c r="I217" s="2"/>
      <c r="K217" s="60" t="str">
        <f>IF(OR(Tbla_proyectos[[#This Row],[fecha_inicio]]="",Tbla_proyectos[[#This Row],[fecha_fin]]=""),"",DATEDIF(Tbla_proyectos[[#This Row],[fecha_inicio]],Tbla_proyectos[[#This Row],[fecha_fin]],"M"))</f>
        <v/>
      </c>
      <c r="L217" s="60" t="s">
        <v>11689</v>
      </c>
      <c r="M217" s="62" t="s">
        <v>11690</v>
      </c>
      <c r="N217" s="62">
        <f ca="1">IF(Tbla_proyectos[[#This Row],[municipio]]="","",VLOOKUP(Tbla_proyectos[[#This Row],[municipio]],INDIRECT(Tbla_proyectos[[#This Row],[departamento]]),2,0))</f>
        <v>4.3161076979999997</v>
      </c>
      <c r="O217" s="62">
        <f ca="1">IF(Tbla_proyectos[[#This Row],[municipio]]="","",VLOOKUP(Tbla_proyectos[[#This Row],[municipio]],INDIRECT(Tbla_proyectos[[#This Row],[departamento]]),2,0))</f>
        <v>4.3161076979999997</v>
      </c>
      <c r="P217" t="s">
        <v>11703</v>
      </c>
    </row>
    <row r="218" spans="1:16">
      <c r="A218" t="s">
        <v>11015</v>
      </c>
      <c r="B218" s="62" t="str">
        <f>LEFT(Tbla_proyectos[[#This Row],[codigo_proyecto]],4)</f>
        <v>2610</v>
      </c>
      <c r="C218" s="4" t="s">
        <v>11975</v>
      </c>
      <c r="D218" s="15" t="s">
        <v>11684</v>
      </c>
      <c r="E218" s="4" t="s">
        <v>11976</v>
      </c>
      <c r="F218" s="4" t="s">
        <v>11736</v>
      </c>
      <c r="G218" s="62" t="s">
        <v>11687</v>
      </c>
      <c r="H218" t="s">
        <v>11688</v>
      </c>
      <c r="I218" s="2"/>
      <c r="K218" s="60" t="str">
        <f>IF(OR(Tbla_proyectos[[#This Row],[fecha_inicio]]="",Tbla_proyectos[[#This Row],[fecha_fin]]=""),"",DATEDIF(Tbla_proyectos[[#This Row],[fecha_inicio]],Tbla_proyectos[[#This Row],[fecha_fin]],"M"))</f>
        <v/>
      </c>
      <c r="L218" s="60" t="s">
        <v>11689</v>
      </c>
      <c r="M218" s="62" t="s">
        <v>11690</v>
      </c>
      <c r="N218" s="62">
        <f ca="1">IF(Tbla_proyectos[[#This Row],[municipio]]="","",VLOOKUP(Tbla_proyectos[[#This Row],[municipio]],INDIRECT(Tbla_proyectos[[#This Row],[departamento]]),2,0))</f>
        <v>4.3161076979999997</v>
      </c>
      <c r="O218" s="62">
        <f ca="1">IF(Tbla_proyectos[[#This Row],[municipio]]="","",VLOOKUP(Tbla_proyectos[[#This Row],[municipio]],INDIRECT(Tbla_proyectos[[#This Row],[departamento]]),2,0))</f>
        <v>4.3161076979999997</v>
      </c>
      <c r="P218" t="s">
        <v>11696</v>
      </c>
    </row>
    <row r="219" spans="1:16">
      <c r="A219" t="s">
        <v>11040</v>
      </c>
      <c r="B219" s="62" t="str">
        <f>LEFT(Tbla_proyectos[[#This Row],[codigo_proyecto]],4)</f>
        <v>2610</v>
      </c>
      <c r="C219" s="4" t="s">
        <v>11977</v>
      </c>
      <c r="D219" s="15" t="s">
        <v>11684</v>
      </c>
      <c r="E219" s="4" t="s">
        <v>11978</v>
      </c>
      <c r="F219" s="4" t="s">
        <v>11768</v>
      </c>
      <c r="G219" s="62" t="s">
        <v>11694</v>
      </c>
      <c r="H219" t="s">
        <v>11688</v>
      </c>
      <c r="I219" s="2"/>
      <c r="K219" s="60" t="str">
        <f>IF(OR(Tbla_proyectos[[#This Row],[fecha_inicio]]="",Tbla_proyectos[[#This Row],[fecha_fin]]=""),"",DATEDIF(Tbla_proyectos[[#This Row],[fecha_inicio]],Tbla_proyectos[[#This Row],[fecha_fin]],"M"))</f>
        <v/>
      </c>
      <c r="L219" s="60" t="s">
        <v>11689</v>
      </c>
      <c r="M219" s="62" t="s">
        <v>11690</v>
      </c>
      <c r="N219" s="62">
        <f ca="1">IF(Tbla_proyectos[[#This Row],[municipio]]="","",VLOOKUP(Tbla_proyectos[[#This Row],[municipio]],INDIRECT(Tbla_proyectos[[#This Row],[departamento]]),2,0))</f>
        <v>4.3161076979999997</v>
      </c>
      <c r="O219" s="62">
        <f ca="1">IF(Tbla_proyectos[[#This Row],[municipio]]="","",VLOOKUP(Tbla_proyectos[[#This Row],[municipio]],INDIRECT(Tbla_proyectos[[#This Row],[departamento]]),2,0))</f>
        <v>4.3161076979999997</v>
      </c>
      <c r="P219" t="s">
        <v>11696</v>
      </c>
    </row>
    <row r="220" spans="1:16">
      <c r="A220" t="s">
        <v>11003</v>
      </c>
      <c r="B220" s="62" t="str">
        <f>LEFT(Tbla_proyectos[[#This Row],[codigo_proyecto]],4)</f>
        <v>2610</v>
      </c>
      <c r="C220" s="4" t="s">
        <v>11979</v>
      </c>
      <c r="D220" s="15" t="s">
        <v>11684</v>
      </c>
      <c r="E220" s="4" t="s">
        <v>11980</v>
      </c>
      <c r="F220" s="4" t="s">
        <v>11738</v>
      </c>
      <c r="G220" s="62" t="s">
        <v>11726</v>
      </c>
      <c r="H220" t="s">
        <v>11688</v>
      </c>
      <c r="I220" s="2"/>
      <c r="K220" s="60" t="str">
        <f>IF(OR(Tbla_proyectos[[#This Row],[fecha_inicio]]="",Tbla_proyectos[[#This Row],[fecha_fin]]=""),"",DATEDIF(Tbla_proyectos[[#This Row],[fecha_inicio]],Tbla_proyectos[[#This Row],[fecha_fin]],"M"))</f>
        <v/>
      </c>
      <c r="L220" s="60" t="s">
        <v>11689</v>
      </c>
      <c r="M220" s="62" t="s">
        <v>11690</v>
      </c>
      <c r="N220" s="62">
        <f ca="1">IF(Tbla_proyectos[[#This Row],[municipio]]="","",VLOOKUP(Tbla_proyectos[[#This Row],[municipio]],INDIRECT(Tbla_proyectos[[#This Row],[departamento]]),2,0))</f>
        <v>4.3161076979999997</v>
      </c>
      <c r="O220" s="62">
        <f ca="1">IF(Tbla_proyectos[[#This Row],[municipio]]="","",VLOOKUP(Tbla_proyectos[[#This Row],[municipio]],INDIRECT(Tbla_proyectos[[#This Row],[departamento]]),2,0))</f>
        <v>4.3161076979999997</v>
      </c>
      <c r="P220" t="s">
        <v>11703</v>
      </c>
    </row>
    <row r="221" spans="1:16">
      <c r="A221" t="s">
        <v>11029</v>
      </c>
      <c r="B221" s="62" t="str">
        <f>LEFT(Tbla_proyectos[[#This Row],[codigo_proyecto]],4)</f>
        <v>2610</v>
      </c>
      <c r="C221" s="4" t="s">
        <v>11981</v>
      </c>
      <c r="D221" s="15" t="s">
        <v>11684</v>
      </c>
      <c r="E221" s="4" t="s">
        <v>11982</v>
      </c>
      <c r="F221" s="4" t="s">
        <v>11801</v>
      </c>
      <c r="G221" s="62" t="s">
        <v>11687</v>
      </c>
      <c r="H221" t="s">
        <v>11688</v>
      </c>
      <c r="I221" s="2"/>
      <c r="K221" s="60" t="str">
        <f>IF(OR(Tbla_proyectos[[#This Row],[fecha_inicio]]="",Tbla_proyectos[[#This Row],[fecha_fin]]=""),"",DATEDIF(Tbla_proyectos[[#This Row],[fecha_inicio]],Tbla_proyectos[[#This Row],[fecha_fin]],"M"))</f>
        <v/>
      </c>
      <c r="L221" s="60" t="s">
        <v>11689</v>
      </c>
      <c r="M221" s="62" t="s">
        <v>11690</v>
      </c>
      <c r="N221" s="62">
        <f ca="1">IF(Tbla_proyectos[[#This Row],[municipio]]="","",VLOOKUP(Tbla_proyectos[[#This Row],[municipio]],INDIRECT(Tbla_proyectos[[#This Row],[departamento]]),2,0))</f>
        <v>4.3161076979999997</v>
      </c>
      <c r="O221" s="62">
        <f ca="1">IF(Tbla_proyectos[[#This Row],[municipio]]="","",VLOOKUP(Tbla_proyectos[[#This Row],[municipio]],INDIRECT(Tbla_proyectos[[#This Row],[departamento]]),2,0))</f>
        <v>4.3161076979999997</v>
      </c>
      <c r="P221" t="s">
        <v>11696</v>
      </c>
    </row>
    <row r="222" spans="1:16">
      <c r="A222" t="s">
        <v>11236</v>
      </c>
      <c r="B222" s="62" t="str">
        <f>LEFT(Tbla_proyectos[[#This Row],[codigo_proyecto]],4)</f>
        <v>2610</v>
      </c>
      <c r="C222" s="4" t="s">
        <v>11806</v>
      </c>
      <c r="D222" s="15" t="s">
        <v>11684</v>
      </c>
      <c r="E222" s="4" t="s">
        <v>11807</v>
      </c>
      <c r="F222" s="4" t="s">
        <v>11983</v>
      </c>
      <c r="G222" s="62" t="s">
        <v>11687</v>
      </c>
      <c r="H222" t="s">
        <v>11722</v>
      </c>
      <c r="I222" s="2"/>
      <c r="K222" s="60" t="str">
        <f>IF(OR(Tbla_proyectos[[#This Row],[fecha_inicio]]="",Tbla_proyectos[[#This Row],[fecha_fin]]=""),"",DATEDIF(Tbla_proyectos[[#This Row],[fecha_inicio]],Tbla_proyectos[[#This Row],[fecha_fin]],"M"))</f>
        <v/>
      </c>
      <c r="L222" s="60" t="s">
        <v>11689</v>
      </c>
      <c r="M222" s="62" t="s">
        <v>11690</v>
      </c>
      <c r="N222" s="62">
        <f ca="1">IF(Tbla_proyectos[[#This Row],[municipio]]="","",VLOOKUP(Tbla_proyectos[[#This Row],[municipio]],INDIRECT(Tbla_proyectos[[#This Row],[departamento]]),2,0))</f>
        <v>4.3161076979999997</v>
      </c>
      <c r="O222" s="62">
        <f ca="1">IF(Tbla_proyectos[[#This Row],[municipio]]="","",VLOOKUP(Tbla_proyectos[[#This Row],[municipio]],INDIRECT(Tbla_proyectos[[#This Row],[departamento]]),2,0))</f>
        <v>4.3161076979999997</v>
      </c>
      <c r="P222" t="s">
        <v>11703</v>
      </c>
    </row>
    <row r="223" spans="1:16">
      <c r="A223" t="s">
        <v>10970</v>
      </c>
      <c r="B223" s="62" t="str">
        <f>LEFT(Tbla_proyectos[[#This Row],[codigo_proyecto]],4)</f>
        <v>2610</v>
      </c>
      <c r="C223" s="4" t="s">
        <v>11984</v>
      </c>
      <c r="D223" s="15" t="s">
        <v>11684</v>
      </c>
      <c r="E223" s="4" t="s">
        <v>11985</v>
      </c>
      <c r="F223" s="4" t="s">
        <v>11958</v>
      </c>
      <c r="G223" s="62" t="s">
        <v>11694</v>
      </c>
      <c r="H223" t="s">
        <v>11695</v>
      </c>
      <c r="I223" s="2"/>
      <c r="K223" s="60" t="str">
        <f>IF(OR(Tbla_proyectos[[#This Row],[fecha_inicio]]="",Tbla_proyectos[[#This Row],[fecha_fin]]=""),"",DATEDIF(Tbla_proyectos[[#This Row],[fecha_inicio]],Tbla_proyectos[[#This Row],[fecha_fin]],"M"))</f>
        <v/>
      </c>
      <c r="L223" s="60" t="s">
        <v>11689</v>
      </c>
      <c r="M223" s="62" t="s">
        <v>11690</v>
      </c>
      <c r="N223" s="62">
        <f ca="1">IF(Tbla_proyectos[[#This Row],[municipio]]="","",VLOOKUP(Tbla_proyectos[[#This Row],[municipio]],INDIRECT(Tbla_proyectos[[#This Row],[departamento]]),2,0))</f>
        <v>4.3161076979999997</v>
      </c>
      <c r="O223" s="62">
        <f ca="1">IF(Tbla_proyectos[[#This Row],[municipio]]="","",VLOOKUP(Tbla_proyectos[[#This Row],[municipio]],INDIRECT(Tbla_proyectos[[#This Row],[departamento]]),2,0))</f>
        <v>4.3161076979999997</v>
      </c>
      <c r="P223" t="s">
        <v>11703</v>
      </c>
    </row>
    <row r="224" spans="1:16">
      <c r="A224" t="s">
        <v>11521</v>
      </c>
      <c r="B224" s="62" t="str">
        <f>LEFT(Tbla_proyectos[[#This Row],[codigo_proyecto]],4)</f>
        <v>2610</v>
      </c>
      <c r="C224" s="4" t="s">
        <v>11986</v>
      </c>
      <c r="D224" s="15" t="s">
        <v>11684</v>
      </c>
      <c r="E224" s="4" t="s">
        <v>11987</v>
      </c>
      <c r="F224" s="4" t="s">
        <v>11693</v>
      </c>
      <c r="G224" s="62" t="s">
        <v>11687</v>
      </c>
      <c r="H224" t="s">
        <v>11713</v>
      </c>
      <c r="I224" s="2"/>
      <c r="K224" s="60" t="str">
        <f>IF(OR(Tbla_proyectos[[#This Row],[fecha_inicio]]="",Tbla_proyectos[[#This Row],[fecha_fin]]=""),"",DATEDIF(Tbla_proyectos[[#This Row],[fecha_inicio]],Tbla_proyectos[[#This Row],[fecha_fin]],"M"))</f>
        <v/>
      </c>
      <c r="L224" s="60" t="s">
        <v>11689</v>
      </c>
      <c r="M224" s="62" t="s">
        <v>11690</v>
      </c>
      <c r="N224" s="62">
        <f ca="1">IF(Tbla_proyectos[[#This Row],[municipio]]="","",VLOOKUP(Tbla_proyectos[[#This Row],[municipio]],INDIRECT(Tbla_proyectos[[#This Row],[departamento]]),2,0))</f>
        <v>4.3161076979999997</v>
      </c>
      <c r="O224" s="62">
        <f ca="1">IF(Tbla_proyectos[[#This Row],[municipio]]="","",VLOOKUP(Tbla_proyectos[[#This Row],[municipio]],INDIRECT(Tbla_proyectos[[#This Row],[departamento]]),2,0))</f>
        <v>4.3161076979999997</v>
      </c>
      <c r="P224" t="s">
        <v>11696</v>
      </c>
    </row>
    <row r="225" spans="1:16">
      <c r="A225" t="s">
        <v>11627</v>
      </c>
      <c r="B225" s="62" t="str">
        <f>LEFT(Tbla_proyectos[[#This Row],[codigo_proyecto]],4)</f>
        <v>2610</v>
      </c>
      <c r="C225" s="4" t="s">
        <v>11815</v>
      </c>
      <c r="D225" s="15" t="s">
        <v>11684</v>
      </c>
      <c r="E225" s="4" t="s">
        <v>11705</v>
      </c>
      <c r="F225" s="4" t="s">
        <v>11693</v>
      </c>
      <c r="G225" s="62" t="s">
        <v>11694</v>
      </c>
      <c r="H225" t="s">
        <v>11757</v>
      </c>
      <c r="I225" s="2"/>
      <c r="K225" s="60" t="str">
        <f>IF(OR(Tbla_proyectos[[#This Row],[fecha_inicio]]="",Tbla_proyectos[[#This Row],[fecha_fin]]=""),"",DATEDIF(Tbla_proyectos[[#This Row],[fecha_inicio]],Tbla_proyectos[[#This Row],[fecha_fin]],"M"))</f>
        <v/>
      </c>
      <c r="L225" s="60" t="s">
        <v>11689</v>
      </c>
      <c r="M225" s="62" t="s">
        <v>11690</v>
      </c>
      <c r="N225" s="62">
        <f ca="1">IF(Tbla_proyectos[[#This Row],[municipio]]="","",VLOOKUP(Tbla_proyectos[[#This Row],[municipio]],INDIRECT(Tbla_proyectos[[#This Row],[departamento]]),2,0))</f>
        <v>4.3161076979999997</v>
      </c>
      <c r="O225" s="62">
        <f ca="1">IF(Tbla_proyectos[[#This Row],[municipio]]="","",VLOOKUP(Tbla_proyectos[[#This Row],[municipio]],INDIRECT(Tbla_proyectos[[#This Row],[departamento]]),2,0))</f>
        <v>4.3161076979999997</v>
      </c>
      <c r="P225" t="s">
        <v>11703</v>
      </c>
    </row>
    <row r="226" spans="1:16">
      <c r="A226" t="s">
        <v>10921</v>
      </c>
      <c r="B226" s="62" t="str">
        <f>LEFT(Tbla_proyectos[[#This Row],[codigo_proyecto]],4)</f>
        <v>2610</v>
      </c>
      <c r="C226" s="4" t="s">
        <v>11818</v>
      </c>
      <c r="D226" s="15" t="s">
        <v>11684</v>
      </c>
      <c r="E226" s="4" t="s">
        <v>11988</v>
      </c>
      <c r="F226" s="4" t="s">
        <v>11709</v>
      </c>
      <c r="G226" s="62" t="s">
        <v>11687</v>
      </c>
      <c r="H226" t="s">
        <v>11972</v>
      </c>
      <c r="I226" s="2"/>
      <c r="K226" s="60" t="str">
        <f>IF(OR(Tbla_proyectos[[#This Row],[fecha_inicio]]="",Tbla_proyectos[[#This Row],[fecha_fin]]=""),"",DATEDIF(Tbla_proyectos[[#This Row],[fecha_inicio]],Tbla_proyectos[[#This Row],[fecha_fin]],"M"))</f>
        <v/>
      </c>
      <c r="L226" s="60" t="s">
        <v>11689</v>
      </c>
      <c r="M226" s="62" t="s">
        <v>11690</v>
      </c>
      <c r="N226" s="62">
        <f ca="1">IF(Tbla_proyectos[[#This Row],[municipio]]="","",VLOOKUP(Tbla_proyectos[[#This Row],[municipio]],INDIRECT(Tbla_proyectos[[#This Row],[departamento]]),2,0))</f>
        <v>4.3161076979999997</v>
      </c>
      <c r="O226" s="62">
        <f ca="1">IF(Tbla_proyectos[[#This Row],[municipio]]="","",VLOOKUP(Tbla_proyectos[[#This Row],[municipio]],INDIRECT(Tbla_proyectos[[#This Row],[departamento]]),2,0))</f>
        <v>4.3161076979999997</v>
      </c>
      <c r="P226" t="s">
        <v>11703</v>
      </c>
    </row>
    <row r="227" spans="1:16">
      <c r="A227" t="s">
        <v>11408</v>
      </c>
      <c r="B227" s="62" t="str">
        <f>LEFT(Tbla_proyectos[[#This Row],[codigo_proyecto]],4)</f>
        <v>2610</v>
      </c>
      <c r="C227" s="4" t="s">
        <v>11825</v>
      </c>
      <c r="D227" s="15" t="s">
        <v>11684</v>
      </c>
      <c r="E227" s="4" t="s">
        <v>11782</v>
      </c>
      <c r="F227" s="4" t="s">
        <v>11749</v>
      </c>
      <c r="G227" s="62" t="s">
        <v>11687</v>
      </c>
      <c r="H227" t="s">
        <v>11744</v>
      </c>
      <c r="I227" s="2"/>
      <c r="K227" s="60" t="str">
        <f>IF(OR(Tbla_proyectos[[#This Row],[fecha_inicio]]="",Tbla_proyectos[[#This Row],[fecha_fin]]=""),"",DATEDIF(Tbla_proyectos[[#This Row],[fecha_inicio]],Tbla_proyectos[[#This Row],[fecha_fin]],"M"))</f>
        <v/>
      </c>
      <c r="L227" s="60" t="s">
        <v>11714</v>
      </c>
      <c r="M227" s="62" t="s">
        <v>11989</v>
      </c>
      <c r="N227" s="62">
        <f ca="1">IF(Tbla_proyectos[[#This Row],[municipio]]="","",VLOOKUP(Tbla_proyectos[[#This Row],[municipio]],INDIRECT(Tbla_proyectos[[#This Row],[departamento]]),2,0))</f>
        <v>4.9304027789999996</v>
      </c>
      <c r="O227" s="62">
        <f ca="1">IF(Tbla_proyectos[[#This Row],[municipio]]="","",VLOOKUP(Tbla_proyectos[[#This Row],[municipio]],INDIRECT(Tbla_proyectos[[#This Row],[departamento]]),2,0))</f>
        <v>4.9304027789999996</v>
      </c>
      <c r="P227" t="s">
        <v>11703</v>
      </c>
    </row>
    <row r="228" spans="1:16">
      <c r="A228" t="s">
        <v>10959</v>
      </c>
      <c r="B228" s="62" t="str">
        <f>LEFT(Tbla_proyectos[[#This Row],[codigo_proyecto]],4)</f>
        <v>2610</v>
      </c>
      <c r="C228" s="4" t="s">
        <v>11990</v>
      </c>
      <c r="D228" s="15" t="s">
        <v>11684</v>
      </c>
      <c r="E228" s="4" t="s">
        <v>11991</v>
      </c>
      <c r="F228" s="4" t="s">
        <v>11938</v>
      </c>
      <c r="G228" s="62" t="s">
        <v>11687</v>
      </c>
      <c r="H228" t="s">
        <v>11695</v>
      </c>
      <c r="I228" s="2"/>
      <c r="K228" s="60" t="str">
        <f>IF(OR(Tbla_proyectos[[#This Row],[fecha_inicio]]="",Tbla_proyectos[[#This Row],[fecha_fin]]=""),"",DATEDIF(Tbla_proyectos[[#This Row],[fecha_inicio]],Tbla_proyectos[[#This Row],[fecha_fin]],"M"))</f>
        <v/>
      </c>
      <c r="L228" s="60" t="s">
        <v>11689</v>
      </c>
      <c r="M228" s="62" t="s">
        <v>11690</v>
      </c>
      <c r="N228" s="62">
        <f ca="1">IF(Tbla_proyectos[[#This Row],[municipio]]="","",VLOOKUP(Tbla_proyectos[[#This Row],[municipio]],INDIRECT(Tbla_proyectos[[#This Row],[departamento]]),2,0))</f>
        <v>4.3161076979999997</v>
      </c>
      <c r="O228" s="62">
        <f ca="1">IF(Tbla_proyectos[[#This Row],[municipio]]="","",VLOOKUP(Tbla_proyectos[[#This Row],[municipio]],INDIRECT(Tbla_proyectos[[#This Row],[departamento]]),2,0))</f>
        <v>4.3161076979999997</v>
      </c>
      <c r="P228" t="s">
        <v>11696</v>
      </c>
    </row>
    <row r="229" spans="1:16">
      <c r="A229" t="s">
        <v>10983</v>
      </c>
      <c r="B229" s="62" t="str">
        <f>LEFT(Tbla_proyectos[[#This Row],[codigo_proyecto]],4)</f>
        <v>2610</v>
      </c>
      <c r="C229" s="4" t="s">
        <v>11992</v>
      </c>
      <c r="D229" s="15" t="s">
        <v>11684</v>
      </c>
      <c r="E229" s="4" t="s">
        <v>11993</v>
      </c>
      <c r="F229" s="4" t="s">
        <v>11789</v>
      </c>
      <c r="G229" s="62" t="s">
        <v>11687</v>
      </c>
      <c r="H229" t="s">
        <v>11695</v>
      </c>
      <c r="I229" s="2"/>
      <c r="K229" s="60" t="str">
        <f>IF(OR(Tbla_proyectos[[#This Row],[fecha_inicio]]="",Tbla_proyectos[[#This Row],[fecha_fin]]=""),"",DATEDIF(Tbla_proyectos[[#This Row],[fecha_inicio]],Tbla_proyectos[[#This Row],[fecha_fin]],"M"))</f>
        <v/>
      </c>
      <c r="L229" s="60" t="s">
        <v>11689</v>
      </c>
      <c r="M229" s="62" t="s">
        <v>11690</v>
      </c>
      <c r="N229" s="62">
        <f ca="1">IF(Tbla_proyectos[[#This Row],[municipio]]="","",VLOOKUP(Tbla_proyectos[[#This Row],[municipio]],INDIRECT(Tbla_proyectos[[#This Row],[departamento]]),2,0))</f>
        <v>4.3161076979999997</v>
      </c>
      <c r="O229" s="62">
        <f ca="1">IF(Tbla_proyectos[[#This Row],[municipio]]="","",VLOOKUP(Tbla_proyectos[[#This Row],[municipio]],INDIRECT(Tbla_proyectos[[#This Row],[departamento]]),2,0))</f>
        <v>4.3161076979999997</v>
      </c>
      <c r="P229" t="s">
        <v>11703</v>
      </c>
    </row>
    <row r="230" spans="1:16">
      <c r="A230" t="s">
        <v>11248</v>
      </c>
      <c r="B230" s="62" t="str">
        <f>LEFT(Tbla_proyectos[[#This Row],[codigo_proyecto]],4)</f>
        <v>2610</v>
      </c>
      <c r="C230" s="4" t="s">
        <v>11828</v>
      </c>
      <c r="D230" s="15" t="s">
        <v>11684</v>
      </c>
      <c r="E230" s="4" t="s">
        <v>11829</v>
      </c>
      <c r="F230" s="4" t="s">
        <v>11686</v>
      </c>
      <c r="G230" s="62" t="s">
        <v>11687</v>
      </c>
      <c r="H230" t="s">
        <v>11722</v>
      </c>
      <c r="I230" s="2"/>
      <c r="K230" s="60" t="str">
        <f>IF(OR(Tbla_proyectos[[#This Row],[fecha_inicio]]="",Tbla_proyectos[[#This Row],[fecha_fin]]=""),"",DATEDIF(Tbla_proyectos[[#This Row],[fecha_inicio]],Tbla_proyectos[[#This Row],[fecha_fin]],"M"))</f>
        <v/>
      </c>
      <c r="L230" s="60" t="s">
        <v>11689</v>
      </c>
      <c r="M230" s="62" t="s">
        <v>11690</v>
      </c>
      <c r="N230" s="62">
        <f ca="1">IF(Tbla_proyectos[[#This Row],[municipio]]="","",VLOOKUP(Tbla_proyectos[[#This Row],[municipio]],INDIRECT(Tbla_proyectos[[#This Row],[departamento]]),2,0))</f>
        <v>4.3161076979999997</v>
      </c>
      <c r="O230" s="62">
        <f ca="1">IF(Tbla_proyectos[[#This Row],[municipio]]="","",VLOOKUP(Tbla_proyectos[[#This Row],[municipio]],INDIRECT(Tbla_proyectos[[#This Row],[departamento]]),2,0))</f>
        <v>4.3161076979999997</v>
      </c>
      <c r="P230" t="s">
        <v>11703</v>
      </c>
    </row>
    <row r="231" spans="1:16">
      <c r="A231" t="s">
        <v>10832</v>
      </c>
      <c r="B231" s="62" t="str">
        <f>LEFT(Tbla_proyectos[[#This Row],[codigo_proyecto]],4)</f>
        <v>2610</v>
      </c>
      <c r="C231" s="4" t="s">
        <v>11994</v>
      </c>
      <c r="D231" s="15" t="s">
        <v>11684</v>
      </c>
      <c r="E231" s="4" t="s">
        <v>11995</v>
      </c>
      <c r="F231" s="4" t="s">
        <v>11702</v>
      </c>
      <c r="G231" s="62" t="s">
        <v>11726</v>
      </c>
      <c r="H231" t="s">
        <v>11727</v>
      </c>
      <c r="I231" s="2"/>
      <c r="K231" s="60" t="str">
        <f>IF(OR(Tbla_proyectos[[#This Row],[fecha_inicio]]="",Tbla_proyectos[[#This Row],[fecha_fin]]=""),"",DATEDIF(Tbla_proyectos[[#This Row],[fecha_inicio]],Tbla_proyectos[[#This Row],[fecha_fin]],"M"))</f>
        <v/>
      </c>
      <c r="L231" s="60" t="s">
        <v>11689</v>
      </c>
      <c r="M231" s="62" t="s">
        <v>11690</v>
      </c>
      <c r="N231" s="62">
        <f ca="1">IF(Tbla_proyectos[[#This Row],[municipio]]="","",VLOOKUP(Tbla_proyectos[[#This Row],[municipio]],INDIRECT(Tbla_proyectos[[#This Row],[departamento]]),2,0))</f>
        <v>4.3161076979999997</v>
      </c>
      <c r="O231" s="62">
        <f ca="1">IF(Tbla_proyectos[[#This Row],[municipio]]="","",VLOOKUP(Tbla_proyectos[[#This Row],[municipio]],INDIRECT(Tbla_proyectos[[#This Row],[departamento]]),2,0))</f>
        <v>4.3161076979999997</v>
      </c>
      <c r="P231" t="s">
        <v>11696</v>
      </c>
    </row>
    <row r="232" spans="1:16">
      <c r="A232" t="s">
        <v>11269</v>
      </c>
      <c r="B232" s="62" t="str">
        <f>LEFT(Tbla_proyectos[[#This Row],[codigo_proyecto]],4)</f>
        <v>2610</v>
      </c>
      <c r="C232" s="4" t="s">
        <v>11843</v>
      </c>
      <c r="D232" s="15" t="s">
        <v>11684</v>
      </c>
      <c r="E232" s="4" t="s">
        <v>11844</v>
      </c>
      <c r="F232" s="4" t="s">
        <v>11910</v>
      </c>
      <c r="G232" s="62" t="s">
        <v>11694</v>
      </c>
      <c r="H232" t="s">
        <v>11722</v>
      </c>
      <c r="I232" s="2"/>
      <c r="K232" s="60" t="str">
        <f>IF(OR(Tbla_proyectos[[#This Row],[fecha_inicio]]="",Tbla_proyectos[[#This Row],[fecha_fin]]=""),"",DATEDIF(Tbla_proyectos[[#This Row],[fecha_inicio]],Tbla_proyectos[[#This Row],[fecha_fin]],"M"))</f>
        <v/>
      </c>
      <c r="L232" s="60" t="s">
        <v>11689</v>
      </c>
      <c r="M232" s="62" t="s">
        <v>11690</v>
      </c>
      <c r="N232" s="62">
        <f ca="1">IF(Tbla_proyectos[[#This Row],[municipio]]="","",VLOOKUP(Tbla_proyectos[[#This Row],[municipio]],INDIRECT(Tbla_proyectos[[#This Row],[departamento]]),2,0))</f>
        <v>4.3161076979999997</v>
      </c>
      <c r="O232" s="62">
        <f ca="1">IF(Tbla_proyectos[[#This Row],[municipio]]="","",VLOOKUP(Tbla_proyectos[[#This Row],[municipio]],INDIRECT(Tbla_proyectos[[#This Row],[departamento]]),2,0))</f>
        <v>4.3161076979999997</v>
      </c>
      <c r="P232" t="s">
        <v>11703</v>
      </c>
    </row>
    <row r="233" spans="1:16">
      <c r="A233" t="s">
        <v>11228</v>
      </c>
      <c r="B233" s="62" t="str">
        <f>LEFT(Tbla_proyectos[[#This Row],[codigo_proyecto]],4)</f>
        <v>2610</v>
      </c>
      <c r="C233" s="4" t="s">
        <v>11846</v>
      </c>
      <c r="D233" s="15" t="s">
        <v>11684</v>
      </c>
      <c r="E233" s="4" t="s">
        <v>11847</v>
      </c>
      <c r="F233" s="4" t="s">
        <v>11736</v>
      </c>
      <c r="G233" s="62" t="s">
        <v>11726</v>
      </c>
      <c r="H233" t="s">
        <v>11722</v>
      </c>
      <c r="I233" s="2"/>
      <c r="K233" s="60" t="str">
        <f>IF(OR(Tbla_proyectos[[#This Row],[fecha_inicio]]="",Tbla_proyectos[[#This Row],[fecha_fin]]=""),"",DATEDIF(Tbla_proyectos[[#This Row],[fecha_inicio]],Tbla_proyectos[[#This Row],[fecha_fin]],"M"))</f>
        <v/>
      </c>
      <c r="L233" s="60" t="s">
        <v>11689</v>
      </c>
      <c r="M233" s="62" t="s">
        <v>11690</v>
      </c>
      <c r="N233" s="62">
        <f ca="1">IF(Tbla_proyectos[[#This Row],[municipio]]="","",VLOOKUP(Tbla_proyectos[[#This Row],[municipio]],INDIRECT(Tbla_proyectos[[#This Row],[departamento]]),2,0))</f>
        <v>4.3161076979999997</v>
      </c>
      <c r="O233" s="62">
        <f ca="1">IF(Tbla_proyectos[[#This Row],[municipio]]="","",VLOOKUP(Tbla_proyectos[[#This Row],[municipio]],INDIRECT(Tbla_proyectos[[#This Row],[departamento]]),2,0))</f>
        <v>4.3161076979999997</v>
      </c>
      <c r="P233" t="s">
        <v>11703</v>
      </c>
    </row>
    <row r="234" spans="1:16">
      <c r="A234" t="s">
        <v>11261</v>
      </c>
      <c r="B234" s="62" t="str">
        <f>LEFT(Tbla_proyectos[[#This Row],[codigo_proyecto]],4)</f>
        <v>2610</v>
      </c>
      <c r="C234" s="4" t="s">
        <v>11849</v>
      </c>
      <c r="D234" s="15" t="s">
        <v>11684</v>
      </c>
      <c r="E234" s="4" t="s">
        <v>11850</v>
      </c>
      <c r="F234" s="4" t="s">
        <v>11996</v>
      </c>
      <c r="G234" s="62" t="s">
        <v>11687</v>
      </c>
      <c r="H234" t="s">
        <v>11722</v>
      </c>
      <c r="I234" s="2"/>
      <c r="K234" s="60" t="str">
        <f>IF(OR(Tbla_proyectos[[#This Row],[fecha_inicio]]="",Tbla_proyectos[[#This Row],[fecha_fin]]=""),"",DATEDIF(Tbla_proyectos[[#This Row],[fecha_inicio]],Tbla_proyectos[[#This Row],[fecha_fin]],"M"))</f>
        <v/>
      </c>
      <c r="L234" s="60" t="s">
        <v>11689</v>
      </c>
      <c r="M234" s="62" t="s">
        <v>11690</v>
      </c>
      <c r="N234" s="62">
        <f ca="1">IF(Tbla_proyectos[[#This Row],[municipio]]="","",VLOOKUP(Tbla_proyectos[[#This Row],[municipio]],INDIRECT(Tbla_proyectos[[#This Row],[departamento]]),2,0))</f>
        <v>4.3161076979999997</v>
      </c>
      <c r="O234" s="62">
        <f ca="1">IF(Tbla_proyectos[[#This Row],[municipio]]="","",VLOOKUP(Tbla_proyectos[[#This Row],[municipio]],INDIRECT(Tbla_proyectos[[#This Row],[departamento]]),2,0))</f>
        <v>4.3161076979999997</v>
      </c>
      <c r="P234" t="s">
        <v>11703</v>
      </c>
    </row>
    <row r="235" spans="1:16">
      <c r="A235" t="s">
        <v>11310</v>
      </c>
      <c r="B235" s="62" t="str">
        <f>LEFT(Tbla_proyectos[[#This Row],[codigo_proyecto]],4)</f>
        <v>2610</v>
      </c>
      <c r="C235" s="4" t="s">
        <v>11852</v>
      </c>
      <c r="D235" s="15" t="s">
        <v>11684</v>
      </c>
      <c r="E235" s="4" t="s">
        <v>11853</v>
      </c>
      <c r="F235" s="4" t="s">
        <v>11851</v>
      </c>
      <c r="G235" s="62" t="s">
        <v>11694</v>
      </c>
      <c r="H235" t="s">
        <v>11722</v>
      </c>
      <c r="I235" s="2"/>
      <c r="K235" s="60" t="str">
        <f>IF(OR(Tbla_proyectos[[#This Row],[fecha_inicio]]="",Tbla_proyectos[[#This Row],[fecha_fin]]=""),"",DATEDIF(Tbla_proyectos[[#This Row],[fecha_inicio]],Tbla_proyectos[[#This Row],[fecha_fin]],"M"))</f>
        <v/>
      </c>
      <c r="L235" s="60" t="s">
        <v>11689</v>
      </c>
      <c r="M235" s="62" t="s">
        <v>11690</v>
      </c>
      <c r="N235" s="62">
        <f ca="1">IF(Tbla_proyectos[[#This Row],[municipio]]="","",VLOOKUP(Tbla_proyectos[[#This Row],[municipio]],INDIRECT(Tbla_proyectos[[#This Row],[departamento]]),2,0))</f>
        <v>4.3161076979999997</v>
      </c>
      <c r="O235" s="62">
        <f ca="1">IF(Tbla_proyectos[[#This Row],[municipio]]="","",VLOOKUP(Tbla_proyectos[[#This Row],[municipio]],INDIRECT(Tbla_proyectos[[#This Row],[departamento]]),2,0))</f>
        <v>4.3161076979999997</v>
      </c>
      <c r="P235" t="s">
        <v>11703</v>
      </c>
    </row>
    <row r="236" spans="1:16">
      <c r="A236" t="s">
        <v>11638</v>
      </c>
      <c r="B236" s="62" t="str">
        <f>LEFT(Tbla_proyectos[[#This Row],[codigo_proyecto]],4)</f>
        <v>2610</v>
      </c>
      <c r="C236" s="4" t="s">
        <v>11815</v>
      </c>
      <c r="D236" s="15" t="s">
        <v>11684</v>
      </c>
      <c r="E236" s="4" t="s">
        <v>11705</v>
      </c>
      <c r="F236" s="4" t="s">
        <v>11693</v>
      </c>
      <c r="G236" s="62" t="s">
        <v>11694</v>
      </c>
      <c r="H236" t="s">
        <v>11757</v>
      </c>
      <c r="I236" s="2"/>
      <c r="K236" s="60" t="str">
        <f>IF(OR(Tbla_proyectos[[#This Row],[fecha_inicio]]="",Tbla_proyectos[[#This Row],[fecha_fin]]=""),"",DATEDIF(Tbla_proyectos[[#This Row],[fecha_inicio]],Tbla_proyectos[[#This Row],[fecha_fin]],"M"))</f>
        <v/>
      </c>
      <c r="L236" s="60" t="s">
        <v>11689</v>
      </c>
      <c r="M236" s="62" t="s">
        <v>11690</v>
      </c>
      <c r="N236" s="62">
        <f ca="1">IF(Tbla_proyectos[[#This Row],[municipio]]="","",VLOOKUP(Tbla_proyectos[[#This Row],[municipio]],INDIRECT(Tbla_proyectos[[#This Row],[departamento]]),2,0))</f>
        <v>4.3161076979999997</v>
      </c>
      <c r="O236" s="62">
        <f ca="1">IF(Tbla_proyectos[[#This Row],[municipio]]="","",VLOOKUP(Tbla_proyectos[[#This Row],[municipio]],INDIRECT(Tbla_proyectos[[#This Row],[departamento]]),2,0))</f>
        <v>4.3161076979999997</v>
      </c>
      <c r="P236" t="s">
        <v>11703</v>
      </c>
    </row>
    <row r="237" spans="1:16">
      <c r="A237" t="s">
        <v>10875</v>
      </c>
      <c r="B237" s="62" t="str">
        <f>LEFT(Tbla_proyectos[[#This Row],[codigo_proyecto]],4)</f>
        <v>2610</v>
      </c>
      <c r="C237" s="4" t="s">
        <v>11997</v>
      </c>
      <c r="D237" s="15" t="s">
        <v>11684</v>
      </c>
      <c r="E237" s="4" t="s">
        <v>11998</v>
      </c>
      <c r="F237" s="4" t="s">
        <v>11999</v>
      </c>
      <c r="G237" s="62" t="s">
        <v>11687</v>
      </c>
      <c r="H237" t="s">
        <v>11727</v>
      </c>
      <c r="I237" s="2"/>
      <c r="K237" s="60" t="str">
        <f>IF(OR(Tbla_proyectos[[#This Row],[fecha_inicio]]="",Tbla_proyectos[[#This Row],[fecha_fin]]=""),"",DATEDIF(Tbla_proyectos[[#This Row],[fecha_inicio]],Tbla_proyectos[[#This Row],[fecha_fin]],"M"))</f>
        <v/>
      </c>
      <c r="L237" s="60" t="s">
        <v>11689</v>
      </c>
      <c r="M237" s="62" t="s">
        <v>11690</v>
      </c>
      <c r="N237" s="62">
        <f ca="1">IF(Tbla_proyectos[[#This Row],[municipio]]="","",VLOOKUP(Tbla_proyectos[[#This Row],[municipio]],INDIRECT(Tbla_proyectos[[#This Row],[departamento]]),2,0))</f>
        <v>4.3161076979999997</v>
      </c>
      <c r="O237" s="62">
        <f ca="1">IF(Tbla_proyectos[[#This Row],[municipio]]="","",VLOOKUP(Tbla_proyectos[[#This Row],[municipio]],INDIRECT(Tbla_proyectos[[#This Row],[departamento]]),2,0))</f>
        <v>4.3161076979999997</v>
      </c>
      <c r="P237" t="s">
        <v>11703</v>
      </c>
    </row>
    <row r="238" spans="1:16">
      <c r="A238" t="s">
        <v>10846</v>
      </c>
      <c r="B238" s="62" t="str">
        <f>LEFT(Tbla_proyectos[[#This Row],[codigo_proyecto]],4)</f>
        <v>2610</v>
      </c>
      <c r="C238" s="4" t="s">
        <v>12000</v>
      </c>
      <c r="D238" s="15" t="s">
        <v>11684</v>
      </c>
      <c r="E238" s="4" t="s">
        <v>12001</v>
      </c>
      <c r="F238" s="4" t="s">
        <v>11938</v>
      </c>
      <c r="G238" s="62" t="s">
        <v>11687</v>
      </c>
      <c r="H238" t="s">
        <v>11727</v>
      </c>
      <c r="I238" s="2"/>
      <c r="K238" s="60" t="str">
        <f>IF(OR(Tbla_proyectos[[#This Row],[fecha_inicio]]="",Tbla_proyectos[[#This Row],[fecha_fin]]=""),"",DATEDIF(Tbla_proyectos[[#This Row],[fecha_inicio]],Tbla_proyectos[[#This Row],[fecha_fin]],"M"))</f>
        <v/>
      </c>
      <c r="L238" s="60" t="s">
        <v>11689</v>
      </c>
      <c r="M238" s="62" t="s">
        <v>11690</v>
      </c>
      <c r="N238" s="62">
        <f ca="1">IF(Tbla_proyectos[[#This Row],[municipio]]="","",VLOOKUP(Tbla_proyectos[[#This Row],[municipio]],INDIRECT(Tbla_proyectos[[#This Row],[departamento]]),2,0))</f>
        <v>4.3161076979999997</v>
      </c>
      <c r="O238" s="62">
        <f ca="1">IF(Tbla_proyectos[[#This Row],[municipio]]="","",VLOOKUP(Tbla_proyectos[[#This Row],[municipio]],INDIRECT(Tbla_proyectos[[#This Row],[departamento]]),2,0))</f>
        <v>4.3161076979999997</v>
      </c>
      <c r="P238" t="s">
        <v>11703</v>
      </c>
    </row>
    <row r="239" spans="1:16">
      <c r="A239" t="s">
        <v>10839</v>
      </c>
      <c r="B239" s="62" t="str">
        <f>LEFT(Tbla_proyectos[[#This Row],[codigo_proyecto]],4)</f>
        <v>2610</v>
      </c>
      <c r="C239" s="4" t="s">
        <v>12002</v>
      </c>
      <c r="D239" s="15" t="s">
        <v>11684</v>
      </c>
      <c r="E239" s="4" t="s">
        <v>12003</v>
      </c>
      <c r="F239" s="4" t="s">
        <v>11999</v>
      </c>
      <c r="G239" s="62" t="s">
        <v>11687</v>
      </c>
      <c r="H239" t="s">
        <v>11727</v>
      </c>
      <c r="I239" s="2"/>
      <c r="K239" s="60" t="str">
        <f>IF(OR(Tbla_proyectos[[#This Row],[fecha_inicio]]="",Tbla_proyectos[[#This Row],[fecha_fin]]=""),"",DATEDIF(Tbla_proyectos[[#This Row],[fecha_inicio]],Tbla_proyectos[[#This Row],[fecha_fin]],"M"))</f>
        <v/>
      </c>
      <c r="L239" s="60" t="s">
        <v>11689</v>
      </c>
      <c r="M239" s="62" t="s">
        <v>11690</v>
      </c>
      <c r="N239" s="62">
        <f ca="1">IF(Tbla_proyectos[[#This Row],[municipio]]="","",VLOOKUP(Tbla_proyectos[[#This Row],[municipio]],INDIRECT(Tbla_proyectos[[#This Row],[departamento]]),2,0))</f>
        <v>4.3161076979999997</v>
      </c>
      <c r="O239" s="62">
        <f ca="1">IF(Tbla_proyectos[[#This Row],[municipio]]="","",VLOOKUP(Tbla_proyectos[[#This Row],[municipio]],INDIRECT(Tbla_proyectos[[#This Row],[departamento]]),2,0))</f>
        <v>4.3161076979999997</v>
      </c>
      <c r="P239" t="s">
        <v>11703</v>
      </c>
    </row>
    <row r="240" spans="1:16">
      <c r="A240" t="s">
        <v>10820</v>
      </c>
      <c r="B240" s="62" t="str">
        <f>LEFT(Tbla_proyectos[[#This Row],[codigo_proyecto]],4)</f>
        <v>2610</v>
      </c>
      <c r="C240" s="4" t="s">
        <v>12004</v>
      </c>
      <c r="D240" s="15" t="s">
        <v>11684</v>
      </c>
      <c r="E240" s="4" t="s">
        <v>12005</v>
      </c>
      <c r="F240" s="4" t="s">
        <v>11999</v>
      </c>
      <c r="G240" s="62" t="s">
        <v>11687</v>
      </c>
      <c r="H240" t="s">
        <v>11727</v>
      </c>
      <c r="I240" s="2"/>
      <c r="K240" s="60" t="str">
        <f>IF(OR(Tbla_proyectos[[#This Row],[fecha_inicio]]="",Tbla_proyectos[[#This Row],[fecha_fin]]=""),"",DATEDIF(Tbla_proyectos[[#This Row],[fecha_inicio]],Tbla_proyectos[[#This Row],[fecha_fin]],"M"))</f>
        <v/>
      </c>
      <c r="L240" s="60" t="s">
        <v>11689</v>
      </c>
      <c r="M240" s="62" t="s">
        <v>11690</v>
      </c>
      <c r="N240" s="62">
        <f ca="1">IF(Tbla_proyectos[[#This Row],[municipio]]="","",VLOOKUP(Tbla_proyectos[[#This Row],[municipio]],INDIRECT(Tbla_proyectos[[#This Row],[departamento]]),2,0))</f>
        <v>4.3161076979999997</v>
      </c>
      <c r="O240" s="62">
        <f ca="1">IF(Tbla_proyectos[[#This Row],[municipio]]="","",VLOOKUP(Tbla_proyectos[[#This Row],[municipio]],INDIRECT(Tbla_proyectos[[#This Row],[departamento]]),2,0))</f>
        <v>4.3161076979999997</v>
      </c>
      <c r="P240" t="s">
        <v>11696</v>
      </c>
    </row>
    <row r="241" spans="1:16">
      <c r="A241" t="s">
        <v>11427</v>
      </c>
      <c r="B241" s="62" t="str">
        <f>LEFT(Tbla_proyectos[[#This Row],[codigo_proyecto]],4)</f>
        <v>2610</v>
      </c>
      <c r="C241" s="4" t="s">
        <v>11915</v>
      </c>
      <c r="D241" s="15" t="s">
        <v>11684</v>
      </c>
      <c r="E241" s="4" t="s">
        <v>11918</v>
      </c>
      <c r="F241" s="4" t="s">
        <v>11996</v>
      </c>
      <c r="G241" s="62" t="s">
        <v>11726</v>
      </c>
      <c r="H241" t="s">
        <v>11744</v>
      </c>
      <c r="I241" s="2"/>
      <c r="K241" s="60" t="str">
        <f>IF(OR(Tbla_proyectos[[#This Row],[fecha_inicio]]="",Tbla_proyectos[[#This Row],[fecha_fin]]=""),"",DATEDIF(Tbla_proyectos[[#This Row],[fecha_inicio]],Tbla_proyectos[[#This Row],[fecha_fin]],"M"))</f>
        <v/>
      </c>
      <c r="L241" s="60" t="s">
        <v>11689</v>
      </c>
      <c r="M241" s="62" t="s">
        <v>11690</v>
      </c>
      <c r="N241" s="62">
        <f ca="1">IF(Tbla_proyectos[[#This Row],[municipio]]="","",VLOOKUP(Tbla_proyectos[[#This Row],[municipio]],INDIRECT(Tbla_proyectos[[#This Row],[departamento]]),2,0))</f>
        <v>4.3161076979999997</v>
      </c>
      <c r="O241" s="62">
        <f ca="1">IF(Tbla_proyectos[[#This Row],[municipio]]="","",VLOOKUP(Tbla_proyectos[[#This Row],[municipio]],INDIRECT(Tbla_proyectos[[#This Row],[departamento]]),2,0))</f>
        <v>4.3161076979999997</v>
      </c>
      <c r="P241" t="s">
        <v>11696</v>
      </c>
    </row>
    <row r="242" spans="1:16">
      <c r="A242" t="s">
        <v>11404</v>
      </c>
      <c r="B242" s="62" t="str">
        <f>LEFT(Tbla_proyectos[[#This Row],[codigo_proyecto]],4)</f>
        <v>2610</v>
      </c>
      <c r="C242" s="4" t="s">
        <v>11919</v>
      </c>
      <c r="D242" s="15" t="s">
        <v>11684</v>
      </c>
      <c r="E242" s="4" t="s">
        <v>12006</v>
      </c>
      <c r="F242" s="4" t="s">
        <v>12007</v>
      </c>
      <c r="G242" s="62" t="s">
        <v>11694</v>
      </c>
      <c r="H242" t="s">
        <v>11744</v>
      </c>
      <c r="I242" s="2"/>
      <c r="K242" s="60" t="str">
        <f>IF(OR(Tbla_proyectos[[#This Row],[fecha_inicio]]="",Tbla_proyectos[[#This Row],[fecha_fin]]=""),"",DATEDIF(Tbla_proyectos[[#This Row],[fecha_inicio]],Tbla_proyectos[[#This Row],[fecha_fin]],"M"))</f>
        <v/>
      </c>
      <c r="L242" s="60" t="s">
        <v>11689</v>
      </c>
      <c r="M242" s="62" t="s">
        <v>11690</v>
      </c>
      <c r="N242" s="62">
        <f ca="1">IF(Tbla_proyectos[[#This Row],[municipio]]="","",VLOOKUP(Tbla_proyectos[[#This Row],[municipio]],INDIRECT(Tbla_proyectos[[#This Row],[departamento]]),2,0))</f>
        <v>4.3161076979999997</v>
      </c>
      <c r="O242" s="62">
        <f ca="1">IF(Tbla_proyectos[[#This Row],[municipio]]="","",VLOOKUP(Tbla_proyectos[[#This Row],[municipio]],INDIRECT(Tbla_proyectos[[#This Row],[departamento]]),2,0))</f>
        <v>4.3161076979999997</v>
      </c>
      <c r="P242" t="s">
        <v>11703</v>
      </c>
    </row>
    <row r="243" spans="1:16">
      <c r="A243" t="s">
        <v>11389</v>
      </c>
      <c r="B243" s="62" t="str">
        <f>LEFT(Tbla_proyectos[[#This Row],[codigo_proyecto]],4)</f>
        <v>2610</v>
      </c>
      <c r="C243" s="4" t="s">
        <v>11922</v>
      </c>
      <c r="D243" s="15" t="s">
        <v>11684</v>
      </c>
      <c r="E243" s="4" t="s">
        <v>11923</v>
      </c>
      <c r="F243" s="4" t="s">
        <v>11958</v>
      </c>
      <c r="H243" t="s">
        <v>11744</v>
      </c>
      <c r="I243" s="2"/>
      <c r="K243" s="60" t="str">
        <f>IF(OR(Tbla_proyectos[[#This Row],[fecha_inicio]]="",Tbla_proyectos[[#This Row],[fecha_fin]]=""),"",DATEDIF(Tbla_proyectos[[#This Row],[fecha_inicio]],Tbla_proyectos[[#This Row],[fecha_fin]],"M"))</f>
        <v/>
      </c>
      <c r="L243" s="60" t="s">
        <v>11689</v>
      </c>
      <c r="M243" s="62" t="s">
        <v>11690</v>
      </c>
      <c r="N243" s="62">
        <f ca="1">IF(Tbla_proyectos[[#This Row],[municipio]]="","",VLOOKUP(Tbla_proyectos[[#This Row],[municipio]],INDIRECT(Tbla_proyectos[[#This Row],[departamento]]),2,0))</f>
        <v>4.3161076979999997</v>
      </c>
      <c r="O243" s="62">
        <f ca="1">IF(Tbla_proyectos[[#This Row],[municipio]]="","",VLOOKUP(Tbla_proyectos[[#This Row],[municipio]],INDIRECT(Tbla_proyectos[[#This Row],[departamento]]),2,0))</f>
        <v>4.3161076979999997</v>
      </c>
      <c r="P243" t="s">
        <v>11696</v>
      </c>
    </row>
    <row r="244" spans="1:16">
      <c r="A244" t="s">
        <v>11400</v>
      </c>
      <c r="B244" s="62" t="str">
        <f>LEFT(Tbla_proyectos[[#This Row],[codigo_proyecto]],4)</f>
        <v>2610</v>
      </c>
      <c r="C244" s="4" t="s">
        <v>12008</v>
      </c>
      <c r="D244" s="15" t="s">
        <v>11684</v>
      </c>
      <c r="E244" s="4" t="s">
        <v>12009</v>
      </c>
      <c r="F244" s="4" t="s">
        <v>11996</v>
      </c>
      <c r="G244" s="62" t="s">
        <v>11694</v>
      </c>
      <c r="H244" t="s">
        <v>11744</v>
      </c>
      <c r="I244" s="2"/>
      <c r="K244" s="60" t="str">
        <f>IF(OR(Tbla_proyectos[[#This Row],[fecha_inicio]]="",Tbla_proyectos[[#This Row],[fecha_fin]]=""),"",DATEDIF(Tbla_proyectos[[#This Row],[fecha_inicio]],Tbla_proyectos[[#This Row],[fecha_fin]],"M"))</f>
        <v/>
      </c>
      <c r="L244" s="60" t="s">
        <v>11689</v>
      </c>
      <c r="M244" s="62" t="s">
        <v>11690</v>
      </c>
      <c r="N244" s="62">
        <f ca="1">IF(Tbla_proyectos[[#This Row],[municipio]]="","",VLOOKUP(Tbla_proyectos[[#This Row],[municipio]],INDIRECT(Tbla_proyectos[[#This Row],[departamento]]),2,0))</f>
        <v>4.3161076979999997</v>
      </c>
      <c r="O244" s="62">
        <f ca="1">IF(Tbla_proyectos[[#This Row],[municipio]]="","",VLOOKUP(Tbla_proyectos[[#This Row],[municipio]],INDIRECT(Tbla_proyectos[[#This Row],[departamento]]),2,0))</f>
        <v>4.3161076979999997</v>
      </c>
      <c r="P244" t="s">
        <v>11696</v>
      </c>
    </row>
    <row r="245" spans="1:16">
      <c r="A245" t="s">
        <v>11333</v>
      </c>
      <c r="B245" s="62" t="str">
        <f>LEFT(Tbla_proyectos[[#This Row],[codigo_proyecto]],4)</f>
        <v>2610</v>
      </c>
      <c r="C245" s="4" t="s">
        <v>11904</v>
      </c>
      <c r="D245" s="15" t="s">
        <v>11684</v>
      </c>
      <c r="E245" s="4" t="s">
        <v>11906</v>
      </c>
      <c r="F245" s="4" t="s">
        <v>12010</v>
      </c>
      <c r="G245" s="62" t="s">
        <v>11719</v>
      </c>
      <c r="H245" t="s">
        <v>11959</v>
      </c>
      <c r="I245" s="2"/>
      <c r="K245" s="60" t="str">
        <f>IF(OR(Tbla_proyectos[[#This Row],[fecha_inicio]]="",Tbla_proyectos[[#This Row],[fecha_fin]]=""),"",DATEDIF(Tbla_proyectos[[#This Row],[fecha_inicio]],Tbla_proyectos[[#This Row],[fecha_fin]],"M"))</f>
        <v/>
      </c>
      <c r="L245" s="60" t="s">
        <v>11689</v>
      </c>
      <c r="M245" s="62" t="s">
        <v>11690</v>
      </c>
      <c r="N245" s="62">
        <f ca="1">IF(Tbla_proyectos[[#This Row],[municipio]]="","",VLOOKUP(Tbla_proyectos[[#This Row],[municipio]],INDIRECT(Tbla_proyectos[[#This Row],[departamento]]),2,0))</f>
        <v>4.3161076979999997</v>
      </c>
      <c r="O245" s="62">
        <f ca="1">IF(Tbla_proyectos[[#This Row],[municipio]]="","",VLOOKUP(Tbla_proyectos[[#This Row],[municipio]],INDIRECT(Tbla_proyectos[[#This Row],[departamento]]),2,0))</f>
        <v>4.3161076979999997</v>
      </c>
      <c r="P245" t="s">
        <v>11703</v>
      </c>
    </row>
    <row r="246" spans="1:16">
      <c r="A246" t="s">
        <v>11559</v>
      </c>
      <c r="B246" s="62" t="str">
        <f>LEFT(Tbla_proyectos[[#This Row],[codigo_proyecto]],4)</f>
        <v>2610</v>
      </c>
      <c r="C246" s="4" t="s">
        <v>12011</v>
      </c>
      <c r="D246" s="15" t="s">
        <v>11684</v>
      </c>
      <c r="E246" s="4" t="s">
        <v>12012</v>
      </c>
      <c r="F246" s="4" t="s">
        <v>11693</v>
      </c>
      <c r="G246" s="62" t="s">
        <v>11687</v>
      </c>
      <c r="H246" t="s">
        <v>11713</v>
      </c>
      <c r="I246" s="2"/>
      <c r="K246" s="60" t="str">
        <f>IF(OR(Tbla_proyectos[[#This Row],[fecha_inicio]]="",Tbla_proyectos[[#This Row],[fecha_fin]]=""),"",DATEDIF(Tbla_proyectos[[#This Row],[fecha_inicio]],Tbla_proyectos[[#This Row],[fecha_fin]],"M"))</f>
        <v/>
      </c>
      <c r="L246" s="60" t="s">
        <v>11689</v>
      </c>
      <c r="M246" s="62" t="s">
        <v>11690</v>
      </c>
      <c r="N246" s="62">
        <f ca="1">IF(Tbla_proyectos[[#This Row],[municipio]]="","",VLOOKUP(Tbla_proyectos[[#This Row],[municipio]],INDIRECT(Tbla_proyectos[[#This Row],[departamento]]),2,0))</f>
        <v>4.3161076979999997</v>
      </c>
      <c r="O246" s="62">
        <f ca="1">IF(Tbla_proyectos[[#This Row],[municipio]]="","",VLOOKUP(Tbla_proyectos[[#This Row],[municipio]],INDIRECT(Tbla_proyectos[[#This Row],[departamento]]),2,0))</f>
        <v>4.3161076979999997</v>
      </c>
      <c r="P246" t="s">
        <v>11696</v>
      </c>
    </row>
    <row r="247" spans="1:16">
      <c r="A247" t="s">
        <v>11543</v>
      </c>
      <c r="B247" s="62" t="str">
        <f>LEFT(Tbla_proyectos[[#This Row],[codigo_proyecto]],4)</f>
        <v>2610</v>
      </c>
      <c r="C247" s="4" t="s">
        <v>12013</v>
      </c>
      <c r="D247" s="15" t="s">
        <v>11684</v>
      </c>
      <c r="E247" s="4" t="s">
        <v>12014</v>
      </c>
      <c r="F247" s="4" t="s">
        <v>11859</v>
      </c>
      <c r="G247" s="62" t="s">
        <v>11687</v>
      </c>
      <c r="H247" t="s">
        <v>11713</v>
      </c>
      <c r="I247" s="2"/>
      <c r="K247" s="60" t="str">
        <f>IF(OR(Tbla_proyectos[[#This Row],[fecha_inicio]]="",Tbla_proyectos[[#This Row],[fecha_fin]]=""),"",DATEDIF(Tbla_proyectos[[#This Row],[fecha_inicio]],Tbla_proyectos[[#This Row],[fecha_fin]],"M"))</f>
        <v/>
      </c>
      <c r="L247" s="60" t="s">
        <v>11689</v>
      </c>
      <c r="M247" s="62" t="s">
        <v>11690</v>
      </c>
      <c r="N247" s="62">
        <f ca="1">IF(Tbla_proyectos[[#This Row],[municipio]]="","",VLOOKUP(Tbla_proyectos[[#This Row],[municipio]],INDIRECT(Tbla_proyectos[[#This Row],[departamento]]),2,0))</f>
        <v>4.3161076979999997</v>
      </c>
      <c r="O247" s="62">
        <f ca="1">IF(Tbla_proyectos[[#This Row],[municipio]]="","",VLOOKUP(Tbla_proyectos[[#This Row],[municipio]],INDIRECT(Tbla_proyectos[[#This Row],[departamento]]),2,0))</f>
        <v>4.3161076979999997</v>
      </c>
      <c r="P247" t="s">
        <v>11696</v>
      </c>
    </row>
    <row r="248" spans="1:16">
      <c r="A248" t="s">
        <v>11536</v>
      </c>
      <c r="B248" s="62" t="str">
        <f>LEFT(Tbla_proyectos[[#This Row],[codigo_proyecto]],4)</f>
        <v>2610</v>
      </c>
      <c r="C248" s="4" t="s">
        <v>12015</v>
      </c>
      <c r="D248" s="15" t="s">
        <v>11684</v>
      </c>
      <c r="E248" s="4" t="s">
        <v>12016</v>
      </c>
      <c r="F248" s="4" t="s">
        <v>11693</v>
      </c>
      <c r="G248" s="62" t="s">
        <v>11687</v>
      </c>
      <c r="H248" t="s">
        <v>11713</v>
      </c>
      <c r="I248" s="2"/>
      <c r="K248" s="60" t="str">
        <f>IF(OR(Tbla_proyectos[[#This Row],[fecha_inicio]]="",Tbla_proyectos[[#This Row],[fecha_fin]]=""),"",DATEDIF(Tbla_proyectos[[#This Row],[fecha_inicio]],Tbla_proyectos[[#This Row],[fecha_fin]],"M"))</f>
        <v/>
      </c>
      <c r="L248" s="60" t="s">
        <v>11689</v>
      </c>
      <c r="M248" s="62" t="s">
        <v>11690</v>
      </c>
      <c r="N248" s="62">
        <f ca="1">IF(Tbla_proyectos[[#This Row],[municipio]]="","",VLOOKUP(Tbla_proyectos[[#This Row],[municipio]],INDIRECT(Tbla_proyectos[[#This Row],[departamento]]),2,0))</f>
        <v>4.3161076979999997</v>
      </c>
      <c r="O248" s="62">
        <f ca="1">IF(Tbla_proyectos[[#This Row],[municipio]]="","",VLOOKUP(Tbla_proyectos[[#This Row],[municipio]],INDIRECT(Tbla_proyectos[[#This Row],[departamento]]),2,0))</f>
        <v>4.3161076979999997</v>
      </c>
      <c r="P248" t="s">
        <v>11696</v>
      </c>
    </row>
    <row r="249" spans="1:16">
      <c r="A249" t="s">
        <v>11581</v>
      </c>
      <c r="B249" s="62" t="str">
        <f>LEFT(Tbla_proyectos[[#This Row],[codigo_proyecto]],4)</f>
        <v>2610</v>
      </c>
      <c r="C249" s="4" t="s">
        <v>12017</v>
      </c>
      <c r="D249" s="15" t="s">
        <v>11684</v>
      </c>
      <c r="E249" s="4" t="s">
        <v>12018</v>
      </c>
      <c r="F249" s="4" t="s">
        <v>11693</v>
      </c>
      <c r="G249" s="62" t="s">
        <v>11687</v>
      </c>
      <c r="H249" t="s">
        <v>11713</v>
      </c>
      <c r="I249" s="2"/>
      <c r="K249" s="60" t="str">
        <f>IF(OR(Tbla_proyectos[[#This Row],[fecha_inicio]]="",Tbla_proyectos[[#This Row],[fecha_fin]]=""),"",DATEDIF(Tbla_proyectos[[#This Row],[fecha_inicio]],Tbla_proyectos[[#This Row],[fecha_fin]],"M"))</f>
        <v/>
      </c>
      <c r="L249" s="60" t="s">
        <v>11689</v>
      </c>
      <c r="M249" s="62" t="s">
        <v>11690</v>
      </c>
      <c r="N249" s="62">
        <f ca="1">IF(Tbla_proyectos[[#This Row],[municipio]]="","",VLOOKUP(Tbla_proyectos[[#This Row],[municipio]],INDIRECT(Tbla_proyectos[[#This Row],[departamento]]),2,0))</f>
        <v>4.3161076979999997</v>
      </c>
      <c r="O249" s="62">
        <f ca="1">IF(Tbla_proyectos[[#This Row],[municipio]]="","",VLOOKUP(Tbla_proyectos[[#This Row],[municipio]],INDIRECT(Tbla_proyectos[[#This Row],[departamento]]),2,0))</f>
        <v>4.3161076979999997</v>
      </c>
      <c r="P249" t="s">
        <v>11696</v>
      </c>
    </row>
    <row r="250" spans="1:16">
      <c r="A250" t="s">
        <v>11446</v>
      </c>
      <c r="B250" s="62" t="str">
        <f>LEFT(Tbla_proyectos[[#This Row],[codigo_proyecto]],4)</f>
        <v>2610</v>
      </c>
      <c r="C250" s="4"/>
      <c r="D250" s="15" t="s">
        <v>11684</v>
      </c>
      <c r="E250" s="4" t="s">
        <v>11705</v>
      </c>
      <c r="F250" s="4" t="s">
        <v>11693</v>
      </c>
      <c r="G250" s="62" t="s">
        <v>11694</v>
      </c>
      <c r="H250" t="s">
        <v>11706</v>
      </c>
      <c r="I250" s="2"/>
      <c r="K250" s="60" t="str">
        <f>IF(OR(Tbla_proyectos[[#This Row],[fecha_inicio]]="",Tbla_proyectos[[#This Row],[fecha_fin]]=""),"",DATEDIF(Tbla_proyectos[[#This Row],[fecha_inicio]],Tbla_proyectos[[#This Row],[fecha_fin]],"M"))</f>
        <v/>
      </c>
      <c r="L250" s="60" t="s">
        <v>11689</v>
      </c>
      <c r="M250" s="62" t="s">
        <v>11690</v>
      </c>
      <c r="N250" s="62">
        <f ca="1">IF(Tbla_proyectos[[#This Row],[municipio]]="","",VLOOKUP(Tbla_proyectos[[#This Row],[municipio]],INDIRECT(Tbla_proyectos[[#This Row],[departamento]]),2,0))</f>
        <v>4.3161076979999997</v>
      </c>
      <c r="O250" s="62">
        <f ca="1">IF(Tbla_proyectos[[#This Row],[municipio]]="","",VLOOKUP(Tbla_proyectos[[#This Row],[municipio]],INDIRECT(Tbla_proyectos[[#This Row],[departamento]]),2,0))</f>
        <v>4.3161076979999997</v>
      </c>
      <c r="P250" t="s">
        <v>11703</v>
      </c>
    </row>
    <row r="251" spans="1:16">
      <c r="A251" t="s">
        <v>11483</v>
      </c>
      <c r="B251" s="62" t="str">
        <f>LEFT(Tbla_proyectos[[#This Row],[codigo_proyecto]],4)</f>
        <v>2610</v>
      </c>
      <c r="C251" s="4"/>
      <c r="D251" s="15" t="s">
        <v>11684</v>
      </c>
      <c r="E251" s="4" t="s">
        <v>11705</v>
      </c>
      <c r="F251" s="4" t="s">
        <v>11693</v>
      </c>
      <c r="G251" s="62" t="s">
        <v>11694</v>
      </c>
      <c r="H251" t="s">
        <v>11706</v>
      </c>
      <c r="I251" s="2"/>
      <c r="K251" s="60" t="str">
        <f>IF(OR(Tbla_proyectos[[#This Row],[fecha_inicio]]="",Tbla_proyectos[[#This Row],[fecha_fin]]=""),"",DATEDIF(Tbla_proyectos[[#This Row],[fecha_inicio]],Tbla_proyectos[[#This Row],[fecha_fin]],"M"))</f>
        <v/>
      </c>
      <c r="L251" s="60" t="s">
        <v>11689</v>
      </c>
      <c r="M251" s="62" t="s">
        <v>11690</v>
      </c>
      <c r="N251" s="62">
        <f ca="1">IF(Tbla_proyectos[[#This Row],[municipio]]="","",VLOOKUP(Tbla_proyectos[[#This Row],[municipio]],INDIRECT(Tbla_proyectos[[#This Row],[departamento]]),2,0))</f>
        <v>4.3161076979999997</v>
      </c>
      <c r="O251" s="62">
        <f ca="1">IF(Tbla_proyectos[[#This Row],[municipio]]="","",VLOOKUP(Tbla_proyectos[[#This Row],[municipio]],INDIRECT(Tbla_proyectos[[#This Row],[departamento]]),2,0))</f>
        <v>4.3161076979999997</v>
      </c>
      <c r="P251" t="s">
        <v>11703</v>
      </c>
    </row>
    <row r="252" spans="1:16">
      <c r="A252" t="s">
        <v>11496</v>
      </c>
      <c r="B252" s="62" t="str">
        <f>LEFT(Tbla_proyectos[[#This Row],[codigo_proyecto]],4)</f>
        <v>2610</v>
      </c>
      <c r="C252" s="4"/>
      <c r="D252" s="15" t="s">
        <v>11684</v>
      </c>
      <c r="E252" s="4" t="s">
        <v>11705</v>
      </c>
      <c r="F252" s="4" t="s">
        <v>11693</v>
      </c>
      <c r="G252" s="62" t="s">
        <v>11694</v>
      </c>
      <c r="H252" t="s">
        <v>11706</v>
      </c>
      <c r="I252" s="2"/>
      <c r="K252" s="60" t="str">
        <f>IF(OR(Tbla_proyectos[[#This Row],[fecha_inicio]]="",Tbla_proyectos[[#This Row],[fecha_fin]]=""),"",DATEDIF(Tbla_proyectos[[#This Row],[fecha_inicio]],Tbla_proyectos[[#This Row],[fecha_fin]],"M"))</f>
        <v/>
      </c>
      <c r="L252" s="60" t="s">
        <v>11689</v>
      </c>
      <c r="M252" s="62" t="s">
        <v>11690</v>
      </c>
      <c r="N252" s="62">
        <f ca="1">IF(Tbla_proyectos[[#This Row],[municipio]]="","",VLOOKUP(Tbla_proyectos[[#This Row],[municipio]],INDIRECT(Tbla_proyectos[[#This Row],[departamento]]),2,0))</f>
        <v>4.3161076979999997</v>
      </c>
      <c r="O252" s="62">
        <f ca="1">IF(Tbla_proyectos[[#This Row],[municipio]]="","",VLOOKUP(Tbla_proyectos[[#This Row],[municipio]],INDIRECT(Tbla_proyectos[[#This Row],[departamento]]),2,0))</f>
        <v>4.3161076979999997</v>
      </c>
      <c r="P252" t="s">
        <v>11696</v>
      </c>
    </row>
    <row r="253" spans="1:16">
      <c r="A253" t="s">
        <v>11463</v>
      </c>
      <c r="B253" s="62" t="str">
        <f>LEFT(Tbla_proyectos[[#This Row],[codigo_proyecto]],4)</f>
        <v>2610</v>
      </c>
      <c r="C253" s="4" t="s">
        <v>12019</v>
      </c>
      <c r="D253" s="15" t="s">
        <v>11684</v>
      </c>
      <c r="E253" s="4" t="s">
        <v>12020</v>
      </c>
      <c r="F253" s="4" t="s">
        <v>11886</v>
      </c>
      <c r="G253" s="62" t="s">
        <v>11694</v>
      </c>
      <c r="H253" t="s">
        <v>11706</v>
      </c>
      <c r="I253" s="2"/>
      <c r="K253" s="60" t="str">
        <f>IF(OR(Tbla_proyectos[[#This Row],[fecha_inicio]]="",Tbla_proyectos[[#This Row],[fecha_fin]]=""),"",DATEDIF(Tbla_proyectos[[#This Row],[fecha_inicio]],Tbla_proyectos[[#This Row],[fecha_fin]],"M"))</f>
        <v/>
      </c>
      <c r="L253" s="60" t="s">
        <v>11689</v>
      </c>
      <c r="M253" s="62" t="s">
        <v>11690</v>
      </c>
      <c r="N253" s="62">
        <f ca="1">IF(Tbla_proyectos[[#This Row],[municipio]]="","",VLOOKUP(Tbla_proyectos[[#This Row],[municipio]],INDIRECT(Tbla_proyectos[[#This Row],[departamento]]),2,0))</f>
        <v>4.3161076979999997</v>
      </c>
      <c r="O253" s="62">
        <f ca="1">IF(Tbla_proyectos[[#This Row],[municipio]]="","",VLOOKUP(Tbla_proyectos[[#This Row],[municipio]],INDIRECT(Tbla_proyectos[[#This Row],[departamento]]),2,0))</f>
        <v>4.3161076979999997</v>
      </c>
      <c r="P253" t="s">
        <v>11703</v>
      </c>
    </row>
    <row r="254" spans="1:16">
      <c r="A254" t="s">
        <v>11473</v>
      </c>
      <c r="B254" s="62" t="str">
        <f>LEFT(Tbla_proyectos[[#This Row],[codigo_proyecto]],4)</f>
        <v>2610</v>
      </c>
      <c r="C254" s="4" t="s">
        <v>11911</v>
      </c>
      <c r="D254" s="15" t="s">
        <v>11684</v>
      </c>
      <c r="E254" s="4" t="s">
        <v>11705</v>
      </c>
      <c r="F254" s="4" t="s">
        <v>11693</v>
      </c>
      <c r="G254" s="62" t="s">
        <v>11687</v>
      </c>
      <c r="H254" t="s">
        <v>11706</v>
      </c>
      <c r="I254" s="2"/>
      <c r="K254" s="60" t="str">
        <f>IF(OR(Tbla_proyectos[[#This Row],[fecha_inicio]]="",Tbla_proyectos[[#This Row],[fecha_fin]]=""),"",DATEDIF(Tbla_proyectos[[#This Row],[fecha_inicio]],Tbla_proyectos[[#This Row],[fecha_fin]],"M"))</f>
        <v/>
      </c>
      <c r="L254" s="60" t="s">
        <v>11689</v>
      </c>
      <c r="M254" s="62" t="s">
        <v>11690</v>
      </c>
      <c r="N254" s="62">
        <f ca="1">IF(Tbla_proyectos[[#This Row],[municipio]]="","",VLOOKUP(Tbla_proyectos[[#This Row],[municipio]],INDIRECT(Tbla_proyectos[[#This Row],[departamento]]),2,0))</f>
        <v>4.3161076979999997</v>
      </c>
      <c r="O254" s="62">
        <f ca="1">IF(Tbla_proyectos[[#This Row],[municipio]]="","",VLOOKUP(Tbla_proyectos[[#This Row],[municipio]],INDIRECT(Tbla_proyectos[[#This Row],[departamento]]),2,0))</f>
        <v>4.3161076979999997</v>
      </c>
      <c r="P254" t="s">
        <v>11703</v>
      </c>
    </row>
    <row r="255" spans="1:16">
      <c r="A255" t="s">
        <v>11306</v>
      </c>
      <c r="B255" s="62" t="str">
        <f>LEFT(Tbla_proyectos[[#This Row],[codigo_proyecto]],4)</f>
        <v>2610</v>
      </c>
      <c r="C255" s="4" t="s">
        <v>11930</v>
      </c>
      <c r="D255" s="15" t="s">
        <v>11684</v>
      </c>
      <c r="E255" s="4" t="s">
        <v>12021</v>
      </c>
      <c r="F255" s="4" t="s">
        <v>11801</v>
      </c>
      <c r="G255" s="62" t="s">
        <v>11687</v>
      </c>
      <c r="H255" t="s">
        <v>11722</v>
      </c>
      <c r="I255" s="2"/>
      <c r="K255" s="60" t="str">
        <f>IF(OR(Tbla_proyectos[[#This Row],[fecha_inicio]]="",Tbla_proyectos[[#This Row],[fecha_fin]]=""),"",DATEDIF(Tbla_proyectos[[#This Row],[fecha_inicio]],Tbla_proyectos[[#This Row],[fecha_fin]],"M"))</f>
        <v/>
      </c>
      <c r="L255" s="60" t="s">
        <v>11689</v>
      </c>
      <c r="M255" s="62" t="s">
        <v>11690</v>
      </c>
      <c r="N255" s="62">
        <f ca="1">IF(Tbla_proyectos[[#This Row],[municipio]]="","",VLOOKUP(Tbla_proyectos[[#This Row],[municipio]],INDIRECT(Tbla_proyectos[[#This Row],[departamento]]),2,0))</f>
        <v>4.3161076979999997</v>
      </c>
      <c r="O255" s="62">
        <f ca="1">IF(Tbla_proyectos[[#This Row],[municipio]]="","",VLOOKUP(Tbla_proyectos[[#This Row],[municipio]],INDIRECT(Tbla_proyectos[[#This Row],[departamento]]),2,0))</f>
        <v>4.3161076979999997</v>
      </c>
      <c r="P255" t="s">
        <v>11703</v>
      </c>
    </row>
    <row r="256" spans="1:16">
      <c r="A256" t="s">
        <v>11290</v>
      </c>
      <c r="B256" s="62" t="str">
        <f>LEFT(Tbla_proyectos[[#This Row],[codigo_proyecto]],4)</f>
        <v>2610</v>
      </c>
      <c r="C256" s="4" t="s">
        <v>11928</v>
      </c>
      <c r="D256" s="15" t="s">
        <v>11684</v>
      </c>
      <c r="E256" s="4" t="s">
        <v>12022</v>
      </c>
      <c r="F256" s="4" t="s">
        <v>12023</v>
      </c>
      <c r="G256" s="62" t="s">
        <v>11694</v>
      </c>
      <c r="H256" t="s">
        <v>11722</v>
      </c>
      <c r="I256" s="2"/>
      <c r="K256" s="60" t="str">
        <f>IF(OR(Tbla_proyectos[[#This Row],[fecha_inicio]]="",Tbla_proyectos[[#This Row],[fecha_fin]]=""),"",DATEDIF(Tbla_proyectos[[#This Row],[fecha_inicio]],Tbla_proyectos[[#This Row],[fecha_fin]],"M"))</f>
        <v/>
      </c>
      <c r="L256" s="60" t="s">
        <v>11689</v>
      </c>
      <c r="M256" s="62" t="s">
        <v>11690</v>
      </c>
      <c r="N256" s="62">
        <f ca="1">IF(Tbla_proyectos[[#This Row],[municipio]]="","",VLOOKUP(Tbla_proyectos[[#This Row],[municipio]],INDIRECT(Tbla_proyectos[[#This Row],[departamento]]),2,0))</f>
        <v>4.3161076979999997</v>
      </c>
      <c r="O256" s="62">
        <f ca="1">IF(Tbla_proyectos[[#This Row],[municipio]]="","",VLOOKUP(Tbla_proyectos[[#This Row],[municipio]],INDIRECT(Tbla_proyectos[[#This Row],[departamento]]),2,0))</f>
        <v>4.3161076979999997</v>
      </c>
      <c r="P256" t="s">
        <v>11696</v>
      </c>
    </row>
    <row r="257" spans="1:16">
      <c r="A257" t="s">
        <v>11232</v>
      </c>
      <c r="B257" s="62" t="str">
        <f>LEFT(Tbla_proyectos[[#This Row],[codigo_proyecto]],4)</f>
        <v>2610</v>
      </c>
      <c r="C257" s="4" t="s">
        <v>11932</v>
      </c>
      <c r="D257" s="15" t="s">
        <v>11684</v>
      </c>
      <c r="E257" s="4" t="s">
        <v>12024</v>
      </c>
      <c r="F257" s="4" t="s">
        <v>11801</v>
      </c>
      <c r="G257" s="62" t="s">
        <v>11694</v>
      </c>
      <c r="H257" t="s">
        <v>11722</v>
      </c>
      <c r="I257" s="2"/>
      <c r="K257" s="60" t="str">
        <f>IF(OR(Tbla_proyectos[[#This Row],[fecha_inicio]]="",Tbla_proyectos[[#This Row],[fecha_fin]]=""),"",DATEDIF(Tbla_proyectos[[#This Row],[fecha_inicio]],Tbla_proyectos[[#This Row],[fecha_fin]],"M"))</f>
        <v/>
      </c>
      <c r="L257" s="60" t="s">
        <v>11689</v>
      </c>
      <c r="M257" s="62" t="s">
        <v>11690</v>
      </c>
      <c r="N257" s="62">
        <f ca="1">IF(Tbla_proyectos[[#This Row],[municipio]]="","",VLOOKUP(Tbla_proyectos[[#This Row],[municipio]],INDIRECT(Tbla_proyectos[[#This Row],[departamento]]),2,0))</f>
        <v>4.3161076979999997</v>
      </c>
      <c r="O257" s="62">
        <f ca="1">IF(Tbla_proyectos[[#This Row],[municipio]]="","",VLOOKUP(Tbla_proyectos[[#This Row],[municipio]],INDIRECT(Tbla_proyectos[[#This Row],[departamento]]),2,0))</f>
        <v>4.3161076979999997</v>
      </c>
      <c r="P257" t="s">
        <v>11703</v>
      </c>
    </row>
    <row r="258" spans="1:16">
      <c r="A258" t="s">
        <v>11283</v>
      </c>
      <c r="B258" s="62" t="str">
        <f>LEFT(Tbla_proyectos[[#This Row],[codigo_proyecto]],4)</f>
        <v>2610</v>
      </c>
      <c r="C258" s="4" t="s">
        <v>11928</v>
      </c>
      <c r="D258" s="15" t="s">
        <v>11684</v>
      </c>
      <c r="E258" s="4" t="s">
        <v>12025</v>
      </c>
      <c r="F258" s="4" t="s">
        <v>11770</v>
      </c>
      <c r="G258" s="62" t="s">
        <v>11694</v>
      </c>
      <c r="H258" t="s">
        <v>11722</v>
      </c>
      <c r="I258" s="2"/>
      <c r="K258" s="60" t="str">
        <f>IF(OR(Tbla_proyectos[[#This Row],[fecha_inicio]]="",Tbla_proyectos[[#This Row],[fecha_fin]]=""),"",DATEDIF(Tbla_proyectos[[#This Row],[fecha_inicio]],Tbla_proyectos[[#This Row],[fecha_fin]],"M"))</f>
        <v/>
      </c>
      <c r="L258" s="60" t="s">
        <v>11689</v>
      </c>
      <c r="M258" s="62" t="s">
        <v>11690</v>
      </c>
      <c r="N258" s="62">
        <f ca="1">IF(Tbla_proyectos[[#This Row],[municipio]]="","",VLOOKUP(Tbla_proyectos[[#This Row],[municipio]],INDIRECT(Tbla_proyectos[[#This Row],[departamento]]),2,0))</f>
        <v>4.3161076979999997</v>
      </c>
      <c r="O258" s="62">
        <f ca="1">IF(Tbla_proyectos[[#This Row],[municipio]]="","",VLOOKUP(Tbla_proyectos[[#This Row],[municipio]],INDIRECT(Tbla_proyectos[[#This Row],[departamento]]),2,0))</f>
        <v>4.3161076979999997</v>
      </c>
      <c r="P258" t="s">
        <v>11703</v>
      </c>
    </row>
    <row r="259" spans="1:16">
      <c r="A259" t="s">
        <v>11224</v>
      </c>
      <c r="B259" s="62" t="str">
        <f>LEFT(Tbla_proyectos[[#This Row],[codigo_proyecto]],4)</f>
        <v>2610</v>
      </c>
      <c r="C259" s="4" t="s">
        <v>12026</v>
      </c>
      <c r="D259" s="15" t="s">
        <v>11684</v>
      </c>
      <c r="E259" s="4" t="s">
        <v>12027</v>
      </c>
      <c r="F259" s="4" t="s">
        <v>11859</v>
      </c>
      <c r="G259" s="62" t="s">
        <v>11694</v>
      </c>
      <c r="H259" t="s">
        <v>11722</v>
      </c>
      <c r="I259" s="2"/>
      <c r="K259" s="60" t="str">
        <f>IF(OR(Tbla_proyectos[[#This Row],[fecha_inicio]]="",Tbla_proyectos[[#This Row],[fecha_fin]]=""),"",DATEDIF(Tbla_proyectos[[#This Row],[fecha_inicio]],Tbla_proyectos[[#This Row],[fecha_fin]],"M"))</f>
        <v/>
      </c>
      <c r="L259" s="60" t="s">
        <v>11689</v>
      </c>
      <c r="M259" s="62" t="s">
        <v>11690</v>
      </c>
      <c r="N259" s="62">
        <f ca="1">IF(Tbla_proyectos[[#This Row],[municipio]]="","",VLOOKUP(Tbla_proyectos[[#This Row],[municipio]],INDIRECT(Tbla_proyectos[[#This Row],[departamento]]),2,0))</f>
        <v>4.3161076979999997</v>
      </c>
      <c r="O259" s="62">
        <f ca="1">IF(Tbla_proyectos[[#This Row],[municipio]]="","",VLOOKUP(Tbla_proyectos[[#This Row],[municipio]],INDIRECT(Tbla_proyectos[[#This Row],[departamento]]),2,0))</f>
        <v>4.3161076979999997</v>
      </c>
      <c r="P259" t="s">
        <v>11696</v>
      </c>
    </row>
    <row r="260" spans="1:16">
      <c r="A260" t="s">
        <v>11265</v>
      </c>
      <c r="B260" s="62" t="str">
        <f>LEFT(Tbla_proyectos[[#This Row],[codigo_proyecto]],4)</f>
        <v>2610</v>
      </c>
      <c r="C260" s="4" t="s">
        <v>12028</v>
      </c>
      <c r="D260" s="15" t="s">
        <v>11684</v>
      </c>
      <c r="E260" s="4" t="s">
        <v>12029</v>
      </c>
      <c r="F260" s="4" t="s">
        <v>11736</v>
      </c>
      <c r="G260" s="62" t="s">
        <v>11687</v>
      </c>
      <c r="H260" t="s">
        <v>11722</v>
      </c>
      <c r="I260" s="2"/>
      <c r="K260" s="60" t="str">
        <f>IF(OR(Tbla_proyectos[[#This Row],[fecha_inicio]]="",Tbla_proyectos[[#This Row],[fecha_fin]]=""),"",DATEDIF(Tbla_proyectos[[#This Row],[fecha_inicio]],Tbla_proyectos[[#This Row],[fecha_fin]],"M"))</f>
        <v/>
      </c>
      <c r="L260" s="60" t="s">
        <v>11689</v>
      </c>
      <c r="M260" s="62" t="s">
        <v>11690</v>
      </c>
      <c r="N260" s="62">
        <f ca="1">IF(Tbla_proyectos[[#This Row],[municipio]]="","",VLOOKUP(Tbla_proyectos[[#This Row],[municipio]],INDIRECT(Tbla_proyectos[[#This Row],[departamento]]),2,0))</f>
        <v>4.3161076979999997</v>
      </c>
      <c r="O260" s="62">
        <f ca="1">IF(Tbla_proyectos[[#This Row],[municipio]]="","",VLOOKUP(Tbla_proyectos[[#This Row],[municipio]],INDIRECT(Tbla_proyectos[[#This Row],[departamento]]),2,0))</f>
        <v>4.3161076979999997</v>
      </c>
      <c r="P260" t="s">
        <v>11696</v>
      </c>
    </row>
    <row r="261" spans="1:16">
      <c r="A261" t="s">
        <v>11279</v>
      </c>
      <c r="B261" s="62" t="str">
        <f>LEFT(Tbla_proyectos[[#This Row],[codigo_proyecto]],4)</f>
        <v>2610</v>
      </c>
      <c r="C261" s="4" t="s">
        <v>12030</v>
      </c>
      <c r="D261" s="15" t="s">
        <v>11684</v>
      </c>
      <c r="E261" s="4" t="s">
        <v>12031</v>
      </c>
      <c r="F261" s="4" t="s">
        <v>12023</v>
      </c>
      <c r="G261" s="62" t="s">
        <v>11694</v>
      </c>
      <c r="H261" t="s">
        <v>11722</v>
      </c>
      <c r="I261" s="2"/>
      <c r="K261" s="60" t="str">
        <f>IF(OR(Tbla_proyectos[[#This Row],[fecha_inicio]]="",Tbla_proyectos[[#This Row],[fecha_fin]]=""),"",DATEDIF(Tbla_proyectos[[#This Row],[fecha_inicio]],Tbla_proyectos[[#This Row],[fecha_fin]],"M"))</f>
        <v/>
      </c>
      <c r="L261" s="60" t="s">
        <v>11689</v>
      </c>
      <c r="M261" s="62" t="s">
        <v>11690</v>
      </c>
      <c r="N261" s="62">
        <f ca="1">IF(Tbla_proyectos[[#This Row],[municipio]]="","",VLOOKUP(Tbla_proyectos[[#This Row],[municipio]],INDIRECT(Tbla_proyectos[[#This Row],[departamento]]),2,0))</f>
        <v>4.3161076979999997</v>
      </c>
      <c r="O261" s="62">
        <f ca="1">IF(Tbla_proyectos[[#This Row],[municipio]]="","",VLOOKUP(Tbla_proyectos[[#This Row],[municipio]],INDIRECT(Tbla_proyectos[[#This Row],[departamento]]),2,0))</f>
        <v>4.3161076979999997</v>
      </c>
      <c r="P261" t="s">
        <v>11703</v>
      </c>
    </row>
    <row r="262" spans="1:16">
      <c r="A262" t="s">
        <v>11329</v>
      </c>
      <c r="B262" s="62" t="str">
        <f>LEFT(Tbla_proyectos[[#This Row],[codigo_proyecto]],4)</f>
        <v>2610</v>
      </c>
      <c r="C262" s="4" t="s">
        <v>11932</v>
      </c>
      <c r="D262" s="15" t="s">
        <v>11684</v>
      </c>
      <c r="E262" s="4" t="s">
        <v>12009</v>
      </c>
      <c r="F262" s="4" t="s">
        <v>11996</v>
      </c>
      <c r="G262" s="62" t="s">
        <v>11694</v>
      </c>
      <c r="H262" t="s">
        <v>11722</v>
      </c>
      <c r="I262" s="2"/>
      <c r="K262" s="60" t="str">
        <f>IF(OR(Tbla_proyectos[[#This Row],[fecha_inicio]]="",Tbla_proyectos[[#This Row],[fecha_fin]]=""),"",DATEDIF(Tbla_proyectos[[#This Row],[fecha_inicio]],Tbla_proyectos[[#This Row],[fecha_fin]],"M"))</f>
        <v/>
      </c>
      <c r="L262" s="60" t="s">
        <v>11689</v>
      </c>
      <c r="M262" s="62" t="s">
        <v>11690</v>
      </c>
      <c r="N262" s="62">
        <f ca="1">IF(Tbla_proyectos[[#This Row],[municipio]]="","",VLOOKUP(Tbla_proyectos[[#This Row],[municipio]],INDIRECT(Tbla_proyectos[[#This Row],[departamento]]),2,0))</f>
        <v>4.3161076979999997</v>
      </c>
      <c r="O262" s="62">
        <f ca="1">IF(Tbla_proyectos[[#This Row],[municipio]]="","",VLOOKUP(Tbla_proyectos[[#This Row],[municipio]],INDIRECT(Tbla_proyectos[[#This Row],[departamento]]),2,0))</f>
        <v>4.3161076979999997</v>
      </c>
      <c r="P262" t="s">
        <v>11703</v>
      </c>
    </row>
    <row r="263" spans="1:16" ht="75">
      <c r="A263" t="s">
        <v>11240</v>
      </c>
      <c r="B263" s="62" t="str">
        <f>LEFT(Tbla_proyectos[[#This Row],[codigo_proyecto]],4)</f>
        <v>2610</v>
      </c>
      <c r="C263" s="57" t="s">
        <v>11930</v>
      </c>
      <c r="D263" s="15" t="s">
        <v>11684</v>
      </c>
      <c r="E263" s="57" t="s">
        <v>12032</v>
      </c>
      <c r="F263" s="4" t="s">
        <v>12023</v>
      </c>
      <c r="G263" s="62" t="s">
        <v>11687</v>
      </c>
      <c r="H263" t="s">
        <v>11722</v>
      </c>
      <c r="I263" s="2">
        <v>46067</v>
      </c>
      <c r="J263" s="2">
        <v>46173</v>
      </c>
      <c r="K263" s="60">
        <f>IF(OR(Tbla_proyectos[[#This Row],[fecha_inicio]]="",Tbla_proyectos[[#This Row],[fecha_fin]]=""),"",DATEDIF(Tbla_proyectos[[#This Row],[fecha_inicio]],Tbla_proyectos[[#This Row],[fecha_fin]],"M"))</f>
        <v>3</v>
      </c>
      <c r="L263" s="60" t="s">
        <v>11689</v>
      </c>
      <c r="M263" s="62" t="s">
        <v>11690</v>
      </c>
      <c r="N263" s="62">
        <f ca="1">IF(Tbla_proyectos[[#This Row],[municipio]]="","",VLOOKUP(Tbla_proyectos[[#This Row],[municipio]],INDIRECT(Tbla_proyectos[[#This Row],[departamento]]),2,0))</f>
        <v>4.3161076979999997</v>
      </c>
      <c r="O263" s="62">
        <f ca="1">IF(Tbla_proyectos[[#This Row],[municipio]]="","",VLOOKUP(Tbla_proyectos[[#This Row],[municipio]],INDIRECT(Tbla_proyectos[[#This Row],[departamento]]),2,0))</f>
        <v>4.3161076979999997</v>
      </c>
      <c r="P263" t="s">
        <v>11703</v>
      </c>
    </row>
    <row r="264" spans="1:16">
      <c r="A264" t="s">
        <v>11220</v>
      </c>
      <c r="B264" s="62" t="str">
        <f>LEFT(Tbla_proyectos[[#This Row],[codigo_proyecto]],4)</f>
        <v>2610</v>
      </c>
      <c r="C264" s="4" t="s">
        <v>11935</v>
      </c>
      <c r="D264" s="15" t="s">
        <v>11684</v>
      </c>
      <c r="E264" s="4" t="s">
        <v>12033</v>
      </c>
      <c r="F264" s="4" t="s">
        <v>11686</v>
      </c>
      <c r="G264" s="62" t="s">
        <v>11694</v>
      </c>
      <c r="H264" t="s">
        <v>11722</v>
      </c>
      <c r="I264" s="2"/>
      <c r="K264" s="60" t="str">
        <f>IF(OR(Tbla_proyectos[[#This Row],[fecha_inicio]]="",Tbla_proyectos[[#This Row],[fecha_fin]]=""),"",DATEDIF(Tbla_proyectos[[#This Row],[fecha_inicio]],Tbla_proyectos[[#This Row],[fecha_fin]],"M"))</f>
        <v/>
      </c>
      <c r="L264" s="60" t="s">
        <v>11689</v>
      </c>
      <c r="M264" s="62" t="s">
        <v>11690</v>
      </c>
      <c r="N264" s="62">
        <f ca="1">IF(Tbla_proyectos[[#This Row],[municipio]]="","",VLOOKUP(Tbla_proyectos[[#This Row],[municipio]],INDIRECT(Tbla_proyectos[[#This Row],[departamento]]),2,0))</f>
        <v>4.3161076979999997</v>
      </c>
      <c r="O264" s="62">
        <f ca="1">IF(Tbla_proyectos[[#This Row],[municipio]]="","",VLOOKUP(Tbla_proyectos[[#This Row],[municipio]],INDIRECT(Tbla_proyectos[[#This Row],[departamento]]),2,0))</f>
        <v>4.3161076979999997</v>
      </c>
      <c r="P264" t="s">
        <v>11703</v>
      </c>
    </row>
    <row r="265" spans="1:16">
      <c r="A265" t="s">
        <v>11532</v>
      </c>
      <c r="B265" s="62" t="str">
        <f>LEFT(Tbla_proyectos[[#This Row],[codigo_proyecto]],4)</f>
        <v>2610</v>
      </c>
      <c r="C265" s="4" t="s">
        <v>12034</v>
      </c>
      <c r="D265" s="15" t="s">
        <v>11684</v>
      </c>
      <c r="E265" s="4" t="s">
        <v>12035</v>
      </c>
      <c r="F265" s="4" t="s">
        <v>11958</v>
      </c>
      <c r="G265" s="62" t="s">
        <v>11687</v>
      </c>
      <c r="H265" t="s">
        <v>11713</v>
      </c>
      <c r="I265" s="2"/>
      <c r="K265" s="60" t="str">
        <f>IF(OR(Tbla_proyectos[[#This Row],[fecha_inicio]]="",Tbla_proyectos[[#This Row],[fecha_fin]]=""),"",DATEDIF(Tbla_proyectos[[#This Row],[fecha_inicio]],Tbla_proyectos[[#This Row],[fecha_fin]],"M"))</f>
        <v/>
      </c>
      <c r="L265" s="60" t="s">
        <v>11689</v>
      </c>
      <c r="M265" s="62" t="s">
        <v>11690</v>
      </c>
      <c r="N265" s="62">
        <f ca="1">IF(Tbla_proyectos[[#This Row],[municipio]]="","",VLOOKUP(Tbla_proyectos[[#This Row],[municipio]],INDIRECT(Tbla_proyectos[[#This Row],[departamento]]),2,0))</f>
        <v>4.3161076979999997</v>
      </c>
      <c r="O265" s="62">
        <f ca="1">IF(Tbla_proyectos[[#This Row],[municipio]]="","",VLOOKUP(Tbla_proyectos[[#This Row],[municipio]],INDIRECT(Tbla_proyectos[[#This Row],[departamento]]),2,0))</f>
        <v>4.3161076979999997</v>
      </c>
      <c r="P265" t="s">
        <v>11696</v>
      </c>
    </row>
    <row r="266" spans="1:16">
      <c r="A266" t="s">
        <v>11525</v>
      </c>
      <c r="B266" s="62" t="str">
        <f>LEFT(Tbla_proyectos[[#This Row],[codigo_proyecto]],4)</f>
        <v>2610</v>
      </c>
      <c r="C266" s="4" t="s">
        <v>12036</v>
      </c>
      <c r="D266" s="15" t="s">
        <v>11684</v>
      </c>
      <c r="E266" s="4" t="s">
        <v>12037</v>
      </c>
      <c r="F266" s="4" t="s">
        <v>12038</v>
      </c>
      <c r="G266" s="62" t="s">
        <v>11694</v>
      </c>
      <c r="H266" t="s">
        <v>11713</v>
      </c>
      <c r="I266" s="2"/>
      <c r="K266" s="60" t="str">
        <f>IF(OR(Tbla_proyectos[[#This Row],[fecha_inicio]]="",Tbla_proyectos[[#This Row],[fecha_fin]]=""),"",DATEDIF(Tbla_proyectos[[#This Row],[fecha_inicio]],Tbla_proyectos[[#This Row],[fecha_fin]],"M"))</f>
        <v/>
      </c>
      <c r="L266" s="60" t="s">
        <v>11689</v>
      </c>
      <c r="M266" s="62" t="s">
        <v>11690</v>
      </c>
      <c r="N266" s="62">
        <f ca="1">IF(Tbla_proyectos[[#This Row],[municipio]]="","",VLOOKUP(Tbla_proyectos[[#This Row],[municipio]],INDIRECT(Tbla_proyectos[[#This Row],[departamento]]),2,0))</f>
        <v>4.3161076979999997</v>
      </c>
      <c r="O266" s="62">
        <f ca="1">IF(Tbla_proyectos[[#This Row],[municipio]]="","",VLOOKUP(Tbla_proyectos[[#This Row],[municipio]],INDIRECT(Tbla_proyectos[[#This Row],[departamento]]),2,0))</f>
        <v>4.3161076979999997</v>
      </c>
      <c r="P266" t="s">
        <v>11696</v>
      </c>
    </row>
    <row r="267" spans="1:16">
      <c r="A267" t="s">
        <v>11078</v>
      </c>
      <c r="B267" s="62" t="str">
        <f>LEFT(Tbla_proyectos[[#This Row],[codigo_proyecto]],4)</f>
        <v>2610</v>
      </c>
      <c r="C267" s="4" t="s">
        <v>11868</v>
      </c>
      <c r="D267" s="15" t="s">
        <v>11684</v>
      </c>
      <c r="E267" s="4" t="s">
        <v>11869</v>
      </c>
      <c r="F267" s="4" t="s">
        <v>11693</v>
      </c>
      <c r="G267" s="62" t="s">
        <v>11687</v>
      </c>
      <c r="H267" t="s">
        <v>11688</v>
      </c>
      <c r="I267" s="2"/>
      <c r="K267" s="60" t="str">
        <f>IF(OR(Tbla_proyectos[[#This Row],[fecha_inicio]]="",Tbla_proyectos[[#This Row],[fecha_fin]]=""),"",DATEDIF(Tbla_proyectos[[#This Row],[fecha_inicio]],Tbla_proyectos[[#This Row],[fecha_fin]],"M"))</f>
        <v/>
      </c>
      <c r="L267" s="60" t="s">
        <v>11689</v>
      </c>
      <c r="M267" s="62" t="s">
        <v>11690</v>
      </c>
      <c r="N267" s="62">
        <f ca="1">IF(Tbla_proyectos[[#This Row],[municipio]]="","",VLOOKUP(Tbla_proyectos[[#This Row],[municipio]],INDIRECT(Tbla_proyectos[[#This Row],[departamento]]),2,0))</f>
        <v>4.3161076979999997</v>
      </c>
      <c r="O267" s="62">
        <f ca="1">IF(Tbla_proyectos[[#This Row],[municipio]]="","",VLOOKUP(Tbla_proyectos[[#This Row],[municipio]],INDIRECT(Tbla_proyectos[[#This Row],[departamento]]),2,0))</f>
        <v>4.3161076979999997</v>
      </c>
      <c r="P267" t="s">
        <v>11703</v>
      </c>
    </row>
    <row r="268" spans="1:16">
      <c r="A268" t="s">
        <v>11176</v>
      </c>
      <c r="B268" s="62" t="str">
        <f>LEFT(Tbla_proyectos[[#This Row],[codigo_proyecto]],4)</f>
        <v>2610</v>
      </c>
      <c r="C268" s="4" t="s">
        <v>11865</v>
      </c>
      <c r="D268" s="15" t="s">
        <v>11684</v>
      </c>
      <c r="E268" s="4" t="s">
        <v>11866</v>
      </c>
      <c r="F268" s="4" t="s">
        <v>11801</v>
      </c>
      <c r="G268" s="62" t="s">
        <v>11687</v>
      </c>
      <c r="H268" t="s">
        <v>11688</v>
      </c>
      <c r="I268" s="2"/>
      <c r="K268" s="60" t="str">
        <f>IF(OR(Tbla_proyectos[[#This Row],[fecha_inicio]]="",Tbla_proyectos[[#This Row],[fecha_fin]]=""),"",DATEDIF(Tbla_proyectos[[#This Row],[fecha_inicio]],Tbla_proyectos[[#This Row],[fecha_fin]],"M"))</f>
        <v/>
      </c>
      <c r="L268" s="60" t="s">
        <v>11689</v>
      </c>
      <c r="M268" s="62" t="s">
        <v>11690</v>
      </c>
      <c r="N268" s="62">
        <f ca="1">IF(Tbla_proyectos[[#This Row],[municipio]]="","",VLOOKUP(Tbla_proyectos[[#This Row],[municipio]],INDIRECT(Tbla_proyectos[[#This Row],[departamento]]),2,0))</f>
        <v>4.3161076979999997</v>
      </c>
      <c r="O268" s="62">
        <f ca="1">IF(Tbla_proyectos[[#This Row],[municipio]]="","",VLOOKUP(Tbla_proyectos[[#This Row],[municipio]],INDIRECT(Tbla_proyectos[[#This Row],[departamento]]),2,0))</f>
        <v>4.3161076979999997</v>
      </c>
      <c r="P268" t="s">
        <v>11703</v>
      </c>
    </row>
    <row r="269" spans="1:16">
      <c r="A269" t="s">
        <v>11044</v>
      </c>
      <c r="B269" s="62" t="str">
        <f>LEFT(Tbla_proyectos[[#This Row],[codigo_proyecto]],4)</f>
        <v>2610</v>
      </c>
      <c r="C269" s="4" t="s">
        <v>11863</v>
      </c>
      <c r="D269" s="15" t="s">
        <v>11684</v>
      </c>
      <c r="E269" s="4" t="s">
        <v>11876</v>
      </c>
      <c r="F269" s="4" t="s">
        <v>12023</v>
      </c>
      <c r="G269" s="62" t="s">
        <v>11687</v>
      </c>
      <c r="H269" t="s">
        <v>11688</v>
      </c>
      <c r="I269" s="2"/>
      <c r="K269" s="60" t="str">
        <f>IF(OR(Tbla_proyectos[[#This Row],[fecha_inicio]]="",Tbla_proyectos[[#This Row],[fecha_fin]]=""),"",DATEDIF(Tbla_proyectos[[#This Row],[fecha_inicio]],Tbla_proyectos[[#This Row],[fecha_fin]],"M"))</f>
        <v/>
      </c>
      <c r="L269" s="60" t="s">
        <v>11689</v>
      </c>
      <c r="M269" s="62" t="s">
        <v>11690</v>
      </c>
      <c r="N269" s="62">
        <f ca="1">IF(Tbla_proyectos[[#This Row],[municipio]]="","",VLOOKUP(Tbla_proyectos[[#This Row],[municipio]],INDIRECT(Tbla_proyectos[[#This Row],[departamento]]),2,0))</f>
        <v>4.3161076979999997</v>
      </c>
      <c r="O269" s="62">
        <f ca="1">IF(Tbla_proyectos[[#This Row],[municipio]]="","",VLOOKUP(Tbla_proyectos[[#This Row],[municipio]],INDIRECT(Tbla_proyectos[[#This Row],[departamento]]),2,0))</f>
        <v>4.3161076979999997</v>
      </c>
      <c r="P269" t="s">
        <v>11703</v>
      </c>
    </row>
    <row r="270" spans="1:16">
      <c r="A270" t="s">
        <v>11022</v>
      </c>
      <c r="B270" s="62" t="str">
        <f>LEFT(Tbla_proyectos[[#This Row],[codigo_proyecto]],4)</f>
        <v>2610</v>
      </c>
      <c r="C270" s="4" t="s">
        <v>11863</v>
      </c>
      <c r="D270" s="15" t="s">
        <v>11684</v>
      </c>
      <c r="E270" s="4" t="s">
        <v>11755</v>
      </c>
      <c r="F270" s="4" t="s">
        <v>11756</v>
      </c>
      <c r="G270" s="62" t="s">
        <v>11726</v>
      </c>
      <c r="H270" t="s">
        <v>11688</v>
      </c>
      <c r="I270" s="2"/>
      <c r="K270" s="60" t="str">
        <f>IF(OR(Tbla_proyectos[[#This Row],[fecha_inicio]]="",Tbla_proyectos[[#This Row],[fecha_fin]]=""),"",DATEDIF(Tbla_proyectos[[#This Row],[fecha_inicio]],Tbla_proyectos[[#This Row],[fecha_fin]],"M"))</f>
        <v/>
      </c>
      <c r="L270" s="60" t="s">
        <v>11689</v>
      </c>
      <c r="M270" s="62" t="s">
        <v>11690</v>
      </c>
      <c r="N270" s="62">
        <f ca="1">IF(Tbla_proyectos[[#This Row],[municipio]]="","",VLOOKUP(Tbla_proyectos[[#This Row],[municipio]],INDIRECT(Tbla_proyectos[[#This Row],[departamento]]),2,0))</f>
        <v>4.3161076979999997</v>
      </c>
      <c r="O270" s="62">
        <f ca="1">IF(Tbla_proyectos[[#This Row],[municipio]]="","",VLOOKUP(Tbla_proyectos[[#This Row],[municipio]],INDIRECT(Tbla_proyectos[[#This Row],[departamento]]),2,0))</f>
        <v>4.3161076979999997</v>
      </c>
      <c r="P270" t="s">
        <v>11703</v>
      </c>
    </row>
    <row r="271" spans="1:16">
      <c r="A271" t="s">
        <v>11631</v>
      </c>
      <c r="B271" s="62" t="str">
        <f>LEFT(Tbla_proyectos[[#This Row],[codigo_proyecto]],4)</f>
        <v>2610</v>
      </c>
      <c r="C271" s="4" t="s">
        <v>11815</v>
      </c>
      <c r="D271" s="15" t="s">
        <v>11684</v>
      </c>
      <c r="E271" s="4" t="s">
        <v>11705</v>
      </c>
      <c r="F271" s="4" t="s">
        <v>11693</v>
      </c>
      <c r="G271" s="62" t="s">
        <v>11694</v>
      </c>
      <c r="H271" t="s">
        <v>11757</v>
      </c>
      <c r="I271" s="2"/>
      <c r="K271" s="60" t="str">
        <f>IF(OR(Tbla_proyectos[[#This Row],[fecha_inicio]]="",Tbla_proyectos[[#This Row],[fecha_fin]]=""),"",DATEDIF(Tbla_proyectos[[#This Row],[fecha_inicio]],Tbla_proyectos[[#This Row],[fecha_fin]],"M"))</f>
        <v/>
      </c>
      <c r="L271" s="60" t="s">
        <v>11689</v>
      </c>
      <c r="M271" s="62" t="s">
        <v>11690</v>
      </c>
      <c r="N271" s="62">
        <f ca="1">IF(Tbla_proyectos[[#This Row],[municipio]]="","",VLOOKUP(Tbla_proyectos[[#This Row],[municipio]],INDIRECT(Tbla_proyectos[[#This Row],[departamento]]),2,0))</f>
        <v>4.3161076979999997</v>
      </c>
      <c r="O271" s="62">
        <f ca="1">IF(Tbla_proyectos[[#This Row],[municipio]]="","",VLOOKUP(Tbla_proyectos[[#This Row],[municipio]],INDIRECT(Tbla_proyectos[[#This Row],[departamento]]),2,0))</f>
        <v>4.3161076979999997</v>
      </c>
      <c r="P271" t="s">
        <v>11703</v>
      </c>
    </row>
    <row r="272" spans="1:16">
      <c r="A272" t="s">
        <v>11011</v>
      </c>
      <c r="B272" s="62" t="str">
        <f>LEFT(Tbla_proyectos[[#This Row],[codigo_proyecto]],4)</f>
        <v>2610</v>
      </c>
      <c r="C272" s="4" t="s">
        <v>11953</v>
      </c>
      <c r="D272" s="15" t="s">
        <v>11684</v>
      </c>
      <c r="E272" s="4" t="s">
        <v>11954</v>
      </c>
      <c r="F272" s="4" t="s">
        <v>11686</v>
      </c>
      <c r="G272" s="62" t="s">
        <v>11687</v>
      </c>
      <c r="H272" t="s">
        <v>11688</v>
      </c>
      <c r="I272" s="2"/>
      <c r="K272" s="60" t="str">
        <f>IF(OR(Tbla_proyectos[[#This Row],[fecha_inicio]]="",Tbla_proyectos[[#This Row],[fecha_fin]]=""),"",DATEDIF(Tbla_proyectos[[#This Row],[fecha_inicio]],Tbla_proyectos[[#This Row],[fecha_fin]],"M"))</f>
        <v/>
      </c>
      <c r="L272" s="60" t="s">
        <v>11689</v>
      </c>
      <c r="M272" s="62" t="s">
        <v>11690</v>
      </c>
      <c r="N272" s="62">
        <f ca="1">IF(Tbla_proyectos[[#This Row],[municipio]]="","",VLOOKUP(Tbla_proyectos[[#This Row],[municipio]],INDIRECT(Tbla_proyectos[[#This Row],[departamento]]),2,0))</f>
        <v>4.3161076979999997</v>
      </c>
      <c r="O272" s="62">
        <f ca="1">IF(Tbla_proyectos[[#This Row],[municipio]]="","",VLOOKUP(Tbla_proyectos[[#This Row],[municipio]],INDIRECT(Tbla_proyectos[[#This Row],[departamento]]),2,0))</f>
        <v>4.3161076979999997</v>
      </c>
      <c r="P272" t="s">
        <v>11703</v>
      </c>
    </row>
    <row r="273" spans="1:15">
      <c r="A273" t="s">
        <v>71</v>
      </c>
      <c r="B273" s="62" t="str">
        <f>LEFT(Tbla_proyectos[[#This Row],[codigo_proyecto]],4)</f>
        <v>1910</v>
      </c>
      <c r="C273" s="4" t="s">
        <v>12039</v>
      </c>
      <c r="D273" s="15" t="s">
        <v>11684</v>
      </c>
      <c r="E273" s="4" t="s">
        <v>12040</v>
      </c>
      <c r="F273" s="4"/>
      <c r="I273" s="2"/>
      <c r="K273" s="60" t="str">
        <f>IF(OR(Tbla_proyectos[[#This Row],[fecha_inicio]]="",Tbla_proyectos[[#This Row],[fecha_fin]]=""),"",DATEDIF(Tbla_proyectos[[#This Row],[fecha_inicio]],Tbla_proyectos[[#This Row],[fecha_fin]],"M"))</f>
        <v/>
      </c>
      <c r="N273" s="62" t="str">
        <f ca="1">IF(Tbla_proyectos[[#This Row],[municipio]]="","",VLOOKUP(Tbla_proyectos[[#This Row],[municipio]],INDIRECT(Tbla_proyectos[[#This Row],[departamento]]),2,0))</f>
        <v/>
      </c>
      <c r="O273" s="62" t="str">
        <f ca="1">IF(Tbla_proyectos[[#This Row],[municipio]]="","",VLOOKUP(Tbla_proyectos[[#This Row],[municipio]],INDIRECT(Tbla_proyectos[[#This Row],[departamento]]),2,0))</f>
        <v/>
      </c>
    </row>
    <row r="274" spans="1:15">
      <c r="C274" s="4"/>
      <c r="E274" s="4"/>
      <c r="F274" s="4"/>
      <c r="I274" s="2"/>
    </row>
  </sheetData>
  <conditionalFormatting sqref="A2:A274">
    <cfRule type="duplicateValues" dxfId="98" priority="1"/>
  </conditionalFormatting>
  <dataValidations count="7">
    <dataValidation type="list" allowBlank="1" showInputMessage="1" showErrorMessage="1" errorTitle="Valor no válido" error="Seleccione una opción válida." promptTitle="Tipo de Proyecto" prompt="Seleccione el tipo de proyecto" sqref="D2:D1001" xr:uid="{00000000-0002-0000-0000-000000000000}">
      <formula1>LST_TIPO_DE_PROYECTO</formula1>
    </dataValidation>
    <dataValidation type="list" allowBlank="1" showInputMessage="1" showErrorMessage="1" errorTitle="Valor no válido" error="Seleccione una opción válida." promptTitle="Tipo de Actividad" prompt="Seleccione el tipo de actividad" sqref="G2:G1001" xr:uid="{00000000-0002-0000-0000-000002000000}">
      <formula1>LST_TIPO_DE_ACTIVIDAD</formula1>
    </dataValidation>
    <dataValidation type="list" allowBlank="1" showInputMessage="1" showErrorMessage="1" errorTitle="Valor no válido" error="Seleccione una opción válida." promptTitle="ODS Principal" prompt="Seleccione el ODS principal" sqref="Q273:Q1001" xr:uid="{00000000-0002-0000-0000-000001000000}">
      <formula1>LST_ODS</formula1>
    </dataValidation>
    <dataValidation type="list" allowBlank="1" showInputMessage="1" showErrorMessage="1" errorTitle="Valor no válido" error="Seleccione una opción válida." promptTitle="Municipio" prompt="Seleccione el municipio" sqref="M274:O274" xr:uid="{00000000-0002-0000-0000-000003000000}">
      <formula1>LST_MUNICIPIO</formula1>
    </dataValidation>
    <dataValidation allowBlank="1" showInputMessage="1" showErrorMessage="1" sqref="N2:O273" xr:uid="{880E5EAC-52C8-4A45-973D-1E55A10A9CF7}"/>
    <dataValidation type="list" allowBlank="1" showInputMessage="1" showErrorMessage="1" sqref="M273" xr:uid="{DBBD4A4D-0A9F-4F44-A295-4B597EAF08CF}">
      <formula1>IFERROR(INDIRECT($L273),"")</formula1>
    </dataValidation>
    <dataValidation type="list" allowBlank="1" showInputMessage="1" showErrorMessage="1" sqref="M2:M272" xr:uid="{E1B3FF11-810F-4A32-BC5D-0E6AEC5FD06B}">
      <formula1>_xlfn.DROP(INDIRECT($L2),,-2)</formula1>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promptTitle="Seleccione Temática" prompt="Seleccione la temática del proyecto" xr:uid="{4CDA2FB4-4D6C-49DF-8E26-92AE194CD3A4}">
          <x14:formula1>
            <xm:f>Listas!$D$2:$D$28</xm:f>
          </x14:formula1>
          <xm:sqref>F2:F56</xm:sqref>
        </x14:dataValidation>
        <x14:dataValidation type="list" allowBlank="1" showInputMessage="1" showErrorMessage="1" promptTitle="Departamento" prompt="Departamento de impacto del proyecto" xr:uid="{940D8411-4F87-4878-A600-62A630F80D05}">
          <x14:formula1>
            <xm:f>Listas!$W$2:$W$34</xm:f>
          </x14:formula1>
          <xm:sqref>L2:L273</xm:sqref>
        </x14:dataValidation>
        <x14:dataValidation type="list" allowBlank="1" showInputMessage="1" showErrorMessage="1" promptTitle="Estado Actual" prompt="Seleccione el estado actual del proyecto_x000a_" xr:uid="{B878A06A-A1DF-48AF-AAC8-3DB688D5F253}">
          <x14:formula1>
            <xm:f>Listas!$M$2:$M$5</xm:f>
          </x14:formula1>
          <xm:sqref>P274</xm:sqref>
        </x14:dataValidation>
        <x14:dataValidation type="list" allowBlank="1" showInputMessage="1" showErrorMessage="1" promptTitle="Estado Actual" prompt="Seleccione el estado actual del proyecto_x000a_" xr:uid="{7677A08D-8BF9-4EB7-9FAC-D012E96EEB49}">
          <x14:formula1>
            <xm:f>Listas!$M$2:$M$6</xm:f>
          </x14:formula1>
          <xm:sqref>P2:P273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C5697"/>
  </sheetPr>
  <dimension ref="A1:P137"/>
  <sheetViews>
    <sheetView topLeftCell="E1" zoomScale="85" zoomScaleNormal="85" workbookViewId="0">
      <pane ySplit="1" topLeftCell="A4" activePane="bottomLeft" state="frozen"/>
      <selection pane="bottomLeft" activeCell="O6" sqref="O6"/>
      <selection activeCell="F3" sqref="F3"/>
    </sheetView>
  </sheetViews>
  <sheetFormatPr defaultColWidth="8.7109375" defaultRowHeight="15"/>
  <cols>
    <col min="1" max="1" width="22.7109375" customWidth="1"/>
    <col min="2" max="2" width="26" customWidth="1"/>
    <col min="3" max="3" width="44.7109375" customWidth="1"/>
    <col min="4" max="4" width="36.85546875" customWidth="1"/>
    <col min="5" max="5" width="17.28515625" style="15" customWidth="1"/>
    <col min="6" max="6" width="42.28515625" customWidth="1"/>
    <col min="7" max="7" width="30.5703125" customWidth="1"/>
    <col min="8" max="8" width="30" customWidth="1"/>
    <col min="9" max="9" width="20" customWidth="1"/>
    <col min="10" max="10" width="22" customWidth="1"/>
    <col min="11" max="11" width="26" customWidth="1"/>
    <col min="12" max="12" width="23" customWidth="1"/>
    <col min="13" max="13" width="29.85546875" customWidth="1"/>
    <col min="14" max="14" width="20.140625" customWidth="1"/>
    <col min="15" max="15" width="38.42578125" customWidth="1"/>
    <col min="16" max="20" width="18" customWidth="1"/>
  </cols>
  <sheetData>
    <row r="1" spans="1:16" ht="28.15" customHeight="1">
      <c r="A1" s="67" t="s">
        <v>12041</v>
      </c>
      <c r="B1" s="67" t="s">
        <v>12042</v>
      </c>
      <c r="C1" s="67" t="s">
        <v>12043</v>
      </c>
      <c r="D1" s="67" t="s">
        <v>12044</v>
      </c>
      <c r="E1" s="67" t="s">
        <v>12045</v>
      </c>
      <c r="F1" s="68" t="s">
        <v>12046</v>
      </c>
      <c r="G1" s="67" t="s">
        <v>12047</v>
      </c>
      <c r="H1" s="67" t="s">
        <v>12048</v>
      </c>
      <c r="I1" s="67" t="s">
        <v>54</v>
      </c>
      <c r="J1" s="67" t="s">
        <v>12049</v>
      </c>
      <c r="K1" s="67" t="s">
        <v>11679</v>
      </c>
      <c r="L1" s="67" t="s">
        <v>12050</v>
      </c>
      <c r="M1" s="67" t="s">
        <v>12051</v>
      </c>
      <c r="N1" s="67" t="s">
        <v>12052</v>
      </c>
      <c r="O1" s="67" t="s">
        <v>60</v>
      </c>
    </row>
    <row r="2" spans="1:16" ht="30">
      <c r="A2" t="s">
        <v>12053</v>
      </c>
      <c r="B2" t="str" cm="1">
        <f t="array" ref="B2">_xlfn.LET(_xlpm._nit,TRIM(A2&amp;""),_xlpm._rs,TRIM(UPPER(C2&amp;"")),_xlpm._txt,TRIM(SUBSTITUTE(SUBSTITUTE(SUBSTITUTE(SUBSTITUTE(SUBSTITUTE(SUBSTITUTE(SUBSTITUTE(_xlpm._rs,".",""),",","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00000111-1</v>
      </c>
      <c r="C2" s="36" t="s">
        <v>12054</v>
      </c>
      <c r="D2" t="s">
        <v>12055</v>
      </c>
      <c r="F2" t="str">
        <f>IF(Tbla_entidades[[#This Row],[CIUU]]="","",_xlfn.XLOOKUP(Tbla_entidades[[#This Row],[CIUU]],Listas!$N:$N,Listas!$O:$O,""))</f>
        <v/>
      </c>
      <c r="G2" t="s">
        <v>12056</v>
      </c>
      <c r="I2" t="s">
        <v>12057</v>
      </c>
      <c r="J2" t="s">
        <v>12058</v>
      </c>
      <c r="K2" t="s">
        <v>12059</v>
      </c>
      <c r="L2" t="s">
        <v>12060</v>
      </c>
      <c r="M2" t="s">
        <v>2558</v>
      </c>
      <c r="N2" s="2" t="s">
        <v>2558</v>
      </c>
    </row>
    <row r="3" spans="1:16">
      <c r="A3" t="s">
        <v>12061</v>
      </c>
      <c r="B3" t="str" cm="1">
        <f t="array" ref="B3">_xlfn.LET(_xlpm._nit,TRIM(A3&amp;""),_xlpm._rs,TRIM(UPPER(C3&amp;"")),_xlpm._txt,TRIM(SUBSTITUTE(SUBSTITUTE(SUBSTITUTE(SUBSTITUTE(SUBSTITUTE(SUBSTITUTE(SUBSTITUTE(_xlpm._rs,".",""),",","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00000111-2</v>
      </c>
      <c r="C3" s="36" t="s">
        <v>12062</v>
      </c>
      <c r="D3" t="s">
        <v>12055</v>
      </c>
      <c r="F3" t="str">
        <f>IF(Tbla_entidades[[#This Row],[CIUU]]="","",_xlfn.XLOOKUP(Tbla_entidades[[#This Row],[CIUU]],Listas!$N:$N,Listas!$O:$O,""))</f>
        <v/>
      </c>
      <c r="G3" t="s">
        <v>12063</v>
      </c>
      <c r="H3">
        <v>3137773777</v>
      </c>
      <c r="I3" t="s">
        <v>12057</v>
      </c>
      <c r="J3" t="s">
        <v>12058</v>
      </c>
      <c r="K3" t="s">
        <v>12059</v>
      </c>
      <c r="L3" t="s">
        <v>12060</v>
      </c>
      <c r="M3" t="s">
        <v>2558</v>
      </c>
      <c r="N3" s="2" t="s">
        <v>2558</v>
      </c>
    </row>
    <row r="4" spans="1:16" ht="30">
      <c r="A4" t="s">
        <v>12064</v>
      </c>
      <c r="B4" t="str" cm="1">
        <f t="array" ref="B4">_xlfn.LET(_xlpm._nit,TRIM(A4&amp;""),_xlpm._rs,TRIM(UPPER(C4&amp;"")),_xlpm._txt,TRIM(SUBSTITUTE(SUBSTITUTE(SUBSTITUTE(SUBSTITUTE(SUBSTITUTE(SUBSTITUTE(SUBSTITUTE(_xlpm._rs,".",""),",","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00000111-3</v>
      </c>
      <c r="C4" s="36" t="s">
        <v>12065</v>
      </c>
      <c r="D4" t="s">
        <v>12055</v>
      </c>
      <c r="F4" t="str">
        <f>IF(Tbla_entidades[[#This Row],[CIUU]]="","",_xlfn.XLOOKUP(Tbla_entidades[[#This Row],[CIUU]],Listas!$N:$N,Listas!$O:$O,""))</f>
        <v/>
      </c>
      <c r="G4" t="s">
        <v>12066</v>
      </c>
      <c r="I4" t="s">
        <v>12057</v>
      </c>
      <c r="J4" t="s">
        <v>12067</v>
      </c>
      <c r="K4" t="s">
        <v>12059</v>
      </c>
      <c r="L4" t="s">
        <v>12060</v>
      </c>
      <c r="M4" t="s">
        <v>2558</v>
      </c>
      <c r="N4" s="2" t="s">
        <v>2558</v>
      </c>
    </row>
    <row r="5" spans="1:16">
      <c r="A5" t="s">
        <v>12068</v>
      </c>
      <c r="B5" t="str" cm="1">
        <f t="array" ref="B5">_xlfn.LET(_xlpm._nit,TRIM(A5&amp;""),_xlpm._rs,TRIM(UPPER(C5&amp;"")),_xlpm._txt,TRIM(SUBSTITUTE(SUBSTITUTE(SUBSTITUTE(SUBSTITUTE(SUBSTITUTE(SUBSTITUTE(SUBSTITUTE(_xlpm._rs,".",""),",","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800023096-6</v>
      </c>
      <c r="C5" s="36" t="s">
        <v>12069</v>
      </c>
      <c r="D5" t="s">
        <v>12055</v>
      </c>
      <c r="F5" t="str">
        <f>IF(Tbla_entidades[[#This Row],[CIUU]]="","",_xlfn.XLOOKUP(Tbla_entidades[[#This Row],[CIUU]],Listas!$N:$N,Listas!$O:$O,""))</f>
        <v/>
      </c>
      <c r="G5" t="s">
        <v>12070</v>
      </c>
      <c r="H5">
        <v>0</v>
      </c>
      <c r="I5" t="s">
        <v>12071</v>
      </c>
      <c r="J5" t="s">
        <v>11989</v>
      </c>
      <c r="K5" t="s">
        <v>12059</v>
      </c>
      <c r="L5" t="s">
        <v>12060</v>
      </c>
      <c r="M5" t="s">
        <v>12072</v>
      </c>
      <c r="N5" s="2">
        <v>44767</v>
      </c>
    </row>
    <row r="6" spans="1:16">
      <c r="A6" t="s">
        <v>12073</v>
      </c>
      <c r="B6" t="str" cm="1">
        <f t="array" ref="B6">_xlfn.LET(_xlpm._nit,TRIM(A6&amp;""),_xlpm._rs,TRIM(UPPER(C6&amp;"")),_xlpm._txt,TRIM(SUBSTITUTE(SUBSTITUTE(SUBSTITUTE(SUBSTITUTE(SUBSTITUTE(SUBSTITUTE(SUBSTITUTE(_xlpm._rs,".",""),",","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800048102-2</v>
      </c>
      <c r="C6" s="36" t="s">
        <v>12074</v>
      </c>
      <c r="D6" t="s">
        <v>12055</v>
      </c>
      <c r="F6" t="str">
        <f>IF(Tbla_entidades[[#This Row],[CIUU]]="","",_xlfn.XLOOKUP(Tbla_entidades[[#This Row],[CIUU]],Listas!$N:$N,Listas!$O:$O,""))</f>
        <v/>
      </c>
      <c r="G6" t="s">
        <v>12075</v>
      </c>
      <c r="H6">
        <v>7105855</v>
      </c>
      <c r="I6" t="s">
        <v>12076</v>
      </c>
      <c r="J6" t="s">
        <v>12077</v>
      </c>
      <c r="K6" t="s">
        <v>12078</v>
      </c>
      <c r="L6" t="s">
        <v>12060</v>
      </c>
      <c r="M6" t="s">
        <v>12079</v>
      </c>
      <c r="N6" s="2">
        <v>46210</v>
      </c>
    </row>
    <row r="7" spans="1:16">
      <c r="A7" t="s">
        <v>12080</v>
      </c>
      <c r="B7" t="str" cm="1">
        <f t="array" ref="B7">_xlfn.LET(_xlpm._nit,TRIM(A7&amp;""),_xlpm._rs,TRIM(UPPER(C7&amp;"")),_xlpm._txt,TRIM(SUBSTITUTE(SUBSTITUTE(SUBSTITUTE(SUBSTITUTE(SUBSTITUTE(SUBSTITUTE(SUBSTITUTE(_xlpm._rs,".",""),",","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800065394-8</v>
      </c>
      <c r="C7" s="36" t="s">
        <v>12081</v>
      </c>
      <c r="D7" t="s">
        <v>12055</v>
      </c>
      <c r="F7" t="str">
        <f>IF(Tbla_entidades[[#This Row],[CIUU]]="","",_xlfn.XLOOKUP(Tbla_entidades[[#This Row],[CIUU]],Listas!$N:$N,Listas!$O:$O,""))</f>
        <v/>
      </c>
      <c r="G7" t="s">
        <v>12082</v>
      </c>
      <c r="H7" t="s">
        <v>12083</v>
      </c>
      <c r="I7" t="s">
        <v>12084</v>
      </c>
      <c r="J7" t="s">
        <v>12085</v>
      </c>
      <c r="K7" t="s">
        <v>12059</v>
      </c>
      <c r="L7" t="s">
        <v>12060</v>
      </c>
      <c r="M7" t="s">
        <v>12086</v>
      </c>
      <c r="N7" s="2">
        <v>44777</v>
      </c>
    </row>
    <row r="8" spans="1:16">
      <c r="A8" t="s">
        <v>12087</v>
      </c>
      <c r="B8" t="str" cm="1">
        <f t="array" ref="B8">_xlfn.LET(_xlpm._nit,TRIM(A8&amp;""),_xlpm._rs,TRIM(UPPER(C8&amp;"")),_xlpm._txt,TRIM(SUBSTITUTE(SUBSTITUTE(SUBSTITUTE(SUBSTITUTE(SUBSTITUTE(SUBSTITUTE(SUBSTITUTE(_xlpm._rs,".",""),",","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800151826-6</v>
      </c>
      <c r="C8" s="36" t="s">
        <v>12088</v>
      </c>
      <c r="D8" t="s">
        <v>12055</v>
      </c>
      <c r="F8" t="str">
        <f>IF(Tbla_entidades[[#This Row],[CIUU]]="","",_xlfn.XLOOKUP(Tbla_entidades[[#This Row],[CIUU]],Listas!$N:$N,Listas!$O:$O,""))</f>
        <v/>
      </c>
      <c r="G8" t="s">
        <v>12089</v>
      </c>
      <c r="H8">
        <v>3052164093</v>
      </c>
      <c r="I8" t="s">
        <v>12090</v>
      </c>
      <c r="J8" t="s">
        <v>12067</v>
      </c>
      <c r="K8" t="s">
        <v>12059</v>
      </c>
      <c r="L8" t="s">
        <v>12060</v>
      </c>
      <c r="M8" t="s">
        <v>12091</v>
      </c>
      <c r="N8" s="2" t="s">
        <v>12092</v>
      </c>
    </row>
    <row r="9" spans="1:16" ht="30">
      <c r="A9" t="s">
        <v>12093</v>
      </c>
      <c r="B9" t="str" cm="1">
        <f t="array" ref="B9">_xlfn.LET(_xlpm._nit,TRIM(A9&amp;""),_xlpm._rs,TRIM(UPPER(C9&amp;"")),_xlpm._txt,TRIM(SUBSTITUTE(SUBSTITUTE(SUBSTITUTE(SUBSTITUTE(SUBSTITUTE(SUBSTITUTE(SUBSTITUTE(_xlpm._rs,".",""),",","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800189093-9</v>
      </c>
      <c r="C9" s="36" t="s">
        <v>12094</v>
      </c>
      <c r="D9" t="s">
        <v>12055</v>
      </c>
      <c r="G9" t="s">
        <v>12095</v>
      </c>
      <c r="H9">
        <v>8572147</v>
      </c>
      <c r="I9" t="s">
        <v>12096</v>
      </c>
      <c r="J9" t="s">
        <v>12097</v>
      </c>
      <c r="K9" t="s">
        <v>12059</v>
      </c>
      <c r="L9" t="s">
        <v>12060</v>
      </c>
      <c r="M9" t="s">
        <v>12098</v>
      </c>
      <c r="N9" s="2">
        <v>46224</v>
      </c>
    </row>
    <row r="10" spans="1:16" ht="30">
      <c r="A10" t="s">
        <v>12099</v>
      </c>
      <c r="B10" t="str" cm="1">
        <f t="array" ref="B10">_xlfn.LET(_xlpm._nit,TRIM(A10&amp;""),_xlpm._rs,TRIM(UPPER(C10&amp;"")),_xlpm._txt,TRIM(SUBSTITUTE(SUBSTITUTE(SUBSTITUTE(SUBSTITUTE(SUBSTITUTE(SUBSTITUTE(SUBSTITUTE(_xlpm._rs,".",""),",","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800197098-9</v>
      </c>
      <c r="C10" s="36" t="s">
        <v>12100</v>
      </c>
      <c r="F10" t="str">
        <f>IF(Tbla_entidades[[#This Row],[CIUU]]="","",_xlfn.XLOOKUP(Tbla_entidades[[#This Row],[CIUU]],Listas!$N:$N,Listas!$O:$O,""))</f>
        <v/>
      </c>
      <c r="I10" t="s">
        <v>12101</v>
      </c>
      <c r="J10" t="s">
        <v>12102</v>
      </c>
      <c r="K10" t="s">
        <v>12059</v>
      </c>
      <c r="N10" s="2"/>
    </row>
    <row r="11" spans="1:16" ht="14.25" customHeight="1">
      <c r="A11" t="s">
        <v>12103</v>
      </c>
      <c r="B11" t="str" cm="1">
        <f t="array" ref="B11">_xlfn.LET(_xlpm._nit,TRIM(A11&amp;""),_xlpm._rs,TRIM(UPPER(C11&amp;"")),_xlpm._txt,TRIM(SUBSTITUTE(SUBSTITUTE(SUBSTITUTE(SUBSTITUTE(SUBSTITUTE(SUBSTITUTE(SUBSTITUTE(_xlpm._rs,".",""),",","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800223876-4</v>
      </c>
      <c r="C11" s="36" t="s">
        <v>12104</v>
      </c>
      <c r="F11" t="str">
        <f>IF(Tbla_entidades[[#This Row],[CIUU]]="","",_xlfn.XLOOKUP(Tbla_entidades[[#This Row],[CIUU]],Listas!$N:$N,Listas!$O:$O,""))</f>
        <v/>
      </c>
      <c r="I11" t="s">
        <v>12105</v>
      </c>
      <c r="J11" t="s">
        <v>12058</v>
      </c>
      <c r="K11" t="s">
        <v>12059</v>
      </c>
      <c r="N11" s="2"/>
      <c r="P11" s="5"/>
    </row>
    <row r="12" spans="1:16">
      <c r="A12" t="s">
        <v>12106</v>
      </c>
      <c r="B12" t="str" cm="1">
        <f t="array" ref="B12">_xlfn.LET(_xlpm._nit,TRIM(A12&amp;""),_xlpm._rs,TRIM(UPPER(C12&amp;"")),_xlpm._txt,TRIM(SUBSTITUTE(SUBSTITUTE(SUBSTITUTE(SUBSTITUTE(SUBSTITUTE(SUBSTITUTE(SUBSTITUTE(_xlpm._rs,".",""),",","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800232778-9</v>
      </c>
      <c r="C12" s="36" t="s">
        <v>12107</v>
      </c>
      <c r="D12" t="s">
        <v>12055</v>
      </c>
      <c r="F12" t="str">
        <f>IF(Tbla_entidades[[#This Row],[CIUU]]="","",_xlfn.XLOOKUP(Tbla_entidades[[#This Row],[CIUU]],Listas!$N:$N,Listas!$O:$O,""))</f>
        <v/>
      </c>
      <c r="G12" t="s">
        <v>12108</v>
      </c>
      <c r="H12">
        <v>0</v>
      </c>
      <c r="I12" t="s">
        <v>12109</v>
      </c>
      <c r="J12" t="s">
        <v>12067</v>
      </c>
      <c r="K12" t="s">
        <v>12059</v>
      </c>
      <c r="L12" t="s">
        <v>12060</v>
      </c>
      <c r="M12" t="s">
        <v>12110</v>
      </c>
      <c r="N12" s="2">
        <v>44767</v>
      </c>
    </row>
    <row r="13" spans="1:16" ht="14.25" customHeight="1">
      <c r="A13" t="s">
        <v>12111</v>
      </c>
      <c r="B13" t="str" cm="1">
        <f t="array" ref="B13">_xlfn.LET(_xlpm._nit,TRIM(A13&amp;""),_xlpm._rs,TRIM(UPPER(C13&amp;"")),_xlpm._txt,TRIM(SUBSTITUTE(SUBSTITUTE(SUBSTITUTE(SUBSTITUTE(SUBSTITUTE(SUBSTITUTE(SUBSTITUTE(_xlpm._rs,".",""),",","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808004139-4</v>
      </c>
      <c r="C13" s="36" t="s">
        <v>12112</v>
      </c>
      <c r="D13" t="s">
        <v>12055</v>
      </c>
      <c r="F13" t="str">
        <f>IF(Tbla_entidades[[#This Row],[CIUU]]="","",_xlfn.XLOOKUP(Tbla_entidades[[#This Row],[CIUU]],Listas!$N:$N,Listas!$O:$O,""))</f>
        <v/>
      </c>
      <c r="G13" t="s">
        <v>12113</v>
      </c>
      <c r="H13">
        <v>3002783497</v>
      </c>
      <c r="I13" t="s">
        <v>12114</v>
      </c>
      <c r="J13" t="s">
        <v>12114</v>
      </c>
      <c r="K13" t="s">
        <v>12059</v>
      </c>
      <c r="L13" t="s">
        <v>12060</v>
      </c>
      <c r="M13" t="s">
        <v>12115</v>
      </c>
      <c r="N13" s="2">
        <v>44949</v>
      </c>
      <c r="P13" s="5"/>
    </row>
    <row r="14" spans="1:16" ht="30">
      <c r="A14" t="s">
        <v>12116</v>
      </c>
      <c r="B14" t="str" cm="1">
        <f t="array" ref="B14">_xlfn.LET(_xlpm._nit,TRIM(A14&amp;""),_xlpm._rs,TRIM(UPPER(C14&amp;"")),_xlpm._txt,TRIM(SUBSTITUTE(SUBSTITUTE(SUBSTITUTE(SUBSTITUTE(SUBSTITUTE(SUBSTITUTE(SUBSTITUTE(_xlpm._rs,".",""),",","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811004956-6</v>
      </c>
      <c r="C14" s="36" t="s">
        <v>12117</v>
      </c>
      <c r="D14" t="s">
        <v>12055</v>
      </c>
      <c r="F14" t="str">
        <f>IF(Tbla_entidades[[#This Row],[CIUU]]="","",_xlfn.XLOOKUP(Tbla_entidades[[#This Row],[CIUU]],Listas!$N:$N,Listas!$O:$O,""))</f>
        <v/>
      </c>
      <c r="H14">
        <v>3017481056</v>
      </c>
      <c r="I14" t="s">
        <v>12118</v>
      </c>
      <c r="J14" t="s">
        <v>12119</v>
      </c>
      <c r="K14" t="s">
        <v>12059</v>
      </c>
      <c r="L14" t="s">
        <v>12060</v>
      </c>
      <c r="M14" t="s">
        <v>12120</v>
      </c>
      <c r="N14" s="2">
        <v>46662</v>
      </c>
    </row>
    <row r="15" spans="1:16">
      <c r="A15" t="s">
        <v>12121</v>
      </c>
      <c r="B15" t="str" cm="1">
        <f t="array" ref="B15">_xlfn.LET(_xlpm._nit,TRIM(A15&amp;""),_xlpm._rs,TRIM(UPPER(C15&amp;"")),_xlpm._txt,TRIM(SUBSTITUTE(SUBSTITUTE(SUBSTITUTE(SUBSTITUTE(SUBSTITUTE(SUBSTITUTE(SUBSTITUTE(_xlpm._rs,".",""),",","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830003252-4</v>
      </c>
      <c r="C15" s="36" t="s">
        <v>12122</v>
      </c>
      <c r="D15" t="s">
        <v>12055</v>
      </c>
      <c r="F15" t="str">
        <f>IF(Tbla_entidades[[#This Row],[CIUU]]="","",_xlfn.XLOOKUP(Tbla_entidades[[#This Row],[CIUU]],Listas!$N:$N,Listas!$O:$O,""))</f>
        <v/>
      </c>
      <c r="G15" t="s">
        <v>12123</v>
      </c>
      <c r="H15" t="s">
        <v>12124</v>
      </c>
      <c r="I15" t="s">
        <v>12125</v>
      </c>
      <c r="J15" t="s">
        <v>12126</v>
      </c>
      <c r="K15" t="s">
        <v>12059</v>
      </c>
      <c r="L15" t="s">
        <v>12060</v>
      </c>
      <c r="M15" t="s">
        <v>12127</v>
      </c>
      <c r="N15" s="2">
        <v>45137</v>
      </c>
    </row>
    <row r="16" spans="1:16" ht="30">
      <c r="A16" t="s">
        <v>12128</v>
      </c>
      <c r="B16" t="str" cm="1">
        <f t="array" ref="B16">_xlfn.LET(_xlpm._nit,TRIM(A16&amp;""),_xlpm._rs,TRIM(UPPER(C16&amp;"")),_xlpm._txt,TRIM(SUBSTITUTE(SUBSTITUTE(SUBSTITUTE(SUBSTITUTE(SUBSTITUTE(SUBSTITUTE(SUBSTITUTE(_xlpm._rs,".",""),",","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830033350-6</v>
      </c>
      <c r="C16" s="36" t="s">
        <v>12129</v>
      </c>
      <c r="D16" t="s">
        <v>12130</v>
      </c>
      <c r="F16" t="str">
        <f>IF(Tbla_entidades[[#This Row],[CIUU]]="","",_xlfn.XLOOKUP(Tbla_entidades[[#This Row],[CIUU]],Listas!$N:$N,Listas!$O:$O,""))</f>
        <v/>
      </c>
      <c r="G16" t="s">
        <v>12131</v>
      </c>
      <c r="H16">
        <v>2267414</v>
      </c>
      <c r="I16" t="s">
        <v>12132</v>
      </c>
      <c r="J16" t="s">
        <v>12133</v>
      </c>
      <c r="K16" t="s">
        <v>12059</v>
      </c>
      <c r="L16" t="s">
        <v>12060</v>
      </c>
      <c r="M16" t="s">
        <v>12134</v>
      </c>
      <c r="N16" s="2">
        <v>44805</v>
      </c>
    </row>
    <row r="17" spans="1:15">
      <c r="A17" t="s">
        <v>12135</v>
      </c>
      <c r="B17" t="str" cm="1">
        <f t="array" ref="B17">_xlfn.LET(_xlpm._nit,TRIM(A17&amp;""),_xlpm._rs,TRIM(UPPER(C17&amp;"")),_xlpm._txt,TRIM(SUBSTITUTE(SUBSTITUTE(SUBSTITUTE(SUBSTITUTE(SUBSTITUTE(SUBSTITUTE(SUBSTITUTE(_xlpm._rs,".",""),",","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830041897-6</v>
      </c>
      <c r="C17" s="36" t="s">
        <v>12136</v>
      </c>
      <c r="D17" t="s">
        <v>12130</v>
      </c>
      <c r="E17" s="15">
        <v>8521</v>
      </c>
      <c r="F17" t="str">
        <f>IF(Tbla_entidades[[#This Row],[CIUU]]="","",_xlfn.XLOOKUP(Tbla_entidades[[#This Row],[CIUU]],Listas!$N:$N,Listas!$O:$O,""))</f>
        <v>Educación básica secundaria.</v>
      </c>
      <c r="G17" t="s">
        <v>12137</v>
      </c>
      <c r="H17" t="s">
        <v>12138</v>
      </c>
      <c r="I17" t="s">
        <v>12139</v>
      </c>
      <c r="J17" t="s">
        <v>12067</v>
      </c>
      <c r="K17" t="s">
        <v>12059</v>
      </c>
      <c r="L17" t="s">
        <v>12060</v>
      </c>
      <c r="M17" t="s">
        <v>12140</v>
      </c>
      <c r="N17" s="2">
        <v>46821</v>
      </c>
    </row>
    <row r="18" spans="1:15">
      <c r="A18" t="s">
        <v>12141</v>
      </c>
      <c r="B18" t="str" cm="1">
        <f t="array" ref="B18">_xlfn.LET(_xlpm._nit,TRIM(A18&amp;""),_xlpm._rs,TRIM(UPPER(C18&amp;"")),_xlpm._txt,TRIM(SUBSTITUTE(SUBSTITUTE(SUBSTITUTE(SUBSTITUTE(SUBSTITUTE(SUBSTITUTE(SUBSTITUTE(_xlpm._rs,".",""),",","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830062520-5</v>
      </c>
      <c r="C18" s="36" t="s">
        <v>12142</v>
      </c>
      <c r="D18" t="s">
        <v>12055</v>
      </c>
      <c r="F18" t="str">
        <f>IF(Tbla_entidades[[#This Row],[CIUU]]="","",_xlfn.XLOOKUP(Tbla_entidades[[#This Row],[CIUU]],Listas!$N:$N,Listas!$O:$O,""))</f>
        <v/>
      </c>
      <c r="G18" t="s">
        <v>12143</v>
      </c>
      <c r="H18">
        <v>3202008232</v>
      </c>
      <c r="I18" t="s">
        <v>12144</v>
      </c>
      <c r="J18" t="s">
        <v>12067</v>
      </c>
      <c r="K18" t="s">
        <v>12059</v>
      </c>
      <c r="L18" t="s">
        <v>12060</v>
      </c>
      <c r="M18" t="s">
        <v>12145</v>
      </c>
      <c r="N18" s="2" t="s">
        <v>12146</v>
      </c>
    </row>
    <row r="19" spans="1:15" ht="30">
      <c r="A19" t="s">
        <v>12147</v>
      </c>
      <c r="B19" t="str" cm="1">
        <f t="array" ref="B19">_xlfn.LET(_xlpm._nit,TRIM(A19&amp;""),_xlpm._rs,TRIM(UPPER(C19&amp;"")),_xlpm._txt,TRIM(SUBSTITUTE(SUBSTITUTE(SUBSTITUTE(SUBSTITUTE(SUBSTITUTE(SUBSTITUTE(SUBSTITUTE(_xlpm._rs,".",""),",","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830078970-6</v>
      </c>
      <c r="C19" s="36" t="s">
        <v>12148</v>
      </c>
      <c r="D19" t="s">
        <v>12055</v>
      </c>
      <c r="E19" s="15">
        <v>9499</v>
      </c>
      <c r="F19" t="str">
        <f>IF(Tbla_entidades[[#This Row],[CIUU]]="","",_xlfn.XLOOKUP(Tbla_entidades[[#This Row],[CIUU]],Listas!$N:$N,Listas!$O:$O,""))</f>
        <v>Actividades de otras asociaciones n.c.p.</v>
      </c>
      <c r="G19" t="s">
        <v>12149</v>
      </c>
      <c r="H19">
        <v>3112783080</v>
      </c>
      <c r="I19" t="s">
        <v>12150</v>
      </c>
      <c r="J19" t="s">
        <v>12058</v>
      </c>
      <c r="K19" t="s">
        <v>12059</v>
      </c>
      <c r="L19" t="s">
        <v>12060</v>
      </c>
      <c r="M19" t="s">
        <v>12151</v>
      </c>
      <c r="N19" s="2">
        <v>44767</v>
      </c>
    </row>
    <row r="20" spans="1:15">
      <c r="A20" t="s">
        <v>12152</v>
      </c>
      <c r="B20" t="str" cm="1">
        <f t="array" ref="B20">_xlfn.LET(_xlpm._nit,TRIM(A20&amp;""),_xlpm._rs,TRIM(UPPER(C20&amp;"")),_xlpm._txt,TRIM(SUBSTITUTE(SUBSTITUTE(SUBSTITUTE(SUBSTITUTE(SUBSTITUTE(SUBSTITUTE(SUBSTITUTE(_xlpm._rs,".",""),",","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830079131-8</v>
      </c>
      <c r="C20" s="36" t="s">
        <v>12153</v>
      </c>
      <c r="D20" t="s">
        <v>12130</v>
      </c>
      <c r="E20" s="15">
        <v>8521</v>
      </c>
      <c r="F20" t="str">
        <f>IF(Tbla_entidades[[#This Row],[CIUU]]="","",_xlfn.XLOOKUP(Tbla_entidades[[#This Row],[CIUU]],Listas!$N:$N,Listas!$O:$O,""))</f>
        <v>Educación básica secundaria.</v>
      </c>
      <c r="G20" t="s">
        <v>12154</v>
      </c>
      <c r="H20">
        <v>3057923922</v>
      </c>
      <c r="I20" t="s">
        <v>12155</v>
      </c>
      <c r="J20" t="s">
        <v>12126</v>
      </c>
      <c r="K20" t="s">
        <v>12059</v>
      </c>
      <c r="L20" t="s">
        <v>12156</v>
      </c>
      <c r="N20" s="2"/>
    </row>
    <row r="21" spans="1:15">
      <c r="A21" t="s">
        <v>12157</v>
      </c>
      <c r="B21" t="str" cm="1">
        <f t="array" ref="B21">_xlfn.LET(_xlpm._nit,TRIM(A21&amp;""),_xlpm._rs,TRIM(UPPER(C21&amp;"")),_xlpm._txt,TRIM(SUBSTITUTE(SUBSTITUTE(SUBSTITUTE(SUBSTITUTE(SUBSTITUTE(SUBSTITUTE(SUBSTITUTE(_xlpm._rs,".",""),",","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830086601-7</v>
      </c>
      <c r="C21" s="36" t="s">
        <v>12158</v>
      </c>
      <c r="D21" t="s">
        <v>12055</v>
      </c>
      <c r="F21" t="str">
        <f>IF(Tbla_entidades[[#This Row],[CIUU]]="","",_xlfn.XLOOKUP(Tbla_entidades[[#This Row],[CIUU]],Listas!$N:$N,Listas!$O:$O,""))</f>
        <v/>
      </c>
      <c r="G21" t="s">
        <v>12159</v>
      </c>
      <c r="H21">
        <v>7470828</v>
      </c>
      <c r="I21" t="s">
        <v>12160</v>
      </c>
      <c r="J21" t="s">
        <v>12161</v>
      </c>
      <c r="K21" t="s">
        <v>12059</v>
      </c>
      <c r="L21" t="s">
        <v>12060</v>
      </c>
      <c r="M21" t="s">
        <v>12162</v>
      </c>
      <c r="N21" s="2">
        <v>44771</v>
      </c>
    </row>
    <row r="22" spans="1:15">
      <c r="A22" t="s">
        <v>12163</v>
      </c>
      <c r="B22" t="str" cm="1">
        <f t="array" ref="B22">_xlfn.LET(_xlpm._nit,TRIM(A22&amp;""),_xlpm._rs,TRIM(UPPER(C22&amp;"")),_xlpm._txt,TRIM(SUBSTITUTE(SUBSTITUTE(SUBSTITUTE(SUBSTITUTE(SUBSTITUTE(SUBSTITUTE(SUBSTITUTE(_xlpm._rs,".",""),",","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830098811-9</v>
      </c>
      <c r="C22" s="36" t="s">
        <v>12164</v>
      </c>
      <c r="D22" t="s">
        <v>12055</v>
      </c>
      <c r="F22" t="str">
        <f>IF(Tbla_entidades[[#This Row],[CIUU]]="","",_xlfn.XLOOKUP(Tbla_entidades[[#This Row],[CIUU]],Listas!$N:$N,Listas!$O:$O,""))</f>
        <v/>
      </c>
      <c r="G22" t="s">
        <v>12165</v>
      </c>
      <c r="H22">
        <v>6854670</v>
      </c>
      <c r="I22" t="s">
        <v>12166</v>
      </c>
      <c r="J22" t="s">
        <v>12167</v>
      </c>
      <c r="K22" t="s">
        <v>12059</v>
      </c>
      <c r="L22" t="s">
        <v>12060</v>
      </c>
      <c r="M22" t="s">
        <v>12168</v>
      </c>
      <c r="N22" s="2">
        <v>44771</v>
      </c>
    </row>
    <row r="23" spans="1:15">
      <c r="A23" t="s">
        <v>12169</v>
      </c>
      <c r="B23" t="str" cm="1">
        <f t="array" ref="B23">_xlfn.LET(_xlpm._nit,TRIM(A23&amp;""),_xlpm._rs,TRIM(UPPER(C23&amp;"")),_xlpm._txt,TRIM(SUBSTITUTE(SUBSTITUTE(SUBSTITUTE(SUBSTITUTE(SUBSTITUTE(SUBSTITUTE(SUBSTITUTE(_xlpm._rs,".",""),",","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830099276-2</v>
      </c>
      <c r="C23" s="36" t="s">
        <v>12170</v>
      </c>
      <c r="D23" t="s">
        <v>12055</v>
      </c>
      <c r="F23" t="str">
        <f>IF(Tbla_entidades[[#This Row],[CIUU]]="","",_xlfn.XLOOKUP(Tbla_entidades[[#This Row],[CIUU]],Listas!$N:$N,Listas!$O:$O,""))</f>
        <v/>
      </c>
      <c r="G23" t="s">
        <v>12171</v>
      </c>
      <c r="H23">
        <v>3514207</v>
      </c>
      <c r="I23" t="s">
        <v>12172</v>
      </c>
      <c r="J23" t="s">
        <v>12173</v>
      </c>
      <c r="K23" t="s">
        <v>12059</v>
      </c>
      <c r="L23" t="s">
        <v>12060</v>
      </c>
      <c r="M23" t="s">
        <v>12174</v>
      </c>
      <c r="N23" s="2">
        <v>44767</v>
      </c>
    </row>
    <row r="24" spans="1:15">
      <c r="A24" t="s">
        <v>12175</v>
      </c>
      <c r="B24" t="str" cm="1">
        <f t="array" ref="B24">_xlfn.LET(_xlpm._nit,TRIM(A24&amp;""),_xlpm._rs,TRIM(UPPER(C24&amp;"")),_xlpm._txt,TRIM(SUBSTITUTE(SUBSTITUTE(SUBSTITUTE(SUBSTITUTE(SUBSTITUTE(SUBSTITUTE(SUBSTITUTE(_xlpm._rs,".",""),",","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830100437-5</v>
      </c>
      <c r="C24" s="36" t="s">
        <v>12176</v>
      </c>
      <c r="D24" t="s">
        <v>12130</v>
      </c>
      <c r="E24" s="15">
        <v>8521</v>
      </c>
      <c r="F24" t="str">
        <f>IF(Tbla_entidades[[#This Row],[CIUU]]="","",_xlfn.XLOOKUP(Tbla_entidades[[#This Row],[CIUU]],Listas!$N:$N,Listas!$O:$O,""))</f>
        <v>Educación básica secundaria.</v>
      </c>
      <c r="G24" t="s">
        <v>12177</v>
      </c>
      <c r="H24">
        <v>4184079</v>
      </c>
      <c r="I24" t="s">
        <v>12178</v>
      </c>
      <c r="J24" t="s">
        <v>12179</v>
      </c>
      <c r="K24" t="s">
        <v>12059</v>
      </c>
      <c r="L24" t="s">
        <v>12060</v>
      </c>
      <c r="M24" t="s">
        <v>12180</v>
      </c>
      <c r="N24" s="2">
        <v>44771</v>
      </c>
      <c r="O24" t="s">
        <v>12181</v>
      </c>
    </row>
    <row r="25" spans="1:15">
      <c r="A25" t="s">
        <v>12182</v>
      </c>
      <c r="B25" t="str" cm="1">
        <f t="array" ref="B25">_xlfn.LET(_xlpm._nit,TRIM(A25&amp;""),_xlpm._rs,TRIM(UPPER(C25&amp;"")),_xlpm._txt,TRIM(SUBSTITUTE(SUBSTITUTE(SUBSTITUTE(SUBSTITUTE(SUBSTITUTE(SUBSTITUTE(SUBSTITUTE(_xlpm._rs,".",""),",","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830110396-4</v>
      </c>
      <c r="C25" s="36" t="s">
        <v>12183</v>
      </c>
      <c r="D25" t="s">
        <v>12130</v>
      </c>
      <c r="E25" s="15">
        <v>8521</v>
      </c>
      <c r="F25" t="str">
        <f>IF(Tbla_entidades[[#This Row],[CIUU]]="","",_xlfn.XLOOKUP(Tbla_entidades[[#This Row],[CIUU]],Listas!$N:$N,Listas!$O:$O,""))</f>
        <v>Educación básica secundaria.</v>
      </c>
      <c r="G25" t="s">
        <v>12184</v>
      </c>
      <c r="H25">
        <v>2389888</v>
      </c>
      <c r="I25" t="s">
        <v>12185</v>
      </c>
      <c r="J25" t="s">
        <v>12077</v>
      </c>
      <c r="K25" t="s">
        <v>12059</v>
      </c>
      <c r="L25" t="s">
        <v>12060</v>
      </c>
      <c r="M25" t="s">
        <v>12186</v>
      </c>
      <c r="N25" s="2">
        <v>44249</v>
      </c>
    </row>
    <row r="26" spans="1:15">
      <c r="A26" t="s">
        <v>12187</v>
      </c>
      <c r="B26" t="str" cm="1">
        <f t="array" ref="B26">_xlfn.LET(_xlpm._nit,TRIM(A26&amp;""),_xlpm._rs,TRIM(UPPER(C26&amp;"")),_xlpm._txt,TRIM(SUBSTITUTE(SUBSTITUTE(SUBSTITUTE(SUBSTITUTE(SUBSTITUTE(SUBSTITUTE(SUBSTITUTE(_xlpm._rs,".",""),",","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830128181-7</v>
      </c>
      <c r="C26" s="36" t="s">
        <v>12188</v>
      </c>
      <c r="D26" t="s">
        <v>12055</v>
      </c>
      <c r="F26" t="str">
        <f>IF(Tbla_entidades[[#This Row],[CIUU]]="","",_xlfn.XLOOKUP(Tbla_entidades[[#This Row],[CIUU]],Listas!$N:$N,Listas!$O:$O,""))</f>
        <v/>
      </c>
      <c r="I26" t="s">
        <v>12189</v>
      </c>
      <c r="J26" t="s">
        <v>12085</v>
      </c>
      <c r="K26" t="s">
        <v>12059</v>
      </c>
      <c r="L26" t="s">
        <v>12156</v>
      </c>
      <c r="M26" t="s">
        <v>2558</v>
      </c>
      <c r="N26" s="2" t="s">
        <v>2558</v>
      </c>
    </row>
    <row r="27" spans="1:15">
      <c r="A27" t="s">
        <v>12190</v>
      </c>
      <c r="B27" t="str" cm="1">
        <f t="array" ref="B27">_xlfn.LET(_xlpm._nit,TRIM(A27&amp;""),_xlpm._rs,TRIM(UPPER(C27&amp;"")),_xlpm._txt,TRIM(SUBSTITUTE(SUBSTITUTE(SUBSTITUTE(SUBSTITUTE(SUBSTITUTE(SUBSTITUTE(SUBSTITUTE(_xlpm._rs,".",""),",","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83013076-4</v>
      </c>
      <c r="C27" s="36" t="s">
        <v>12191</v>
      </c>
      <c r="D27" t="s">
        <v>12055</v>
      </c>
      <c r="F27" t="str">
        <f>IF(Tbla_entidades[[#This Row],[CIUU]]="","",_xlfn.XLOOKUP(Tbla_entidades[[#This Row],[CIUU]],Listas!$N:$N,Listas!$O:$O,""))</f>
        <v/>
      </c>
      <c r="G27" t="s">
        <v>12192</v>
      </c>
      <c r="H27">
        <v>2488081</v>
      </c>
      <c r="I27" t="s">
        <v>12193</v>
      </c>
      <c r="J27" t="s">
        <v>12194</v>
      </c>
      <c r="K27" t="s">
        <v>12059</v>
      </c>
      <c r="L27" t="s">
        <v>12060</v>
      </c>
      <c r="M27" t="s">
        <v>12195</v>
      </c>
      <c r="N27" s="2">
        <v>44767</v>
      </c>
    </row>
    <row r="28" spans="1:15">
      <c r="A28" t="s">
        <v>12196</v>
      </c>
      <c r="B28" t="str" cm="1">
        <f t="array" ref="B28">_xlfn.LET(_xlpm._nit,TRIM(A28&amp;""),_xlpm._rs,TRIM(UPPER(C28&amp;"")),_xlpm._txt,TRIM(SUBSTITUTE(SUBSTITUTE(SUBSTITUTE(SUBSTITUTE(SUBSTITUTE(SUBSTITUTE(SUBSTITUTE(_xlpm._rs,".",""),",","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830137451-9</v>
      </c>
      <c r="C28" s="36" t="s">
        <v>12197</v>
      </c>
      <c r="D28" t="s">
        <v>12055</v>
      </c>
      <c r="F28" t="str">
        <f>IF(Tbla_entidades[[#This Row],[CIUU]]="","",_xlfn.XLOOKUP(Tbla_entidades[[#This Row],[CIUU]],Listas!$N:$N,Listas!$O:$O,""))</f>
        <v/>
      </c>
      <c r="G28" t="s">
        <v>12198</v>
      </c>
      <c r="H28">
        <v>6012719841</v>
      </c>
      <c r="I28" t="s">
        <v>12199</v>
      </c>
      <c r="J28" t="s">
        <v>12194</v>
      </c>
      <c r="K28" t="s">
        <v>12059</v>
      </c>
      <c r="L28" t="s">
        <v>12060</v>
      </c>
      <c r="M28" t="s">
        <v>12200</v>
      </c>
      <c r="N28" s="2">
        <v>44767</v>
      </c>
    </row>
    <row r="29" spans="1:15">
      <c r="A29" t="s">
        <v>12201</v>
      </c>
      <c r="B29" t="str" cm="1">
        <f t="array" ref="B29">_xlfn.LET(_xlpm._nit,TRIM(A29&amp;""),_xlpm._rs,TRIM(UPPER(C29&amp;"")),_xlpm._txt,TRIM(SUBSTITUTE(SUBSTITUTE(SUBSTITUTE(SUBSTITUTE(SUBSTITUTE(SUBSTITUTE(SUBSTITUTE(_xlpm._rs,".",""),",","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830145234-0</v>
      </c>
      <c r="C29" s="36" t="s">
        <v>12202</v>
      </c>
      <c r="D29" t="s">
        <v>12203</v>
      </c>
      <c r="E29" s="15">
        <v>1040</v>
      </c>
      <c r="F29" t="str">
        <f>IF(Tbla_entidades[[#This Row],[CIUU]]="","",_xlfn.XLOOKUP(Tbla_entidades[[#This Row],[CIUU]],Listas!$N:$N,Listas!$O:$O,""))</f>
        <v>Elaboración de productos lácteos.</v>
      </c>
      <c r="G29" t="s">
        <v>12204</v>
      </c>
      <c r="H29">
        <v>3114868733</v>
      </c>
      <c r="I29" t="s">
        <v>12205</v>
      </c>
      <c r="J29" t="s">
        <v>12206</v>
      </c>
      <c r="K29" t="s">
        <v>12059</v>
      </c>
      <c r="L29" t="s">
        <v>12060</v>
      </c>
      <c r="M29" t="s">
        <v>12207</v>
      </c>
      <c r="N29" s="2">
        <v>46838</v>
      </c>
    </row>
    <row r="30" spans="1:15" ht="30">
      <c r="A30" t="s">
        <v>12208</v>
      </c>
      <c r="B30" t="str" cm="1">
        <f t="array" ref="B30">_xlfn.LET(_xlpm._nit,TRIM(A30&amp;""),_xlpm._rs,TRIM(UPPER(C30&amp;"")),_xlpm._txt,TRIM(SUBSTITUTE(SUBSTITUTE(SUBSTITUTE(SUBSTITUTE(SUBSTITUTE(SUBSTITUTE(SUBSTITUTE(_xlpm._rs,".",""),",","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860005813-4</v>
      </c>
      <c r="C30" s="36" t="s">
        <v>12209</v>
      </c>
      <c r="D30" t="s">
        <v>12055</v>
      </c>
      <c r="F30" t="str">
        <f>IF(Tbla_entidades[[#This Row],[CIUU]]="","",_xlfn.XLOOKUP(Tbla_entidades[[#This Row],[CIUU]],Listas!$N:$N,Listas!$O:$O,""))</f>
        <v/>
      </c>
      <c r="G30" t="s">
        <v>12210</v>
      </c>
      <c r="H30" t="s">
        <v>12211</v>
      </c>
      <c r="I30" t="s">
        <v>12212</v>
      </c>
      <c r="J30" t="s">
        <v>12213</v>
      </c>
      <c r="K30" t="s">
        <v>12059</v>
      </c>
      <c r="L30" t="s">
        <v>12060</v>
      </c>
      <c r="M30" t="s">
        <v>2558</v>
      </c>
      <c r="N30" s="2" t="s">
        <v>2558</v>
      </c>
    </row>
    <row r="31" spans="1:15" ht="30">
      <c r="A31" t="s">
        <v>12214</v>
      </c>
      <c r="B31" t="str" cm="1">
        <f t="array" ref="B31">_xlfn.LET(_xlpm._nit,TRIM(A31&amp;""),_xlpm._rs,TRIM(UPPER(C31&amp;"")),_xlpm._txt,TRIM(SUBSTITUTE(SUBSTITUTE(SUBSTITUTE(SUBSTITUTE(SUBSTITUTE(SUBSTITUTE(SUBSTITUTE(_xlpm._rs,".",""),",","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860006705-1</v>
      </c>
      <c r="C31" s="36" t="s">
        <v>12215</v>
      </c>
      <c r="F31" t="str">
        <f>IF(Tbla_entidades[[#This Row],[CIUU]]="","",_xlfn.XLOOKUP(Tbla_entidades[[#This Row],[CIUU]],Listas!$N:$N,Listas!$O:$O,""))</f>
        <v/>
      </c>
      <c r="I31" t="s">
        <v>12216</v>
      </c>
      <c r="J31" t="s">
        <v>12126</v>
      </c>
      <c r="K31" t="s">
        <v>12059</v>
      </c>
      <c r="L31" t="s">
        <v>12060</v>
      </c>
      <c r="N31" s="2"/>
    </row>
    <row r="32" spans="1:15">
      <c r="A32" t="s">
        <v>12217</v>
      </c>
      <c r="B32" t="str" cm="1">
        <f t="array" ref="B32">_xlfn.LET(_xlpm._nit,TRIM(A32&amp;""),_xlpm._rs,TRIM(UPPER(C32&amp;"")),_xlpm._txt,TRIM(SUBSTITUTE(SUBSTITUTE(SUBSTITUTE(SUBSTITUTE(SUBSTITUTE(SUBSTITUTE(SUBSTITUTE(_xlpm._rs,".",""),",","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860007627-1</v>
      </c>
      <c r="C32" s="36" t="s">
        <v>12218</v>
      </c>
      <c r="D32" t="s">
        <v>12055</v>
      </c>
      <c r="F32" t="str">
        <f>IF(Tbla_entidades[[#This Row],[CIUU]]="","",_xlfn.XLOOKUP(Tbla_entidades[[#This Row],[CIUU]],Listas!$N:$N,Listas!$O:$O,""))</f>
        <v/>
      </c>
      <c r="G32" t="s">
        <v>12219</v>
      </c>
      <c r="I32" t="s">
        <v>12220</v>
      </c>
      <c r="J32" t="s">
        <v>12221</v>
      </c>
      <c r="K32" t="s">
        <v>12059</v>
      </c>
      <c r="L32" t="s">
        <v>12156</v>
      </c>
      <c r="M32" t="s">
        <v>2558</v>
      </c>
      <c r="N32" s="2" t="s">
        <v>2558</v>
      </c>
      <c r="O32" t="s">
        <v>12222</v>
      </c>
    </row>
    <row r="33" spans="1:15">
      <c r="A33" t="s">
        <v>12223</v>
      </c>
      <c r="B33" t="str" cm="1">
        <f t="array" ref="B33">_xlfn.LET(_xlpm._nit,TRIM(A33&amp;""),_xlpm._rs,TRIM(UPPER(C33&amp;"")),_xlpm._txt,TRIM(SUBSTITUTE(SUBSTITUTE(SUBSTITUTE(SUBSTITUTE(SUBSTITUTE(SUBSTITUTE(SUBSTITUTE(_xlpm._rs,".",""),",","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860010371-0</v>
      </c>
      <c r="C33" s="36" t="s">
        <v>12224</v>
      </c>
      <c r="D33" t="s">
        <v>12130</v>
      </c>
      <c r="F33" t="str">
        <f>IF(Tbla_entidades[[#This Row],[CIUU]]="","",_xlfn.XLOOKUP(Tbla_entidades[[#This Row],[CIUU]],Listas!$N:$N,Listas!$O:$O,""))</f>
        <v/>
      </c>
      <c r="G33" t="s">
        <v>12225</v>
      </c>
      <c r="H33">
        <v>5874441</v>
      </c>
      <c r="I33" t="s">
        <v>12226</v>
      </c>
      <c r="J33" t="s">
        <v>12227</v>
      </c>
      <c r="K33" t="s">
        <v>12059</v>
      </c>
      <c r="L33" t="s">
        <v>12060</v>
      </c>
      <c r="M33" t="s">
        <v>12228</v>
      </c>
      <c r="N33" s="2">
        <v>46272</v>
      </c>
    </row>
    <row r="34" spans="1:15">
      <c r="A34" t="s">
        <v>12229</v>
      </c>
      <c r="B34" t="str" cm="1">
        <f t="array" ref="B34">_xlfn.LET(_xlpm._nit,TRIM(A34&amp;""),_xlpm._rs,TRIM(UPPER(C34&amp;"")),_xlpm._txt,TRIM(SUBSTITUTE(SUBSTITUTE(SUBSTITUTE(SUBSTITUTE(SUBSTITUTE(SUBSTITUTE(SUBSTITUTE(_xlpm._rs,".",""),",","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860013475-1</v>
      </c>
      <c r="C34" s="36" t="s">
        <v>12230</v>
      </c>
      <c r="D34" t="s">
        <v>12055</v>
      </c>
      <c r="F34" t="str">
        <f>IF(Tbla_entidades[[#This Row],[CIUU]]="","",_xlfn.XLOOKUP(Tbla_entidades[[#This Row],[CIUU]],Listas!$N:$N,Listas!$O:$O,""))</f>
        <v/>
      </c>
      <c r="G34" t="s">
        <v>12231</v>
      </c>
      <c r="I34" t="s">
        <v>12232</v>
      </c>
      <c r="J34" t="s">
        <v>12058</v>
      </c>
      <c r="K34" t="s">
        <v>12059</v>
      </c>
      <c r="L34" t="s">
        <v>12060</v>
      </c>
      <c r="M34" t="s">
        <v>12233</v>
      </c>
      <c r="N34" s="2">
        <v>45375</v>
      </c>
    </row>
    <row r="35" spans="1:15">
      <c r="A35" t="s">
        <v>12234</v>
      </c>
      <c r="B35" t="str" cm="1">
        <f t="array" ref="B35">_xlfn.LET(_xlpm._nit,TRIM(A35&amp;""),_xlpm._rs,TRIM(UPPER(C35&amp;"")),_xlpm._txt,TRIM(SUBSTITUTE(SUBSTITUTE(SUBSTITUTE(SUBSTITUTE(SUBSTITUTE(SUBSTITUTE(SUBSTITUTE(_xlpm._rs,".",""),",","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860015536-1</v>
      </c>
      <c r="C35" s="36" t="s">
        <v>12235</v>
      </c>
      <c r="D35" t="s">
        <v>12055</v>
      </c>
      <c r="F35" t="str">
        <f>IF(Tbla_entidades[[#This Row],[CIUU]]="","",_xlfn.XLOOKUP(Tbla_entidades[[#This Row],[CIUU]],Listas!$N:$N,Listas!$O:$O,""))</f>
        <v/>
      </c>
      <c r="I35" t="s">
        <v>12236</v>
      </c>
      <c r="J35" t="s">
        <v>12194</v>
      </c>
      <c r="K35" t="s">
        <v>12059</v>
      </c>
      <c r="L35" t="s">
        <v>12060</v>
      </c>
      <c r="M35" t="s">
        <v>12237</v>
      </c>
      <c r="N35" s="2">
        <v>44784</v>
      </c>
    </row>
    <row r="36" spans="1:15">
      <c r="A36" t="s">
        <v>12238</v>
      </c>
      <c r="B36" t="str" cm="1">
        <f t="array" ref="B36">_xlfn.LET(_xlpm._nit,TRIM(A36&amp;""),_xlpm._rs,TRIM(UPPER(C36&amp;"")),_xlpm._txt,TRIM(SUBSTITUTE(SUBSTITUTE(SUBSTITUTE(SUBSTITUTE(SUBSTITUTE(SUBSTITUTE(SUBSTITUTE(_xlpm._rs,".",""),",","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860016941-6</v>
      </c>
      <c r="C36" s="36" t="s">
        <v>12239</v>
      </c>
      <c r="D36" t="s">
        <v>12055</v>
      </c>
      <c r="F36" t="str">
        <f>IF(Tbla_entidades[[#This Row],[CIUU]]="","",_xlfn.XLOOKUP(Tbla_entidades[[#This Row],[CIUU]],Listas!$N:$N,Listas!$O:$O,""))</f>
        <v/>
      </c>
      <c r="G36" t="s">
        <v>12240</v>
      </c>
      <c r="H36">
        <v>6824285</v>
      </c>
      <c r="I36" t="s">
        <v>12241</v>
      </c>
      <c r="J36" t="s">
        <v>12126</v>
      </c>
      <c r="K36" t="s">
        <v>12059</v>
      </c>
      <c r="L36" t="s">
        <v>12060</v>
      </c>
      <c r="M36" t="s">
        <v>12242</v>
      </c>
      <c r="N36" s="2">
        <v>45137</v>
      </c>
    </row>
    <row r="37" spans="1:15" ht="30">
      <c r="A37" t="s">
        <v>12243</v>
      </c>
      <c r="B37" t="str" cm="1">
        <f t="array" ref="B37">_xlfn.LET(_xlpm._nit,TRIM(A37&amp;""),_xlpm._rs,TRIM(UPPER(C37&amp;"")),_xlpm._txt,TRIM(SUBSTITUTE(SUBSTITUTE(SUBSTITUTE(SUBSTITUTE(SUBSTITUTE(SUBSTITUTE(SUBSTITUTE(_xlpm._rs,".",""),",","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860024452-1</v>
      </c>
      <c r="C37" s="36" t="s">
        <v>12244</v>
      </c>
      <c r="D37" t="s">
        <v>12055</v>
      </c>
      <c r="E37" s="15">
        <v>9411</v>
      </c>
      <c r="F37" t="str">
        <f>IF(Tbla_entidades[[#This Row],[CIUU]]="","",_xlfn.XLOOKUP(Tbla_entidades[[#This Row],[CIUU]],Listas!$N:$N,Listas!$O:$O,""))</f>
        <v>Actividades de asociaciones empresariales y de empleadores.</v>
      </c>
      <c r="G37" t="s">
        <v>12245</v>
      </c>
      <c r="H37">
        <v>7430265</v>
      </c>
      <c r="I37" t="s">
        <v>12246</v>
      </c>
      <c r="J37" t="s">
        <v>12194</v>
      </c>
      <c r="K37" t="s">
        <v>12059</v>
      </c>
      <c r="L37" t="s">
        <v>12060</v>
      </c>
      <c r="M37" t="s">
        <v>12247</v>
      </c>
      <c r="N37" s="2">
        <v>46841</v>
      </c>
      <c r="O37" t="s">
        <v>12248</v>
      </c>
    </row>
    <row r="38" spans="1:15">
      <c r="A38" t="s">
        <v>12249</v>
      </c>
      <c r="B38" t="str" cm="1">
        <f t="array" ref="B38">_xlfn.LET(_xlpm._nit,TRIM(A38&amp;""),_xlpm._rs,TRIM(UPPER(C38&amp;"")),_xlpm._txt,TRIM(SUBSTITUTE(SUBSTITUTE(SUBSTITUTE(SUBSTITUTE(SUBSTITUTE(SUBSTITUTE(SUBSTITUTE(_xlpm._rs,".",""),",","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860031909-2</v>
      </c>
      <c r="C38" s="36" t="s">
        <v>12250</v>
      </c>
      <c r="D38" t="s">
        <v>12055</v>
      </c>
      <c r="F38" t="str">
        <f>IF(Tbla_entidades[[#This Row],[CIUU]]="","",_xlfn.XLOOKUP(Tbla_entidades[[#This Row],[CIUU]],Listas!$N:$N,Listas!$O:$O,""))</f>
        <v/>
      </c>
      <c r="G38" t="s">
        <v>12251</v>
      </c>
      <c r="H38">
        <v>6013209360</v>
      </c>
      <c r="I38" t="s">
        <v>12252</v>
      </c>
      <c r="J38" t="s">
        <v>12253</v>
      </c>
      <c r="K38" t="s">
        <v>12059</v>
      </c>
      <c r="L38" t="s">
        <v>12156</v>
      </c>
      <c r="M38" t="s">
        <v>2558</v>
      </c>
      <c r="N38" s="2" t="s">
        <v>2558</v>
      </c>
    </row>
    <row r="39" spans="1:15" ht="30">
      <c r="A39" t="s">
        <v>12254</v>
      </c>
      <c r="B39" t="str" cm="1">
        <f t="array" ref="B39">_xlfn.LET(_xlpm._nit,TRIM(A39&amp;""),_xlpm._rs,TRIM(UPPER(C39&amp;"")),_xlpm._txt,TRIM(SUBSTITUTE(SUBSTITUTE(SUBSTITUTE(SUBSTITUTE(SUBSTITUTE(SUBSTITUTE(SUBSTITUTE(_xlpm._rs,".",""),",","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860033857-7</v>
      </c>
      <c r="C39" s="36" t="s">
        <v>12255</v>
      </c>
      <c r="F39" t="str">
        <f>IF(Tbla_entidades[[#This Row],[CIUU]]="","",_xlfn.XLOOKUP(Tbla_entidades[[#This Row],[CIUU]],Listas!$N:$N,Listas!$O:$O,""))</f>
        <v/>
      </c>
      <c r="H39" t="s">
        <v>12256</v>
      </c>
      <c r="I39" t="s">
        <v>12257</v>
      </c>
      <c r="J39" t="s">
        <v>12085</v>
      </c>
      <c r="K39" t="s">
        <v>12059</v>
      </c>
      <c r="N39" s="2"/>
    </row>
    <row r="40" spans="1:15">
      <c r="A40" t="s">
        <v>12258</v>
      </c>
      <c r="B40" t="str" cm="1">
        <f t="array" ref="B40">_xlfn.LET(_xlpm._nit,TRIM(A40&amp;""),_xlpm._rs,TRIM(UPPER(C40&amp;"")),_xlpm._txt,TRIM(SUBSTITUTE(SUBSTITUTE(SUBSTITUTE(SUBSTITUTE(SUBSTITUTE(SUBSTITUTE(SUBSTITUTE(_xlpm._rs,".",""),",","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860504924-4</v>
      </c>
      <c r="C40" s="36" t="s">
        <v>12259</v>
      </c>
      <c r="D40" t="s">
        <v>12055</v>
      </c>
      <c r="F40" t="str">
        <f>IF(Tbla_entidades[[#This Row],[CIUU]]="","",_xlfn.XLOOKUP(Tbla_entidades[[#This Row],[CIUU]],Listas!$N:$N,Listas!$O:$O,""))</f>
        <v/>
      </c>
      <c r="G40" t="s">
        <v>12260</v>
      </c>
      <c r="H40" t="s">
        <v>12261</v>
      </c>
      <c r="I40" t="s">
        <v>12262</v>
      </c>
      <c r="J40" t="s">
        <v>12133</v>
      </c>
      <c r="K40" t="s">
        <v>12059</v>
      </c>
      <c r="L40" t="s">
        <v>12060</v>
      </c>
      <c r="M40" t="s">
        <v>12263</v>
      </c>
      <c r="N40" s="2">
        <v>44777</v>
      </c>
    </row>
    <row r="41" spans="1:15" ht="30">
      <c r="A41" t="s">
        <v>12264</v>
      </c>
      <c r="B41" t="str" cm="1">
        <f t="array" ref="B41">_xlfn.LET(_xlpm._nit,TRIM(A41&amp;""),_xlpm._rs,TRIM(UPPER(C41&amp;"")),_xlpm._txt,TRIM(SUBSTITUTE(SUBSTITUTE(SUBSTITUTE(SUBSTITUTE(SUBSTITUTE(SUBSTITUTE(SUBSTITUTE(_xlpm._rs,".",""),",","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860514058-3</v>
      </c>
      <c r="C41" s="36" t="s">
        <v>12265</v>
      </c>
      <c r="D41" t="s">
        <v>12055</v>
      </c>
      <c r="F41" t="str">
        <f>IF(Tbla_entidades[[#This Row],[CIUU]]="","",_xlfn.XLOOKUP(Tbla_entidades[[#This Row],[CIUU]],Listas!$N:$N,Listas!$O:$O,""))</f>
        <v/>
      </c>
      <c r="G41" t="s">
        <v>12266</v>
      </c>
      <c r="H41" t="s">
        <v>12267</v>
      </c>
      <c r="I41" t="s">
        <v>12268</v>
      </c>
      <c r="J41" t="s">
        <v>12133</v>
      </c>
      <c r="K41" t="s">
        <v>12059</v>
      </c>
      <c r="L41" t="s">
        <v>12060</v>
      </c>
      <c r="M41" t="s">
        <v>12269</v>
      </c>
      <c r="N41" s="2">
        <v>44767</v>
      </c>
    </row>
    <row r="42" spans="1:15">
      <c r="A42" t="s">
        <v>12270</v>
      </c>
      <c r="B42" t="str" cm="1">
        <f t="array" ref="B42">_xlfn.LET(_xlpm._nit,TRIM(A42&amp;""),_xlpm._rs,TRIM(UPPER(C42&amp;"")),_xlpm._txt,TRIM(SUBSTITUTE(SUBSTITUTE(SUBSTITUTE(SUBSTITUTE(SUBSTITUTE(SUBSTITUTE(SUBSTITUTE(_xlpm._rs,".",""),",","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860521331-9</v>
      </c>
      <c r="C42" s="36" t="s">
        <v>12271</v>
      </c>
      <c r="D42" t="s">
        <v>12055</v>
      </c>
      <c r="F42" t="str">
        <f>IF(Tbla_entidades[[#This Row],[CIUU]]="","",_xlfn.XLOOKUP(Tbla_entidades[[#This Row],[CIUU]],Listas!$N:$N,Listas!$O:$O,""))</f>
        <v/>
      </c>
      <c r="G42" t="s">
        <v>12272</v>
      </c>
      <c r="H42">
        <v>3436300</v>
      </c>
      <c r="I42" t="s">
        <v>12273</v>
      </c>
      <c r="J42" t="s">
        <v>12274</v>
      </c>
      <c r="K42" t="s">
        <v>12059</v>
      </c>
      <c r="L42" t="s">
        <v>12060</v>
      </c>
      <c r="M42" t="s">
        <v>12275</v>
      </c>
      <c r="N42" s="2">
        <v>45375</v>
      </c>
    </row>
    <row r="43" spans="1:15">
      <c r="A43" t="s">
        <v>12276</v>
      </c>
      <c r="B43" t="str" cm="1">
        <f t="array" ref="B43">_xlfn.LET(_xlpm._nit,TRIM(A43&amp;""),_xlpm._rs,TRIM(UPPER(C43&amp;"")),_xlpm._txt,TRIM(SUBSTITUTE(SUBSTITUTE(SUBSTITUTE(SUBSTITUTE(SUBSTITUTE(SUBSTITUTE(SUBSTITUTE(_xlpm._rs,".",""),",","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860532248-2</v>
      </c>
      <c r="C43" s="36" t="s">
        <v>12277</v>
      </c>
      <c r="D43" t="s">
        <v>12130</v>
      </c>
      <c r="E43" s="15">
        <v>8521</v>
      </c>
      <c r="F43" t="str">
        <f>IF(Tbla_entidades[[#This Row],[CIUU]]="","",_xlfn.XLOOKUP(Tbla_entidades[[#This Row],[CIUU]],Listas!$N:$N,Listas!$O:$O,""))</f>
        <v>Educación básica secundaria.</v>
      </c>
      <c r="G43" t="s">
        <v>12278</v>
      </c>
      <c r="H43">
        <v>7181047</v>
      </c>
      <c r="I43" t="s">
        <v>12279</v>
      </c>
      <c r="J43" t="s">
        <v>12280</v>
      </c>
      <c r="K43" t="s">
        <v>12059</v>
      </c>
      <c r="L43" t="s">
        <v>12060</v>
      </c>
      <c r="M43" t="s">
        <v>12281</v>
      </c>
      <c r="N43" s="2">
        <v>44771</v>
      </c>
    </row>
    <row r="44" spans="1:15">
      <c r="A44" t="s">
        <v>12282</v>
      </c>
      <c r="B44" t="str" cm="1">
        <f t="array" ref="B44">_xlfn.LET(_xlpm._nit,TRIM(A44&amp;""),_xlpm._rs,TRIM(UPPER(C44&amp;"")),_xlpm._txt,TRIM(SUBSTITUTE(SUBSTITUTE(SUBSTITUTE(SUBSTITUTE(SUBSTITUTE(SUBSTITUTE(SUBSTITUTE(_xlpm._rs,".",""),",","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900030381-4</v>
      </c>
      <c r="C44" s="36" t="s">
        <v>12283</v>
      </c>
      <c r="D44" t="s">
        <v>12130</v>
      </c>
      <c r="E44" s="15">
        <v>8521</v>
      </c>
      <c r="F44" t="str">
        <f>IF(Tbla_entidades[[#This Row],[CIUU]]="","",_xlfn.XLOOKUP(Tbla_entidades[[#This Row],[CIUU]],Listas!$N:$N,Listas!$O:$O,""))</f>
        <v>Educación básica secundaria.</v>
      </c>
      <c r="G44" t="s">
        <v>12284</v>
      </c>
      <c r="H44">
        <v>7613806</v>
      </c>
      <c r="I44" t="s">
        <v>12285</v>
      </c>
      <c r="J44" t="s">
        <v>12067</v>
      </c>
      <c r="K44" t="s">
        <v>12059</v>
      </c>
      <c r="L44" t="s">
        <v>12060</v>
      </c>
      <c r="M44" t="s">
        <v>12286</v>
      </c>
      <c r="N44" s="2">
        <v>45137</v>
      </c>
    </row>
    <row r="45" spans="1:15">
      <c r="A45" t="s">
        <v>12287</v>
      </c>
      <c r="B45" t="str" cm="1">
        <f t="array" ref="B45">_xlfn.LET(_xlpm._nit,TRIM(A45&amp;""),_xlpm._rs,TRIM(UPPER(C45&amp;"")),_xlpm._txt,TRIM(SUBSTITUTE(SUBSTITUTE(SUBSTITUTE(SUBSTITUTE(SUBSTITUTE(SUBSTITUTE(SUBSTITUTE(_xlpm._rs,".",""),",","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900103025-1</v>
      </c>
      <c r="C45" s="36" t="s">
        <v>12288</v>
      </c>
      <c r="D45" t="s">
        <v>12055</v>
      </c>
      <c r="E45" s="15">
        <v>8621</v>
      </c>
      <c r="F45" t="str">
        <f>IF(Tbla_entidades[[#This Row],[CIUU]]="","",_xlfn.XLOOKUP(Tbla_entidades[[#This Row],[CIUU]],Listas!$N:$N,Listas!$O:$O,""))</f>
        <v>Actividades de la práctica médica, sin internación.</v>
      </c>
      <c r="G45" t="s">
        <v>12289</v>
      </c>
      <c r="H45">
        <v>3005522506</v>
      </c>
      <c r="I45" t="s">
        <v>12290</v>
      </c>
      <c r="J45" t="s">
        <v>12126</v>
      </c>
      <c r="K45" t="s">
        <v>12059</v>
      </c>
      <c r="L45" t="s">
        <v>12060</v>
      </c>
      <c r="M45" t="s">
        <v>12291</v>
      </c>
      <c r="N45" s="2">
        <v>44771</v>
      </c>
    </row>
    <row r="46" spans="1:15">
      <c r="A46" t="s">
        <v>12292</v>
      </c>
      <c r="B46" t="str" cm="1">
        <f t="array" ref="B46">_xlfn.LET(_xlpm._nit,TRIM(A46&amp;""),_xlpm._rs,TRIM(UPPER(C46&amp;"")),_xlpm._txt,TRIM(SUBSTITUTE(SUBSTITUTE(SUBSTITUTE(SUBSTITUTE(SUBSTITUTE(SUBSTITUTE(SUBSTITUTE(_xlpm._rs,".",""),",","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900117515-1</v>
      </c>
      <c r="C46" s="36" t="s">
        <v>12293</v>
      </c>
      <c r="F46" t="str">
        <f>IF(Tbla_entidades[[#This Row],[CIUU]]="","",_xlfn.XLOOKUP(Tbla_entidades[[#This Row],[CIUU]],Listas!$N:$N,Listas!$O:$O,""))</f>
        <v/>
      </c>
      <c r="I46" t="s">
        <v>12294</v>
      </c>
      <c r="J46" t="s">
        <v>12058</v>
      </c>
      <c r="K46" t="s">
        <v>12059</v>
      </c>
      <c r="N46" s="2"/>
    </row>
    <row r="47" spans="1:15">
      <c r="A47" t="s">
        <v>12295</v>
      </c>
      <c r="B47" t="str" cm="1">
        <f t="array" ref="B47">_xlfn.LET(_xlpm._nit,TRIM(A47&amp;""),_xlpm._rs,TRIM(UPPER(C47&amp;"")),_xlpm._txt,TRIM(SUBSTITUTE(SUBSTITUTE(SUBSTITUTE(SUBSTITUTE(SUBSTITUTE(SUBSTITUTE(SUBSTITUTE(_xlpm._rs,".",""),",","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900140947-4</v>
      </c>
      <c r="C47" s="36" t="s">
        <v>12296</v>
      </c>
      <c r="D47" t="s">
        <v>12055</v>
      </c>
      <c r="F47" t="str">
        <f>IF(Tbla_entidades[[#This Row],[CIUU]]="","",_xlfn.XLOOKUP(Tbla_entidades[[#This Row],[CIUU]],Listas!$N:$N,Listas!$O:$O,""))</f>
        <v/>
      </c>
      <c r="G47" t="s">
        <v>12297</v>
      </c>
      <c r="H47">
        <v>8120469</v>
      </c>
      <c r="I47" t="s">
        <v>12298</v>
      </c>
      <c r="J47" t="s">
        <v>12299</v>
      </c>
      <c r="K47" t="s">
        <v>12059</v>
      </c>
      <c r="L47" t="s">
        <v>12060</v>
      </c>
      <c r="M47" t="s">
        <v>12300</v>
      </c>
      <c r="N47" s="2">
        <v>44767</v>
      </c>
    </row>
    <row r="48" spans="1:15">
      <c r="A48" t="s">
        <v>12301</v>
      </c>
      <c r="B48" t="str" cm="1">
        <f t="array" ref="B48">_xlfn.LET(_xlpm._nit,TRIM(A48&amp;""),_xlpm._rs,TRIM(UPPER(C48&amp;"")),_xlpm._txt,TRIM(SUBSTITUTE(SUBSTITUTE(SUBSTITUTE(SUBSTITUTE(SUBSTITUTE(SUBSTITUTE(SUBSTITUTE(_xlpm._rs,".",""),",","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900143276-4</v>
      </c>
      <c r="C48" s="36" t="s">
        <v>12302</v>
      </c>
      <c r="D48" t="s">
        <v>12130</v>
      </c>
      <c r="E48" s="15">
        <v>8521</v>
      </c>
      <c r="F48" t="str">
        <f>IF(Tbla_entidades[[#This Row],[CIUU]]="","",_xlfn.XLOOKUP(Tbla_entidades[[#This Row],[CIUU]],Listas!$N:$N,Listas!$O:$O,""))</f>
        <v>Educación básica secundaria.</v>
      </c>
      <c r="G48" t="s">
        <v>12303</v>
      </c>
      <c r="H48">
        <v>4505733</v>
      </c>
      <c r="I48" t="s">
        <v>12304</v>
      </c>
      <c r="J48" t="s">
        <v>12102</v>
      </c>
      <c r="K48" t="s">
        <v>12059</v>
      </c>
      <c r="L48" t="s">
        <v>12060</v>
      </c>
      <c r="M48" t="s">
        <v>12305</v>
      </c>
      <c r="N48" s="2">
        <v>45137</v>
      </c>
      <c r="O48" t="s">
        <v>12306</v>
      </c>
    </row>
    <row r="49" spans="1:14">
      <c r="A49" t="s">
        <v>12307</v>
      </c>
      <c r="B49" t="str" cm="1">
        <f t="array" ref="B49">_xlfn.LET(_xlpm._nit,TRIM(A49&amp;""),_xlpm._rs,TRIM(UPPER(C49&amp;"")),_xlpm._txt,TRIM(SUBSTITUTE(SUBSTITUTE(SUBSTITUTE(SUBSTITUTE(SUBSTITUTE(SUBSTITUTE(SUBSTITUTE(_xlpm._rs,".",""),",","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900161823-1</v>
      </c>
      <c r="C49" s="36" t="s">
        <v>12308</v>
      </c>
      <c r="D49" t="s">
        <v>12055</v>
      </c>
      <c r="F49" t="str">
        <f>IF(Tbla_entidades[[#This Row],[CIUU]]="","",_xlfn.XLOOKUP(Tbla_entidades[[#This Row],[CIUU]],Listas!$N:$N,Listas!$O:$O,""))</f>
        <v/>
      </c>
      <c r="G49" t="s">
        <v>12309</v>
      </c>
      <c r="H49">
        <v>7653784</v>
      </c>
      <c r="I49" t="s">
        <v>12310</v>
      </c>
      <c r="J49" t="s">
        <v>12280</v>
      </c>
      <c r="K49" t="s">
        <v>12059</v>
      </c>
      <c r="L49" t="s">
        <v>12156</v>
      </c>
      <c r="M49" t="s">
        <v>2558</v>
      </c>
      <c r="N49" s="2" t="s">
        <v>2558</v>
      </c>
    </row>
    <row r="50" spans="1:14">
      <c r="A50" t="s">
        <v>12311</v>
      </c>
      <c r="B50" t="str" cm="1">
        <f t="array" ref="B50">_xlfn.LET(_xlpm._nit,TRIM(A50&amp;""),_xlpm._rs,TRIM(UPPER(C50&amp;"")),_xlpm._txt,TRIM(SUBSTITUTE(SUBSTITUTE(SUBSTITUTE(SUBSTITUTE(SUBSTITUTE(SUBSTITUTE(SUBSTITUTE(_xlpm._rs,".",""),",","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900171369-1</v>
      </c>
      <c r="C50" s="36" t="s">
        <v>12312</v>
      </c>
      <c r="D50" t="s">
        <v>12055</v>
      </c>
      <c r="F50" t="str">
        <f>IF(Tbla_entidades[[#This Row],[CIUU]]="","",_xlfn.XLOOKUP(Tbla_entidades[[#This Row],[CIUU]],Listas!$N:$N,Listas!$O:$O,""))</f>
        <v/>
      </c>
      <c r="G50" t="s">
        <v>12313</v>
      </c>
      <c r="H50" t="s">
        <v>12314</v>
      </c>
      <c r="I50" t="s">
        <v>12315</v>
      </c>
      <c r="J50" t="s">
        <v>12058</v>
      </c>
      <c r="K50" t="s">
        <v>12059</v>
      </c>
      <c r="L50" t="s">
        <v>12060</v>
      </c>
      <c r="M50" t="s">
        <v>12316</v>
      </c>
      <c r="N50" s="2">
        <v>44772</v>
      </c>
    </row>
    <row r="51" spans="1:14">
      <c r="A51" t="s">
        <v>12317</v>
      </c>
      <c r="B51" t="str" cm="1">
        <f t="array" ref="B51">_xlfn.LET(_xlpm._nit,TRIM(A51&amp;""),_xlpm._rs,TRIM(UPPER(C51&amp;"")),_xlpm._txt,TRIM(SUBSTITUTE(SUBSTITUTE(SUBSTITUTE(SUBSTITUTE(SUBSTITUTE(SUBSTITUTE(SUBSTITUTE(_xlpm._rs,".",""),",","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900216965-5</v>
      </c>
      <c r="C51" s="36" t="s">
        <v>12318</v>
      </c>
      <c r="D51" t="s">
        <v>12055</v>
      </c>
      <c r="F51" t="str">
        <f>IF(Tbla_entidades[[#This Row],[CIUU]]="","",_xlfn.XLOOKUP(Tbla_entidades[[#This Row],[CIUU]],Listas!$N:$N,Listas!$O:$O,""))</f>
        <v/>
      </c>
      <c r="G51" t="s">
        <v>12319</v>
      </c>
      <c r="H51">
        <v>3202509998</v>
      </c>
      <c r="I51" t="s">
        <v>12320</v>
      </c>
      <c r="J51" t="s">
        <v>12126</v>
      </c>
      <c r="K51" t="s">
        <v>12059</v>
      </c>
      <c r="N51" s="2"/>
    </row>
    <row r="52" spans="1:14" ht="30">
      <c r="A52" t="s">
        <v>12321</v>
      </c>
      <c r="B52" t="str" cm="1">
        <f t="array" ref="B52">_xlfn.LET(_xlpm._nit,TRIM(A52&amp;""),_xlpm._rs,TRIM(UPPER(C52&amp;"")),_xlpm._txt,TRIM(SUBSTITUTE(SUBSTITUTE(SUBSTITUTE(SUBSTITUTE(SUBSTITUTE(SUBSTITUTE(SUBSTITUTE(_xlpm._rs,".",""),",","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900232067-3</v>
      </c>
      <c r="C52" s="36" t="s">
        <v>12322</v>
      </c>
      <c r="F52" t="str">
        <f>IF(Tbla_entidades[[#This Row],[CIUU]]="","",_xlfn.XLOOKUP(Tbla_entidades[[#This Row],[CIUU]],Listas!$N:$N,Listas!$O:$O,""))</f>
        <v/>
      </c>
      <c r="I52" t="s">
        <v>12323</v>
      </c>
      <c r="J52" t="s">
        <v>12058</v>
      </c>
      <c r="K52" t="s">
        <v>12059</v>
      </c>
      <c r="L52" t="s">
        <v>12324</v>
      </c>
      <c r="N52" s="2"/>
    </row>
    <row r="53" spans="1:14">
      <c r="A53" t="s">
        <v>12325</v>
      </c>
      <c r="B53" t="str" cm="1">
        <f t="array" ref="B53">_xlfn.LET(_xlpm._nit,TRIM(A53&amp;""),_xlpm._rs,TRIM(UPPER(C53&amp;"")),_xlpm._txt,TRIM(SUBSTITUTE(SUBSTITUTE(SUBSTITUTE(SUBSTITUTE(SUBSTITUTE(SUBSTITUTE(SUBSTITUTE(_xlpm._rs,".",""),",","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900234115-8</v>
      </c>
      <c r="C53" s="36" t="s">
        <v>12326</v>
      </c>
      <c r="D53" t="s">
        <v>12055</v>
      </c>
      <c r="E53" s="15">
        <v>8730</v>
      </c>
      <c r="F53" t="str">
        <f>IF(Tbla_entidades[[#This Row],[CIUU]]="","",_xlfn.XLOOKUP(Tbla_entidades[[#This Row],[CIUU]],Listas!$N:$N,Listas!$O:$O,""))</f>
        <v>Actividades de atención en instituciones para el cuidado de personas mayores y/o discapacitadas.</v>
      </c>
      <c r="G53" t="s">
        <v>12327</v>
      </c>
      <c r="H53">
        <v>3208980281</v>
      </c>
      <c r="I53" t="s">
        <v>12328</v>
      </c>
      <c r="J53" t="s">
        <v>12329</v>
      </c>
      <c r="K53" t="s">
        <v>12059</v>
      </c>
      <c r="L53" t="s">
        <v>12060</v>
      </c>
      <c r="M53" t="s">
        <v>12330</v>
      </c>
      <c r="N53" s="2">
        <v>46964</v>
      </c>
    </row>
    <row r="54" spans="1:14">
      <c r="A54" t="s">
        <v>12331</v>
      </c>
      <c r="B54" t="str" cm="1">
        <f t="array" ref="B54">_xlfn.LET(_xlpm._nit,TRIM(A54&amp;""),_xlpm._rs,TRIM(UPPER(C54&amp;"")),_xlpm._txt,TRIM(SUBSTITUTE(SUBSTITUTE(SUBSTITUTE(SUBSTITUTE(SUBSTITUTE(SUBSTITUTE(SUBSTITUTE(_xlpm._rs,".",""),",","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900256899-8</v>
      </c>
      <c r="C54" s="36" t="s">
        <v>12332</v>
      </c>
      <c r="D54" t="s">
        <v>12055</v>
      </c>
      <c r="E54" s="15">
        <v>9499</v>
      </c>
      <c r="F54" t="str">
        <f>IF(Tbla_entidades[[#This Row],[CIUU]]="","",_xlfn.XLOOKUP(Tbla_entidades[[#This Row],[CIUU]],Listas!$N:$N,Listas!$O:$O,""))</f>
        <v>Actividades de otras asociaciones n.c.p.</v>
      </c>
      <c r="G54" t="s">
        <v>12333</v>
      </c>
      <c r="H54" t="s">
        <v>12334</v>
      </c>
      <c r="I54" t="s">
        <v>12335</v>
      </c>
      <c r="J54" t="s">
        <v>12336</v>
      </c>
      <c r="K54" t="s">
        <v>12059</v>
      </c>
      <c r="L54" t="s">
        <v>12060</v>
      </c>
      <c r="M54" t="s">
        <v>12337</v>
      </c>
      <c r="N54" s="2">
        <v>44767</v>
      </c>
    </row>
    <row r="55" spans="1:14" ht="30">
      <c r="A55" t="s">
        <v>12338</v>
      </c>
      <c r="B55" t="str" cm="1">
        <f t="array" ref="B55">_xlfn.LET(_xlpm._nit,TRIM(A55&amp;""),_xlpm._rs,TRIM(UPPER(C55&amp;"")),_xlpm._txt,TRIM(SUBSTITUTE(SUBSTITUTE(SUBSTITUTE(SUBSTITUTE(SUBSTITUTE(SUBSTITUTE(SUBSTITUTE(_xlpm._rs,".",""),",","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900267290-0</v>
      </c>
      <c r="C55" s="36" t="s">
        <v>12339</v>
      </c>
      <c r="D55" t="s">
        <v>12055</v>
      </c>
      <c r="F55" t="str">
        <f>IF(Tbla_entidades[[#This Row],[CIUU]]="","",_xlfn.XLOOKUP(Tbla_entidades[[#This Row],[CIUU]],Listas!$N:$N,Listas!$O:$O,""))</f>
        <v/>
      </c>
      <c r="G55" t="s">
        <v>12340</v>
      </c>
      <c r="I55" t="s">
        <v>12341</v>
      </c>
      <c r="J55" t="s">
        <v>12194</v>
      </c>
      <c r="K55" t="s">
        <v>12059</v>
      </c>
      <c r="L55" t="s">
        <v>12060</v>
      </c>
      <c r="M55" t="s">
        <v>12342</v>
      </c>
      <c r="N55" s="2">
        <v>45402</v>
      </c>
    </row>
    <row r="56" spans="1:14">
      <c r="A56" t="s">
        <v>12343</v>
      </c>
      <c r="B56" t="str" cm="1">
        <f t="array" ref="B56">_xlfn.LET(_xlpm._nit,TRIM(A56&amp;""),_xlpm._rs,TRIM(UPPER(C56&amp;"")),_xlpm._txt,TRIM(SUBSTITUTE(SUBSTITUTE(SUBSTITUTE(SUBSTITUTE(SUBSTITUTE(SUBSTITUTE(SUBSTITUTE(_xlpm._rs,".",""),",","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900328770-7</v>
      </c>
      <c r="C56" s="36" t="s">
        <v>12344</v>
      </c>
      <c r="D56" t="s">
        <v>12055</v>
      </c>
      <c r="F56" t="str">
        <f>IF(Tbla_entidades[[#This Row],[CIUU]]="","",_xlfn.XLOOKUP(Tbla_entidades[[#This Row],[CIUU]],Listas!$N:$N,Listas!$O:$O,""))</f>
        <v/>
      </c>
      <c r="G56" t="s">
        <v>12345</v>
      </c>
      <c r="H56" t="s">
        <v>12346</v>
      </c>
      <c r="I56" t="s">
        <v>12347</v>
      </c>
      <c r="J56" t="s">
        <v>12213</v>
      </c>
      <c r="K56" t="s">
        <v>12059</v>
      </c>
      <c r="L56" t="s">
        <v>12156</v>
      </c>
      <c r="M56" t="s">
        <v>2558</v>
      </c>
      <c r="N56" s="2" t="s">
        <v>2558</v>
      </c>
    </row>
    <row r="57" spans="1:14" ht="30">
      <c r="A57" t="s">
        <v>12348</v>
      </c>
      <c r="B57" t="str" cm="1">
        <f t="array" ref="B57">_xlfn.LET(_xlpm._nit,TRIM(A57&amp;""),_xlpm._rs,TRIM(UPPER(C57&amp;"")),_xlpm._txt,TRIM(SUBSTITUTE(SUBSTITUTE(SUBSTITUTE(SUBSTITUTE(SUBSTITUTE(SUBSTITUTE(SUBSTITUTE(_xlpm._rs,".",""),",","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900383974-6</v>
      </c>
      <c r="C57" s="36" t="s">
        <v>12349</v>
      </c>
      <c r="F57" t="str">
        <f>IF(Tbla_entidades[[#This Row],[CIUU]]="","",_xlfn.XLOOKUP(Tbla_entidades[[#This Row],[CIUU]],Listas!$N:$N,Listas!$O:$O,""))</f>
        <v/>
      </c>
      <c r="K57" t="s">
        <v>12059</v>
      </c>
      <c r="N57" s="2"/>
    </row>
    <row r="58" spans="1:14">
      <c r="A58" t="s">
        <v>12350</v>
      </c>
      <c r="B58" t="str" cm="1">
        <f t="array" ref="B58">_xlfn.LET(_xlpm._nit,TRIM(A58&amp;""),_xlpm._rs,TRIM(UPPER(C58&amp;"")),_xlpm._txt,TRIM(SUBSTITUTE(SUBSTITUTE(SUBSTITUTE(SUBSTITUTE(SUBSTITUTE(SUBSTITUTE(SUBSTITUTE(_xlpm._rs,".",""),",","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900384094-4</v>
      </c>
      <c r="C58" s="36" t="s">
        <v>12351</v>
      </c>
      <c r="D58" t="s">
        <v>12055</v>
      </c>
      <c r="F58" t="str">
        <f>IF(Tbla_entidades[[#This Row],[CIUU]]="","",_xlfn.XLOOKUP(Tbla_entidades[[#This Row],[CIUU]],Listas!$N:$N,Listas!$O:$O,""))</f>
        <v/>
      </c>
      <c r="G58" t="s">
        <v>12352</v>
      </c>
      <c r="H58">
        <v>3123604728</v>
      </c>
      <c r="I58" t="s">
        <v>12353</v>
      </c>
      <c r="J58" t="s">
        <v>12126</v>
      </c>
      <c r="K58" t="s">
        <v>12059</v>
      </c>
      <c r="L58" t="s">
        <v>12324</v>
      </c>
      <c r="M58" t="s">
        <v>12354</v>
      </c>
      <c r="N58" s="2">
        <v>46426</v>
      </c>
    </row>
    <row r="59" spans="1:14">
      <c r="A59" t="s">
        <v>12355</v>
      </c>
      <c r="B59" t="str" cm="1">
        <f t="array" ref="B59">_xlfn.LET(_xlpm._nit,TRIM(A59&amp;""),_xlpm._rs,TRIM(UPPER(C59&amp;"")),_xlpm._txt,TRIM(SUBSTITUTE(SUBSTITUTE(SUBSTITUTE(SUBSTITUTE(SUBSTITUTE(SUBSTITUTE(SUBSTITUTE(_xlpm._rs,".",""),",","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900512803-1</v>
      </c>
      <c r="C59" s="36" t="s">
        <v>12356</v>
      </c>
      <c r="D59" t="s">
        <v>12055</v>
      </c>
      <c r="F59" t="str">
        <f>IF(Tbla_entidades[[#This Row],[CIUU]]="","",_xlfn.XLOOKUP(Tbla_entidades[[#This Row],[CIUU]],Listas!$N:$N,Listas!$O:$O,""))</f>
        <v/>
      </c>
      <c r="G59" t="s">
        <v>12357</v>
      </c>
      <c r="H59">
        <v>0</v>
      </c>
      <c r="I59" t="s">
        <v>12358</v>
      </c>
      <c r="J59" t="s">
        <v>12359</v>
      </c>
      <c r="K59" t="s">
        <v>12059</v>
      </c>
      <c r="L59" t="s">
        <v>12060</v>
      </c>
      <c r="M59" t="s">
        <v>12360</v>
      </c>
      <c r="N59" s="2">
        <v>44767</v>
      </c>
    </row>
    <row r="60" spans="1:14">
      <c r="A60" t="s">
        <v>12361</v>
      </c>
      <c r="B60" t="str" cm="1">
        <f t="array" ref="B60">_xlfn.LET(_xlpm._nit,TRIM(A60&amp;""),_xlpm._rs,TRIM(UPPER(C60&amp;"")),_xlpm._txt,TRIM(SUBSTITUTE(SUBSTITUTE(SUBSTITUTE(SUBSTITUTE(SUBSTITUTE(SUBSTITUTE(SUBSTITUTE(_xlpm._rs,".",""),",","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900785941-9</v>
      </c>
      <c r="C60" s="36" t="s">
        <v>12362</v>
      </c>
      <c r="D60" t="s">
        <v>12055</v>
      </c>
      <c r="F60" t="str">
        <f>IF(Tbla_entidades[[#This Row],[CIUU]]="","",_xlfn.XLOOKUP(Tbla_entidades[[#This Row],[CIUU]],Listas!$N:$N,Listas!$O:$O,""))</f>
        <v/>
      </c>
      <c r="G60" t="s">
        <v>12363</v>
      </c>
      <c r="H60">
        <v>3214582298</v>
      </c>
      <c r="I60" t="s">
        <v>12364</v>
      </c>
      <c r="J60" t="s">
        <v>12365</v>
      </c>
      <c r="K60" t="s">
        <v>12059</v>
      </c>
      <c r="L60" t="s">
        <v>12060</v>
      </c>
      <c r="M60" t="s">
        <v>12366</v>
      </c>
      <c r="N60" s="2">
        <v>44767</v>
      </c>
    </row>
    <row r="61" spans="1:14">
      <c r="A61" t="s">
        <v>12367</v>
      </c>
      <c r="B61" t="str" cm="1">
        <f t="array" ref="B61">_xlfn.LET(_xlpm._nit,TRIM(A61&amp;""),_xlpm._rs,TRIM(UPPER(C61&amp;"")),_xlpm._txt,TRIM(SUBSTITUTE(SUBSTITUTE(SUBSTITUTE(SUBSTITUTE(SUBSTITUTE(SUBSTITUTE(SUBSTITUTE(_xlpm._rs,".",""),",","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900871109-5</v>
      </c>
      <c r="C61" s="36" t="s">
        <v>12368</v>
      </c>
      <c r="D61" t="s">
        <v>12055</v>
      </c>
      <c r="F61" t="str">
        <f>IF(Tbla_entidades[[#This Row],[CIUU]]="","",_xlfn.XLOOKUP(Tbla_entidades[[#This Row],[CIUU]],Listas!$N:$N,Listas!$O:$O,""))</f>
        <v/>
      </c>
      <c r="G61" t="s">
        <v>12369</v>
      </c>
      <c r="H61">
        <v>4730202</v>
      </c>
      <c r="I61" t="s">
        <v>12370</v>
      </c>
      <c r="J61" t="s">
        <v>12194</v>
      </c>
      <c r="K61" t="s">
        <v>12059</v>
      </c>
      <c r="L61" t="s">
        <v>12060</v>
      </c>
      <c r="M61" t="s">
        <v>12371</v>
      </c>
      <c r="N61" s="2">
        <v>44767</v>
      </c>
    </row>
    <row r="62" spans="1:14">
      <c r="A62" t="s">
        <v>12372</v>
      </c>
      <c r="B62" t="str" cm="1">
        <f t="array" ref="B62">_xlfn.LET(_xlpm._nit,TRIM(A62&amp;""),_xlpm._rs,TRIM(UPPER(C62&amp;"")),_xlpm._txt,TRIM(SUBSTITUTE(SUBSTITUTE(SUBSTITUTE(SUBSTITUTE(SUBSTITUTE(SUBSTITUTE(SUBSTITUTE(_xlpm._rs,".",""),",","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900905461-1</v>
      </c>
      <c r="C62" s="36" t="s">
        <v>12373</v>
      </c>
      <c r="D62" t="s">
        <v>12055</v>
      </c>
      <c r="F62" t="str">
        <f>IF(Tbla_entidades[[#This Row],[CIUU]]="","",_xlfn.XLOOKUP(Tbla_entidades[[#This Row],[CIUU]],Listas!$N:$N,Listas!$O:$O,""))</f>
        <v/>
      </c>
      <c r="G62" t="s">
        <v>12374</v>
      </c>
      <c r="H62">
        <v>7976786</v>
      </c>
      <c r="I62" t="s">
        <v>12375</v>
      </c>
      <c r="J62" t="s">
        <v>12376</v>
      </c>
      <c r="K62" t="s">
        <v>12059</v>
      </c>
      <c r="L62" t="s">
        <v>12156</v>
      </c>
      <c r="M62" t="s">
        <v>2558</v>
      </c>
      <c r="N62" s="2" t="s">
        <v>2558</v>
      </c>
    </row>
    <row r="63" spans="1:14">
      <c r="A63" t="s">
        <v>12377</v>
      </c>
      <c r="B63" t="str" cm="1">
        <f t="array" ref="B63">_xlfn.LET(_xlpm._nit,TRIM(A63&amp;""),_xlpm._rs,TRIM(UPPER(C63&amp;"")),_xlpm._txt,TRIM(SUBSTITUTE(SUBSTITUTE(SUBSTITUTE(SUBSTITUTE(SUBSTITUTE(SUBSTITUTE(SUBSTITUTE(_xlpm._rs,".",""),",","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900907402-6</v>
      </c>
      <c r="C63" s="36" t="s">
        <v>12378</v>
      </c>
      <c r="F63" t="str">
        <f>IF(Tbla_entidades[[#This Row],[CIUU]]="","",_xlfn.XLOOKUP(Tbla_entidades[[#This Row],[CIUU]],Listas!$N:$N,Listas!$O:$O,""))</f>
        <v/>
      </c>
      <c r="K63" t="s">
        <v>12059</v>
      </c>
      <c r="N63" s="2"/>
    </row>
    <row r="64" spans="1:14" ht="30">
      <c r="A64" t="s">
        <v>12379</v>
      </c>
      <c r="B64" t="str" cm="1">
        <f t="array" ref="B64">_xlfn.LET(_xlpm._nit,TRIM(A64&amp;""),_xlpm._rs,TRIM(UPPER(C64&amp;"")),_xlpm._txt,TRIM(SUBSTITUTE(SUBSTITUTE(SUBSTITUTE(SUBSTITUTE(SUBSTITUTE(SUBSTITUTE(SUBSTITUTE(_xlpm._rs,".",""),",","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901026162-6</v>
      </c>
      <c r="C64" s="36" t="s">
        <v>12380</v>
      </c>
      <c r="D64" t="s">
        <v>12055</v>
      </c>
      <c r="F64" t="str">
        <f>IF(Tbla_entidades[[#This Row],[CIUU]]="","",_xlfn.XLOOKUP(Tbla_entidades[[#This Row],[CIUU]],Listas!$N:$N,Listas!$O:$O,""))</f>
        <v/>
      </c>
      <c r="G64" t="s">
        <v>12381</v>
      </c>
      <c r="I64" t="s">
        <v>12382</v>
      </c>
      <c r="J64" t="s">
        <v>12126</v>
      </c>
      <c r="K64" t="s">
        <v>12059</v>
      </c>
      <c r="L64" t="s">
        <v>12156</v>
      </c>
      <c r="N64" s="2"/>
    </row>
    <row r="65" spans="1:15">
      <c r="A65" t="s">
        <v>12383</v>
      </c>
      <c r="B65" t="str" cm="1">
        <f t="array" ref="B65">_xlfn.LET(_xlpm._nit,TRIM(A65&amp;""),_xlpm._rs,TRIM(UPPER(C65&amp;"")),_xlpm._txt,TRIM(SUBSTITUTE(SUBSTITUTE(SUBSTITUTE(SUBSTITUTE(SUBSTITUTE(SUBSTITUTE(SUBSTITUTE(_xlpm._rs,".",""),",","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901062793-6</v>
      </c>
      <c r="C65" s="36" t="s">
        <v>12384</v>
      </c>
      <c r="D65" t="s">
        <v>12055</v>
      </c>
      <c r="F65" t="str">
        <f>IF(Tbla_entidades[[#This Row],[CIUU]]="","",_xlfn.XLOOKUP(Tbla_entidades[[#This Row],[CIUU]],Listas!$N:$N,Listas!$O:$O,""))</f>
        <v/>
      </c>
      <c r="G65" t="s">
        <v>12385</v>
      </c>
      <c r="H65">
        <v>5170539</v>
      </c>
      <c r="I65" t="s">
        <v>12386</v>
      </c>
      <c r="J65" t="s">
        <v>12167</v>
      </c>
      <c r="K65" t="s">
        <v>12059</v>
      </c>
      <c r="L65" t="s">
        <v>12060</v>
      </c>
      <c r="M65" t="s">
        <v>12387</v>
      </c>
      <c r="N65" s="2">
        <v>45134</v>
      </c>
    </row>
    <row r="66" spans="1:15">
      <c r="A66" t="s">
        <v>12388</v>
      </c>
      <c r="B66" t="str" cm="1">
        <f t="array" ref="B66">_xlfn.LET(_xlpm._nit,TRIM(A66&amp;""),_xlpm._rs,TRIM(UPPER(C66&amp;"")),_xlpm._txt,TRIM(SUBSTITUTE(SUBSTITUTE(SUBSTITUTE(SUBSTITUTE(SUBSTITUTE(SUBSTITUTE(SUBSTITUTE(_xlpm._rs,".",""),",","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901088155-1</v>
      </c>
      <c r="C66" s="36" t="s">
        <v>12389</v>
      </c>
      <c r="D66" t="s">
        <v>12055</v>
      </c>
      <c r="F66" t="str">
        <f>IF(Tbla_entidades[[#This Row],[CIUU]]="","",_xlfn.XLOOKUP(Tbla_entidades[[#This Row],[CIUU]],Listas!$N:$N,Listas!$O:$O,""))</f>
        <v/>
      </c>
      <c r="G66" t="s">
        <v>12390</v>
      </c>
      <c r="H66">
        <v>3507059941</v>
      </c>
      <c r="I66" t="s">
        <v>12391</v>
      </c>
      <c r="J66" t="s">
        <v>12119</v>
      </c>
      <c r="K66" t="s">
        <v>12059</v>
      </c>
      <c r="L66" t="s">
        <v>12060</v>
      </c>
      <c r="M66" t="s">
        <v>12392</v>
      </c>
      <c r="N66" s="2">
        <v>46215</v>
      </c>
    </row>
    <row r="67" spans="1:15">
      <c r="A67" t="s">
        <v>12393</v>
      </c>
      <c r="B67" t="str" cm="1">
        <f t="array" ref="B67">_xlfn.LET(_xlpm._nit,TRIM(A67&amp;""),_xlpm._rs,TRIM(UPPER(C67&amp;"")),_xlpm._txt,TRIM(SUBSTITUTE(SUBSTITUTE(SUBSTITUTE(SUBSTITUTE(SUBSTITUTE(SUBSTITUTE(SUBSTITUTE(_xlpm._rs,".",""),",","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901121073-5</v>
      </c>
      <c r="C67" s="36" t="s">
        <v>12394</v>
      </c>
      <c r="D67" t="s">
        <v>12055</v>
      </c>
      <c r="F67" t="str">
        <f>IF(Tbla_entidades[[#This Row],[CIUU]]="","",_xlfn.XLOOKUP(Tbla_entidades[[#This Row],[CIUU]],Listas!$N:$N,Listas!$O:$O,""))</f>
        <v/>
      </c>
      <c r="G67" t="s">
        <v>12395</v>
      </c>
      <c r="H67">
        <v>3041396210</v>
      </c>
      <c r="I67" t="s">
        <v>12396</v>
      </c>
      <c r="J67" t="s">
        <v>12126</v>
      </c>
      <c r="K67" t="s">
        <v>12059</v>
      </c>
      <c r="L67" t="s">
        <v>12060</v>
      </c>
      <c r="M67" t="s">
        <v>12397</v>
      </c>
      <c r="N67" s="2">
        <v>44947</v>
      </c>
    </row>
    <row r="68" spans="1:15">
      <c r="A68" t="s">
        <v>12398</v>
      </c>
      <c r="B68" t="str" cm="1">
        <f t="array" ref="B68">_xlfn.LET(_xlpm._nit,TRIM(A68&amp;""),_xlpm._rs,TRIM(UPPER(C68&amp;"")),_xlpm._txt,TRIM(SUBSTITUTE(SUBSTITUTE(SUBSTITUTE(SUBSTITUTE(SUBSTITUTE(SUBSTITUTE(SUBSTITUTE(_xlpm._rs,".",""),",","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901154339-0</v>
      </c>
      <c r="C68" s="36" t="s">
        <v>12399</v>
      </c>
      <c r="D68" t="s">
        <v>12130</v>
      </c>
      <c r="F68" t="str">
        <f>IF(Tbla_entidades[[#This Row],[CIUU]]="","",_xlfn.XLOOKUP(Tbla_entidades[[#This Row],[CIUU]],Listas!$N:$N,Listas!$O:$O,""))</f>
        <v/>
      </c>
      <c r="K68" t="s">
        <v>12059</v>
      </c>
      <c r="N68" s="2"/>
    </row>
    <row r="69" spans="1:15">
      <c r="A69" t="s">
        <v>12400</v>
      </c>
      <c r="B69" t="str" cm="1">
        <f t="array" ref="B69">_xlfn.LET(_xlpm._nit,TRIM(A69&amp;""),_xlpm._rs,TRIM(UPPER(C69&amp;"")),_xlpm._txt,TRIM(SUBSTITUTE(SUBSTITUTE(SUBSTITUTE(SUBSTITUTE(SUBSTITUTE(SUBSTITUTE(SUBSTITUTE(_xlpm._rs,".",""),",","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901218223-1</v>
      </c>
      <c r="C69" s="36" t="s">
        <v>12401</v>
      </c>
      <c r="D69" t="s">
        <v>12055</v>
      </c>
      <c r="F69" t="str">
        <f>IF(Tbla_entidades[[#This Row],[CIUU]]="","",_xlfn.XLOOKUP(Tbla_entidades[[#This Row],[CIUU]],Listas!$N:$N,Listas!$O:$O,""))</f>
        <v/>
      </c>
      <c r="G69" t="s">
        <v>12402</v>
      </c>
      <c r="H69">
        <v>6126149</v>
      </c>
      <c r="I69" t="s">
        <v>12403</v>
      </c>
      <c r="J69" t="s">
        <v>12213</v>
      </c>
      <c r="K69" t="s">
        <v>12059</v>
      </c>
      <c r="L69" t="s">
        <v>12156</v>
      </c>
      <c r="M69" t="s">
        <v>2558</v>
      </c>
      <c r="N69" s="2" t="s">
        <v>2558</v>
      </c>
    </row>
    <row r="70" spans="1:15">
      <c r="A70" t="s">
        <v>12404</v>
      </c>
      <c r="B70" t="str" cm="1">
        <f t="array" ref="B70">_xlfn.LET(_xlpm._nit,TRIM(A70&amp;""),_xlpm._rs,TRIM(UPPER(C70&amp;"")),_xlpm._txt,TRIM(SUBSTITUTE(SUBSTITUTE(SUBSTITUTE(SUBSTITUTE(SUBSTITUTE(SUBSTITUTE(SUBSTITUTE(_xlpm._rs,".",""),",","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901285287-8</v>
      </c>
      <c r="C70" s="36" t="s">
        <v>12405</v>
      </c>
      <c r="D70" t="s">
        <v>12055</v>
      </c>
      <c r="F70" t="str">
        <f>IF(Tbla_entidades[[#This Row],[CIUU]]="","",_xlfn.XLOOKUP(Tbla_entidades[[#This Row],[CIUU]],Listas!$N:$N,Listas!$O:$O,""))</f>
        <v/>
      </c>
      <c r="G70" t="s">
        <v>12406</v>
      </c>
      <c r="H70">
        <v>3154370191</v>
      </c>
      <c r="I70" t="s">
        <v>12407</v>
      </c>
      <c r="J70" t="s">
        <v>12408</v>
      </c>
      <c r="K70" t="s">
        <v>12059</v>
      </c>
      <c r="L70" t="s">
        <v>12060</v>
      </c>
      <c r="M70" t="s">
        <v>12409</v>
      </c>
      <c r="N70" s="2">
        <v>46209</v>
      </c>
    </row>
    <row r="71" spans="1:15">
      <c r="A71" t="s">
        <v>12410</v>
      </c>
      <c r="B71" t="str" cm="1">
        <f t="array" ref="B71">_xlfn.LET(_xlpm._nit,TRIM(A71&amp;""),_xlpm._rs,TRIM(UPPER(C71&amp;"")),_xlpm._txt,TRIM(SUBSTITUTE(SUBSTITUTE(SUBSTITUTE(SUBSTITUTE(SUBSTITUTE(SUBSTITUTE(SUBSTITUTE(_xlpm._rs,".",""),",","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901358132-1</v>
      </c>
      <c r="C71" s="36" t="s">
        <v>11979</v>
      </c>
      <c r="D71" t="s">
        <v>12055</v>
      </c>
      <c r="F71" t="str">
        <f>IF(Tbla_entidades[[#This Row],[CIUU]]="","",_xlfn.XLOOKUP(Tbla_entidades[[#This Row],[CIUU]],Listas!$N:$N,Listas!$O:$O,""))</f>
        <v/>
      </c>
      <c r="G71" t="s">
        <v>12411</v>
      </c>
      <c r="I71" t="s">
        <v>12412</v>
      </c>
      <c r="J71" t="s">
        <v>12413</v>
      </c>
      <c r="K71" t="s">
        <v>12059</v>
      </c>
      <c r="L71" t="s">
        <v>12156</v>
      </c>
      <c r="M71" t="s">
        <v>2558</v>
      </c>
      <c r="N71" s="2" t="s">
        <v>2558</v>
      </c>
    </row>
    <row r="72" spans="1:15">
      <c r="A72" t="s">
        <v>12414</v>
      </c>
      <c r="B72" t="str" cm="1">
        <f t="array" ref="B72">_xlfn.LET(_xlpm._nit,TRIM(A72&amp;""),_xlpm._rs,TRIM(UPPER(C72&amp;"")),_xlpm._txt,TRIM(SUBSTITUTE(SUBSTITUTE(SUBSTITUTE(SUBSTITUTE(SUBSTITUTE(SUBSTITUTE(SUBSTITUTE(_xlpm._rs,".",""),",","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901500241-2</v>
      </c>
      <c r="C72" s="36" t="s">
        <v>12415</v>
      </c>
      <c r="D72" t="s">
        <v>12130</v>
      </c>
      <c r="E72" s="15">
        <v>7912</v>
      </c>
      <c r="F72" t="str">
        <f>IF(Tbla_entidades[[#This Row],[CIUU]]="","",_xlfn.XLOOKUP(Tbla_entidades[[#This Row],[CIUU]],Listas!$N:$N,Listas!$O:$O,""))</f>
        <v>Actividades de operadores turísticos.</v>
      </c>
      <c r="G72" t="s">
        <v>12416</v>
      </c>
      <c r="K72" t="s">
        <v>12059</v>
      </c>
      <c r="L72" t="s">
        <v>12060</v>
      </c>
      <c r="M72" t="s">
        <v>12417</v>
      </c>
      <c r="N72" s="2">
        <v>46824</v>
      </c>
      <c r="O72" t="s">
        <v>12418</v>
      </c>
    </row>
    <row r="73" spans="1:15">
      <c r="A73" t="s">
        <v>12419</v>
      </c>
      <c r="B73" t="str" cm="1">
        <f t="array" ref="B73">_xlfn.LET(_xlpm._nit,TRIM(A73&amp;""),_xlpm._rs,TRIM(UPPER(C73&amp;"")),_xlpm._txt,TRIM(SUBSTITUTE(SUBSTITUTE(SUBSTITUTE(SUBSTITUTE(SUBSTITUTE(SUBSTITUTE(SUBSTITUTE(_xlpm._rs,".",""),",","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901628675-6</v>
      </c>
      <c r="C73" s="36" t="s">
        <v>12420</v>
      </c>
      <c r="F73" t="str">
        <f>IF(Tbla_entidades[[#This Row],[CIUU]]="","",_xlfn.XLOOKUP(Tbla_entidades[[#This Row],[CIUU]],Listas!$N:$N,Listas!$O:$O,""))</f>
        <v/>
      </c>
      <c r="I73" t="s">
        <v>12421</v>
      </c>
      <c r="J73" t="s">
        <v>12422</v>
      </c>
      <c r="K73" t="s">
        <v>12059</v>
      </c>
      <c r="N73" s="2"/>
    </row>
    <row r="74" spans="1:15" ht="30">
      <c r="A74" t="s">
        <v>12423</v>
      </c>
      <c r="B74" t="str" cm="1">
        <f t="array" ref="B74">_xlfn.LET(_xlpm._nit,TRIM(A74&amp;""),_xlpm._rs,TRIM(UPPER(C74&amp;"")),_xlpm._txt,TRIM(SUBSTITUTE(SUBSTITUTE(SUBSTITUTE(SUBSTITUTE(SUBSTITUTE(SUBSTITUTE(SUBSTITUTE(_xlpm._rs,".",""),",","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901705598-7</v>
      </c>
      <c r="C74" s="36" t="s">
        <v>12424</v>
      </c>
      <c r="D74" t="s">
        <v>12055</v>
      </c>
      <c r="E74" s="15">
        <v>9499</v>
      </c>
      <c r="F74" t="str">
        <f>IF(Tbla_entidades[[#This Row],[CIUU]]="","",_xlfn.XLOOKUP(Tbla_entidades[[#This Row],[CIUU]],Listas!$N:$N,Listas!$O:$O,""))</f>
        <v>Actividades de otras asociaciones n.c.p.</v>
      </c>
      <c r="G74" t="s">
        <v>12425</v>
      </c>
      <c r="H74">
        <v>3002783497</v>
      </c>
      <c r="I74" t="s">
        <v>12114</v>
      </c>
      <c r="J74" t="s">
        <v>12114</v>
      </c>
      <c r="K74" t="s">
        <v>11962</v>
      </c>
      <c r="L74" t="s">
        <v>12060</v>
      </c>
      <c r="M74" t="s">
        <v>12426</v>
      </c>
      <c r="N74" s="2">
        <v>46800</v>
      </c>
    </row>
    <row r="75" spans="1:15">
      <c r="B75" t="str" cm="1">
        <f t="array" ref="B75">_xlfn.LET(_xlpm._nit,TRIM(A75&amp;""),_xlpm._rs,TRIM(UPPER(C75&amp;"")),_xlpm._txt,TRIM(SUBSTITUTE(SUBSTITUTE(SUBSTITUTE(SUBSTITUTE(SUBSTITUTE(SUBSTITUTE(SUBSTITUTE(_xlpm._rs,".",""),",","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COLEG_COSTA_RICA</v>
      </c>
      <c r="C75" s="36" t="s">
        <v>12427</v>
      </c>
      <c r="E75" s="15">
        <v>144</v>
      </c>
      <c r="F75" t="str">
        <f>IF(Tbla_entidades[[#This Row],[CIUU]]="","",_xlfn.XLOOKUP(Tbla_entidades[[#This Row],[CIUU]],Listas!$N:$N,Listas!$O:$O,""))</f>
        <v>Cría de ganado porcino.</v>
      </c>
      <c r="K75" t="s">
        <v>12059</v>
      </c>
      <c r="N75" s="2"/>
    </row>
    <row r="76" spans="1:15">
      <c r="B76" t="str" cm="1">
        <f t="array" ref="B76">_xlfn.LET(_xlpm._nit,TRIM(A76&amp;""),_xlpm._rs,TRIM(UPPER(C76&amp;"")),_xlpm._txt,TRIM(SUBSTITUTE(SUBSTITUTE(SUBSTITUTE(SUBSTITUTE(SUBSTITUTE(SUBSTITUTE(SUBSTITUTE(_xlpm._rs,".",""),",","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COLEG_GABRI_GARCÍ_MÁRQU</v>
      </c>
      <c r="C76" s="36" t="s">
        <v>12428</v>
      </c>
      <c r="E76" s="15">
        <v>112</v>
      </c>
      <c r="F76" t="str">
        <f>IF(Tbla_entidades[[#This Row],[CIUU]]="","",_xlfn.XLOOKUP(Tbla_entidades[[#This Row],[CIUU]],Listas!$N:$N,Listas!$O:$O,""))</f>
        <v>Cultivo de arroz.</v>
      </c>
      <c r="J76" t="s">
        <v>12067</v>
      </c>
      <c r="K76" t="s">
        <v>12059</v>
      </c>
      <c r="N76" s="2"/>
    </row>
    <row r="77" spans="1:15">
      <c r="B77" t="str" cm="1">
        <f t="array" ref="B77">_xlfn.LET(_xlpm._nit,TRIM(A77&amp;""),_xlpm._rs,TRIM(UPPER(C77&amp;"")),_xlpm._txt,TRIM(SUBSTITUTE(SUBSTITUTE(SUBSTITUTE(SUBSTITUTE(SUBSTITUTE(SUBSTITUTE(SUBSTITUTE(_xlpm._rs,".",""),",","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COLEG_SAN_CAYET</v>
      </c>
      <c r="C77" s="36" t="s">
        <v>12429</v>
      </c>
      <c r="F77" t="str">
        <f>IF(Tbla_entidades[[#This Row],[CIUU]]="","",_xlfn.XLOOKUP(Tbla_entidades[[#This Row],[CIUU]],Listas!$N:$N,Listas!$O:$O,""))</f>
        <v/>
      </c>
      <c r="J77" t="s">
        <v>12067</v>
      </c>
      <c r="K77" t="s">
        <v>12059</v>
      </c>
      <c r="N77" s="2"/>
    </row>
    <row r="78" spans="1:15">
      <c r="B78" t="str" cm="1">
        <f t="array" ref="B78">_xlfn.LET(_xlpm._nit,TRIM(A78&amp;""),_xlpm._rs,TRIM(UPPER(C78&amp;"")),_xlpm._txt,TRIM(SUBSTITUTE(SUBSTITUTE(SUBSTITUTE(SUBSTITUTE(SUBSTITUTE(SUBSTITUTE(SUBSTITUTE(_xlpm._rs,".",""),",","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COMAB</v>
      </c>
      <c r="C78" s="36" t="s">
        <v>12430</v>
      </c>
      <c r="F78" t="str">
        <f>IF(Tbla_entidades[[#This Row],[CIUU]]="","",_xlfn.XLOOKUP(Tbla_entidades[[#This Row],[CIUU]],Listas!$N:$N,Listas!$O:$O,""))</f>
        <v/>
      </c>
      <c r="I78" t="s">
        <v>12431</v>
      </c>
      <c r="J78" t="s">
        <v>12067</v>
      </c>
      <c r="K78" t="s">
        <v>12059</v>
      </c>
      <c r="N78" s="2"/>
    </row>
    <row r="79" spans="1:15">
      <c r="B79" t="str" cm="1">
        <f t="array" ref="B79">_xlfn.LET(_xlpm._nit,TRIM(A79&amp;""),_xlpm._rs,TRIM(UPPER(C79&amp;"")),_xlpm._txt,TRIM(SUBSTITUTE(SUBSTITUTE(SUBSTITUTE(SUBSTITUTE(SUBSTITUTE(SUBSTITUTE(SUBSTITUTE(_xlpm._rs,".",""),",","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COMUN_FACUL_INGEN</v>
      </c>
      <c r="C79" s="36" t="s">
        <v>12432</v>
      </c>
      <c r="F79" t="str">
        <f>IF(Tbla_entidades[[#This Row],[CIUU]]="","",_xlfn.XLOOKUP(Tbla_entidades[[#This Row],[CIUU]],Listas!$N:$N,Listas!$O:$O,""))</f>
        <v/>
      </c>
      <c r="K79" t="s">
        <v>12059</v>
      </c>
      <c r="N79" s="2"/>
    </row>
    <row r="80" spans="1:15">
      <c r="B80" t="str" cm="1">
        <f t="array" ref="B80">_xlfn.LET(_xlpm._nit,TRIM(A80&amp;""),_xlpm._rs,TRIM(UPPER(C80&amp;"")),_xlpm._txt,TRIM(SUBSTITUTE(SUBSTITUTE(SUBSTITUTE(SUBSTITUTE(SUBSTITUTE(SUBSTITUTE(SUBSTITUTE(_xlpm._rs,".",""),",","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CONJU_VERSA_NORMA</v>
      </c>
      <c r="C80" s="36" t="s">
        <v>12433</v>
      </c>
      <c r="F80" t="str">
        <f>IF(Tbla_entidades[[#This Row],[CIUU]]="","",_xlfn.XLOOKUP(Tbla_entidades[[#This Row],[CIUU]],Listas!$N:$N,Listas!$O:$O,""))</f>
        <v/>
      </c>
      <c r="I80" t="s">
        <v>12434</v>
      </c>
      <c r="J80" t="s">
        <v>12119</v>
      </c>
      <c r="K80" t="s">
        <v>12059</v>
      </c>
      <c r="N80" s="2"/>
    </row>
    <row r="81" spans="2:14">
      <c r="B81" t="str" cm="1">
        <f t="array" ref="B81">_xlfn.LET(_xlpm._nit,TRIM(A81&amp;""),_xlpm._rs,TRIM(UPPER(C81&amp;"")),_xlpm._txt,TRIM(SUBSTITUTE(SUBSTITUTE(SUBSTITUTE(SUBSTITUTE(SUBSTITUTE(SUBSTITUTE(SUBSTITUTE(_xlpm._rs,".",""),",","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CONSU_CONTA</v>
      </c>
      <c r="C81" s="36" t="s">
        <v>12435</v>
      </c>
      <c r="F81" t="str">
        <f>IF(Tbla_entidades[[#This Row],[CIUU]]="","",_xlfn.XLOOKUP(Tbla_entidades[[#This Row],[CIUU]],Listas!$N:$N,Listas!$O:$O,""))</f>
        <v/>
      </c>
      <c r="K81" t="s">
        <v>12059</v>
      </c>
      <c r="N81" s="2"/>
    </row>
    <row r="82" spans="2:14">
      <c r="B82" t="str" cm="1">
        <f t="array" ref="B82">_xlfn.LET(_xlpm._nit,TRIM(A82&amp;""),_xlpm._rs,TRIM(UPPER(C82&amp;"")),_xlpm._txt,TRIM(SUBSTITUTE(SUBSTITUTE(SUBSTITUTE(SUBSTITUTE(SUBSTITUTE(SUBSTITUTE(SUBSTITUTE(_xlpm._rs,".",""),",","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CONSU_CONTA_JAVER</v>
      </c>
      <c r="C82" s="36" t="s">
        <v>12436</v>
      </c>
      <c r="F82" t="str">
        <f>IF(Tbla_entidades[[#This Row],[CIUU]]="","",_xlfn.XLOOKUP(Tbla_entidades[[#This Row],[CIUU]],Listas!$N:$N,Listas!$O:$O,""))</f>
        <v/>
      </c>
      <c r="K82" t="s">
        <v>12059</v>
      </c>
      <c r="N82" s="2"/>
    </row>
    <row r="83" spans="2:14">
      <c r="B83" t="str" cm="1">
        <f t="array" ref="B83">_xlfn.LET(_xlpm._nit,TRIM(A83&amp;""),_xlpm._rs,TRIM(UPPER(C83&amp;"")),_xlpm._txt,TRIM(SUBSTITUTE(SUBSTITUTE(SUBSTITUTE(SUBSTITUTE(SUBSTITUTE(SUBSTITUTE(SUBSTITUTE(_xlpm._rs,".",""),",","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CONSU_JURÍD_JAVER</v>
      </c>
      <c r="C83" s="36" t="s">
        <v>12437</v>
      </c>
      <c r="F83" t="str">
        <f>IF(Tbla_entidades[[#This Row],[CIUU]]="","",_xlfn.XLOOKUP(Tbla_entidades[[#This Row],[CIUU]],Listas!$N:$N,Listas!$O:$O,""))</f>
        <v/>
      </c>
      <c r="I83" t="s">
        <v>12438</v>
      </c>
      <c r="J83" t="s">
        <v>12058</v>
      </c>
      <c r="K83" t="s">
        <v>12059</v>
      </c>
      <c r="N83" s="2"/>
    </row>
    <row r="84" spans="2:14" ht="30">
      <c r="B84" t="str" cm="1">
        <f t="array" ref="B84">_xlfn.LET(_xlpm._nit,TRIM(A84&amp;""),_xlpm._rs,TRIM(UPPER(C84&amp;"")),_xlpm._txt,TRIM(SUBSTITUTE(SUBSTITUTE(SUBSTITUTE(SUBSTITUTE(SUBSTITUTE(SUBSTITUTE(SUBSTITUTE(_xlpm._rs,".",""),",","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DEPAR_ARQUI_JAVER_COMUN_ARABI</v>
      </c>
      <c r="C84" s="36" t="s">
        <v>12439</v>
      </c>
      <c r="D84" t="s">
        <v>12055</v>
      </c>
      <c r="F84" t="str">
        <f>IF(Tbla_entidades[[#This Row],[CIUU]]="","",_xlfn.XLOOKUP(Tbla_entidades[[#This Row],[CIUU]],Listas!$N:$N,Listas!$O:$O,""))</f>
        <v/>
      </c>
      <c r="I84" t="s">
        <v>12440</v>
      </c>
      <c r="J84" t="s">
        <v>12213</v>
      </c>
      <c r="K84" t="s">
        <v>12059</v>
      </c>
      <c r="N84" s="2"/>
    </row>
    <row r="85" spans="2:14" ht="30">
      <c r="B85" t="str" cm="1">
        <f t="array" ref="B85">_xlfn.LET(_xlpm._nit,TRIM(A85&amp;""),_xlpm._rs,TRIM(UPPER(C85&amp;"")),_xlpm._txt,TRIM(SUBSTITUTE(SUBSTITUTE(SUBSTITUTE(SUBSTITUTE(SUBSTITUTE(SUBSTITUTE(SUBSTITUTE(_xlpm._rs,".",""),",","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DEPAR_ARQUI_JAVER_NUEVO_TERRI</v>
      </c>
      <c r="C85" s="36" t="s">
        <v>12441</v>
      </c>
      <c r="D85" t="s">
        <v>12055</v>
      </c>
      <c r="F85" t="str">
        <f>IF(Tbla_entidades[[#This Row],[CIUU]]="","",_xlfn.XLOOKUP(Tbla_entidades[[#This Row],[CIUU]],Listas!$N:$N,Listas!$O:$O,""))</f>
        <v/>
      </c>
      <c r="I85" t="s">
        <v>12442</v>
      </c>
      <c r="J85" t="s">
        <v>12194</v>
      </c>
      <c r="K85" t="s">
        <v>12059</v>
      </c>
      <c r="N85" s="2"/>
    </row>
    <row r="86" spans="2:14">
      <c r="B86" t="str" cm="1">
        <f t="array" ref="B86">_xlfn.LET(_xlpm._nit,TRIM(A86&amp;""),_xlpm._rs,TRIM(UPPER(C86&amp;"")),_xlpm._txt,TRIM(SUBSTITUTE(SUBSTITUTE(SUBSTITUTE(SUBSTITUTE(SUBSTITUTE(SUBSTITUTE(SUBSTITUTE(_xlpm._rs,".",""),",","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DEPAR_INGEN_CIVIL</v>
      </c>
      <c r="C86" s="36" t="s">
        <v>12443</v>
      </c>
      <c r="D86" t="s">
        <v>12055</v>
      </c>
      <c r="F86" t="str">
        <f>IF(Tbla_entidades[[#This Row],[CIUU]]="","",_xlfn.XLOOKUP(Tbla_entidades[[#This Row],[CIUU]],Listas!$N:$N,Listas!$O:$O,""))</f>
        <v/>
      </c>
      <c r="I86" t="s">
        <v>12057</v>
      </c>
      <c r="J86" t="s">
        <v>12058</v>
      </c>
      <c r="K86" t="s">
        <v>12059</v>
      </c>
      <c r="N86" s="2"/>
    </row>
    <row r="87" spans="2:14">
      <c r="B87" t="str" cm="1">
        <f t="array" ref="B87">_xlfn.LET(_xlpm._nit,TRIM(A87&amp;""),_xlpm._rs,TRIM(UPPER(C87&amp;"")),_xlpm._txt,TRIM(SUBSTITUTE(SUBSTITUTE(SUBSTITUTE(SUBSTITUTE(SUBSTITUTE(SUBSTITUTE(SUBSTITUTE(_xlpm._rs,".",""),",","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DEPAR_INGEN_ELECT</v>
      </c>
      <c r="C87" s="36" t="s">
        <v>12444</v>
      </c>
      <c r="D87" t="s">
        <v>12055</v>
      </c>
      <c r="F87" t="str">
        <f>IF(Tbla_entidades[[#This Row],[CIUU]]="","",_xlfn.XLOOKUP(Tbla_entidades[[#This Row],[CIUU]],Listas!$N:$N,Listas!$O:$O,""))</f>
        <v/>
      </c>
      <c r="I87" t="s">
        <v>12057</v>
      </c>
      <c r="J87" t="s">
        <v>12058</v>
      </c>
      <c r="K87" t="s">
        <v>12059</v>
      </c>
      <c r="N87" s="2"/>
    </row>
    <row r="88" spans="2:14">
      <c r="B88" t="str" cm="1">
        <f t="array" ref="B88">_xlfn.LET(_xlpm._nit,TRIM(A88&amp;""),_xlpm._rs,TRIM(UPPER(C88&amp;"")),_xlpm._txt,TRIM(SUBSTITUTE(SUBSTITUTE(SUBSTITUTE(SUBSTITUTE(SUBSTITUTE(SUBSTITUTE(SUBSTITUTE(_xlpm._rs,".",""),",","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DEPAR_INGEN_INDUS</v>
      </c>
      <c r="C88" s="36" t="s">
        <v>12445</v>
      </c>
      <c r="F88" t="str">
        <f>IF(Tbla_entidades[[#This Row],[CIUU]]="","",_xlfn.XLOOKUP(Tbla_entidades[[#This Row],[CIUU]],Listas!$N:$N,Listas!$O:$O,""))</f>
        <v/>
      </c>
      <c r="I88" t="s">
        <v>12057</v>
      </c>
      <c r="K88" t="s">
        <v>12059</v>
      </c>
      <c r="N88" s="2"/>
    </row>
    <row r="89" spans="2:14">
      <c r="B89" t="str" cm="1">
        <f t="array" ref="B89">_xlfn.LET(_xlpm._nit,TRIM(A89&amp;""),_xlpm._rs,TRIM(UPPER(C89&amp;"")),_xlpm._txt,TRIM(SUBSTITUTE(SUBSTITUTE(SUBSTITUTE(SUBSTITUTE(SUBSTITUTE(SUBSTITUTE(SUBSTITUTE(_xlpm._rs,".",""),",","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ELECT_S_S</v>
      </c>
      <c r="C89" s="36" t="s">
        <v>12446</v>
      </c>
      <c r="F89" t="str">
        <f>IF(Tbla_entidades[[#This Row],[CIUU]]="","",_xlfn.XLOOKUP(Tbla_entidades[[#This Row],[CIUU]],Listas!$N:$N,Listas!$O:$O,""))</f>
        <v/>
      </c>
      <c r="J89" t="s">
        <v>12067</v>
      </c>
      <c r="K89" t="s">
        <v>12059</v>
      </c>
      <c r="N89" s="2"/>
    </row>
    <row r="90" spans="2:14">
      <c r="B90" t="str" cm="1">
        <f t="array" ref="B90">_xlfn.LET(_xlpm._nit,TRIM(A90&amp;""),_xlpm._rs,TRIM(UPPER(C90&amp;"")),_xlpm._txt,TRIM(SUBSTITUTE(SUBSTITUTE(SUBSTITUTE(SUBSTITUTE(SUBSTITUTE(SUBSTITUTE(SUBSTITUTE(_xlpm._rs,".",""),",","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ENTID_NO_ENCON</v>
      </c>
      <c r="C90" s="36" t="s">
        <v>12447</v>
      </c>
      <c r="F90" t="str">
        <f>IF(Tbla_entidades[[#This Row],[CIUU]]="","",_xlfn.XLOOKUP(Tbla_entidades[[#This Row],[CIUU]],Listas!$N:$N,Listas!$O:$O,""))</f>
        <v/>
      </c>
      <c r="K90" t="s">
        <v>12059</v>
      </c>
      <c r="N90" s="2"/>
    </row>
    <row r="91" spans="2:14">
      <c r="B91" t="str" cm="1">
        <f t="array" ref="B91">_xlfn.LET(_xlpm._nit,TRIM(A91&amp;""),_xlpm._rs,TRIM(UPPER(C91&amp;"")),_xlpm._txt,TRIM(SUBSTITUTE(SUBSTITUTE(SUBSTITUTE(SUBSTITUTE(SUBSTITUTE(SUBSTITUTE(SUBSTITUTE(_xlpm._rs,".",""),",","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ENTID_NO_IDENT</v>
      </c>
      <c r="C91" s="36" t="s">
        <v>12448</v>
      </c>
      <c r="F91" t="str">
        <f>IF(Tbla_entidades[[#This Row],[CIUU]]="","",_xlfn.XLOOKUP(Tbla_entidades[[#This Row],[CIUU]],Listas!$N:$N,Listas!$O:$O,""))</f>
        <v/>
      </c>
      <c r="K91" t="s">
        <v>12059</v>
      </c>
      <c r="N91" s="2"/>
    </row>
    <row r="92" spans="2:14">
      <c r="B92" t="str" cm="1">
        <f t="array" ref="B92">_xlfn.LET(_xlpm._nit,TRIM(A92&amp;""),_xlpm._rs,TRIM(UPPER(C92&amp;"")),_xlpm._txt,TRIM(SUBSTITUTE(SUBSTITUTE(SUBSTITUTE(SUBSTITUTE(SUBSTITUTE(SUBSTITUTE(SUBSTITUTE(_xlpm._rs,".",""),",","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FUNDA_ECO_S_COLOM</v>
      </c>
      <c r="C92" s="36" t="s">
        <v>12449</v>
      </c>
      <c r="F92" t="str">
        <f>IF(Tbla_entidades[[#This Row],[CIUU]]="","",_xlfn.XLOOKUP(Tbla_entidades[[#This Row],[CIUU]],Listas!$N:$N,Listas!$O:$O,""))</f>
        <v/>
      </c>
      <c r="I92" t="s">
        <v>12421</v>
      </c>
      <c r="K92" t="s">
        <v>11802</v>
      </c>
      <c r="N92" s="2"/>
    </row>
    <row r="93" spans="2:14">
      <c r="B93" t="str" cm="1">
        <f t="array" ref="B93">_xlfn.LET(_xlpm._nit,TRIM(A93&amp;""),_xlpm._rs,TRIM(UPPER(C93&amp;"")),_xlpm._txt,TRIM(SUBSTITUTE(SUBSTITUTE(SUBSTITUTE(SUBSTITUTE(SUBSTITUTE(SUBSTITUTE(SUBSTITUTE(_xlpm._rs,".",""),",","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FUNDA_JUAN_PABLO_II_HOGAR</v>
      </c>
      <c r="C93" s="36" t="s">
        <v>12450</v>
      </c>
      <c r="F93" t="str">
        <f>IF(Tbla_entidades[[#This Row],[CIUU]]="","",_xlfn.XLOOKUP(Tbla_entidades[[#This Row],[CIUU]],Listas!$N:$N,Listas!$O:$O,""))</f>
        <v/>
      </c>
      <c r="I93" t="s">
        <v>12451</v>
      </c>
      <c r="J93" t="s">
        <v>12133</v>
      </c>
      <c r="K93" t="s">
        <v>12059</v>
      </c>
      <c r="N93" s="2"/>
    </row>
    <row r="94" spans="2:14">
      <c r="B94" t="str" cm="1">
        <f t="array" ref="B94">_xlfn.LET(_xlpm._nit,TRIM(A94&amp;""),_xlpm._rs,TRIM(UPPER(C94&amp;"")),_xlpm._txt,TRIM(SUBSTITUTE(SUBSTITUTE(SUBSTITUTE(SUBSTITUTE(SUBSTITUTE(SUBSTITUTE(SUBSTITUTE(_xlpm._rs,".",""),",","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FUNDA_LAUDE_INFAN</v>
      </c>
      <c r="C94" s="36" t="s">
        <v>12452</v>
      </c>
      <c r="F94" t="str">
        <f>IF(Tbla_entidades[[#This Row],[CIUU]]="","",_xlfn.XLOOKUP(Tbla_entidades[[#This Row],[CIUU]],Listas!$N:$N,Listas!$O:$O,""))</f>
        <v/>
      </c>
      <c r="I94" t="s">
        <v>12453</v>
      </c>
      <c r="J94" t="s">
        <v>12067</v>
      </c>
      <c r="K94" t="s">
        <v>12059</v>
      </c>
      <c r="N94" s="2"/>
    </row>
    <row r="95" spans="2:14">
      <c r="B95" t="str" cm="1">
        <f t="array" ref="B95">_xlfn.LET(_xlpm._nit,TRIM(A95&amp;""),_xlpm._rs,TRIM(UPPER(C95&amp;"")),_xlpm._txt,TRIM(SUBSTITUTE(SUBSTITUTE(SUBSTITUTE(SUBSTITUTE(SUBSTITUTE(SUBSTITUTE(SUBSTITUTE(_xlpm._rs,".",""),",","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FUNDA_MONSE_EMILI_BRIGA</v>
      </c>
      <c r="C95" s="36" t="s">
        <v>12454</v>
      </c>
      <c r="F95" t="str">
        <f>IF(Tbla_entidades[[#This Row],[CIUU]]="","",_xlfn.XLOOKUP(Tbla_entidades[[#This Row],[CIUU]],Listas!$N:$N,Listas!$O:$O,""))</f>
        <v/>
      </c>
      <c r="K95" t="s">
        <v>12059</v>
      </c>
      <c r="N95" s="2"/>
    </row>
    <row r="96" spans="2:14">
      <c r="B96" t="str" cm="1">
        <f t="array" ref="B96">_xlfn.LET(_xlpm._nit,TRIM(A96&amp;""),_xlpm._rs,TRIM(UPPER(C96&amp;"")),_xlpm._txt,TRIM(SUBSTITUTE(SUBSTITUTE(SUBSTITUTE(SUBSTITUTE(SUBSTITUTE(SUBSTITUTE(SUBSTITUTE(_xlpm._rs,".",""),",","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FUNDA_MUTUA_FUNDA_PT</v>
      </c>
      <c r="C96" s="36" t="s">
        <v>12455</v>
      </c>
      <c r="F96" t="str">
        <f>IF(Tbla_entidades[[#This Row],[CIUU]]="","",_xlfn.XLOOKUP(Tbla_entidades[[#This Row],[CIUU]],Listas!$N:$N,Listas!$O:$O,""))</f>
        <v/>
      </c>
      <c r="I96" t="s">
        <v>12101</v>
      </c>
      <c r="J96" t="s">
        <v>12102</v>
      </c>
      <c r="K96" t="s">
        <v>12059</v>
      </c>
      <c r="N96" s="2"/>
    </row>
    <row r="97" spans="1:14">
      <c r="B97" t="str" cm="1">
        <f t="array" ref="B97">_xlfn.LET(_xlpm._nit,TRIM(A97&amp;""),_xlpm._rs,TRIM(UPPER(C97&amp;"")),_xlpm._txt,TRIM(SUBSTITUTE(SUBSTITUTE(SUBSTITUTE(SUBSTITUTE(SUBSTITUTE(SUBSTITUTE(SUBSTITUTE(_xlpm._rs,".",""),",","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FUNDA_PACÍF_EMPRE</v>
      </c>
      <c r="C97" s="36" t="s">
        <v>12378</v>
      </c>
      <c r="F97" t="str">
        <f>IF(Tbla_entidades[[#This Row],[CIUU]]="","",_xlfn.XLOOKUP(Tbla_entidades[[#This Row],[CIUU]],Listas!$N:$N,Listas!$O:$O,""))</f>
        <v/>
      </c>
      <c r="K97" t="s">
        <v>12059</v>
      </c>
      <c r="N97" s="2"/>
    </row>
    <row r="98" spans="1:14">
      <c r="B98" t="str" cm="1">
        <f t="array" ref="B98">_xlfn.LET(_xlpm._nit,TRIM(A98&amp;""),_xlpm._rs,TRIM(UPPER(C98&amp;"")),_xlpm._txt,TRIM(SUBSTITUTE(SUBSTITUTE(SUBSTITUTE(SUBSTITUTE(SUBSTITUTE(SUBSTITUTE(SUBSTITUTE(_xlpm._rs,".",""),",","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FUNDA_PANN</v>
      </c>
      <c r="C98" s="36" t="s">
        <v>12456</v>
      </c>
      <c r="F98" t="str">
        <f>IF(Tbla_entidades[[#This Row],[CIUU]]="","",_xlfn.XLOOKUP(Tbla_entidades[[#This Row],[CIUU]],Listas!$N:$N,Listas!$O:$O,""))</f>
        <v/>
      </c>
      <c r="K98" t="s">
        <v>12059</v>
      </c>
      <c r="N98" s="2"/>
    </row>
    <row r="99" spans="1:14">
      <c r="B99" t="str" cm="1">
        <f t="array" ref="B99">_xlfn.LET(_xlpm._nit,TRIM(A99&amp;""),_xlpm._rs,TRIM(UPPER(C99&amp;"")),_xlpm._txt,TRIM(SUBSTITUTE(SUBSTITUTE(SUBSTITUTE(SUBSTITUTE(SUBSTITUTE(SUBSTITUTE(SUBSTITUTE(_xlpm._rs,".",""),",","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FUNDA_VICTO_JESÚS</v>
      </c>
      <c r="C99" s="36" t="s">
        <v>12457</v>
      </c>
      <c r="F99" t="str">
        <f>IF(Tbla_entidades[[#This Row],[CIUU]]="","",_xlfn.XLOOKUP(Tbla_entidades[[#This Row],[CIUU]],Listas!$N:$N,Listas!$O:$O,""))</f>
        <v/>
      </c>
      <c r="K99" t="s">
        <v>12059</v>
      </c>
      <c r="N99" s="2"/>
    </row>
    <row r="100" spans="1:14">
      <c r="B100" t="str" cm="1">
        <f t="array" ref="B100">_xlfn.LET(_xlpm._nit,TRIM(A100&amp;""),_xlpm._rs,TRIM(UPPER(C100&amp;"")),_xlpm._txt,TRIM(SUBSTITUTE(SUBSTITUTE(SUBSTITUTE(SUBSTITUTE(SUBSTITUTE(SUBSTITUTE(SUBSTITUTE(_xlpm._rs,".",""),",","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G_BOLÍV_CAFÉ_AROMA_BUENO</v>
      </c>
      <c r="C100" s="36" t="s">
        <v>12458</v>
      </c>
      <c r="D100" t="s">
        <v>12055</v>
      </c>
      <c r="F100" t="str">
        <f>IF(Tbla_entidades[[#This Row],[CIUU]]="","",_xlfn.XLOOKUP(Tbla_entidades[[#This Row],[CIUU]],Listas!$N:$N,Listas!$O:$O,""))</f>
        <v/>
      </c>
      <c r="K100" t="s">
        <v>12059</v>
      </c>
      <c r="N100" s="2"/>
    </row>
    <row r="101" spans="1:14">
      <c r="B101" t="str" cm="1">
        <f t="array" ref="B101">_xlfn.LET(_xlpm._nit,TRIM(A101&amp;""),_xlpm._rs,TRIM(UPPER(C101&amp;"")),_xlpm._txt,TRIM(SUBSTITUTE(SUBSTITUTE(SUBSTITUTE(SUBSTITUTE(SUBSTITUTE(SUBSTITUTE(SUBSTITUTE(_xlpm._rs,".",""),",","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G_BOLÍV_CAJIT_LO_DICE</v>
      </c>
      <c r="C101" s="36" t="s">
        <v>12459</v>
      </c>
      <c r="D101" t="s">
        <v>12055</v>
      </c>
      <c r="F101" t="str">
        <f>IF(Tbla_entidades[[#This Row],[CIUU]]="","",_xlfn.XLOOKUP(Tbla_entidades[[#This Row],[CIUU]],Listas!$N:$N,Listas!$O:$O,""))</f>
        <v/>
      </c>
      <c r="K101" t="s">
        <v>12059</v>
      </c>
      <c r="N101" s="2"/>
    </row>
    <row r="102" spans="1:14">
      <c r="B102" t="str" cm="1">
        <f t="array" ref="B102">_xlfn.LET(_xlpm._nit,TRIM(A102&amp;""),_xlpm._rs,TRIM(UPPER(C102&amp;"")),_xlpm._txt,TRIM(SUBSTITUTE(SUBSTITUTE(SUBSTITUTE(SUBSTITUTE(SUBSTITUTE(SUBSTITUTE(SUBSTITUTE(_xlpm._rs,".",""),",","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G_BOLÍV_IMPER</v>
      </c>
      <c r="C102" s="36" t="s">
        <v>12460</v>
      </c>
      <c r="D102" t="s">
        <v>12055</v>
      </c>
      <c r="F102" t="str">
        <f>IF(Tbla_entidades[[#This Row],[CIUU]]="","",_xlfn.XLOOKUP(Tbla_entidades[[#This Row],[CIUU]],Listas!$N:$N,Listas!$O:$O,""))</f>
        <v/>
      </c>
      <c r="K102" t="s">
        <v>12059</v>
      </c>
      <c r="N102" s="2"/>
    </row>
    <row r="103" spans="1:14">
      <c r="B103" t="str" cm="1">
        <f t="array" ref="B103">_xlfn.LET(_xlpm._nit,TRIM(A103&amp;""),_xlpm._rs,TRIM(UPPER(C103&amp;"")),_xlpm._txt,TRIM(SUBSTITUTE(SUBSTITUTE(SUBSTITUTE(SUBSTITUTE(SUBSTITUTE(SUBSTITUTE(SUBSTITUTE(_xlpm._rs,".",""),",","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JUNTA_ACCIÓ_COMUN_BARRI_JJ</v>
      </c>
      <c r="C103" s="36" t="s">
        <v>12461</v>
      </c>
      <c r="F103" t="str">
        <f>IF(Tbla_entidades[[#This Row],[CIUU]]="","",_xlfn.XLOOKUP(Tbla_entidades[[#This Row],[CIUU]],Listas!$N:$N,Listas!$O:$O,""))</f>
        <v/>
      </c>
      <c r="J103" t="s">
        <v>12067</v>
      </c>
      <c r="K103" t="s">
        <v>12059</v>
      </c>
      <c r="N103" s="2"/>
    </row>
    <row r="104" spans="1:14" ht="30">
      <c r="B104" t="str" cm="1">
        <f t="array" ref="B104">_xlfn.LET(_xlpm._nit,TRIM(A104&amp;""),_xlpm._rs,TRIM(UPPER(C104&amp;"")),_xlpm._txt,TRIM(SUBSTITUTE(SUBSTITUTE(SUBSTITUTE(SUBSTITUTE(SUBSTITUTE(SUBSTITUTE(SUBSTITUTE(_xlpm._rs,".",""),",","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OFICI_FOMEN_RESPO_SOCIA_UNIVE</v>
      </c>
      <c r="C104" s="36" t="s">
        <v>12462</v>
      </c>
      <c r="F104" t="str">
        <f>IF(Tbla_entidades[[#This Row],[CIUU]]="","",_xlfn.XLOOKUP(Tbla_entidades[[#This Row],[CIUU]],Listas!$N:$N,Listas!$O:$O,""))</f>
        <v/>
      </c>
      <c r="K104" t="s">
        <v>12059</v>
      </c>
      <c r="N104" s="2"/>
    </row>
    <row r="105" spans="1:14">
      <c r="B105" t="str" cm="1">
        <f t="array" ref="B105">_xlfn.LET(_xlpm._nit,TRIM(A105&amp;""),_xlpm._rs,TRIM(UPPER(C105&amp;"")),_xlpm._txt,TRIM(SUBSTITUTE(SUBSTITUTE(SUBSTITUTE(SUBSTITUTE(SUBSTITUTE(SUBSTITUTE(SUBSTITUTE(_xlpm._rs,".",""),",","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OFICI_PROSO</v>
      </c>
      <c r="C105" s="36" t="s">
        <v>12463</v>
      </c>
      <c r="F105" t="str">
        <f>IF(Tbla_entidades[[#This Row],[CIUU]]="","",_xlfn.XLOOKUP(Tbla_entidades[[#This Row],[CIUU]],Listas!$N:$N,Listas!$O:$O,""))</f>
        <v/>
      </c>
      <c r="I105" t="s">
        <v>12057</v>
      </c>
      <c r="J105" t="s">
        <v>12058</v>
      </c>
      <c r="K105" t="s">
        <v>12059</v>
      </c>
      <c r="N105" s="2"/>
    </row>
    <row r="106" spans="1:14">
      <c r="B106" t="str" cm="1">
        <f t="array" ref="B106">_xlfn.LET(_xlpm._nit,TRIM(A106&amp;""),_xlpm._rs,TRIM(UPPER(C106&amp;"")),_xlpm._txt,TRIM(SUBSTITUTE(SUBSTITUTE(SUBSTITUTE(SUBSTITUTE(SUBSTITUTE(SUBSTITUTE(SUBSTITUTE(_xlpm._rs,".",""),",","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PARRO_SAN_MARCE_CHAMP</v>
      </c>
      <c r="C106" s="36" t="s">
        <v>12464</v>
      </c>
      <c r="D106" t="s">
        <v>12055</v>
      </c>
      <c r="F106" t="str">
        <f>IF(Tbla_entidades[[#This Row],[CIUU]]="","",_xlfn.XLOOKUP(Tbla_entidades[[#This Row],[CIUU]],Listas!$N:$N,Listas!$O:$O,""))</f>
        <v/>
      </c>
      <c r="I106" t="s">
        <v>12465</v>
      </c>
      <c r="J106" t="s">
        <v>12067</v>
      </c>
      <c r="K106" t="s">
        <v>12059</v>
      </c>
      <c r="L106" t="s">
        <v>12156</v>
      </c>
      <c r="N106" s="2"/>
    </row>
    <row r="107" spans="1:14">
      <c r="B107" t="str" cm="1">
        <f t="array" ref="B107">_xlfn.LET(_xlpm._nit,TRIM(A107&amp;""),_xlpm._rs,TRIM(UPPER(C107&amp;"")),_xlpm._txt,TRIM(SUBSTITUTE(SUBSTITUTE(SUBSTITUTE(SUBSTITUTE(SUBSTITUTE(SUBSTITUTE(SUBSTITUTE(_xlpm._rs,".",""),",","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PARRO_SANTA_MARÍA_CANÁ</v>
      </c>
      <c r="C107" s="36" t="s">
        <v>12466</v>
      </c>
      <c r="F107" t="str">
        <f>IF(Tbla_entidades[[#This Row],[CIUU]]="","",_xlfn.XLOOKUP(Tbla_entidades[[#This Row],[CIUU]],Listas!$N:$N,Listas!$O:$O,""))</f>
        <v/>
      </c>
      <c r="I107" t="s">
        <v>12467</v>
      </c>
      <c r="J107" t="s">
        <v>12280</v>
      </c>
      <c r="K107" t="s">
        <v>12059</v>
      </c>
      <c r="N107" s="2"/>
    </row>
    <row r="108" spans="1:14">
      <c r="B108" t="str" cm="1">
        <f t="array" ref="B108">_xlfn.LET(_xlpm._nit,TRIM(A108&amp;""),_xlpm._rs,TRIM(UPPER(C108&amp;"")),_xlpm._txt,TRIM(SUBSTITUTE(SUBSTITUTE(SUBSTITUTE(SUBSTITUTE(SUBSTITUTE(SUBSTITUTE(SUBSTITUTE(_xlpm._rs,".",""),",","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PARRO_SANTA_TERES_ANDES</v>
      </c>
      <c r="C108" s="36" t="s">
        <v>12468</v>
      </c>
      <c r="F108" t="str">
        <f>IF(Tbla_entidades[[#This Row],[CIUU]]="","",_xlfn.XLOOKUP(Tbla_entidades[[#This Row],[CIUU]],Listas!$N:$N,Listas!$O:$O,""))</f>
        <v/>
      </c>
      <c r="I108" t="s">
        <v>12469</v>
      </c>
      <c r="J108" t="s">
        <v>12280</v>
      </c>
      <c r="K108" t="s">
        <v>12059</v>
      </c>
      <c r="N108" s="2"/>
    </row>
    <row r="109" spans="1:14">
      <c r="B109" t="str" cm="1">
        <f t="array" ref="B109">_xlfn.LET(_xlpm._nit,TRIM(A109&amp;""),_xlpm._rs,TRIM(UPPER(C109&amp;"")),_xlpm._txt,TRIM(SUBSTITUTE(SUBSTITUTE(SUBSTITUTE(SUBSTITUTE(SUBSTITUTE(SUBSTITUTE(SUBSTITUTE(_xlpm._rs,".",""),",","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PERIÓ_OLYMP</v>
      </c>
      <c r="C109" s="36" t="s">
        <v>12470</v>
      </c>
      <c r="F109" t="str">
        <f>IF(Tbla_entidades[[#This Row],[CIUU]]="","",_xlfn.XLOOKUP(Tbla_entidades[[#This Row],[CIUU]],Listas!$N:$N,Listas!$O:$O,""))</f>
        <v/>
      </c>
      <c r="J109" t="s">
        <v>12067</v>
      </c>
      <c r="K109" t="s">
        <v>12059</v>
      </c>
      <c r="N109" s="2"/>
    </row>
    <row r="110" spans="1:14">
      <c r="A110">
        <v>0</v>
      </c>
      <c r="B110" t="str" cm="1">
        <f t="array" ref="B110">_xlfn.LET(_xlpm._nit,TRIM(A110&amp;""),_xlpm._rs,TRIM(UPPER(C110&amp;"")),_xlpm._txt,TRIM(SUBSTITUTE(SUBSTITUTE(SUBSTITUTE(SUBSTITUTE(SUBSTITUTE(SUBSTITUTE(SUBSTITUTE(_xlpm._rs,".",""),",","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PONTI_UNIVE_JAVER</v>
      </c>
      <c r="C110" s="36" t="s">
        <v>12471</v>
      </c>
      <c r="F110" t="str">
        <f>IF(Tbla_entidades[[#This Row],[CIUU]]="","",_xlfn.XLOOKUP(Tbla_entidades[[#This Row],[CIUU]],Listas!$N:$N,Listas!$O:$O,""))</f>
        <v/>
      </c>
      <c r="I110" t="s">
        <v>12057</v>
      </c>
      <c r="J110" t="s">
        <v>12058</v>
      </c>
      <c r="K110" t="s">
        <v>12059</v>
      </c>
      <c r="N110" s="2"/>
    </row>
    <row r="111" spans="1:14">
      <c r="B111" t="str" cm="1">
        <f t="array" ref="B111">_xlfn.LET(_xlpm._nit,TRIM(A111&amp;""),_xlpm._rs,TRIM(UPPER(C111&amp;"")),_xlpm._txt,TRIM(SUBSTITUTE(SUBSTITUTE(SUBSTITUTE(SUBSTITUTE(SUBSTITUTE(SUBSTITUTE(SUBSTITUTE(_xlpm._rs,".",""),",","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PROGR_INCLU_JAVER</v>
      </c>
      <c r="C111" s="36" t="s">
        <v>12472</v>
      </c>
      <c r="F111" t="str">
        <f>IF(Tbla_entidades[[#This Row],[CIUU]]="","",_xlfn.XLOOKUP(Tbla_entidades[[#This Row],[CIUU]],Listas!$N:$N,Listas!$O:$O,""))</f>
        <v/>
      </c>
      <c r="K111" t="s">
        <v>12059</v>
      </c>
      <c r="N111" s="2"/>
    </row>
    <row r="112" spans="1:14">
      <c r="B112" t="str" cm="1">
        <f t="array" ref="B112">_xlfn.LET(_xlpm._nit,TRIM(A112&amp;""),_xlpm._rs,TRIM(UPPER(C112&amp;"")),_xlpm._txt,TRIM(SUBSTITUTE(SUBSTITUTE(SUBSTITUTE(SUBSTITUTE(SUBSTITUTE(SUBSTITUTE(SUBSTITUTE(_xlpm._rs,".",""),",","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PROGR_SOCIA_VIDAS_MÓVIL</v>
      </c>
      <c r="C112" s="36" t="s">
        <v>12473</v>
      </c>
      <c r="F112" t="str">
        <f>IF(Tbla_entidades[[#This Row],[CIUU]]="","",_xlfn.XLOOKUP(Tbla_entidades[[#This Row],[CIUU]],Listas!$N:$N,Listas!$O:$O,""))</f>
        <v/>
      </c>
      <c r="I112" t="s">
        <v>12212</v>
      </c>
      <c r="J112" t="s">
        <v>12213</v>
      </c>
      <c r="K112" t="s">
        <v>12059</v>
      </c>
      <c r="N112" s="2"/>
    </row>
    <row r="113" spans="2:14">
      <c r="B113" t="str" cm="1">
        <f t="array" ref="B113">_xlfn.LET(_xlpm._nit,TRIM(A113&amp;""),_xlpm._rs,TRIM(UPPER(C113&amp;"")),_xlpm._txt,TRIM(SUBSTITUTE(SUBSTITUTE(SUBSTITUTE(SUBSTITUTE(SUBSTITUTE(SUBSTITUTE(SUBSTITUTE(_xlpm._rs,".",""),",","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PROSO_PUJ</v>
      </c>
      <c r="C113" s="36" t="s">
        <v>12474</v>
      </c>
      <c r="F113" t="str">
        <f>IF(Tbla_entidades[[#This Row],[CIUU]]="","",_xlfn.XLOOKUP(Tbla_entidades[[#This Row],[CIUU]],Listas!$N:$N,Listas!$O:$O,""))</f>
        <v/>
      </c>
      <c r="J113" t="s">
        <v>12067</v>
      </c>
      <c r="K113" t="s">
        <v>12059</v>
      </c>
      <c r="N113" s="2"/>
    </row>
    <row r="114" spans="2:14">
      <c r="B114" t="str" cm="1">
        <f t="array" ref="B114">_xlfn.LET(_xlpm._nit,TRIM(A114&amp;""),_xlpm._rs,TRIM(UPPER(C114&amp;"")),_xlpm._txt,TRIM(SUBSTITUTE(SUBSTITUTE(SUBSTITUTE(SUBSTITUTE(SUBSTITUTE(SUBSTITUTE(SUBSTITUTE(_xlpm._rs,".",""),",","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PROYE_SOCIA_FACUL_INGEN</v>
      </c>
      <c r="C114" s="36" t="s">
        <v>12475</v>
      </c>
      <c r="F114" t="str">
        <f>IF(Tbla_entidades[[#This Row],[CIUU]]="","",_xlfn.XLOOKUP(Tbla_entidades[[#This Row],[CIUU]],Listas!$N:$N,Listas!$O:$O,""))</f>
        <v/>
      </c>
      <c r="I114" t="s">
        <v>12057</v>
      </c>
      <c r="J114" t="s">
        <v>12058</v>
      </c>
      <c r="K114" t="s">
        <v>12059</v>
      </c>
      <c r="N114" s="2"/>
    </row>
    <row r="115" spans="2:14">
      <c r="B115" t="str" cm="1">
        <f t="array" ref="B115">_xlfn.LET(_xlpm._nit,TRIM(A115&amp;""),_xlpm._rs,TRIM(UPPER(C115&amp;"")),_xlpm._txt,TRIM(SUBSTITUTE(SUBSTITUTE(SUBSTITUTE(SUBSTITUTE(SUBSTITUTE(SUBSTITUTE(SUBSTITUTE(_xlpm._rs,".",""),",","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RED_JUVEN_IGNAC</v>
      </c>
      <c r="C115" s="36" t="s">
        <v>11865</v>
      </c>
      <c r="D115" t="s">
        <v>12055</v>
      </c>
      <c r="F115" t="str">
        <f>IF(Tbla_entidades[[#This Row],[CIUU]]="","",_xlfn.XLOOKUP(Tbla_entidades[[#This Row],[CIUU]],Listas!$N:$N,Listas!$O:$O,""))</f>
        <v/>
      </c>
      <c r="I115" t="s">
        <v>12476</v>
      </c>
      <c r="J115" t="s">
        <v>12058</v>
      </c>
      <c r="K115" t="s">
        <v>12059</v>
      </c>
      <c r="L115" t="s">
        <v>12156</v>
      </c>
      <c r="N115" s="2"/>
    </row>
    <row r="116" spans="2:14">
      <c r="B116" t="str" cm="1">
        <f t="array" ref="B116">_xlfn.LET(_xlpm._nit,TRIM(A116&amp;""),_xlpm._rs,TRIM(UPPER(C116&amp;"")),_xlpm._txt,TRIM(SUBSTITUTE(SUBSTITUTE(SUBSTITUTE(SUBSTITUTE(SUBSTITUTE(SUBSTITUTE(SUBSTITUTE(_xlpm._rs,".",""),",","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REGIO_SJ</v>
      </c>
      <c r="C116" s="36" t="s">
        <v>12477</v>
      </c>
      <c r="F116" t="str">
        <f>IF(Tbla_entidades[[#This Row],[CIUU]]="","",_xlfn.XLOOKUP(Tbla_entidades[[#This Row],[CIUU]],Listas!$N:$N,Listas!$O:$O,""))</f>
        <v/>
      </c>
      <c r="I116" t="s">
        <v>12478</v>
      </c>
      <c r="J116" t="s">
        <v>12085</v>
      </c>
      <c r="K116" t="s">
        <v>12059</v>
      </c>
      <c r="N116" s="2"/>
    </row>
    <row r="117" spans="2:14">
      <c r="B117" t="str" cm="1">
        <f t="array" ref="B117">_xlfn.LET(_xlpm._nit,TRIM(A117&amp;""),_xlpm._rs,TRIM(UPPER(C117&amp;"")),_xlpm._txt,TRIM(SUBSTITUTE(SUBSTITUTE(SUBSTITUTE(SUBSTITUTE(SUBSTITUTE(SUBSTITUTE(SUBSTITUTE(_xlpm._rs,".",""),",","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SEMIL_EMPRE_MINER_JAVER</v>
      </c>
      <c r="C117" s="36" t="s">
        <v>12479</v>
      </c>
      <c r="D117" t="s">
        <v>12055</v>
      </c>
      <c r="F117" t="str">
        <f>IF(Tbla_entidades[[#This Row],[CIUU]]="","",_xlfn.XLOOKUP(Tbla_entidades[[#This Row],[CIUU]],Listas!$N:$N,Listas!$O:$O,""))</f>
        <v/>
      </c>
      <c r="I117" t="s">
        <v>12341</v>
      </c>
      <c r="J117" t="s">
        <v>12194</v>
      </c>
      <c r="K117" t="s">
        <v>12059</v>
      </c>
      <c r="L117" t="s">
        <v>12060</v>
      </c>
      <c r="N117" s="2"/>
    </row>
    <row r="118" spans="2:14">
      <c r="B118" t="str" cm="1">
        <f t="array" ref="B118">_xlfn.LET(_xlpm._nit,TRIM(A118&amp;""),_xlpm._rs,TRIM(UPPER(C118&amp;"")),_xlpm._txt,TRIM(SUBSTITUTE(SUBSTITUTE(SUBSTITUTE(SUBSTITUTE(SUBSTITUTE(SUBSTITUTE(SUBSTITUTE(_xlpm._rs,".",""),",","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SEMIL_EOT_CENTR_CRECE</v>
      </c>
      <c r="C118" s="36" t="s">
        <v>12480</v>
      </c>
      <c r="F118" t="str">
        <f>IF(Tbla_entidades[[#This Row],[CIUU]]="","",_xlfn.XLOOKUP(Tbla_entidades[[#This Row],[CIUU]],Listas!$N:$N,Listas!$O:$O,""))</f>
        <v/>
      </c>
      <c r="I118" t="s">
        <v>12057</v>
      </c>
      <c r="J118" t="s">
        <v>12058</v>
      </c>
      <c r="K118" t="s">
        <v>12059</v>
      </c>
      <c r="N118" s="2"/>
    </row>
    <row r="119" spans="2:14">
      <c r="B119" t="str" cm="1">
        <f t="array" ref="B119">_xlfn.LET(_xlpm._nit,TRIM(A119&amp;""),_xlpm._rs,TRIM(UPPER(C119&amp;"")),_xlpm._txt,TRIM(SUBSTITUTE(SUBSTITUTE(SUBSTITUTE(SUBSTITUTE(SUBSTITUTE(SUBSTITUTE(SUBSTITUTE(_xlpm._rs,".",""),",","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SEMIL_EOT_CENTR_DÍA</v>
      </c>
      <c r="C119" s="36" t="s">
        <v>12481</v>
      </c>
      <c r="F119" t="str">
        <f>IF(Tbla_entidades[[#This Row],[CIUU]]="","",_xlfn.XLOOKUP(Tbla_entidades[[#This Row],[CIUU]],Listas!$N:$N,Listas!$O:$O,""))</f>
        <v/>
      </c>
      <c r="I119" t="s">
        <v>12057</v>
      </c>
      <c r="J119" t="s">
        <v>12058</v>
      </c>
      <c r="K119" t="s">
        <v>12059</v>
      </c>
      <c r="N119" s="2"/>
    </row>
    <row r="120" spans="2:14">
      <c r="B120" t="str" cm="1">
        <f t="array" ref="B120">_xlfn.LET(_xlpm._nit,TRIM(A120&amp;""),_xlpm._rs,TRIM(UPPER(C120&amp;"")),_xlpm._txt,TRIM(SUBSTITUTE(SUBSTITUTE(SUBSTITUTE(SUBSTITUTE(SUBSTITUTE(SUBSTITUTE(SUBSTITUTE(_xlpm._rs,".",""),",","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SEMIL_EOT_CONSE_SABIO_CHAPI</v>
      </c>
      <c r="C120" s="36" t="s">
        <v>12482</v>
      </c>
      <c r="F120" t="str">
        <f>IF(Tbla_entidades[[#This Row],[CIUU]]="","",_xlfn.XLOOKUP(Tbla_entidades[[#This Row],[CIUU]],Listas!$N:$N,Listas!$O:$O,""))</f>
        <v/>
      </c>
      <c r="I120" t="s">
        <v>12057</v>
      </c>
      <c r="J120" t="s">
        <v>12058</v>
      </c>
      <c r="K120" t="s">
        <v>12059</v>
      </c>
      <c r="N120" s="2"/>
    </row>
    <row r="121" spans="2:14">
      <c r="B121" t="str" cm="1">
        <f t="array" ref="B121">_xlfn.LET(_xlpm._nit,TRIM(A121&amp;""),_xlpm._rs,TRIM(UPPER(C121&amp;"")),_xlpm._txt,TRIM(SUBSTITUTE(SUBSTITUTE(SUBSTITUTE(SUBSTITUTE(SUBSTITUTE(SUBSTITUTE(SUBSTITUTE(_xlpm._rs,".",""),",","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SEMIL_EOT_CONSE_SABIO_USAQU</v>
      </c>
      <c r="C121" s="36" t="s">
        <v>12483</v>
      </c>
      <c r="F121" t="str">
        <f>IF(Tbla_entidades[[#This Row],[CIUU]]="","",_xlfn.XLOOKUP(Tbla_entidades[[#This Row],[CIUU]],Listas!$N:$N,Listas!$O:$O,""))</f>
        <v/>
      </c>
      <c r="I121" t="s">
        <v>12057</v>
      </c>
      <c r="J121" t="s">
        <v>12058</v>
      </c>
      <c r="K121" t="s">
        <v>12059</v>
      </c>
      <c r="N121" s="2"/>
    </row>
    <row r="122" spans="2:14">
      <c r="B122" t="str" cm="1">
        <f t="array" ref="B122">_xlfn.LET(_xlpm._nit,TRIM(A122&amp;""),_xlpm._rs,TRIM(UPPER(C122&amp;"")),_xlpm._txt,TRIM(SUBSTITUTE(SUBSTITUTE(SUBSTITUTE(SUBSTITUTE(SUBSTITUTE(SUBSTITUTE(SUBSTITUTE(_xlpm._rs,".",""),",","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SEMIL_EOT_COOPE_NIDO_USME</v>
      </c>
      <c r="C122" s="36" t="s">
        <v>12484</v>
      </c>
      <c r="F122" t="str">
        <f>IF(Tbla_entidades[[#This Row],[CIUU]]="","",_xlfn.XLOOKUP(Tbla_entidades[[#This Row],[CIUU]],Listas!$N:$N,Listas!$O:$O,""))</f>
        <v/>
      </c>
      <c r="I122" t="s">
        <v>12057</v>
      </c>
      <c r="J122" t="s">
        <v>12058</v>
      </c>
      <c r="K122" t="s">
        <v>12059</v>
      </c>
      <c r="N122" s="2"/>
    </row>
    <row r="123" spans="2:14">
      <c r="B123" t="str" cm="1">
        <f t="array" ref="B123">_xlfn.LET(_xlpm._nit,TRIM(A123&amp;""),_xlpm._rs,TRIM(UPPER(C123&amp;"")),_xlpm._txt,TRIM(SUBSTITUTE(SUBSTITUTE(SUBSTITUTE(SUBSTITUTE(SUBSTITUTE(SUBSTITUTE(SUBSTITUTE(_xlpm._rs,".",""),",","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SEMIL_EOT_VERED_VERJÓ</v>
      </c>
      <c r="C123" s="36" t="s">
        <v>12485</v>
      </c>
      <c r="F123" t="str">
        <f>IF(Tbla_entidades[[#This Row],[CIUU]]="","",_xlfn.XLOOKUP(Tbla_entidades[[#This Row],[CIUU]],Listas!$N:$N,Listas!$O:$O,""))</f>
        <v/>
      </c>
      <c r="I123" t="s">
        <v>12057</v>
      </c>
      <c r="J123" t="s">
        <v>12058</v>
      </c>
      <c r="K123" t="s">
        <v>12059</v>
      </c>
      <c r="N123" s="2"/>
    </row>
    <row r="124" spans="2:14" ht="30">
      <c r="B124" t="str" cm="1">
        <f t="array" ref="B124">_xlfn.LET(_xlpm._nit,TRIM(A124&amp;""),_xlpm._rs,TRIM(UPPER(C124&amp;"")),_xlpm._txt,TRIM(SUBSTITUTE(SUBSTITUTE(SUBSTITUTE(SUBSTITUTE(SUBSTITUTE(SUBSTITUTE(SUBSTITUTE(_xlpm._rs,".",""),",","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SEMIL_INVES_ECOSI_ORGAN_JAVER</v>
      </c>
      <c r="C124" s="36" t="s">
        <v>12486</v>
      </c>
      <c r="D124" t="s">
        <v>12055</v>
      </c>
      <c r="F124" t="str">
        <f>IF(Tbla_entidades[[#This Row],[CIUU]]="","",_xlfn.XLOOKUP(Tbla_entidades[[#This Row],[CIUU]],Listas!$N:$N,Listas!$O:$O,""))</f>
        <v/>
      </c>
      <c r="I124" t="s">
        <v>12421</v>
      </c>
      <c r="J124" t="s">
        <v>12487</v>
      </c>
      <c r="K124" t="s">
        <v>12059</v>
      </c>
      <c r="N124" s="2"/>
    </row>
    <row r="125" spans="2:14">
      <c r="B125" t="str" cm="1">
        <f t="array" ref="B125">_xlfn.LET(_xlpm._nit,TRIM(A125&amp;""),_xlpm._rs,TRIM(UPPER(C125&amp;"")),_xlpm._txt,TRIM(SUBSTITUTE(SUBSTITUTE(SUBSTITUTE(SUBSTITUTE(SUBSTITUTE(SUBSTITUTE(SUBSTITUTE(_xlpm._rs,".",""),",","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TERRA_VERDE</v>
      </c>
      <c r="C125" s="36" t="s">
        <v>12488</v>
      </c>
      <c r="F125" t="str">
        <f>IF(Tbla_entidades[[#This Row],[CIUU]]="","",_xlfn.XLOOKUP(Tbla_entidades[[#This Row],[CIUU]],Listas!$N:$N,Listas!$O:$O,""))</f>
        <v/>
      </c>
      <c r="J125" t="s">
        <v>12067</v>
      </c>
      <c r="K125" t="s">
        <v>12059</v>
      </c>
      <c r="N125" s="2"/>
    </row>
    <row r="126" spans="2:14">
      <c r="B126" t="str" cm="1">
        <f t="array" ref="B126">_xlfn.LET(_xlpm._nit,TRIM(A126&amp;""),_xlpm._rs,TRIM(UPPER(C126&amp;"")),_xlpm._txt,TRIM(SUBSTITUTE(SUBSTITUTE(SUBSTITUTE(SUBSTITUTE(SUBSTITUTE(SUBSTITUTE(SUBSTITUTE(_xlpm._rs,".",""),",","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UNBOU</v>
      </c>
      <c r="C126" s="36" t="s">
        <v>12489</v>
      </c>
      <c r="F126" t="str">
        <f>IF(Tbla_entidades[[#This Row],[CIUU]]="","",_xlfn.XLOOKUP(Tbla_entidades[[#This Row],[CIUU]],Listas!$N:$N,Listas!$O:$O,""))</f>
        <v/>
      </c>
      <c r="I126" t="s">
        <v>12490</v>
      </c>
      <c r="J126" t="s">
        <v>12067</v>
      </c>
      <c r="K126" t="s">
        <v>12059</v>
      </c>
      <c r="N126" s="2"/>
    </row>
    <row r="127" spans="2:14">
      <c r="B127" t="str" cm="1">
        <f t="array" ref="B127">_xlfn.LET(_xlpm._nit,TRIM(A127&amp;""),_xlpm._rs,TRIM(UPPER(C127&amp;"")),_xlpm._txt,TRIM(SUBSTITUTE(SUBSTITUTE(SUBSTITUTE(SUBSTITUTE(SUBSTITUTE(SUBSTITUTE(SUBSTITUTE(_xlpm._rs,".",""),","," "),"-"," "),"/"," "),"("," "),")"," "),":"," ")),_xlpm._pal,_xlfn.TEXTSPLIT(_xlpm._txt," "),_xlpm._util,_xlfn._xlws.FILTER(_xlpm._pal,ISERROR(MATCH(_xlpm._pal,{"DE";"DEL";"LA";"LAS";"EL";"LOS";"Y";"EN";"PARA";"POR";"CON";"A";"AL";"UN";"UNA";"UNOS";"UNAS"},0))),_xlpm._cod,IFERROR(_xlfn.TEXTJOIN("_",TRUE,LEFT(INDEX(_xlpm._util,1,_xlfn.SEQUENCE(1,MIN(5,COLUMNS(_xlpm._util)))),5)),""),IF(OR(_xlpm._nit="",UPPER(_xlpm._nit)="N/A",UPPER(_xlpm._nit)="NA",UPPER(_xlpm._nit)="SIN NIT",UPPER(_xlpm._nit)="NO APLICA",_xlpm._nit="0"),_xlpm._cod,_xlpm._nit))</f>
        <v>VERED_MANCI</v>
      </c>
      <c r="C127" s="36" t="s">
        <v>12491</v>
      </c>
      <c r="D127" t="s">
        <v>12055</v>
      </c>
      <c r="F127" t="str">
        <f>IF(Tbla_entidades[[#This Row],[CIUU]]="","",_xlfn.XLOOKUP(Tbla_entidades[[#This Row],[CIUU]],Listas!$N:$N,Listas!$O:$O,""))</f>
        <v/>
      </c>
      <c r="I127" t="s">
        <v>12421</v>
      </c>
      <c r="J127" t="s">
        <v>12422</v>
      </c>
      <c r="K127" t="s">
        <v>11802</v>
      </c>
      <c r="L127" t="s">
        <v>12156</v>
      </c>
      <c r="N127" s="2"/>
    </row>
    <row r="135" spans="1:13">
      <c r="A135" s="5"/>
      <c r="B135" s="5"/>
      <c r="C135" s="5" t="s">
        <v>12256</v>
      </c>
      <c r="D135" s="5"/>
      <c r="E135" s="16"/>
      <c r="F135" s="5"/>
      <c r="G135" s="5"/>
      <c r="H135" s="5"/>
      <c r="I135" s="5"/>
      <c r="J135" s="5"/>
      <c r="K135" s="5"/>
      <c r="L135" s="5"/>
      <c r="M135" s="5"/>
    </row>
    <row r="137" spans="1:13">
      <c r="A137" s="5"/>
      <c r="B137" s="5"/>
      <c r="C137" s="5" t="s">
        <v>12492</v>
      </c>
      <c r="D137" s="5"/>
      <c r="E137" s="16"/>
      <c r="F137" s="5"/>
      <c r="G137" s="5"/>
      <c r="H137" s="5"/>
      <c r="I137" s="5"/>
      <c r="J137" s="5"/>
      <c r="K137" s="5"/>
      <c r="L137" s="5"/>
      <c r="M137" s="5"/>
    </row>
  </sheetData>
  <conditionalFormatting sqref="B2:B127">
    <cfRule type="duplicateValues" dxfId="80" priority="6"/>
  </conditionalFormatting>
  <dataValidations count="6">
    <dataValidation type="list" allowBlank="1" showInputMessage="1" showErrorMessage="1" errorTitle="Valor no válido" error="Seleccione una opción válida." promptTitle="Municipio" prompt="Seleccione el municipio" sqref="J128:J1124 K2:K127" xr:uid="{00000000-0002-0000-0200-000002000000}">
      <formula1>LST_MUNICIPIO</formula1>
    </dataValidation>
    <dataValidation type="list" allowBlank="1" showInputMessage="1" showErrorMessage="1" errorTitle="Valor no válido" error="Seleccione una opción válida." promptTitle="Estado Convenio" prompt="Seleccione el estado del convenio" sqref="K128:K1124 L2:L127" xr:uid="{00000000-0002-0000-0200-000003000000}">
      <formula1>LST_ESTADO_CONVENIO</formula1>
    </dataValidation>
    <dataValidation type="list" allowBlank="1" showInputMessage="1" showErrorMessage="1" errorTitle="Valor no válido" error="Seleccione una opción válida." promptTitle="Actividad Económica" prompt="Seleccione la actividad económica CIUU" sqref="E128:E1124" xr:uid="{00000000-0002-0000-0200-000001000000}">
      <formula1>LST_ACTIVIDAD_ECONOMICA</formula1>
    </dataValidation>
    <dataValidation type="whole" allowBlank="1" showInputMessage="1" showErrorMessage="1" errorTitle="Valor no válido" error="Seleccione una opción válida." sqref="F2:F16 F54:F127" xr:uid="{6939E4B9-D4DE-4114-BFAE-EE1DA64C9199}">
      <formula1>112</formula1>
      <formula2>9999</formula2>
    </dataValidation>
    <dataValidation type="list" allowBlank="1" showInputMessage="1" showErrorMessage="1" errorTitle="Valor no válido" error="Seleccione una opción válida." promptTitle="Sector Económico" prompt="Seleccione el sector económico" sqref="D2:D1124" xr:uid="{00000000-0002-0000-0200-000000000000}">
      <formula1>LST_SECTOR_ECONOMICO</formula1>
    </dataValidation>
    <dataValidation type="whole" allowBlank="1" showInputMessage="1" showErrorMessage="1" errorTitle="Valor no válido" error="Seleccione una opción válida." promptTitle="Actividad Económica" prompt="Seleccione la actividad económica CIUU" sqref="F17:F53" xr:uid="{1D0144DB-8AC5-4EE9-B4F8-014205F9585B}">
      <formula1>112</formula1>
      <formula2>9999</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Valor no válido" error="Seleccione una opción válida." promptTitle="Actividad Económica" prompt="Seleccione la actividad económica CIUU" xr:uid="{1E17A416-7A43-4CD4-89E4-A1EC0E541E99}">
          <x14:formula1>
            <xm:f>Listas!$N$2:$N$507</xm:f>
          </x14:formula1>
          <xm:sqref>E2:E127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CFD2-844A-4F1F-94B5-41CD24218412}">
  <sheetPr>
    <tabColor rgb="FF2C5697"/>
  </sheetPr>
  <dimension ref="A1:E272"/>
  <sheetViews>
    <sheetView topLeftCell="B1" workbookViewId="0">
      <selection activeCell="B13" sqref="B13"/>
    </sheetView>
  </sheetViews>
  <sheetFormatPr defaultColWidth="11.42578125" defaultRowHeight="15"/>
  <cols>
    <col min="1" max="1" width="25.85546875" customWidth="1"/>
    <col min="2" max="2" width="81.85546875" bestFit="1" customWidth="1"/>
    <col min="3" max="3" width="43.28515625" customWidth="1"/>
    <col min="4" max="4" width="49.28515625" customWidth="1"/>
    <col min="5" max="5" width="35.42578125" style="62" customWidth="1"/>
    <col min="6" max="7" width="25.85546875" customWidth="1"/>
  </cols>
  <sheetData>
    <row r="1" spans="1:5" ht="24.75" customHeight="1">
      <c r="A1" s="72" t="s">
        <v>17</v>
      </c>
      <c r="B1" s="72" t="s">
        <v>12043</v>
      </c>
      <c r="C1" s="73" t="s">
        <v>12042</v>
      </c>
      <c r="D1" s="73" t="s">
        <v>58</v>
      </c>
      <c r="E1" s="72" t="s">
        <v>12493</v>
      </c>
    </row>
    <row r="2" spans="1:5">
      <c r="A2" t="s">
        <v>9181</v>
      </c>
      <c r="B2" s="44" t="s">
        <v>12405</v>
      </c>
      <c r="C2" t="str">
        <f>IF(B2="","",IFERROR(_xlfn.XLOOKUP(B2,Entidades!$C:$C,Entidades!$B:$B,""),""))</f>
        <v>901285287-8</v>
      </c>
      <c r="D2" t="str">
        <f>IF(A2="","",IFERROR(_xlfn.XLOOKUP(A2,Proyectos!A:A,Proyectos!C:C,""),""))</f>
        <v>Proyecto 1</v>
      </c>
      <c r="E2" s="62" t="s">
        <v>12494</v>
      </c>
    </row>
    <row r="3" spans="1:5">
      <c r="A3" t="s">
        <v>10052</v>
      </c>
      <c r="B3" s="44" t="s">
        <v>12332</v>
      </c>
      <c r="C3" t="str">
        <f>IF(B3="","",IFERROR(_xlfn.XLOOKUP(B3,Entidades!$C:$C,Entidades!$B:$B,""),""))</f>
        <v>900256899-8</v>
      </c>
      <c r="D3" t="str">
        <f>IF(A3="","",IFERROR(_xlfn.XLOOKUP(A3,Proyectos!A:A,Proyectos!C:C,""),""))</f>
        <v>Diseño  de procesos y procedimientos</v>
      </c>
    </row>
    <row r="4" spans="1:5">
      <c r="A4" t="s">
        <v>10149</v>
      </c>
      <c r="B4" s="44" t="s">
        <v>12332</v>
      </c>
      <c r="C4" t="str">
        <f>IF(B4="","",IFERROR(_xlfn.XLOOKUP(B4,Entidades!$C:$C,Entidades!$B:$B,""),""))</f>
        <v>900256899-8</v>
      </c>
      <c r="D4" t="str">
        <f>IF(A4="","",IFERROR(_xlfn.XLOOKUP(A4,Proyectos!A:A,Proyectos!C:C,""),""))</f>
        <v>Evaluación de residuos en la playa de Santa Marta</v>
      </c>
    </row>
    <row r="5" spans="1:5">
      <c r="A5" t="s">
        <v>8919</v>
      </c>
      <c r="B5" t="s">
        <v>12332</v>
      </c>
      <c r="C5" t="str">
        <f>IF(B5="","",IFERROR(_xlfn.XLOOKUP(B5,Entidades!$C:$C,Entidades!$B:$B,""),""))</f>
        <v>900256899-8</v>
      </c>
      <c r="D5" t="str">
        <f>IF(A5="","",IFERROR(_xlfn.XLOOKUP(A5,Proyectos!A:A,Proyectos!C:C,""),""))</f>
        <v>Revisión y ajuste de procesos proyecto estudiar para construir</v>
      </c>
    </row>
    <row r="6" spans="1:5">
      <c r="A6" t="s">
        <v>9188</v>
      </c>
      <c r="B6" s="44" t="s">
        <v>12495</v>
      </c>
      <c r="C6" t="str">
        <f>IF(B6="","",IFERROR(_xlfn.XLOOKUP(B6,Entidades!$C:$C,Entidades!$B:$B,""),""))</f>
        <v/>
      </c>
      <c r="D6" s="1" t="str">
        <f>IF(A6="","",IFERROR(_xlfn.XLOOKUP(A6,Proyectos!A:A,Proyectos!C:C,""),""))</f>
        <v>PROPUESTA DE GESTION Y ANALISIS ESTRATEGICO</v>
      </c>
    </row>
    <row r="7" spans="1:5">
      <c r="A7" t="s">
        <v>10165</v>
      </c>
      <c r="B7" t="s">
        <v>12495</v>
      </c>
      <c r="C7" t="str">
        <f>IF(B7="","",IFERROR(_xlfn.XLOOKUP(B7,Entidades!$C:$C,Entidades!$B:$B,""),""))</f>
        <v/>
      </c>
      <c r="D7" t="str">
        <f>IF(A7="","",IFERROR(_xlfn.XLOOKUP(A7,Proyectos!A:A,Proyectos!C:C,""),""))</f>
        <v>PROPUESTA DE GESTION Y ANALISIS ESTRATEGICO</v>
      </c>
    </row>
    <row r="8" spans="1:5">
      <c r="A8" t="s">
        <v>8587</v>
      </c>
      <c r="B8" s="44" t="s">
        <v>12495</v>
      </c>
      <c r="C8" t="str">
        <f>IF(B8="","",IFERROR(_xlfn.XLOOKUP(B8,Entidades!$C:$C,Entidades!$B:$B,""),""))</f>
        <v/>
      </c>
      <c r="D8" t="str">
        <f>IF(A8="","",IFERROR(_xlfn.XLOOKUP(A8,Proyectos!A:A,Proyectos!C:C,""),""))</f>
        <v>PROPUESTA DE GESTION Y ANALISIS ESTRATEGICO</v>
      </c>
    </row>
    <row r="9" spans="1:5">
      <c r="A9" t="s">
        <v>9207</v>
      </c>
      <c r="B9" t="s">
        <v>12496</v>
      </c>
      <c r="C9" t="str">
        <f>IF(B9="","",IFERROR(_xlfn.XLOOKUP(B9,Entidades!$C:$C,Entidades!$B:$B,""),""))</f>
        <v>900103025-1</v>
      </c>
      <c r="D9" t="str">
        <f>IF(A9="","",IFERROR(_xlfn.XLOOKUP(A9,Proyectos!A:A,Proyectos!C:C,""),""))</f>
        <v>Sistema Antiescape en dispositivos de cuidado residencial</v>
      </c>
    </row>
    <row r="10" spans="1:5">
      <c r="A10" t="s">
        <v>10185</v>
      </c>
      <c r="B10" t="s">
        <v>12496</v>
      </c>
      <c r="C10" t="str">
        <f>IF(B10="","",IFERROR(_xlfn.XLOOKUP(B10,Entidades!$C:$C,Entidades!$B:$B,""),""))</f>
        <v>900103025-1</v>
      </c>
      <c r="D10" t="str">
        <f>IF(A10="","",IFERROR(_xlfn.XLOOKUP(A10,Proyectos!A:A,Proyectos!C:C,""),""))</f>
        <v>Sistema Antiescape en dispositivos de cuidado residencial</v>
      </c>
    </row>
    <row r="11" spans="1:5">
      <c r="A11" t="s">
        <v>8915</v>
      </c>
      <c r="B11" t="s">
        <v>12496</v>
      </c>
      <c r="C11" t="str">
        <f>IF(B11="","",IFERROR(_xlfn.XLOOKUP(B11,Entidades!$C:$C,Entidades!$B:$B,""),""))</f>
        <v>900103025-1</v>
      </c>
      <c r="D11" t="str">
        <f>IF(A11="","",IFERROR(_xlfn.XLOOKUP(A11,Proyectos!A:A,Proyectos!C:C,""),""))</f>
        <v>Sistema Antiescape en dispositivos de cuidado residencial</v>
      </c>
    </row>
    <row r="12" spans="1:5">
      <c r="A12" t="s">
        <v>9989</v>
      </c>
      <c r="B12" t="s">
        <v>12496</v>
      </c>
      <c r="C12" t="str">
        <f>IF(B12="","",IFERROR(_xlfn.XLOOKUP(B12,Entidades!$C:$C,Entidades!$B:$B,""),""))</f>
        <v>900103025-1</v>
      </c>
      <c r="D12" t="str">
        <f>IF(A12="","",IFERROR(_xlfn.XLOOKUP(A12,Proyectos!A:A,Proyectos!C:C,""),""))</f>
        <v>Sistema Antiescape en dispositivos de cuidado residencial</v>
      </c>
    </row>
    <row r="13" spans="1:5">
      <c r="A13" t="s">
        <v>9228</v>
      </c>
      <c r="B13" t="s">
        <v>12497</v>
      </c>
      <c r="C13" t="str">
        <f>IF(B13="","",IFERROR(_xlfn.XLOOKUP(B13,Entidades!$C:$C,Entidades!$B:$B,""),""))</f>
        <v>901705598-7</v>
      </c>
      <c r="D13" t="str">
        <f>IF(A13="","",IFERROR(_xlfn.XLOOKUP(A13,Proyectos!A:A,Proyectos!C:C,""),""))</f>
        <v>Asesoría en proyecto productivo en las veredas altas del Municipio de Venecia, Cundinamarca</v>
      </c>
    </row>
    <row r="14" spans="1:5">
      <c r="A14" t="s">
        <v>9224</v>
      </c>
      <c r="B14" t="s">
        <v>12497</v>
      </c>
      <c r="C14" t="str">
        <f>IF(B14="","",IFERROR(_xlfn.XLOOKUP(B14,Entidades!$C:$C,Entidades!$B:$B,""),""))</f>
        <v>901705598-7</v>
      </c>
      <c r="D14" t="str">
        <f>IF(A14="","",IFERROR(_xlfn.XLOOKUP(A14,Proyectos!A:A,Proyectos!C:C,""),""))</f>
        <v>Desarrollo del plan de gestión integral del recurso hídrico para la ZRC de Venecia (Cundinamarca)</v>
      </c>
    </row>
    <row r="15" spans="1:5">
      <c r="A15" t="s">
        <v>9280</v>
      </c>
      <c r="B15" t="s">
        <v>12498</v>
      </c>
      <c r="C15" t="str">
        <f>IF(B15="","",IFERROR(_xlfn.XLOOKUP(B15,Entidades!$C:$C,Entidades!$B:$B,""),""))</f>
        <v/>
      </c>
      <c r="D15">
        <f>IF(A15="","",IFERROR(_xlfn.XLOOKUP(A15,Proyectos!A:A,Proyectos!C:C,""),""))</f>
        <v>0</v>
      </c>
    </row>
    <row r="16" spans="1:5">
      <c r="A16" t="s">
        <v>11723</v>
      </c>
      <c r="B16" t="s">
        <v>12499</v>
      </c>
      <c r="C16" t="str">
        <f>IF(B16="","",IFERROR(_xlfn.XLOOKUP(B16,Entidades!$C:$C,Entidades!$B:$B,""),""))</f>
        <v/>
      </c>
      <c r="D16" t="str">
        <f>IF(A16="","",IFERROR(_xlfn.XLOOKUP(A16,Proyectos!A:A,Proyectos!C:C,""),""))</f>
        <v>PROYECTO
“CAPACITACIÓN EN CONSTRUCCIÓN-CAMACOL”</v>
      </c>
    </row>
    <row r="17" spans="1:4">
      <c r="A17" t="s">
        <v>9220</v>
      </c>
      <c r="B17" t="s">
        <v>12500</v>
      </c>
      <c r="C17" t="str">
        <f>IF(B17="","",IFERROR(_xlfn.XLOOKUP(B17,Entidades!$C:$C,Entidades!$B:$B,""),""))</f>
        <v/>
      </c>
      <c r="D17" t="str">
        <f>IF(A17="","",IFERROR(_xlfn.XLOOKUP(A17,Proyectos!A:A,Proyectos!C:C,""),""))</f>
        <v>PROYECTO
“CAPACITACIÓN EN CONSTRUCCIÓN-CAMACOL”</v>
      </c>
    </row>
    <row r="18" spans="1:4">
      <c r="A18" t="s">
        <v>10060</v>
      </c>
      <c r="B18" t="s">
        <v>12500</v>
      </c>
      <c r="C18" t="str">
        <f>IF(B18="","",IFERROR(_xlfn.XLOOKUP(B18,Entidades!$C:$C,Entidades!$B:$B,""),""))</f>
        <v/>
      </c>
      <c r="D18" t="str">
        <f>IF(A18="","",IFERROR(_xlfn.XLOOKUP(A18,Proyectos!A:A,Proyectos!C:C,""),""))</f>
        <v>PROYECTO
“CAPACITACIÓN EN CONSTRUCCIÓN-CAMACOL”</v>
      </c>
    </row>
    <row r="19" spans="1:4">
      <c r="A19" t="s">
        <v>8524</v>
      </c>
      <c r="B19" t="s">
        <v>12500</v>
      </c>
      <c r="C19" t="str">
        <f>IF(B19="","",IFERROR(_xlfn.XLOOKUP(B19,Entidades!$C:$C,Entidades!$B:$B,""),""))</f>
        <v/>
      </c>
      <c r="D19" t="str">
        <f>IF(A19="","",IFERROR(_xlfn.XLOOKUP(A19,Proyectos!A:A,Proyectos!C:C,""),""))</f>
        <v>CURSO BÁSICO EN CONSTRICCIÓN</v>
      </c>
    </row>
    <row r="20" spans="1:4">
      <c r="A20" t="s">
        <v>10056</v>
      </c>
      <c r="B20" t="s">
        <v>12501</v>
      </c>
      <c r="C20" t="str">
        <f>IF(B20="","",IFERROR(_xlfn.XLOOKUP(B20,Entidades!$C:$C,Entidades!$B:$B,""),""))</f>
        <v/>
      </c>
      <c r="D20" t="str">
        <f>IF(A20="","",IFERROR(_xlfn.XLOOKUP(A20,Proyectos!A:A,Proyectos!C:C,""),""))</f>
        <v>Diagnodtico de necesidades de asesoría técnica para las labores de cuidado</v>
      </c>
    </row>
    <row r="21" spans="1:4">
      <c r="A21" t="s">
        <v>9724</v>
      </c>
      <c r="B21" t="s">
        <v>12428</v>
      </c>
      <c r="C21" t="str">
        <f>IF(B21="","",IFERROR(_xlfn.XLOOKUP(B21,Entidades!$C:$C,Entidades!$B:$B,""),""))</f>
        <v>COLEG_GABRI_GARCÍ_MÁRQU</v>
      </c>
      <c r="D21" t="str">
        <f>IF(A21="","",IFERROR(_xlfn.XLOOKUP(A21,Proyectos!A:A,Proyectos!C:C,""),""))</f>
        <v>Manual de Funciones para el Colegio</v>
      </c>
    </row>
    <row r="22" spans="1:4">
      <c r="A22" t="s">
        <v>8753</v>
      </c>
      <c r="B22" t="s">
        <v>12502</v>
      </c>
      <c r="C22" t="str">
        <f>IF(B22="","",IFERROR(_xlfn.XLOOKUP(B22,Entidades!$C:$C,Entidades!$B:$B,""),""))</f>
        <v/>
      </c>
      <c r="D22" t="str">
        <f>IF(A22="","",IFERROR(_xlfn.XLOOKUP(A22,Proyectos!A:A,Proyectos!C:C,""),""))</f>
        <v>Proyecto 3</v>
      </c>
    </row>
    <row r="23" spans="1:4">
      <c r="A23" t="s">
        <v>9327</v>
      </c>
      <c r="B23" t="s">
        <v>12503</v>
      </c>
      <c r="C23" t="str">
        <f>IF(B23="","",IFERROR(_xlfn.XLOOKUP(B23,Entidades!$C:$C,Entidades!$B:$B,""),""))</f>
        <v>860532248-2</v>
      </c>
      <c r="D23" t="str">
        <f>IF(A23="","",IFERROR(_xlfn.XLOOKUP(A23,Proyectos!A:A,Proyectos!C:C,""),""))</f>
        <v>Proyecto 3</v>
      </c>
    </row>
    <row r="24" spans="1:4">
      <c r="A24" t="s">
        <v>8625</v>
      </c>
      <c r="B24" t="s">
        <v>12503</v>
      </c>
      <c r="C24" t="str">
        <f>IF(B24="","",IFERROR(_xlfn.XLOOKUP(B24,Entidades!$C:$C,Entidades!$B:$B,""),""))</f>
        <v>860532248-2</v>
      </c>
      <c r="D24" t="str">
        <f>IF(A24="","",IFERROR(_xlfn.XLOOKUP(A24,Proyectos!A:A,Proyectos!C:C,""),""))</f>
        <v>Proyecto 4</v>
      </c>
    </row>
    <row r="25" spans="1:4">
      <c r="A25" t="s">
        <v>9323</v>
      </c>
      <c r="B25" t="s">
        <v>12503</v>
      </c>
      <c r="C25" t="str">
        <f>IF(B25="","",IFERROR(_xlfn.XLOOKUP(B25,Entidades!$C:$C,Entidades!$B:$B,""),""))</f>
        <v>860532248-2</v>
      </c>
      <c r="D25">
        <f>IF(A25="","",IFERROR(_xlfn.XLOOKUP(A25,Proyectos!A:A,Proyectos!C:C,""),""))</f>
        <v>0</v>
      </c>
    </row>
    <row r="26" spans="1:4">
      <c r="A26" t="s">
        <v>8804</v>
      </c>
      <c r="B26" t="s">
        <v>12503</v>
      </c>
      <c r="C26" t="str">
        <f>IF(B26="","",IFERROR(_xlfn.XLOOKUP(B26,Entidades!$C:$C,Entidades!$B:$B,""),""))</f>
        <v>860532248-2</v>
      </c>
      <c r="D26" t="str">
        <f>IF(A26="","",IFERROR(_xlfn.XLOOKUP(A26,Proyectos!A:A,Proyectos!C:C,""),""))</f>
        <v>PROSOFI</v>
      </c>
    </row>
    <row r="27" spans="1:4">
      <c r="A27" t="s">
        <v>9848</v>
      </c>
      <c r="B27" t="s">
        <v>11919</v>
      </c>
      <c r="C27" t="str">
        <f>IF(B27="","",IFERROR(_xlfn.XLOOKUP(B27,Entidades!$C:$C,Entidades!$B:$B,""),""))</f>
        <v>900030381-4</v>
      </c>
      <c r="D27" t="str">
        <f>IF(A27="","",IFERROR(_xlfn.XLOOKUP(A27,Proyectos!A:A,Proyectos!C:C,""),""))</f>
        <v>Estrategias para lograr equilibrio económico</v>
      </c>
    </row>
    <row r="28" spans="1:4">
      <c r="A28" t="s">
        <v>8603</v>
      </c>
      <c r="B28" t="s">
        <v>11919</v>
      </c>
      <c r="C28" t="str">
        <f>IF(B28="","",IFERROR(_xlfn.XLOOKUP(B28,Entidades!$C:$C,Entidades!$B:$B,""),""))</f>
        <v>900030381-4</v>
      </c>
      <c r="D28" t="str">
        <f>IF(A28="","",IFERROR(_xlfn.XLOOKUP(A28,Proyectos!A:A,Proyectos!C:C,""),""))</f>
        <v>Estrategias para lograr equilibrio económico</v>
      </c>
    </row>
    <row r="29" spans="1:4">
      <c r="A29" t="s">
        <v>9751</v>
      </c>
      <c r="B29" t="s">
        <v>11919</v>
      </c>
      <c r="C29" t="str">
        <f>IF(B29="","",IFERROR(_xlfn.XLOOKUP(B29,Entidades!$C:$C,Entidades!$B:$B,""),""))</f>
        <v>900030381-4</v>
      </c>
      <c r="D29" t="str">
        <f>IF(A29="","",IFERROR(_xlfn.XLOOKUP(A29,Proyectos!A:A,Proyectos!C:C,""),""))</f>
        <v>Reparación de Equipos de Computo CSGH</v>
      </c>
    </row>
    <row r="30" spans="1:4">
      <c r="A30" t="s">
        <v>8826</v>
      </c>
      <c r="B30" t="s">
        <v>11919</v>
      </c>
      <c r="C30" t="str">
        <f>IF(B30="","",IFERROR(_xlfn.XLOOKUP(B30,Entidades!$C:$C,Entidades!$B:$B,""),""))</f>
        <v>900030381-4</v>
      </c>
      <c r="D30" t="str">
        <f>IF(A30="","",IFERROR(_xlfn.XLOOKUP(A30,Proyectos!A:A,Proyectos!C:C,""),""))</f>
        <v>Reparación de Equipos de Computo CSGH</v>
      </c>
    </row>
    <row r="31" spans="1:4">
      <c r="A31" t="s">
        <v>9355</v>
      </c>
      <c r="B31" t="s">
        <v>12504</v>
      </c>
      <c r="C31" t="str">
        <f>IF(B31="","",IFERROR(_xlfn.XLOOKUP(B31,Entidades!$C:$C,Entidades!$B:$B,""),""))</f>
        <v>860007627-1</v>
      </c>
      <c r="D31" t="str">
        <f>IF(A31="","",IFERROR(_xlfn.XLOOKUP(A31,Proyectos!A:A,Proyectos!C:C,""),""))</f>
        <v>PROYECTO "ALTOS DE LA FLORIDA – SOACHA"</v>
      </c>
    </row>
    <row r="32" spans="1:4">
      <c r="A32" t="s">
        <v>8571</v>
      </c>
      <c r="B32" t="s">
        <v>12504</v>
      </c>
      <c r="C32" t="str">
        <f>IF(B32="","",IFERROR(_xlfn.XLOOKUP(B32,Entidades!$C:$C,Entidades!$B:$B,""),""))</f>
        <v>860007627-1</v>
      </c>
      <c r="D32" t="str">
        <f>IF(A32="","",IFERROR(_xlfn.XLOOKUP(A32,Proyectos!A:A,Proyectos!C:C,""),""))</f>
        <v>PROYECTO "ALTOS DE LA FLORIDA – SOACHA"</v>
      </c>
    </row>
    <row r="33" spans="1:4">
      <c r="A33" t="s">
        <v>8591</v>
      </c>
      <c r="B33" t="s">
        <v>12504</v>
      </c>
      <c r="C33" t="str">
        <f>IF(B33="","",IFERROR(_xlfn.XLOOKUP(B33,Entidades!$C:$C,Entidades!$B:$B,""),""))</f>
        <v>860007627-1</v>
      </c>
      <c r="D33">
        <f>IF(A33="","",IFERROR(_xlfn.XLOOKUP(A33,Proyectos!A:A,Proyectos!C:C,""),""))</f>
        <v>0</v>
      </c>
    </row>
    <row r="34" spans="1:4">
      <c r="A34" t="s">
        <v>9425</v>
      </c>
      <c r="B34" t="s">
        <v>12505</v>
      </c>
      <c r="C34" t="str">
        <f>IF(B34="","",IFERROR(_xlfn.XLOOKUP(B34,Entidades!$C:$C,Entidades!$B:$B,""),""))</f>
        <v>860010371-0</v>
      </c>
      <c r="D34">
        <f>IF(A34="","",IFERROR(_xlfn.XLOOKUP(A34,Proyectos!A:A,Proyectos!C:C,""),""))</f>
        <v>0</v>
      </c>
    </row>
    <row r="35" spans="1:4">
      <c r="A35" t="s">
        <v>10248</v>
      </c>
      <c r="B35" t="s">
        <v>12505</v>
      </c>
      <c r="C35" t="str">
        <f>IF(B35="","",IFERROR(_xlfn.XLOOKUP(B35,Entidades!$C:$C,Entidades!$B:$B,""),""))</f>
        <v>860010371-0</v>
      </c>
      <c r="D35" t="str">
        <f>IF(A35="","",IFERROR(_xlfn.XLOOKUP(A35,Proyectos!A:A,Proyectos!C:C,""),""))</f>
        <v>Mejoramiento procesos alistamiento prendas.</v>
      </c>
    </row>
    <row r="36" spans="1:4">
      <c r="A36" t="s">
        <v>8656</v>
      </c>
      <c r="B36" t="s">
        <v>12505</v>
      </c>
      <c r="C36" t="str">
        <f>IF(B36="","",IFERROR(_xlfn.XLOOKUP(B36,Entidades!$C:$C,Entidades!$B:$B,""),""))</f>
        <v>860010371-0</v>
      </c>
      <c r="D36">
        <f>IF(A36="","",IFERROR(_xlfn.XLOOKUP(A36,Proyectos!A:A,Proyectos!C:C,""),""))</f>
        <v>0</v>
      </c>
    </row>
    <row r="37" spans="1:4">
      <c r="A37" t="s">
        <v>9432</v>
      </c>
      <c r="B37" t="s">
        <v>12506</v>
      </c>
      <c r="C37" t="str">
        <f>IF(B37="","",IFERROR(_xlfn.XLOOKUP(B37,Entidades!$C:$C,Entidades!$B:$B,""),""))</f>
        <v>900171369-1</v>
      </c>
      <c r="D37" t="str">
        <f>IF(A37="","",IFERROR(_xlfn.XLOOKUP(A37,Proyectos!A:A,Proyectos!C:C,""),""))</f>
        <v>Proyecto de bioseguridad, información,  protocolos y procedimientos</v>
      </c>
    </row>
    <row r="38" spans="1:4">
      <c r="A38" t="s">
        <v>9442</v>
      </c>
      <c r="B38" t="s">
        <v>12507</v>
      </c>
      <c r="C38" t="str">
        <f>IF(B38="","",IFERROR(_xlfn.XLOOKUP(B38,Entidades!$C:$C,Entidades!$B:$B,""),""))</f>
        <v/>
      </c>
      <c r="D38" t="str">
        <f>IF(A38="","",IFERROR(_xlfn.XLOOKUP(A38,Proyectos!A:A,Proyectos!C:C,""),""))</f>
        <v>Proyecto 4</v>
      </c>
    </row>
    <row r="39" spans="1:4">
      <c r="A39" t="s">
        <v>10255</v>
      </c>
      <c r="B39" t="s">
        <v>12507</v>
      </c>
      <c r="C39" t="str">
        <f>IF(B39="","",IFERROR(_xlfn.XLOOKUP(B39,Entidades!$C:$C,Entidades!$B:$B,""),""))</f>
        <v/>
      </c>
      <c r="D39" t="str">
        <f>IF(A39="","",IFERROR(_xlfn.XLOOKUP(A39,Proyectos!A:A,Proyectos!C:C,""),""))</f>
        <v>Proyecto 4</v>
      </c>
    </row>
    <row r="40" spans="1:4">
      <c r="A40" t="s">
        <v>8844</v>
      </c>
      <c r="B40" t="s">
        <v>12507</v>
      </c>
      <c r="C40" t="str">
        <f>IF(B40="","",IFERROR(_xlfn.XLOOKUP(B40,Entidades!$C:$C,Entidades!$B:$B,""),""))</f>
        <v/>
      </c>
      <c r="D40" t="str">
        <f>IF(A40="","",IFERROR(_xlfn.XLOOKUP(A40,Proyectos!A:A,Proyectos!C:C,""),""))</f>
        <v>Proyecto 18</v>
      </c>
    </row>
    <row r="41" spans="1:4">
      <c r="A41" t="s">
        <v>10196</v>
      </c>
      <c r="B41" t="s">
        <v>12508</v>
      </c>
      <c r="C41" t="str">
        <f>IF(B41="","",IFERROR(_xlfn.XLOOKUP(B41,Entidades!$C:$C,Entidades!$B:$B,""),""))</f>
        <v>830099276-2</v>
      </c>
      <c r="D41" t="str">
        <f>IF(A41="","",IFERROR(_xlfn.XLOOKUP(A41,Proyectos!A:A,Proyectos!C:C,""),""))</f>
        <v>Reparación equipos y refuerzo escolar</v>
      </c>
    </row>
    <row r="42" spans="1:4">
      <c r="A42" t="s">
        <v>10268</v>
      </c>
      <c r="B42" t="s">
        <v>12509</v>
      </c>
      <c r="C42" t="str">
        <f>IF(B42="","",IFERROR(_xlfn.XLOOKUP(B42,Entidades!$C:$C,Entidades!$B:$B,""),""))</f>
        <v/>
      </c>
      <c r="D42" t="str">
        <f>IF(A42="","",IFERROR(_xlfn.XLOOKUP(A42,Proyectos!A:A,Proyectos!C:C,""),""))</f>
        <v>Proyecto 7</v>
      </c>
    </row>
    <row r="43" spans="1:4">
      <c r="A43" t="s">
        <v>10279</v>
      </c>
      <c r="B43" t="s">
        <v>12509</v>
      </c>
      <c r="C43" t="str">
        <f>IF(B43="","",IFERROR(_xlfn.XLOOKUP(B43,Entidades!$C:$C,Entidades!$B:$B,""),""))</f>
        <v/>
      </c>
      <c r="D43" t="str">
        <f>IF(A43="","",IFERROR(_xlfn.XLOOKUP(A43,Proyectos!A:A,Proyectos!C:C,""),""))</f>
        <v>Proyecto 7</v>
      </c>
    </row>
    <row r="44" spans="1:4">
      <c r="A44" t="s">
        <v>10275</v>
      </c>
      <c r="B44" t="s">
        <v>12509</v>
      </c>
      <c r="C44" t="str">
        <f>IF(B44="","",IFERROR(_xlfn.XLOOKUP(B44,Entidades!$C:$C,Entidades!$B:$B,""),""))</f>
        <v/>
      </c>
      <c r="D44" t="str">
        <f>IF(A44="","",IFERROR(_xlfn.XLOOKUP(A44,Proyectos!A:A,Proyectos!C:C,""),""))</f>
        <v>Diseño y construcción de maetodologías de almacenamiento y empaque  de alimentos, distribución y manejo de residuos</v>
      </c>
    </row>
    <row r="45" spans="1:4">
      <c r="A45" t="s">
        <v>10080</v>
      </c>
      <c r="B45" t="s">
        <v>12510</v>
      </c>
      <c r="C45" t="str">
        <f>IF(B45="","",IFERROR(_xlfn.XLOOKUP(B45,Entidades!$C:$C,Entidades!$B:$B,""),""))</f>
        <v>901285287-8</v>
      </c>
      <c r="D45" t="str">
        <f>IF(A45="","",IFERROR(_xlfn.XLOOKUP(A45,Proyectos!A:A,Proyectos!C:C,""),""))</f>
        <v>Proyecto 1</v>
      </c>
    </row>
    <row r="46" spans="1:4">
      <c r="A46" t="s">
        <v>8544</v>
      </c>
      <c r="B46" t="s">
        <v>12510</v>
      </c>
      <c r="C46" t="str">
        <f>IF(B46="","",IFERROR(_xlfn.XLOOKUP(B46,Entidades!$C:$C,Entidades!$B:$B,""),""))</f>
        <v>901285287-8</v>
      </c>
      <c r="D46" t="str">
        <f>IF(A46="","",IFERROR(_xlfn.XLOOKUP(A46,Proyectos!A:A,Proyectos!C:C,""),""))</f>
        <v>Proyecto 1</v>
      </c>
    </row>
    <row r="47" spans="1:4">
      <c r="A47" t="s">
        <v>9455</v>
      </c>
      <c r="B47" t="s">
        <v>12511</v>
      </c>
      <c r="C47" t="str">
        <f>IF(B47="","",IFERROR(_xlfn.XLOOKUP(B47,Entidades!$C:$C,Entidades!$B:$B,""),""))</f>
        <v/>
      </c>
      <c r="D47" t="str">
        <f>IF(A47="","",IFERROR(_xlfn.XLOOKUP(A47,Proyectos!A:A,Proyectos!C:C,""),""))</f>
        <v>PROYECTO
"DESARROLLO DE UN SISTEMA DE GESTIÓN DE PUENTES MUNICIPIO DE FACATATIVÁ"</v>
      </c>
    </row>
    <row r="48" spans="1:4">
      <c r="A48" t="s">
        <v>9474</v>
      </c>
      <c r="B48" t="s">
        <v>12512</v>
      </c>
      <c r="C48" t="str">
        <f>IF(B48="","",IFERROR(_xlfn.XLOOKUP(B48,Entidades!$C:$C,Entidades!$B:$B,""),""))</f>
        <v>830086601-7</v>
      </c>
      <c r="D48" t="str">
        <f>IF(A48="","",IFERROR(_xlfn.XLOOKUP(A48,Proyectos!A:A,Proyectos!C:C,""),""))</f>
        <v>Proyecto 5</v>
      </c>
    </row>
    <row r="49" spans="1:4">
      <c r="A49" t="s">
        <v>10084</v>
      </c>
      <c r="B49" t="s">
        <v>12512</v>
      </c>
      <c r="C49" t="str">
        <f>IF(B49="","",IFERROR(_xlfn.XLOOKUP(B49,Entidades!$C:$C,Entidades!$B:$B,""),""))</f>
        <v>830086601-7</v>
      </c>
      <c r="D49" t="str">
        <f>IF(A49="","",IFERROR(_xlfn.XLOOKUP(A49,Proyectos!A:A,Proyectos!C:C,""),""))</f>
        <v>Proyecto 5</v>
      </c>
    </row>
    <row r="50" spans="1:4">
      <c r="A50" t="s">
        <v>8701</v>
      </c>
      <c r="B50" t="s">
        <v>12512</v>
      </c>
      <c r="C50" t="str">
        <f>IF(B50="","",IFERROR(_xlfn.XLOOKUP(B50,Entidades!$C:$C,Entidades!$B:$B,""),""))</f>
        <v>830086601-7</v>
      </c>
      <c r="D50" t="str">
        <f>IF(A50="","",IFERROR(_xlfn.XLOOKUP(A50,Proyectos!A:A,Proyectos!C:C,""),""))</f>
        <v>Proyecto 2</v>
      </c>
    </row>
    <row r="51" spans="1:4">
      <c r="A51" t="s">
        <v>9485</v>
      </c>
      <c r="B51" t="s">
        <v>12512</v>
      </c>
      <c r="C51" t="str">
        <f>IF(B51="","",IFERROR(_xlfn.XLOOKUP(B51,Entidades!$C:$C,Entidades!$B:$B,""),""))</f>
        <v>830086601-7</v>
      </c>
      <c r="D51">
        <f>IF(A51="","",IFERROR(_xlfn.XLOOKUP(A51,Proyectos!A:A,Proyectos!C:C,""),""))</f>
        <v>0</v>
      </c>
    </row>
    <row r="52" spans="1:4">
      <c r="A52" t="s">
        <v>10360</v>
      </c>
      <c r="B52" t="s">
        <v>12512</v>
      </c>
      <c r="C52" t="str">
        <f>IF(B52="","",IFERROR(_xlfn.XLOOKUP(B52,Entidades!$C:$C,Entidades!$B:$B,""),""))</f>
        <v>830086601-7</v>
      </c>
      <c r="D52" t="str">
        <f>IF(A52="","",IFERROR(_xlfn.XLOOKUP(A52,Proyectos!A:A,Proyectos!C:C,""),""))</f>
        <v>Mejoramiento procesos alistamiento alimentos.</v>
      </c>
    </row>
    <row r="53" spans="1:4">
      <c r="A53" t="s">
        <v>8648</v>
      </c>
      <c r="B53" t="s">
        <v>12512</v>
      </c>
      <c r="C53" t="str">
        <f>IF(B53="","",IFERROR(_xlfn.XLOOKUP(B53,Entidades!$C:$C,Entidades!$B:$B,""),""))</f>
        <v>830086601-7</v>
      </c>
      <c r="D53">
        <f>IF(A53="","",IFERROR(_xlfn.XLOOKUP(A53,Proyectos!A:A,Proyectos!C:C,""),""))</f>
        <v>0</v>
      </c>
    </row>
    <row r="54" spans="1:4">
      <c r="A54" t="s">
        <v>9478</v>
      </c>
      <c r="B54" t="s">
        <v>12512</v>
      </c>
      <c r="C54" t="str">
        <f>IF(B54="","",IFERROR(_xlfn.XLOOKUP(B54,Entidades!$C:$C,Entidades!$B:$B,""),""))</f>
        <v>830086601-7</v>
      </c>
      <c r="D54" t="str">
        <f>IF(A54="","",IFERROR(_xlfn.XLOOKUP(A54,Proyectos!A:A,Proyectos!C:C,""),""))</f>
        <v>Reparación de Electrodomésticos BA</v>
      </c>
    </row>
    <row r="55" spans="1:4">
      <c r="A55" t="s">
        <v>10181</v>
      </c>
      <c r="B55" t="s">
        <v>12512</v>
      </c>
      <c r="C55" t="str">
        <f>IF(B55="","",IFERROR(_xlfn.XLOOKUP(B55,Entidades!$C:$C,Entidades!$B:$B,""),""))</f>
        <v>830086601-7</v>
      </c>
      <c r="D55" t="str">
        <f>IF(A55="","",IFERROR(_xlfn.XLOOKUP(A55,Proyectos!A:A,Proyectos!C:C,""),""))</f>
        <v>Reparación de Electrodomésticos BA</v>
      </c>
    </row>
    <row r="56" spans="1:4">
      <c r="A56" t="s">
        <v>8579</v>
      </c>
      <c r="B56" t="s">
        <v>12512</v>
      </c>
      <c r="C56" t="str">
        <f>IF(B56="","",IFERROR(_xlfn.XLOOKUP(B56,Entidades!$C:$C,Entidades!$B:$B,""),""))</f>
        <v>830086601-7</v>
      </c>
      <c r="D56" t="str">
        <f>IF(A56="","",IFERROR(_xlfn.XLOOKUP(A56,Proyectos!A:A,Proyectos!C:C,""),""))</f>
        <v>Reparación de Electrodomésticos BA</v>
      </c>
    </row>
    <row r="57" spans="1:4">
      <c r="A57" t="s">
        <v>9495</v>
      </c>
      <c r="B57" t="s">
        <v>12512</v>
      </c>
      <c r="C57" t="str">
        <f>IF(B57="","",IFERROR(_xlfn.XLOOKUP(B57,Entidades!$C:$C,Entidades!$B:$B,""),""))</f>
        <v>830086601-7</v>
      </c>
      <c r="D57" t="str">
        <f>IF(A57="","",IFERROR(_xlfn.XLOOKUP(A57,Proyectos!A:A,Proyectos!C:C,""),""))</f>
        <v>Clasificación y actualización  de equipos y construcción de hojas técnicas</v>
      </c>
    </row>
    <row r="58" spans="1:4">
      <c r="A58" t="s">
        <v>10328</v>
      </c>
      <c r="B58" t="s">
        <v>12512</v>
      </c>
      <c r="C58" t="str">
        <f>IF(B58="","",IFERROR(_xlfn.XLOOKUP(B58,Entidades!$C:$C,Entidades!$B:$B,""),""))</f>
        <v>830086601-7</v>
      </c>
      <c r="D58" t="str">
        <f>IF(A58="","",IFERROR(_xlfn.XLOOKUP(A58,Proyectos!A:A,Proyectos!C:C,""),""))</f>
        <v xml:space="preserve">Elaboración y análisis de compostaje </v>
      </c>
    </row>
    <row r="59" spans="1:4">
      <c r="A59" t="s">
        <v>10332</v>
      </c>
      <c r="B59" t="s">
        <v>12512</v>
      </c>
      <c r="C59" t="str">
        <f>IF(B59="","",IFERROR(_xlfn.XLOOKUP(B59,Entidades!$C:$C,Entidades!$B:$B,""),""))</f>
        <v>830086601-7</v>
      </c>
      <c r="D59" t="str">
        <f>IF(A59="","",IFERROR(_xlfn.XLOOKUP(A59,Proyectos!A:A,Proyectos!C:C,""),""))</f>
        <v xml:space="preserve"> Diseño   de equipos y elaboración de proptotipos con sus hojas técnicas </v>
      </c>
    </row>
    <row r="60" spans="1:4">
      <c r="A60" t="s">
        <v>8660</v>
      </c>
      <c r="B60" t="s">
        <v>12512</v>
      </c>
      <c r="C60" t="str">
        <f>IF(B60="","",IFERROR(_xlfn.XLOOKUP(B60,Entidades!$C:$C,Entidades!$B:$B,""),""))</f>
        <v>830086601-7</v>
      </c>
      <c r="D60" t="str">
        <f>IF(A60="","",IFERROR(_xlfn.XLOOKUP(A60,Proyectos!A:A,Proyectos!C:C,""),""))</f>
        <v>Proyecto 5</v>
      </c>
    </row>
    <row r="61" spans="1:4">
      <c r="A61" t="s">
        <v>10008</v>
      </c>
      <c r="B61" t="s">
        <v>12512</v>
      </c>
      <c r="C61" t="str">
        <f>IF(B61="","",IFERROR(_xlfn.XLOOKUP(B61,Entidades!$C:$C,Entidades!$B:$B,""),""))</f>
        <v>830086601-7</v>
      </c>
      <c r="D61" t="str">
        <f>IF(A61="","",IFERROR(_xlfn.XLOOKUP(A61,Proyectos!A:A,Proyectos!C:C,""),""))</f>
        <v>Reparación de Electrodomésticos BA</v>
      </c>
    </row>
    <row r="62" spans="1:4">
      <c r="A62" t="s">
        <v>9533</v>
      </c>
      <c r="B62" t="s">
        <v>12513</v>
      </c>
      <c r="C62" t="str">
        <f>IF(B62="","",IFERROR(_xlfn.XLOOKUP(B62,Entidades!$C:$C,Entidades!$B:$B,""),""))</f>
        <v>900384094-4</v>
      </c>
      <c r="D62" t="str">
        <f>IF(A62="","",IFERROR(_xlfn.XLOOKUP(A62,Proyectos!A:A,Proyectos!C:C,""),""))</f>
        <v>Proyecto 6</v>
      </c>
    </row>
    <row r="63" spans="1:4">
      <c r="A63" t="s">
        <v>10094</v>
      </c>
      <c r="B63" t="s">
        <v>12513</v>
      </c>
      <c r="C63" t="str">
        <f>IF(B63="","",IFERROR(_xlfn.XLOOKUP(B63,Entidades!$C:$C,Entidades!$B:$B,""),""))</f>
        <v>900384094-4</v>
      </c>
      <c r="D63" t="str">
        <f>IF(A63="","",IFERROR(_xlfn.XLOOKUP(A63,Proyectos!A:A,Proyectos!C:C,""),""))</f>
        <v>Proyecto 6</v>
      </c>
    </row>
    <row r="64" spans="1:4">
      <c r="A64" t="s">
        <v>8770</v>
      </c>
      <c r="B64" t="s">
        <v>12513</v>
      </c>
      <c r="C64" t="str">
        <f>IF(B64="","",IFERROR(_xlfn.XLOOKUP(B64,Entidades!$C:$C,Entidades!$B:$B,""),""))</f>
        <v>900384094-4</v>
      </c>
      <c r="D64" t="str">
        <f>IF(A64="","",IFERROR(_xlfn.XLOOKUP(A64,Proyectos!A:A,Proyectos!C:C,""),""))</f>
        <v>Proyecto 5</v>
      </c>
    </row>
    <row r="65" spans="1:4">
      <c r="A65" t="s">
        <v>9537</v>
      </c>
      <c r="B65" t="s">
        <v>12514</v>
      </c>
      <c r="C65" t="str">
        <f>IF(B65="","",IFERROR(_xlfn.XLOOKUP(B65,Entidades!$C:$C,Entidades!$B:$B,""),""))</f>
        <v/>
      </c>
      <c r="D65" t="str">
        <f>IF(A65="","",IFERROR(_xlfn.XLOOKUP(A65,Proyectos!A:A,Proyectos!C:C,""),""))</f>
        <v>Diseño y construcción  de sistemas  digitale,  visuales y manuales  para audiometría</v>
      </c>
    </row>
    <row r="66" spans="1:4">
      <c r="A66" t="s">
        <v>10367</v>
      </c>
      <c r="B66" t="s">
        <v>12514</v>
      </c>
      <c r="C66" t="str">
        <f>IF(B66="","",IFERROR(_xlfn.XLOOKUP(B66,Entidades!$C:$C,Entidades!$B:$B,""),""))</f>
        <v/>
      </c>
      <c r="D66" t="str">
        <f>IF(A66="","",IFERROR(_xlfn.XLOOKUP(A66,Proyectos!A:A,Proyectos!C:C,""),""))</f>
        <v>Diseño y construcción  de sistemas  digitale,  visuales y manuales  para audiometría</v>
      </c>
    </row>
    <row r="67" spans="1:4">
      <c r="A67" t="s">
        <v>10402</v>
      </c>
      <c r="B67" t="s">
        <v>12514</v>
      </c>
      <c r="C67" t="str">
        <f>IF(B67="","",IFERROR(_xlfn.XLOOKUP(B67,Entidades!$C:$C,Entidades!$B:$B,""),""))</f>
        <v/>
      </c>
      <c r="D67" t="str">
        <f>IF(A67="","",IFERROR(_xlfn.XLOOKUP(A67,Proyectos!A:A,Proyectos!C:C,""),""))</f>
        <v>Diseño y construcción  de sistemas  digitale,  visuales y manuales  para audiometría</v>
      </c>
    </row>
    <row r="68" spans="1:4">
      <c r="A68" t="s">
        <v>8923</v>
      </c>
      <c r="B68" t="s">
        <v>12514</v>
      </c>
      <c r="C68" t="str">
        <f>IF(B68="","",IFERROR(_xlfn.XLOOKUP(B68,Entidades!$C:$C,Entidades!$B:$B,""),""))</f>
        <v/>
      </c>
      <c r="D68" t="str">
        <f>IF(A68="","",IFERROR(_xlfn.XLOOKUP(A68,Proyectos!A:A,Proyectos!C:C,""),""))</f>
        <v>Diseño y construcción  de sistemas  digitale,  visuales y manuales  para audiometría</v>
      </c>
    </row>
    <row r="69" spans="1:4">
      <c r="A69" t="s">
        <v>8721</v>
      </c>
      <c r="B69" t="s">
        <v>12514</v>
      </c>
      <c r="C69" t="str">
        <f>IF(B69="","",IFERROR(_xlfn.XLOOKUP(B69,Entidades!$C:$C,Entidades!$B:$B,""),""))</f>
        <v/>
      </c>
      <c r="D69" t="str">
        <f>IF(A69="","",IFERROR(_xlfn.XLOOKUP(A69,Proyectos!A:A,Proyectos!C:C,""),""))</f>
        <v>Diseño y construcción  de sistemas  digitale,  visuales y manuales  para audiometría</v>
      </c>
    </row>
    <row r="70" spans="1:4">
      <c r="A70" t="s">
        <v>9544</v>
      </c>
      <c r="B70" t="s">
        <v>12515</v>
      </c>
      <c r="C70" t="str">
        <f>IF(B70="","",IFERROR(_xlfn.XLOOKUP(B70,Entidades!$C:$C,Entidades!$B:$B,""),""))</f>
        <v/>
      </c>
      <c r="D70" t="str">
        <f>IF(A70="","",IFERROR(_xlfn.XLOOKUP(A70,Proyectos!A:A,Proyectos!C:C,""),""))</f>
        <v>Proyecto 7</v>
      </c>
    </row>
    <row r="71" spans="1:4">
      <c r="A71" t="s">
        <v>8583</v>
      </c>
      <c r="B71" t="s">
        <v>12515</v>
      </c>
      <c r="C71" t="str">
        <f>IF(B71="","",IFERROR(_xlfn.XLOOKUP(B71,Entidades!$C:$C,Entidades!$B:$B,""),""))</f>
        <v/>
      </c>
      <c r="D71" t="str">
        <f>IF(A71="","",IFERROR(_xlfn.XLOOKUP(A71,Proyectos!A:A,Proyectos!C:C,""),""))</f>
        <v>Proyecto 6</v>
      </c>
    </row>
    <row r="72" spans="1:4">
      <c r="A72" t="s">
        <v>9563</v>
      </c>
      <c r="B72" t="s">
        <v>12516</v>
      </c>
      <c r="C72" t="str">
        <f>IF(B72="","",IFERROR(_xlfn.XLOOKUP(B72,Entidades!$C:$C,Entidades!$B:$B,""),""))</f>
        <v>900140947-4</v>
      </c>
      <c r="D72" t="str">
        <f>IF(A72="","",IFERROR(_xlfn.XLOOKUP(A72,Proyectos!A:A,Proyectos!C:C,""),""))</f>
        <v>Reparación equipos y refuerzo escolar</v>
      </c>
    </row>
    <row r="73" spans="1:4">
      <c r="A73" t="s">
        <v>8567</v>
      </c>
      <c r="B73" t="s">
        <v>12517</v>
      </c>
      <c r="C73" t="str">
        <f>IF(B73="","",IFERROR(_xlfn.XLOOKUP(B73,Entidades!$C:$C,Entidades!$B:$B,""),""))</f>
        <v>FUNDA_ECO_S_COLOM</v>
      </c>
      <c r="D73" t="str">
        <f>IF(A73="","",IFERROR(_xlfn.XLOOKUP(A73,Proyectos!A:A,Proyectos!C:C,""),""))</f>
        <v>PROYECTO
"DESARROLLO DE UN SISTEMA DE GESTIÓN DE PUENTES MUNICIPIO DE FACATATIVÁ"</v>
      </c>
    </row>
    <row r="74" spans="1:4">
      <c r="A74" t="s">
        <v>9570</v>
      </c>
      <c r="B74" t="s">
        <v>12518</v>
      </c>
      <c r="C74" t="str">
        <f>IF(B74="","",IFERROR(_xlfn.XLOOKUP(B74,Entidades!$C:$C,Entidades!$B:$B,""),""))</f>
        <v>900267290-0</v>
      </c>
      <c r="D74">
        <f>IF(A74="","",IFERROR(_xlfn.XLOOKUP(A74,Proyectos!A:A,Proyectos!C:C,""),""))</f>
        <v>0</v>
      </c>
    </row>
    <row r="75" spans="1:4">
      <c r="A75" t="s">
        <v>8532</v>
      </c>
      <c r="B75" t="s">
        <v>12518</v>
      </c>
      <c r="C75" t="str">
        <f>IF(B75="","",IFERROR(_xlfn.XLOOKUP(B75,Entidades!$C:$C,Entidades!$B:$B,""),""))</f>
        <v>900267290-0</v>
      </c>
      <c r="D75">
        <f>IF(A75="","",IFERROR(_xlfn.XLOOKUP(A75,Proyectos!A:A,Proyectos!C:C,""),""))</f>
        <v>0</v>
      </c>
    </row>
    <row r="76" spans="1:4">
      <c r="A76" t="s">
        <v>9577</v>
      </c>
      <c r="B76" t="s">
        <v>12519</v>
      </c>
      <c r="C76" t="str">
        <f>IF(B76="","",IFERROR(_xlfn.XLOOKUP(B76,Entidades!$C:$C,Entidades!$B:$B,""),""))</f>
        <v/>
      </c>
      <c r="D76" t="str">
        <f>IF(A76="","",IFERROR(_xlfn.XLOOKUP(A76,Proyectos!A:A,Proyectos!C:C,""),""))</f>
        <v>Proyecto 20</v>
      </c>
    </row>
    <row r="77" spans="1:4">
      <c r="A77" t="s">
        <v>8551</v>
      </c>
      <c r="B77" t="s">
        <v>12519</v>
      </c>
      <c r="C77" t="str">
        <f>IF(B77="","",IFERROR(_xlfn.XLOOKUP(B77,Entidades!$C:$C,Entidades!$B:$B,""),""))</f>
        <v/>
      </c>
      <c r="D77" t="str">
        <f>IF(A77="","",IFERROR(_xlfn.XLOOKUP(A77,Proyectos!A:A,Proyectos!C:C,""),""))</f>
        <v>Proyecto 20</v>
      </c>
    </row>
    <row r="78" spans="1:4">
      <c r="A78" t="s">
        <v>8528</v>
      </c>
      <c r="B78" t="s">
        <v>12520</v>
      </c>
      <c r="C78" t="str">
        <f>IF(B78="","",IFERROR(_xlfn.XLOOKUP(B78,Entidades!$C:$C,Entidades!$B:$B,""),""))</f>
        <v/>
      </c>
      <c r="D78" t="str">
        <f>IF(A78="","",IFERROR(_xlfn.XLOOKUP(A78,Proyectos!A:A,Proyectos!C:C,""),""))</f>
        <v>Proyecto 13</v>
      </c>
    </row>
    <row r="79" spans="1:4">
      <c r="A79" t="s">
        <v>9584</v>
      </c>
      <c r="B79" t="s">
        <v>12521</v>
      </c>
      <c r="C79" t="str">
        <f>IF(B79="","",IFERROR(_xlfn.XLOOKUP(B79,Entidades!$C:$C,Entidades!$B:$B,""),""))</f>
        <v>900907402-6</v>
      </c>
      <c r="D79" t="str">
        <f>IF(A79="","",IFERROR(_xlfn.XLOOKUP(A79,Proyectos!A:A,Proyectos!C:C,""),""))</f>
        <v>Proyecto 13</v>
      </c>
    </row>
    <row r="80" spans="1:4">
      <c r="A80" t="s">
        <v>10409</v>
      </c>
      <c r="B80" t="s">
        <v>12521</v>
      </c>
      <c r="C80" t="str">
        <f>IF(B80="","",IFERROR(_xlfn.XLOOKUP(B80,Entidades!$C:$C,Entidades!$B:$B,""),""))</f>
        <v>900907402-6</v>
      </c>
      <c r="D80" t="str">
        <f>IF(A80="","",IFERROR(_xlfn.XLOOKUP(A80,Proyectos!A:A,Proyectos!C:C,""),""))</f>
        <v>Proyecto 13</v>
      </c>
    </row>
    <row r="81" spans="1:4">
      <c r="A81" t="s">
        <v>9594</v>
      </c>
      <c r="B81" t="s">
        <v>12522</v>
      </c>
      <c r="C81" t="str">
        <f>IF(B81="","",IFERROR(_xlfn.XLOOKUP(B81,Entidades!$C:$C,Entidades!$B:$B,""),""))</f>
        <v>900328770-7</v>
      </c>
      <c r="D81" t="str">
        <f>IF(A81="","",IFERROR(_xlfn.XLOOKUP(A81,Proyectos!A:A,Proyectos!C:C,""),""))</f>
        <v>Dispositivo para el control de  refigerios y eventos</v>
      </c>
    </row>
    <row r="82" spans="1:4">
      <c r="A82" t="s">
        <v>10422</v>
      </c>
      <c r="B82" t="s">
        <v>12522</v>
      </c>
      <c r="C82" t="str">
        <f>IF(B82="","",IFERROR(_xlfn.XLOOKUP(B82,Entidades!$C:$C,Entidades!$B:$B,""),""))</f>
        <v>900328770-7</v>
      </c>
      <c r="D82" t="str">
        <f>IF(A82="","",IFERROR(_xlfn.XLOOKUP(A82,Proyectos!A:A,Proyectos!C:C,""),""))</f>
        <v>Dispositivo para el control de  inventarios y entrega de alimentos</v>
      </c>
    </row>
    <row r="83" spans="1:4">
      <c r="A83" t="s">
        <v>10426</v>
      </c>
      <c r="B83" t="s">
        <v>12522</v>
      </c>
      <c r="C83" t="str">
        <f>IF(B83="","",IFERROR(_xlfn.XLOOKUP(B83,Entidades!$C:$C,Entidades!$B:$B,""),""))</f>
        <v>900328770-7</v>
      </c>
      <c r="D83" t="str">
        <f>IF(A83="","",IFERROR(_xlfn.XLOOKUP(A83,Proyectos!A:A,Proyectos!C:C,""),""))</f>
        <v>Dispositivo para el control de  inventarios y registro de alimentos</v>
      </c>
    </row>
    <row r="84" spans="1:4">
      <c r="A84" t="s">
        <v>8848</v>
      </c>
      <c r="B84" t="s">
        <v>12522</v>
      </c>
      <c r="C84" t="str">
        <f>IF(B84="","",IFERROR(_xlfn.XLOOKUP(B84,Entidades!$C:$C,Entidades!$B:$B,""),""))</f>
        <v>900328770-7</v>
      </c>
      <c r="D84" t="str">
        <f>IF(A84="","",IFERROR(_xlfn.XLOOKUP(A84,Proyectos!A:A,Proyectos!C:C,""),""))</f>
        <v>ingeniokids</v>
      </c>
    </row>
    <row r="85" spans="1:4">
      <c r="A85" t="s">
        <v>9614</v>
      </c>
      <c r="B85" t="s">
        <v>12523</v>
      </c>
      <c r="C85" t="str">
        <f>IF(B85="","",IFERROR(_xlfn.XLOOKUP(B85,Entidades!$C:$C,Entidades!$B:$B,""),""))</f>
        <v>830137451-9</v>
      </c>
      <c r="D85">
        <f>IF(A85="","",IFERROR(_xlfn.XLOOKUP(A85,Proyectos!A:A,Proyectos!C:C,""),""))</f>
        <v>0</v>
      </c>
    </row>
    <row r="86" spans="1:4">
      <c r="A86" t="s">
        <v>10101</v>
      </c>
      <c r="B86" t="s">
        <v>12523</v>
      </c>
      <c r="C86" t="str">
        <f>IF(B86="","",IFERROR(_xlfn.XLOOKUP(B86,Entidades!$C:$C,Entidades!$B:$B,""),""))</f>
        <v>830137451-9</v>
      </c>
      <c r="D86" t="str">
        <f>IF(A86="","",IFERROR(_xlfn.XLOOKUP(A86,Proyectos!A:A,Proyectos!C:C,""),""))</f>
        <v>Mejoramiento procesos administrativos.</v>
      </c>
    </row>
    <row r="87" spans="1:4">
      <c r="A87" t="s">
        <v>8797</v>
      </c>
      <c r="B87" t="s">
        <v>12523</v>
      </c>
      <c r="C87" t="str">
        <f>IF(B87="","",IFERROR(_xlfn.XLOOKUP(B87,Entidades!$C:$C,Entidades!$B:$B,""),""))</f>
        <v>830137451-9</v>
      </c>
      <c r="D87">
        <f>IF(A87="","",IFERROR(_xlfn.XLOOKUP(A87,Proyectos!A:A,Proyectos!C:C,""),""))</f>
        <v>0</v>
      </c>
    </row>
    <row r="88" spans="1:4">
      <c r="A88" t="s">
        <v>9601</v>
      </c>
      <c r="B88" t="s">
        <v>12523</v>
      </c>
      <c r="C88" t="str">
        <f>IF(B88="","",IFERROR(_xlfn.XLOOKUP(B88,Entidades!$C:$C,Entidades!$B:$B,""),""))</f>
        <v>830137451-9</v>
      </c>
      <c r="D88" t="str">
        <f>IF(A88="","",IFERROR(_xlfn.XLOOKUP(A88,Proyectos!A:A,Proyectos!C:C,""),""))</f>
        <v xml:space="preserve">Mejoramiento de caminador  versión 2 y diseño de nuevo caminador para niños </v>
      </c>
    </row>
    <row r="89" spans="1:4">
      <c r="A89" t="s">
        <v>10455</v>
      </c>
      <c r="B89" t="s">
        <v>12523</v>
      </c>
      <c r="C89" t="str">
        <f>IF(B89="","",IFERROR(_xlfn.XLOOKUP(B89,Entidades!$C:$C,Entidades!$B:$B,""),""))</f>
        <v>830137451-9</v>
      </c>
      <c r="D89" t="str">
        <f>IF(A89="","",IFERROR(_xlfn.XLOOKUP(A89,Proyectos!A:A,Proyectos!C:C,""),""))</f>
        <v xml:space="preserve">Mejoramiento de caminador  versión 2 y diseño de nuevo caminador para niños </v>
      </c>
    </row>
    <row r="90" spans="1:4">
      <c r="A90" t="s">
        <v>10436</v>
      </c>
      <c r="B90" t="s">
        <v>12523</v>
      </c>
      <c r="C90" t="str">
        <f>IF(B90="","",IFERROR(_xlfn.XLOOKUP(B90,Entidades!$C:$C,Entidades!$B:$B,""),""))</f>
        <v>830137451-9</v>
      </c>
      <c r="D90" t="str">
        <f>IF(A90="","",IFERROR(_xlfn.XLOOKUP(A90,Proyectos!A:A,Proyectos!C:C,""),""))</f>
        <v xml:space="preserve">Mejoramiento de caminador  versión 3  y diseño de nuevo caminador  y soporte para niños </v>
      </c>
    </row>
    <row r="91" spans="1:4">
      <c r="A91" t="s">
        <v>8691</v>
      </c>
      <c r="B91" t="s">
        <v>12523</v>
      </c>
      <c r="C91" t="str">
        <f>IF(B91="","",IFERROR(_xlfn.XLOOKUP(B91,Entidades!$C:$C,Entidades!$B:$B,""),""))</f>
        <v>830137451-9</v>
      </c>
      <c r="D91" t="str">
        <f>IF(A91="","",IFERROR(_xlfn.XLOOKUP(A91,Proyectos!A:A,Proyectos!C:C,""),""))</f>
        <v>Diseño y construcción  de Caminador y Camas Hospitalarias para niños</v>
      </c>
    </row>
    <row r="92" spans="1:4">
      <c r="A92" t="s">
        <v>8520</v>
      </c>
      <c r="B92" t="s">
        <v>12523</v>
      </c>
      <c r="C92" t="str">
        <f>IF(B92="","",IFERROR(_xlfn.XLOOKUP(B92,Entidades!$C:$C,Entidades!$B:$B,""),""))</f>
        <v>830137451-9</v>
      </c>
      <c r="D92" t="str">
        <f>IF(A92="","",IFERROR(_xlfn.XLOOKUP(A92,Proyectos!A:A,Proyectos!C:C,""),""))</f>
        <v>Diseño y construcción  de Caminador y Camas Hospitalarias para niños</v>
      </c>
    </row>
    <row r="93" spans="1:4">
      <c r="A93" t="s">
        <v>8633</v>
      </c>
      <c r="B93" t="s">
        <v>12524</v>
      </c>
      <c r="C93" t="str">
        <f>IF(B93="","",IFERROR(_xlfn.XLOOKUP(B93,Entidades!$C:$C,Entidades!$B:$B,""),""))</f>
        <v>800232778-9</v>
      </c>
      <c r="D93" t="str">
        <f>IF(A93="","",IFERROR(_xlfn.XLOOKUP(A93,Proyectos!A:A,Proyectos!C:C,""),""))</f>
        <v>Electrónica para la Vida</v>
      </c>
    </row>
    <row r="94" spans="1:4">
      <c r="A94" t="s">
        <v>10462</v>
      </c>
      <c r="B94" t="s">
        <v>12525</v>
      </c>
      <c r="C94" t="str">
        <f>IF(B94="","",IFERROR(_xlfn.XLOOKUP(B94,Entidades!$C:$C,Entidades!$B:$B,""),""))</f>
        <v>901154339-0</v>
      </c>
      <c r="D94" t="str">
        <f>IF(A94="","",IFERROR(_xlfn.XLOOKUP(A94,Proyectos!A:A,Proyectos!C:C,""),""))</f>
        <v>Proyecto 7</v>
      </c>
    </row>
    <row r="95" spans="1:4">
      <c r="A95" t="s">
        <v>8637</v>
      </c>
      <c r="B95" t="s">
        <v>12525</v>
      </c>
      <c r="C95" t="str">
        <f>IF(B95="","",IFERROR(_xlfn.XLOOKUP(B95,Entidades!$C:$C,Entidades!$B:$B,""),""))</f>
        <v>901154339-0</v>
      </c>
      <c r="D95" t="str">
        <f>IF(A95="","",IFERROR(_xlfn.XLOOKUP(A95,Proyectos!A:A,Proyectos!C:C,""),""))</f>
        <v>Proyecto 7</v>
      </c>
    </row>
    <row r="96" spans="1:4">
      <c r="A96" t="s">
        <v>9627</v>
      </c>
      <c r="B96" t="s">
        <v>12525</v>
      </c>
      <c r="C96" t="str">
        <f>IF(B96="","",IFERROR(_xlfn.XLOOKUP(B96,Entidades!$C:$C,Entidades!$B:$B,""),""))</f>
        <v>901154339-0</v>
      </c>
      <c r="D96" t="str">
        <f>IF(A96="","",IFERROR(_xlfn.XLOOKUP(A96,Proyectos!A:A,Proyectos!C:C,""),""))</f>
        <v>Proyecto 7</v>
      </c>
    </row>
    <row r="97" spans="1:4">
      <c r="A97" t="s">
        <v>9634</v>
      </c>
      <c r="B97" t="s">
        <v>12526</v>
      </c>
      <c r="C97" t="str">
        <f>IF(B97="","",IFERROR(_xlfn.XLOOKUP(B97,Entidades!$C:$C,Entidades!$B:$B,""),""))</f>
        <v>800023096-6</v>
      </c>
      <c r="D97" t="str">
        <f>IF(A97="","",IFERROR(_xlfn.XLOOKUP(A97,Proyectos!A:A,Proyectos!C:C,""),""))</f>
        <v>Reparación de Electrodomésticos FSI</v>
      </c>
    </row>
    <row r="98" spans="1:4">
      <c r="A98" t="s">
        <v>10189</v>
      </c>
      <c r="B98" t="s">
        <v>12526</v>
      </c>
      <c r="C98" t="str">
        <f>IF(B98="","",IFERROR(_xlfn.XLOOKUP(B98,Entidades!$C:$C,Entidades!$B:$B,""),""))</f>
        <v>800023096-6</v>
      </c>
      <c r="D98" t="str">
        <f>IF(A98="","",IFERROR(_xlfn.XLOOKUP(A98,Proyectos!A:A,Proyectos!C:C,""),""))</f>
        <v>Reparación de Electrodomésticos FSI</v>
      </c>
    </row>
    <row r="99" spans="1:4">
      <c r="A99" t="s">
        <v>8664</v>
      </c>
      <c r="B99" t="s">
        <v>12526</v>
      </c>
      <c r="C99" t="str">
        <f>IF(B99="","",IFERROR(_xlfn.XLOOKUP(B99,Entidades!$C:$C,Entidades!$B:$B,""),""))</f>
        <v>800023096-6</v>
      </c>
      <c r="D99" t="str">
        <f>IF(A99="","",IFERROR(_xlfn.XLOOKUP(A99,Proyectos!A:A,Proyectos!C:C,""),""))</f>
        <v>Reparación de Electrodomésticos FSI</v>
      </c>
    </row>
    <row r="100" spans="1:4">
      <c r="A100" t="s">
        <v>10024</v>
      </c>
      <c r="B100" t="s">
        <v>12526</v>
      </c>
      <c r="C100" t="str">
        <f>IF(B100="","",IFERROR(_xlfn.XLOOKUP(B100,Entidades!$C:$C,Entidades!$B:$B,""),""))</f>
        <v>800023096-6</v>
      </c>
      <c r="D100" t="str">
        <f>IF(A100="","",IFERROR(_xlfn.XLOOKUP(A100,Proyectos!A:A,Proyectos!C:C,""),""))</f>
        <v>Reparación de Electrodomésticos FSI</v>
      </c>
    </row>
    <row r="101" spans="1:4">
      <c r="A101" t="s">
        <v>11827</v>
      </c>
      <c r="B101" t="s">
        <v>12527</v>
      </c>
      <c r="C101" t="str">
        <f>IF(B101="","",IFERROR(_xlfn.XLOOKUP(B101,Entidades!$C:$C,Entidades!$B:$B,""),""))</f>
        <v/>
      </c>
      <c r="D101" t="str">
        <f>IF(A101="","",IFERROR(_xlfn.XLOOKUP(A101,Proyectos!A:A,Proyectos!C:C,""),""))</f>
        <v>Mejoramiento procesos administrativos.</v>
      </c>
    </row>
    <row r="102" spans="1:4">
      <c r="A102" t="s">
        <v>8595</v>
      </c>
      <c r="B102" t="s">
        <v>12528</v>
      </c>
      <c r="C102" t="str">
        <f>IF(B102="","",IFERROR(_xlfn.XLOOKUP(B102,Entidades!$C:$C,Entidades!$B:$B,""),""))</f>
        <v>901062793-6</v>
      </c>
      <c r="D102" t="str">
        <f>IF(A102="","",IFERROR(_xlfn.XLOOKUP(A102,Proyectos!A:A,Proyectos!C:C,""),""))</f>
        <v>Proyecto 8</v>
      </c>
    </row>
    <row r="103" spans="1:4">
      <c r="A103" t="s">
        <v>8563</v>
      </c>
      <c r="B103" t="s">
        <v>12528</v>
      </c>
      <c r="C103" t="str">
        <f>IF(B103="","",IFERROR(_xlfn.XLOOKUP(B103,Entidades!$C:$C,Entidades!$B:$B,""),""))</f>
        <v>901062793-6</v>
      </c>
      <c r="D103">
        <f>IF(A103="","",IFERROR(_xlfn.XLOOKUP(A103,Proyectos!A:A,Proyectos!C:C,""),""))</f>
        <v>0</v>
      </c>
    </row>
    <row r="104" spans="1:4">
      <c r="A104" t="s">
        <v>9653</v>
      </c>
      <c r="B104" t="s">
        <v>12528</v>
      </c>
      <c r="C104" t="str">
        <f>IF(B104="","",IFERROR(_xlfn.XLOOKUP(B104,Entidades!$C:$C,Entidades!$B:$B,""),""))</f>
        <v>901062793-6</v>
      </c>
      <c r="D104" t="str">
        <f>IF(A104="","",IFERROR(_xlfn.XLOOKUP(A104,Proyectos!A:A,Proyectos!C:C,""),""))</f>
        <v>Proyecto 8</v>
      </c>
    </row>
    <row r="105" spans="1:4">
      <c r="A105" t="s">
        <v>10501</v>
      </c>
      <c r="B105" t="s">
        <v>12528</v>
      </c>
      <c r="C105" t="str">
        <f>IF(B105="","",IFERROR(_xlfn.XLOOKUP(B105,Entidades!$C:$C,Entidades!$B:$B,""),""))</f>
        <v>901062793-6</v>
      </c>
      <c r="D105" t="str">
        <f>IF(A105="","",IFERROR(_xlfn.XLOOKUP(A105,Proyectos!A:A,Proyectos!C:C,""),""))</f>
        <v>Proyecto 8</v>
      </c>
    </row>
    <row r="106" spans="1:4">
      <c r="A106" t="s">
        <v>9657</v>
      </c>
      <c r="B106" t="s">
        <v>12528</v>
      </c>
      <c r="C106" t="str">
        <f>IF(B106="","",IFERROR(_xlfn.XLOOKUP(B106,Entidades!$C:$C,Entidades!$B:$B,""),""))</f>
        <v>901062793-6</v>
      </c>
      <c r="D106" t="str">
        <f>IF(A106="","",IFERROR(_xlfn.XLOOKUP(A106,Proyectos!A:A,Proyectos!C:C,""),""))</f>
        <v>Diseño  final de prótesis mecánica transhumeral y próteiss transradial</v>
      </c>
    </row>
    <row r="107" spans="1:4">
      <c r="A107" t="s">
        <v>10511</v>
      </c>
      <c r="B107" t="s">
        <v>12528</v>
      </c>
      <c r="C107" t="str">
        <f>IF(B107="","",IFERROR(_xlfn.XLOOKUP(B107,Entidades!$C:$C,Entidades!$B:$B,""),""))</f>
        <v>901062793-6</v>
      </c>
      <c r="D107" t="str">
        <f>IF(A107="","",IFERROR(_xlfn.XLOOKUP(A107,Proyectos!A:A,Proyectos!C:C,""),""))</f>
        <v>Diseño  final de prótesis mecánica transhumeral y próteiss transradial</v>
      </c>
    </row>
    <row r="108" spans="1:4">
      <c r="A108" t="s">
        <v>10106</v>
      </c>
      <c r="B108" t="s">
        <v>12528</v>
      </c>
      <c r="C108" t="str">
        <f>IF(B108="","",IFERROR(_xlfn.XLOOKUP(B108,Entidades!$C:$C,Entidades!$B:$B,""),""))</f>
        <v>901062793-6</v>
      </c>
      <c r="D108" t="str">
        <f>IF(A108="","",IFERROR(_xlfn.XLOOKUP(A108,Proyectos!A:A,Proyectos!C:C,""),""))</f>
        <v>Diseño  final de prótesis mecánica transhumeral y próteiss transradial</v>
      </c>
    </row>
    <row r="109" spans="1:4">
      <c r="A109" t="s">
        <v>8555</v>
      </c>
      <c r="B109" t="s">
        <v>12528</v>
      </c>
      <c r="C109" t="str">
        <f>IF(B109="","",IFERROR(_xlfn.XLOOKUP(B109,Entidades!$C:$C,Entidades!$B:$B,""),""))</f>
        <v>901062793-6</v>
      </c>
      <c r="D109" t="str">
        <f>IF(A109="","",IFERROR(_xlfn.XLOOKUP(A109,Proyectos!A:A,Proyectos!C:C,""),""))</f>
        <v>Diseño 2 de prótesis mecánica transhumeral y versión 2 de próteiss transradial</v>
      </c>
    </row>
    <row r="110" spans="1:4">
      <c r="A110" t="s">
        <v>8617</v>
      </c>
      <c r="B110" t="s">
        <v>12528</v>
      </c>
      <c r="C110" t="str">
        <f>IF(B110="","",IFERROR(_xlfn.XLOOKUP(B110,Entidades!$C:$C,Entidades!$B:$B,""),""))</f>
        <v>901062793-6</v>
      </c>
      <c r="D110" t="str">
        <f>IF(A110="","",IFERROR(_xlfn.XLOOKUP(A110,Proyectos!A:A,Proyectos!C:C,""),""))</f>
        <v>Diseño 2 de prótesis mecánica transhumeral y versión 2 de próteiss transradial</v>
      </c>
    </row>
    <row r="111" spans="1:4">
      <c r="A111" t="s">
        <v>8687</v>
      </c>
      <c r="B111" t="s">
        <v>12529</v>
      </c>
      <c r="C111" t="str">
        <f>IF(B111="","",IFERROR(_xlfn.XLOOKUP(B111,Entidades!$C:$C,Entidades!$B:$B,""),""))</f>
        <v/>
      </c>
      <c r="D111" t="str">
        <f>IF(A111="","",IFERROR(_xlfn.XLOOKUP(A111,Proyectos!A:A,Proyectos!C:C,""),""))</f>
        <v>Proyecto 9</v>
      </c>
    </row>
    <row r="112" spans="1:4">
      <c r="A112" t="s">
        <v>8536</v>
      </c>
      <c r="B112" t="s">
        <v>12530</v>
      </c>
      <c r="C112" t="str">
        <f>IF(B112="","",IFERROR(_xlfn.XLOOKUP(B112,Entidades!$C:$C,Entidades!$B:$B,""),""))</f>
        <v>860016941-6</v>
      </c>
      <c r="D112" t="str">
        <f>IF(A112="","",IFERROR(_xlfn.XLOOKUP(A112,Proyectos!A:A,Proyectos!C:C,""),""))</f>
        <v>Proyecto 19</v>
      </c>
    </row>
    <row r="113" spans="1:4">
      <c r="A113" t="s">
        <v>9673</v>
      </c>
      <c r="B113" t="s">
        <v>12531</v>
      </c>
      <c r="C113" t="str">
        <f>IF(B113="","",IFERROR(_xlfn.XLOOKUP(B113,Entidades!$C:$C,Entidades!$B:$B,""),""))</f>
        <v>900785941-9</v>
      </c>
      <c r="D113" t="str">
        <f>IF(A113="","",IFERROR(_xlfn.XLOOKUP(A113,Proyectos!A:A,Proyectos!C:C,""),""))</f>
        <v>Proyecto 9</v>
      </c>
    </row>
    <row r="114" spans="1:4">
      <c r="A114" t="s">
        <v>11840</v>
      </c>
      <c r="B114" t="s">
        <v>12531</v>
      </c>
      <c r="C114" t="str">
        <f>IF(B114="","",IFERROR(_xlfn.XLOOKUP(B114,Entidades!$C:$C,Entidades!$B:$B,""),""))</f>
        <v>900785941-9</v>
      </c>
      <c r="D114" t="str">
        <f>IF(A114="","",IFERROR(_xlfn.XLOOKUP(A114,Proyectos!A:A,Proyectos!C:C,""),""))</f>
        <v>Proyecto 10</v>
      </c>
    </row>
    <row r="115" spans="1:4">
      <c r="A115" t="s">
        <v>11842</v>
      </c>
      <c r="B115" t="s">
        <v>12532</v>
      </c>
      <c r="C115" t="str">
        <f>IF(B115="","",IFERROR(_xlfn.XLOOKUP(B115,Entidades!$C:$C,Entidades!$B:$B,""),""))</f>
        <v>900512803-1</v>
      </c>
      <c r="D115" t="str">
        <f>IF(A115="","",IFERROR(_xlfn.XLOOKUP(A115,Proyectos!A:A,Proyectos!C:C,""),""))</f>
        <v>Proyecto 23</v>
      </c>
    </row>
    <row r="116" spans="1:4">
      <c r="A116" t="s">
        <v>11845</v>
      </c>
      <c r="B116" t="s">
        <v>12532</v>
      </c>
      <c r="C116" t="str">
        <f>IF(B116="","",IFERROR(_xlfn.XLOOKUP(B116,Entidades!$C:$C,Entidades!$B:$B,""),""))</f>
        <v>900512803-1</v>
      </c>
      <c r="D116" t="str">
        <f>IF(A116="","",IFERROR(_xlfn.XLOOKUP(A116,Proyectos!A:A,Proyectos!C:C,""),""))</f>
        <v>Proyecto 24</v>
      </c>
    </row>
    <row r="117" spans="1:4">
      <c r="A117" t="s">
        <v>11848</v>
      </c>
      <c r="B117" t="s">
        <v>12532</v>
      </c>
      <c r="C117" t="str">
        <f>IF(B117="","",IFERROR(_xlfn.XLOOKUP(B117,Entidades!$C:$C,Entidades!$B:$B,""),""))</f>
        <v>900512803-1</v>
      </c>
      <c r="D117" t="str">
        <f>IF(A117="","",IFERROR(_xlfn.XLOOKUP(A117,Proyectos!A:A,Proyectos!C:C,""),""))</f>
        <v>Proyecto 25</v>
      </c>
    </row>
    <row r="118" spans="1:4">
      <c r="A118" t="s">
        <v>8621</v>
      </c>
      <c r="B118" t="s">
        <v>12532</v>
      </c>
      <c r="C118" t="str">
        <f>IF(B118="","",IFERROR(_xlfn.XLOOKUP(B118,Entidades!$C:$C,Entidades!$B:$B,""),""))</f>
        <v>900512803-1</v>
      </c>
      <c r="D118" t="str">
        <f>IF(A118="","",IFERROR(_xlfn.XLOOKUP(A118,Proyectos!A:A,Proyectos!C:C,""),""))</f>
        <v>Proyecto 28</v>
      </c>
    </row>
    <row r="119" spans="1:4">
      <c r="A119" t="s">
        <v>9680</v>
      </c>
      <c r="B119" t="s">
        <v>12532</v>
      </c>
      <c r="C119" t="str">
        <f>IF(B119="","",IFERROR(_xlfn.XLOOKUP(B119,Entidades!$C:$C,Entidades!$B:$B,""),""))</f>
        <v>900512803-1</v>
      </c>
      <c r="D119" t="str">
        <f>IF(A119="","",IFERROR(_xlfn.XLOOKUP(A119,Proyectos!A:A,Proyectos!C:C,""),""))</f>
        <v>Proyecto 23</v>
      </c>
    </row>
    <row r="120" spans="1:4">
      <c r="A120" t="s">
        <v>10533</v>
      </c>
      <c r="B120" t="s">
        <v>12532</v>
      </c>
      <c r="C120" t="str">
        <f>IF(B120="","",IFERROR(_xlfn.XLOOKUP(B120,Entidades!$C:$C,Entidades!$B:$B,""),""))</f>
        <v>900512803-1</v>
      </c>
      <c r="D120" t="str">
        <f>IF(A120="","",IFERROR(_xlfn.XLOOKUP(A120,Proyectos!A:A,Proyectos!C:C,""),""))</f>
        <v>Proyecto 23</v>
      </c>
    </row>
    <row r="121" spans="1:4">
      <c r="A121" t="s">
        <v>10537</v>
      </c>
      <c r="B121" t="s">
        <v>12532</v>
      </c>
      <c r="C121" t="str">
        <f>IF(B121="","",IFERROR(_xlfn.XLOOKUP(B121,Entidades!$C:$C,Entidades!$B:$B,""),""))</f>
        <v>900512803-1</v>
      </c>
      <c r="D121" t="str">
        <f>IF(A121="","",IFERROR(_xlfn.XLOOKUP(A121,Proyectos!A:A,Proyectos!C:C,""),""))</f>
        <v>Proyecto 24</v>
      </c>
    </row>
    <row r="122" spans="1:4">
      <c r="A122" t="s">
        <v>10545</v>
      </c>
      <c r="B122" t="s">
        <v>12532</v>
      </c>
      <c r="C122" t="str">
        <f>IF(B122="","",IFERROR(_xlfn.XLOOKUP(B122,Entidades!$C:$C,Entidades!$B:$B,""),""))</f>
        <v>900512803-1</v>
      </c>
      <c r="D122" t="str">
        <f>IF(A122="","",IFERROR(_xlfn.XLOOKUP(A122,Proyectos!A:A,Proyectos!C:C,""),""))</f>
        <v>Proyecto 25</v>
      </c>
    </row>
    <row r="123" spans="1:4">
      <c r="A123" t="s">
        <v>10541</v>
      </c>
      <c r="B123" t="s">
        <v>12532</v>
      </c>
      <c r="C123" t="str">
        <f>IF(B123="","",IFERROR(_xlfn.XLOOKUP(B123,Entidades!$C:$C,Entidades!$B:$B,""),""))</f>
        <v>900512803-1</v>
      </c>
      <c r="D123" t="str">
        <f>IF(A123="","",IFERROR(_xlfn.XLOOKUP(A123,Proyectos!A:A,Proyectos!C:C,""),""))</f>
        <v>Proyecto 28</v>
      </c>
    </row>
    <row r="124" spans="1:4">
      <c r="A124" t="s">
        <v>9693</v>
      </c>
      <c r="B124" t="s">
        <v>12533</v>
      </c>
      <c r="C124" t="str">
        <f>IF(B124="","",IFERROR(_xlfn.XLOOKUP(B124,Entidades!$C:$C,Entidades!$B:$B,""),""))</f>
        <v>860013475-1</v>
      </c>
      <c r="D124" t="str">
        <f>IF(A124="","",IFERROR(_xlfn.XLOOKUP(A124,Proyectos!A:A,Proyectos!C:C,""),""))</f>
        <v>Construcción de herramienta para bitácoras  de enfermeras</v>
      </c>
    </row>
    <row r="125" spans="1:4">
      <c r="A125" t="s">
        <v>9697</v>
      </c>
      <c r="B125" t="s">
        <v>12533</v>
      </c>
      <c r="C125" t="str">
        <f>IF(B125="","",IFERROR(_xlfn.XLOOKUP(B125,Entidades!$C:$C,Entidades!$B:$B,""),""))</f>
        <v>860013475-1</v>
      </c>
      <c r="D125">
        <f>IF(A125="","",IFERROR(_xlfn.XLOOKUP(A125,Proyectos!A:A,Proyectos!C:C,""),""))</f>
        <v>0</v>
      </c>
    </row>
    <row r="126" spans="1:4">
      <c r="A126" t="s">
        <v>9056</v>
      </c>
      <c r="B126" t="s">
        <v>12533</v>
      </c>
      <c r="C126" t="str">
        <f>IF(B126="","",IFERROR(_xlfn.XLOOKUP(B126,Entidades!$C:$C,Entidades!$B:$B,""),""))</f>
        <v>860013475-1</v>
      </c>
      <c r="D126">
        <f>IF(A126="","",IFERROR(_xlfn.XLOOKUP(A126,Proyectos!A:A,Proyectos!C:C,""),""))</f>
        <v>0</v>
      </c>
    </row>
    <row r="127" spans="1:4">
      <c r="A127" t="s">
        <v>9704</v>
      </c>
      <c r="B127" t="s">
        <v>12142</v>
      </c>
      <c r="C127" t="str">
        <f>IF(B127="","",IFERROR(_xlfn.XLOOKUP(B127,Entidades!$C:$C,Entidades!$B:$B,""),""))</f>
        <v>830062520-5</v>
      </c>
      <c r="D127" t="str">
        <f>IF(A127="","",IFERROR(_xlfn.XLOOKUP(A127,Proyectos!A:A,Proyectos!C:C,""),""))</f>
        <v>Apoyo organizacional a la JAC del Barrio Doña Liliana</v>
      </c>
    </row>
    <row r="128" spans="1:4">
      <c r="A128" t="s">
        <v>10130</v>
      </c>
      <c r="B128" t="s">
        <v>12534</v>
      </c>
      <c r="C128" t="str">
        <f>IF(B128="","",IFERROR(_xlfn.XLOOKUP(B128,Entidades!$C:$C,Entidades!$B:$B,""),""))</f>
        <v>PONTI_UNIVE_JAVER</v>
      </c>
      <c r="D128" t="str">
        <f>IF(A128="","",IFERROR(_xlfn.XLOOKUP(A128,Proyectos!A:A,Proyectos!C:C,""),""))</f>
        <v>KIWI</v>
      </c>
    </row>
    <row r="129" spans="1:4">
      <c r="A129" t="s">
        <v>10484</v>
      </c>
      <c r="B129" t="s">
        <v>12534</v>
      </c>
      <c r="C129" t="str">
        <f>IF(B129="","",IFERROR(_xlfn.XLOOKUP(B129,Entidades!$C:$C,Entidades!$B:$B,""),""))</f>
        <v>PONTI_UNIVE_JAVER</v>
      </c>
      <c r="D129" t="str">
        <f>IF(A129="","",IFERROR(_xlfn.XLOOKUP(A129,Proyectos!A:A,Proyectos!C:C,""),""))</f>
        <v>PROGRAMA SOCIAL VIDAS MÓVILES (JAVERIANA)</v>
      </c>
    </row>
    <row r="130" spans="1:4">
      <c r="A130" t="s">
        <v>10558</v>
      </c>
      <c r="B130" t="s">
        <v>12534</v>
      </c>
      <c r="C130" t="str">
        <f>IF(B130="","",IFERROR(_xlfn.XLOOKUP(B130,Entidades!$C:$C,Entidades!$B:$B,""),""))</f>
        <v>PONTI_UNIVE_JAVER</v>
      </c>
      <c r="D130" t="str">
        <f>IF(A130="","",IFERROR(_xlfn.XLOOKUP(A130,Proyectos!A:A,Proyectos!C:C,""),""))</f>
        <v>Red Juvenil Ignaciana</v>
      </c>
    </row>
    <row r="131" spans="1:4">
      <c r="A131" t="s">
        <v>10118</v>
      </c>
      <c r="B131" t="s">
        <v>12534</v>
      </c>
      <c r="C131" t="str">
        <f>IF(B131="","",IFERROR(_xlfn.XLOOKUP(B131,Entidades!$C:$C,Entidades!$B:$B,""),""))</f>
        <v>PONTI_UNIVE_JAVER</v>
      </c>
      <c r="D131" t="str">
        <f>IF(A131="","",IFERROR(_xlfn.XLOOKUP(A131,Proyectos!A:A,Proyectos!C:C,""),""))</f>
        <v>OFICINA DE RESPONSABILIDAD SOCIAL</v>
      </c>
    </row>
    <row r="132" spans="1:4">
      <c r="A132" t="s">
        <v>8641</v>
      </c>
      <c r="B132" t="s">
        <v>12534</v>
      </c>
      <c r="C132" t="str">
        <f>IF(B132="","",IFERROR(_xlfn.XLOOKUP(B132,Entidades!$C:$C,Entidades!$B:$B,""),""))</f>
        <v>PONTI_UNIVE_JAVER</v>
      </c>
      <c r="D132" t="str">
        <f>IF(A132="","",IFERROR(_xlfn.XLOOKUP(A132,Proyectos!A:A,Proyectos!C:C,""),""))</f>
        <v>OFICINA DE RESPONSABILIDAD SOCIAL</v>
      </c>
    </row>
    <row r="133" spans="1:4">
      <c r="A133" t="s">
        <v>8840</v>
      </c>
      <c r="B133" t="s">
        <v>12534</v>
      </c>
      <c r="C133" t="str">
        <f>IF(B133="","",IFERROR(_xlfn.XLOOKUP(B133,Entidades!$C:$C,Entidades!$B:$B,""),""))</f>
        <v>PONTI_UNIVE_JAVER</v>
      </c>
      <c r="D133" t="str">
        <f>IF(A133="","",IFERROR(_xlfn.XLOOKUP(A133,Proyectos!A:A,Proyectos!C:C,""),""))</f>
        <v>Proyección Social Ingeniería</v>
      </c>
    </row>
    <row r="134" spans="1:4">
      <c r="A134" t="s">
        <v>9034</v>
      </c>
      <c r="B134" t="s">
        <v>12534</v>
      </c>
      <c r="C134" t="str">
        <f>IF(B134="","",IFERROR(_xlfn.XLOOKUP(B134,Entidades!$C:$C,Entidades!$B:$B,""),""))</f>
        <v>PONTI_UNIVE_JAVER</v>
      </c>
      <c r="D134" t="str">
        <f>IF(A134="","",IFERROR(_xlfn.XLOOKUP(A134,Proyectos!A:A,Proyectos!C:C,""),""))</f>
        <v>Red Juvenil Ignaciana</v>
      </c>
    </row>
    <row r="135" spans="1:4">
      <c r="A135" t="s">
        <v>11873</v>
      </c>
      <c r="B135" t="s">
        <v>12534</v>
      </c>
      <c r="C135" t="str">
        <f>IF(B135="","",IFERROR(_xlfn.XLOOKUP(B135,Entidades!$C:$C,Entidades!$B:$B,""),""))</f>
        <v>PONTI_UNIVE_JAVER</v>
      </c>
      <c r="D135" t="str">
        <f>IF(A135="","",IFERROR(_xlfn.XLOOKUP(A135,Proyectos!A:A,Proyectos!C:C,""),""))</f>
        <v>PROSOFI</v>
      </c>
    </row>
    <row r="136" spans="1:4">
      <c r="A136" t="s">
        <v>8833</v>
      </c>
      <c r="B136" t="s">
        <v>12534</v>
      </c>
      <c r="C136" t="str">
        <f>IF(B136="","",IFERROR(_xlfn.XLOOKUP(B136,Entidades!$C:$C,Entidades!$B:$B,""),""))</f>
        <v>PONTI_UNIVE_JAVER</v>
      </c>
      <c r="D136" t="str">
        <f>IF(A136="","",IFERROR(_xlfn.XLOOKUP(A136,Proyectos!A:A,Proyectos!C:C,""),""))</f>
        <v>PROGRAMA SOCIAL VIDAS MÓVILES (JAVERIANA)</v>
      </c>
    </row>
    <row r="137" spans="1:4">
      <c r="A137" t="s">
        <v>9069</v>
      </c>
      <c r="B137" t="s">
        <v>12534</v>
      </c>
      <c r="C137" t="str">
        <f>IF(B137="","",IFERROR(_xlfn.XLOOKUP(B137,Entidades!$C:$C,Entidades!$B:$B,""),""))</f>
        <v>PONTI_UNIVE_JAVER</v>
      </c>
      <c r="D137" t="str">
        <f>IF(A137="","",IFERROR(_xlfn.XLOOKUP(A137,Proyectos!A:A,Proyectos!C:C,""),""))</f>
        <v>PROGRAMA SOCIAL VIDAS MÓVILES (JAVERIANA)</v>
      </c>
    </row>
    <row r="138" spans="1:4">
      <c r="A138" t="s">
        <v>8559</v>
      </c>
      <c r="B138" t="s">
        <v>12534</v>
      </c>
      <c r="C138" t="str">
        <f>IF(B138="","",IFERROR(_xlfn.XLOOKUP(B138,Entidades!$C:$C,Entidades!$B:$B,""),""))</f>
        <v>PONTI_UNIVE_JAVER</v>
      </c>
      <c r="D138" t="str">
        <f>IF(A138="","",IFERROR(_xlfn.XLOOKUP(A138,Proyectos!A:A,Proyectos!C:C,""),""))</f>
        <v>PROSOFI - CONSULTORIO CONTABLE</v>
      </c>
    </row>
    <row r="139" spans="1:4">
      <c r="A139" t="s">
        <v>8629</v>
      </c>
      <c r="B139" t="s">
        <v>12534</v>
      </c>
      <c r="C139" t="str">
        <f>IF(B139="","",IFERROR(_xlfn.XLOOKUP(B139,Entidades!$C:$C,Entidades!$B:$B,""),""))</f>
        <v>PONTI_UNIVE_JAVER</v>
      </c>
      <c r="D139" t="str">
        <f>IF(A139="","",IFERROR(_xlfn.XLOOKUP(A139,Proyectos!A:A,Proyectos!C:C,""),""))</f>
        <v>PROSOFI - SAN CAYETANO</v>
      </c>
    </row>
    <row r="140" spans="1:4">
      <c r="A140" t="s">
        <v>9728</v>
      </c>
      <c r="B140" t="s">
        <v>12534</v>
      </c>
      <c r="C140" t="str">
        <f>IF(B140="","",IFERROR(_xlfn.XLOOKUP(B140,Entidades!$C:$C,Entidades!$B:$B,""),""))</f>
        <v>PONTI_UNIVE_JAVER</v>
      </c>
      <c r="D140" t="str">
        <f>IF(A140="","",IFERROR(_xlfn.XLOOKUP(A140,Proyectos!A:A,Proyectos!C:C,""),""))</f>
        <v>Camino de Paz en los Barrios Altos de Usme</v>
      </c>
    </row>
    <row r="141" spans="1:4">
      <c r="A141" t="s">
        <v>9743</v>
      </c>
      <c r="B141" t="s">
        <v>12534</v>
      </c>
      <c r="C141" t="str">
        <f>IF(B141="","",IFERROR(_xlfn.XLOOKUP(B141,Entidades!$C:$C,Entidades!$B:$B,""),""))</f>
        <v>PONTI_UNIVE_JAVER</v>
      </c>
      <c r="D141" t="str">
        <f>IF(A141="","",IFERROR(_xlfn.XLOOKUP(A141,Proyectos!A:A,Proyectos!C:C,""),""))</f>
        <v>Las huertas como camino a la Ecología Integral</v>
      </c>
    </row>
    <row r="142" spans="1:4">
      <c r="A142" t="s">
        <v>9770</v>
      </c>
      <c r="B142" t="s">
        <v>12534</v>
      </c>
      <c r="C142" t="str">
        <f>IF(B142="","",IFERROR(_xlfn.XLOOKUP(B142,Entidades!$C:$C,Entidades!$B:$B,""),""))</f>
        <v>PONTI_UNIVE_JAVER</v>
      </c>
      <c r="D142" t="str">
        <f>IF(A142="","",IFERROR(_xlfn.XLOOKUP(A142,Proyectos!A:A,Proyectos!C:C,""),""))</f>
        <v>15 años de PROSOFI en comunidades</v>
      </c>
    </row>
    <row r="143" spans="1:4">
      <c r="A143" t="s">
        <v>10610</v>
      </c>
      <c r="B143" t="s">
        <v>12534</v>
      </c>
      <c r="C143" t="str">
        <f>IF(B143="","",IFERROR(_xlfn.XLOOKUP(B143,Entidades!$C:$C,Entidades!$B:$B,""),""))</f>
        <v>PONTI_UNIVE_JAVER</v>
      </c>
      <c r="D143" t="str">
        <f>IF(A143="","",IFERROR(_xlfn.XLOOKUP(A143,Proyectos!A:A,Proyectos!C:C,""),""))</f>
        <v>Camino de Paz en los Barrios Altos de Usme</v>
      </c>
    </row>
    <row r="144" spans="1:4">
      <c r="A144" t="s">
        <v>10140</v>
      </c>
      <c r="B144" t="s">
        <v>12534</v>
      </c>
      <c r="C144" t="str">
        <f>IF(B144="","",IFERROR(_xlfn.XLOOKUP(B144,Entidades!$C:$C,Entidades!$B:$B,""),""))</f>
        <v>PONTI_UNIVE_JAVER</v>
      </c>
      <c r="D144" t="str">
        <f>IF(A144="","",IFERROR(_xlfn.XLOOKUP(A144,Proyectos!A:A,Proyectos!C:C,""),""))</f>
        <v>Asesoría en el  registro de asistencia de estudiantes y generación de reportes</v>
      </c>
    </row>
    <row r="145" spans="1:4">
      <c r="A145" t="s">
        <v>10110</v>
      </c>
      <c r="B145" t="s">
        <v>12534</v>
      </c>
      <c r="C145" t="str">
        <f>IF(B145="","",IFERROR(_xlfn.XLOOKUP(B145,Entidades!$C:$C,Entidades!$B:$B,""),""))</f>
        <v>PONTI_UNIVE_JAVER</v>
      </c>
      <c r="D145" t="str">
        <f>IF(A145="","",IFERROR(_xlfn.XLOOKUP(A145,Proyectos!A:A,Proyectos!C:C,""),""))</f>
        <v xml:space="preserve">Mesa de Reconciliación y Justicia. </v>
      </c>
    </row>
    <row r="146" spans="1:4">
      <c r="A146" t="s">
        <v>10634</v>
      </c>
      <c r="B146" t="s">
        <v>12534</v>
      </c>
      <c r="C146" t="str">
        <f>IF(B146="","",IFERROR(_xlfn.XLOOKUP(B146,Entidades!$C:$C,Entidades!$B:$B,""),""))</f>
        <v>PONTI_UNIVE_JAVER</v>
      </c>
      <c r="D146" t="str">
        <f>IF(A146="","",IFERROR(_xlfn.XLOOKUP(A146,Proyectos!A:A,Proyectos!C:C,""),""))</f>
        <v>Hacia el Emprendimiento Social</v>
      </c>
    </row>
    <row r="147" spans="1:4">
      <c r="A147" t="s">
        <v>10126</v>
      </c>
      <c r="B147" t="s">
        <v>12534</v>
      </c>
      <c r="C147" t="str">
        <f>IF(B147="","",IFERROR(_xlfn.XLOOKUP(B147,Entidades!$C:$C,Entidades!$B:$B,""),""))</f>
        <v>PONTI_UNIVE_JAVER</v>
      </c>
      <c r="D147" t="str">
        <f>IF(A147="","",IFERROR(_xlfn.XLOOKUP(A147,Proyectos!A:A,Proyectos!C:C,""),""))</f>
        <v>Alianzas para logar aportes a los ODS</v>
      </c>
    </row>
    <row r="148" spans="1:4">
      <c r="A148" t="s">
        <v>8996</v>
      </c>
      <c r="B148" t="s">
        <v>12534</v>
      </c>
      <c r="C148" t="str">
        <f>IF(B148="","",IFERROR(_xlfn.XLOOKUP(B148,Entidades!$C:$C,Entidades!$B:$B,""),""))</f>
        <v>PONTI_UNIVE_JAVER</v>
      </c>
      <c r="D148" t="str">
        <f>IF(A148="","",IFERROR(_xlfn.XLOOKUP(A148,Proyectos!A:A,Proyectos!C:C,""),""))</f>
        <v>Manual de Funciones para el Colegio</v>
      </c>
    </row>
    <row r="149" spans="1:4">
      <c r="A149" t="s">
        <v>8599</v>
      </c>
      <c r="B149" t="s">
        <v>12534</v>
      </c>
      <c r="C149" t="str">
        <f>IF(B149="","",IFERROR(_xlfn.XLOOKUP(B149,Entidades!$C:$C,Entidades!$B:$B,""),""))</f>
        <v>PONTI_UNIVE_JAVER</v>
      </c>
      <c r="D149" t="str">
        <f>IF(A149="","",IFERROR(_xlfn.XLOOKUP(A149,Proyectos!A:A,Proyectos!C:C,""),""))</f>
        <v>Posicionamiento de la Biósfera en los procesos académicos del Colegio San Cayetano</v>
      </c>
    </row>
    <row r="150" spans="1:4">
      <c r="A150" t="s">
        <v>8540</v>
      </c>
      <c r="B150" t="s">
        <v>12534</v>
      </c>
      <c r="C150" t="str">
        <f>IF(B150="","",IFERROR(_xlfn.XLOOKUP(B150,Entidades!$C:$C,Entidades!$B:$B,""),""))</f>
        <v>PONTI_UNIVE_JAVER</v>
      </c>
      <c r="D150" t="str">
        <f>IF(A150="","",IFERROR(_xlfn.XLOOKUP(A150,Proyectos!A:A,Proyectos!C:C,""),""))</f>
        <v>Formulación de Emprendimiento Social en J.J. Rondón</v>
      </c>
    </row>
    <row r="151" spans="1:4">
      <c r="A151" t="s">
        <v>8575</v>
      </c>
      <c r="B151" t="s">
        <v>12534</v>
      </c>
      <c r="C151" t="str">
        <f>IF(B151="","",IFERROR(_xlfn.XLOOKUP(B151,Entidades!$C:$C,Entidades!$B:$B,""),""))</f>
        <v>PONTI_UNIVE_JAVER</v>
      </c>
      <c r="D151" t="str">
        <f>IF(A151="","",IFERROR(_xlfn.XLOOKUP(A151,Proyectos!A:A,Proyectos!C:C,""),""))</f>
        <v>Direccionamiento estratégico del Semillero Olympia</v>
      </c>
    </row>
    <row r="152" spans="1:4">
      <c r="A152" t="s">
        <v>9852</v>
      </c>
      <c r="B152" t="s">
        <v>12534</v>
      </c>
      <c r="C152" t="str">
        <f>IF(B152="","",IFERROR(_xlfn.XLOOKUP(B152,Entidades!$C:$C,Entidades!$B:$B,""),""))</f>
        <v>PONTI_UNIVE_JAVER</v>
      </c>
      <c r="D152" t="str">
        <f>IF(A152="","",IFERROR(_xlfn.XLOOKUP(A152,Proyectos!A:A,Proyectos!C:C,""),""))</f>
        <v>Campus Accesible - Inclusión y Diversidad</v>
      </c>
    </row>
    <row r="153" spans="1:4">
      <c r="A153" t="s">
        <v>10603</v>
      </c>
      <c r="B153" t="s">
        <v>12534</v>
      </c>
      <c r="C153" t="str">
        <f>IF(B153="","",IFERROR(_xlfn.XLOOKUP(B153,Entidades!$C:$C,Entidades!$B:$B,""),""))</f>
        <v>PONTI_UNIVE_JAVER</v>
      </c>
      <c r="D153" t="str">
        <f>IF(A153="","",IFERROR(_xlfn.XLOOKUP(A153,Proyectos!A:A,Proyectos!C:C,""),""))</f>
        <v>Campus Accesible - Inclusión y Diversidad</v>
      </c>
    </row>
    <row r="154" spans="1:4">
      <c r="A154" t="s">
        <v>8780</v>
      </c>
      <c r="B154" t="s">
        <v>12534</v>
      </c>
      <c r="C154" t="str">
        <f>IF(B154="","",IFERROR(_xlfn.XLOOKUP(B154,Entidades!$C:$C,Entidades!$B:$B,""),""))</f>
        <v>PONTI_UNIVE_JAVER</v>
      </c>
      <c r="D154" t="str">
        <f>IF(A154="","",IFERROR(_xlfn.XLOOKUP(A154,Proyectos!A:A,Proyectos!C:C,""),""))</f>
        <v>Libro pedagógico de programación en Scratch</v>
      </c>
    </row>
    <row r="155" spans="1:4">
      <c r="A155" t="s">
        <v>9856</v>
      </c>
      <c r="B155" t="s">
        <v>12534</v>
      </c>
      <c r="C155" t="str">
        <f>IF(B155="","",IFERROR(_xlfn.XLOOKUP(B155,Entidades!$C:$C,Entidades!$B:$B,""),""))</f>
        <v>PONTI_UNIVE_JAVER</v>
      </c>
      <c r="D155" t="str">
        <f>IF(A155="","",IFERROR(_xlfn.XLOOKUP(A155,Proyectos!A:A,Proyectos!C:C,""),""))</f>
        <v>VIDAS MÓVILES</v>
      </c>
    </row>
    <row r="156" spans="1:4">
      <c r="A156" t="s">
        <v>9720</v>
      </c>
      <c r="B156" t="s">
        <v>12534</v>
      </c>
      <c r="C156" t="str">
        <f>IF(B156="","",IFERROR(_xlfn.XLOOKUP(B156,Entidades!$C:$C,Entidades!$B:$B,""),""))</f>
        <v>PONTI_UNIVE_JAVER</v>
      </c>
      <c r="D156" t="str">
        <f>IF(A156="","",IFERROR(_xlfn.XLOOKUP(A156,Proyectos!A:A,Proyectos!C:C,""),""))</f>
        <v>DIAGNOSTICO Y PROPUESTA DESARROLLO SOSTENIBLE</v>
      </c>
    </row>
    <row r="157" spans="1:4">
      <c r="A157" t="s">
        <v>9814</v>
      </c>
      <c r="B157" t="s">
        <v>12534</v>
      </c>
      <c r="C157" t="str">
        <f>IF(B157="","",IFERROR(_xlfn.XLOOKUP(B157,Entidades!$C:$C,Entidades!$B:$B,""),""))</f>
        <v>PONTI_UNIVE_JAVER</v>
      </c>
      <c r="D157" t="str">
        <f>IF(A157="","",IFERROR(_xlfn.XLOOKUP(A157,Proyectos!A:A,Proyectos!C:C,""),""))</f>
        <v>CAPACITACION EMPRENDIMIENTO</v>
      </c>
    </row>
    <row r="158" spans="1:4">
      <c r="A158" t="s">
        <v>10494</v>
      </c>
      <c r="B158" t="s">
        <v>12534</v>
      </c>
      <c r="C158" t="str">
        <f>IF(B158="","",IFERROR(_xlfn.XLOOKUP(B158,Entidades!$C:$C,Entidades!$B:$B,""),""))</f>
        <v>PONTI_UNIVE_JAVER</v>
      </c>
      <c r="D158" t="str">
        <f>IF(A158="","",IFERROR(_xlfn.XLOOKUP(A158,Proyectos!A:A,Proyectos!C:C,""),""))</f>
        <v>CAPACITACION EMPRENDIMIENTO</v>
      </c>
    </row>
    <row r="159" spans="1:4">
      <c r="A159" t="s">
        <v>10142</v>
      </c>
      <c r="B159" t="s">
        <v>12534</v>
      </c>
      <c r="C159" t="str">
        <f>IF(B159="","",IFERROR(_xlfn.XLOOKUP(B159,Entidades!$C:$C,Entidades!$B:$B,""),""))</f>
        <v>PONTI_UNIVE_JAVER</v>
      </c>
      <c r="D159" t="str">
        <f>IF(A159="","",IFERROR(_xlfn.XLOOKUP(A159,Proyectos!A:A,Proyectos!C:C,""),""))</f>
        <v>CAPACITACION EMPRENDIMIENTO</v>
      </c>
    </row>
    <row r="160" spans="1:4">
      <c r="A160" t="s">
        <v>10650</v>
      </c>
      <c r="B160" t="s">
        <v>12534</v>
      </c>
      <c r="C160" t="str">
        <f>IF(B160="","",IFERROR(_xlfn.XLOOKUP(B160,Entidades!$C:$C,Entidades!$B:$B,""),""))</f>
        <v>PONTI_UNIVE_JAVER</v>
      </c>
      <c r="D160" t="str">
        <f>IF(A160="","",IFERROR(_xlfn.XLOOKUP(A160,Proyectos!A:A,Proyectos!C:C,""),""))</f>
        <v>DIAGNOSTICO Y PROPUESTA DESARROLLO SOSTENIBLE</v>
      </c>
    </row>
    <row r="161" spans="1:4">
      <c r="A161" t="s">
        <v>10395</v>
      </c>
      <c r="B161" t="s">
        <v>12534</v>
      </c>
      <c r="C161" t="str">
        <f>IF(B161="","",IFERROR(_xlfn.XLOOKUP(B161,Entidades!$C:$C,Entidades!$B:$B,""),""))</f>
        <v>PONTI_UNIVE_JAVER</v>
      </c>
      <c r="D161" t="str">
        <f>IF(A161="","",IFERROR(_xlfn.XLOOKUP(A161,Proyectos!A:A,Proyectos!C:C,""),""))</f>
        <v>VIDAS MÓVILES</v>
      </c>
    </row>
    <row r="162" spans="1:4">
      <c r="A162" t="s">
        <v>9106</v>
      </c>
      <c r="B162" t="s">
        <v>12534</v>
      </c>
      <c r="C162" t="str">
        <f>IF(B162="","",IFERROR(_xlfn.XLOOKUP(B162,Entidades!$C:$C,Entidades!$B:$B,""),""))</f>
        <v>PONTI_UNIVE_JAVER</v>
      </c>
      <c r="D162" t="str">
        <f>IF(A162="","",IFERROR(_xlfn.XLOOKUP(A162,Proyectos!A:A,Proyectos!C:C,""),""))</f>
        <v>PROPUESTA DE ANALISIS COMERCIAL Y FINANCIERO</v>
      </c>
    </row>
    <row r="163" spans="1:4">
      <c r="A163" t="s">
        <v>8757</v>
      </c>
      <c r="B163" t="s">
        <v>12534</v>
      </c>
      <c r="C163" t="str">
        <f>IF(B163="","",IFERROR(_xlfn.XLOOKUP(B163,Entidades!$C:$C,Entidades!$B:$B,""),""))</f>
        <v>PONTI_UNIVE_JAVER</v>
      </c>
      <c r="D163" t="str">
        <f>IF(A163="","",IFERROR(_xlfn.XLOOKUP(A163,Proyectos!A:A,Proyectos!C:C,""),""))</f>
        <v>CAPACITACION EMPRENDIMIENTO</v>
      </c>
    </row>
    <row r="164" spans="1:4">
      <c r="A164" t="s">
        <v>8790</v>
      </c>
      <c r="B164" t="s">
        <v>12534</v>
      </c>
      <c r="C164" t="str">
        <f>IF(B164="","",IFERROR(_xlfn.XLOOKUP(B164,Entidades!$C:$C,Entidades!$B:$B,""),""))</f>
        <v>PONTI_UNIVE_JAVER</v>
      </c>
      <c r="D164" t="str">
        <f>IF(A164="","",IFERROR(_xlfn.XLOOKUP(A164,Proyectos!A:A,Proyectos!C:C,""),""))</f>
        <v>CAPACITACION EMPRENDIMIENTO</v>
      </c>
    </row>
    <row r="165" spans="1:4">
      <c r="A165" t="s">
        <v>8610</v>
      </c>
      <c r="B165" t="s">
        <v>12534</v>
      </c>
      <c r="C165" t="str">
        <f>IF(B165="","",IFERROR(_xlfn.XLOOKUP(B165,Entidades!$C:$C,Entidades!$B:$B,""),""))</f>
        <v>PONTI_UNIVE_JAVER</v>
      </c>
      <c r="D165" t="str">
        <f>IF(A165="","",IFERROR(_xlfn.XLOOKUP(A165,Proyectos!A:A,Proyectos!C:C,""),""))</f>
        <v>DIAGNOSTICO Y PROPUESTA DESARROLLO SOSTENIBLE</v>
      </c>
    </row>
    <row r="166" spans="1:4">
      <c r="A166" t="s">
        <v>9888</v>
      </c>
      <c r="B166" t="s">
        <v>12534</v>
      </c>
      <c r="C166" t="str">
        <f>IF(B166="","",IFERROR(_xlfn.XLOOKUP(B166,Entidades!$C:$C,Entidades!$B:$B,""),""))</f>
        <v>PONTI_UNIVE_JAVER</v>
      </c>
      <c r="D166" t="str">
        <f>IF(A166="","",IFERROR(_xlfn.XLOOKUP(A166,Proyectos!A:A,Proyectos!C:C,""),""))</f>
        <v>SAN CAYETANO ROBOTÍCA</v>
      </c>
    </row>
    <row r="167" spans="1:4">
      <c r="A167" t="s">
        <v>10756</v>
      </c>
      <c r="B167" t="s">
        <v>12534</v>
      </c>
      <c r="C167" t="str">
        <f>IF(B167="","",IFERROR(_xlfn.XLOOKUP(B167,Entidades!$C:$C,Entidades!$B:$B,""),""))</f>
        <v>PONTI_UNIVE_JAVER</v>
      </c>
      <c r="D167" t="str">
        <f>IF(A167="","",IFERROR(_xlfn.XLOOKUP(A167,Proyectos!A:A,Proyectos!C:C,""),""))</f>
        <v>SAN CAYETANO ROBOTÍCA</v>
      </c>
    </row>
    <row r="168" spans="1:4">
      <c r="A168" t="s">
        <v>10775</v>
      </c>
      <c r="B168" t="s">
        <v>12534</v>
      </c>
      <c r="C168" t="str">
        <f>IF(B168="","",IFERROR(_xlfn.XLOOKUP(B168,Entidades!$C:$C,Entidades!$B:$B,""),""))</f>
        <v>PONTI_UNIVE_JAVER</v>
      </c>
      <c r="D168" t="str">
        <f>IF(A168="","",IFERROR(_xlfn.XLOOKUP(A168,Proyectos!A:A,Proyectos!C:C,""),""))</f>
        <v>COLEGIO SAN GREGORIO HERNÁNDEZ</v>
      </c>
    </row>
    <row r="169" spans="1:4">
      <c r="A169" t="s">
        <v>10673</v>
      </c>
      <c r="B169" t="s">
        <v>12534</v>
      </c>
      <c r="C169" t="str">
        <f>IF(B169="","",IFERROR(_xlfn.XLOOKUP(B169,Entidades!$C:$C,Entidades!$B:$B,""),""))</f>
        <v>PONTI_UNIVE_JAVER</v>
      </c>
      <c r="D169" t="str">
        <f>IF(A169="","",IFERROR(_xlfn.XLOOKUP(A169,Proyectos!A:A,Proyectos!C:C,""),""))</f>
        <v>Laudes Infantis</v>
      </c>
    </row>
    <row r="170" spans="1:4">
      <c r="A170" t="s">
        <v>11925</v>
      </c>
      <c r="B170" t="s">
        <v>12534</v>
      </c>
      <c r="C170" t="str">
        <f>IF(B170="","",IFERROR(_xlfn.XLOOKUP(B170,Entidades!$C:$C,Entidades!$B:$B,""),""))</f>
        <v>PONTI_UNIVE_JAVER</v>
      </c>
      <c r="D170" t="str">
        <f>IF(A170="","",IFERROR(_xlfn.XLOOKUP(A170,Proyectos!A:A,Proyectos!C:C,""),""))</f>
        <v>SAN CAYETANO ROBOTÍCA</v>
      </c>
    </row>
    <row r="171" spans="1:4">
      <c r="A171" t="s">
        <v>9783</v>
      </c>
      <c r="B171" t="s">
        <v>12534</v>
      </c>
      <c r="C171" t="str">
        <f>IF(B171="","",IFERROR(_xlfn.XLOOKUP(B171,Entidades!$C:$C,Entidades!$B:$B,""),""))</f>
        <v>PONTI_UNIVE_JAVER</v>
      </c>
      <c r="D171" t="str">
        <f>IF(A171="","",IFERROR(_xlfn.XLOOKUP(A171,Proyectos!A:A,Proyectos!C:C,""),""))</f>
        <v>PROSOFI - SAN CAYETANO</v>
      </c>
    </row>
    <row r="172" spans="1:4">
      <c r="A172" t="s">
        <v>9919</v>
      </c>
      <c r="B172" t="s">
        <v>12534</v>
      </c>
      <c r="C172" t="str">
        <f>IF(B172="","",IFERROR(_xlfn.XLOOKUP(B172,Entidades!$C:$C,Entidades!$B:$B,""),""))</f>
        <v>PONTI_UNIVE_JAVER</v>
      </c>
      <c r="D172" t="str">
        <f>IF(A172="","",IFERROR(_xlfn.XLOOKUP(A172,Proyectos!A:A,Proyectos!C:C,""),""))</f>
        <v>PROSOFI</v>
      </c>
    </row>
    <row r="173" spans="1:4">
      <c r="A173" t="s">
        <v>9866</v>
      </c>
      <c r="B173" t="s">
        <v>12534</v>
      </c>
      <c r="C173" t="str">
        <f>IF(B173="","",IFERROR(_xlfn.XLOOKUP(B173,Entidades!$C:$C,Entidades!$B:$B,""),""))</f>
        <v>PONTI_UNIVE_JAVER</v>
      </c>
      <c r="D173" t="str">
        <f>IF(A173="","",IFERROR(_xlfn.XLOOKUP(A173,Proyectos!A:A,Proyectos!C:C,""),""))</f>
        <v>PROSOFI - CONSULTORIO CONTABLE</v>
      </c>
    </row>
    <row r="174" spans="1:4">
      <c r="A174" t="s">
        <v>9895</v>
      </c>
      <c r="B174" t="s">
        <v>12534</v>
      </c>
      <c r="C174" t="str">
        <f>IF(B174="","",IFERROR(_xlfn.XLOOKUP(B174,Entidades!$C:$C,Entidades!$B:$B,""),""))</f>
        <v>PONTI_UNIVE_JAVER</v>
      </c>
      <c r="D174" t="str">
        <f>IF(A174="","",IFERROR(_xlfn.XLOOKUP(A174,Proyectos!A:A,Proyectos!C:C,""),""))</f>
        <v>Proyección Social Ingeniería</v>
      </c>
    </row>
    <row r="175" spans="1:4">
      <c r="A175" t="s">
        <v>10568</v>
      </c>
      <c r="B175" t="s">
        <v>12534</v>
      </c>
      <c r="C175" t="str">
        <f>IF(B175="","",IFERROR(_xlfn.XLOOKUP(B175,Entidades!$C:$C,Entidades!$B:$B,""),""))</f>
        <v>PONTI_UNIVE_JAVER</v>
      </c>
      <c r="D175" t="str">
        <f>IF(A175="","",IFERROR(_xlfn.XLOOKUP(A175,Proyectos!A:A,Proyectos!C:C,""),""))</f>
        <v>PROSOFI - UNBOUND</v>
      </c>
    </row>
    <row r="176" spans="1:4">
      <c r="A176" t="s">
        <v>10587</v>
      </c>
      <c r="B176" t="s">
        <v>12534</v>
      </c>
      <c r="C176" t="str">
        <f>IF(B176="","",IFERROR(_xlfn.XLOOKUP(B176,Entidades!$C:$C,Entidades!$B:$B,""),""))</f>
        <v>PONTI_UNIVE_JAVER</v>
      </c>
      <c r="D176" t="str">
        <f>IF(A176="","",IFERROR(_xlfn.XLOOKUP(A176,Proyectos!A:A,Proyectos!C:C,""),""))</f>
        <v>Proyección Social Ingeniería - VISUALIZACIÓN DE DATOS</v>
      </c>
    </row>
    <row r="177" spans="1:4">
      <c r="A177" t="s">
        <v>10114</v>
      </c>
      <c r="B177" t="s">
        <v>12534</v>
      </c>
      <c r="C177" t="str">
        <f>IF(B177="","",IFERROR(_xlfn.XLOOKUP(B177,Entidades!$C:$C,Entidades!$B:$B,""),""))</f>
        <v>PONTI_UNIVE_JAVER</v>
      </c>
      <c r="D177" t="str">
        <f>IF(A177="","",IFERROR(_xlfn.XLOOKUP(A177,Proyectos!A:A,Proyectos!C:C,""),""))</f>
        <v>PROSOFI - SAN CAYETANO</v>
      </c>
    </row>
    <row r="178" spans="1:4">
      <c r="A178" t="s">
        <v>10657</v>
      </c>
      <c r="B178" t="s">
        <v>12534</v>
      </c>
      <c r="C178" t="str">
        <f>IF(B178="","",IFERROR(_xlfn.XLOOKUP(B178,Entidades!$C:$C,Entidades!$B:$B,""),""))</f>
        <v>PONTI_UNIVE_JAVER</v>
      </c>
      <c r="D178" t="str">
        <f>IF(A178="","",IFERROR(_xlfn.XLOOKUP(A178,Proyectos!A:A,Proyectos!C:C,""),""))</f>
        <v>PROSOFI - GABRIEL GARCIA MÁRQUEZ</v>
      </c>
    </row>
    <row r="179" spans="1:4">
      <c r="A179" t="s">
        <v>10125</v>
      </c>
      <c r="B179" t="s">
        <v>12534</v>
      </c>
      <c r="C179" t="str">
        <f>IF(B179="","",IFERROR(_xlfn.XLOOKUP(B179,Entidades!$C:$C,Entidades!$B:$B,""),""))</f>
        <v>PONTI_UNIVE_JAVER</v>
      </c>
      <c r="D179" t="str">
        <f>IF(A179="","",IFERROR(_xlfn.XLOOKUP(A179,Proyectos!A:A,Proyectos!C:C,""),""))</f>
        <v>PROSOFI - TYWA KHE</v>
      </c>
    </row>
    <row r="180" spans="1:4">
      <c r="A180" t="s">
        <v>9810</v>
      </c>
      <c r="B180" t="s">
        <v>12534</v>
      </c>
      <c r="C180" t="str">
        <f>IF(B180="","",IFERROR(_xlfn.XLOOKUP(B180,Entidades!$C:$C,Entidades!$B:$B,""),""))</f>
        <v>PONTI_UNIVE_JAVER</v>
      </c>
      <c r="D180" t="str">
        <f>IF(A180="","",IFERROR(_xlfn.XLOOKUP(A180,Proyectos!A:A,Proyectos!C:C,""),""))</f>
        <v>PROYECTO
“ESTUDIO DE ESTABILIDAD ESTRUCTURAL DEL TEMPLO Y CASA CURAL EN CARACOLÍ – CIUDAD BOLÍVAR”</v>
      </c>
    </row>
    <row r="181" spans="1:4">
      <c r="A181" t="s">
        <v>9747</v>
      </c>
      <c r="B181" t="s">
        <v>12534</v>
      </c>
      <c r="C181" t="str">
        <f>IF(B181="","",IFERROR(_xlfn.XLOOKUP(B181,Entidades!$C:$C,Entidades!$B:$B,""),""))</f>
        <v>PONTI_UNIVE_JAVER</v>
      </c>
      <c r="D181" t="str">
        <f>IF(A181="","",IFERROR(_xlfn.XLOOKUP(A181,Proyectos!A:A,Proyectos!C:C,""),""))</f>
        <v>PROYECTO
“APOYO A LAS ACTIVIDADES DEL PROYECTO SOCIAL DE LA FACULTAD DE INGENIERIA – PROSOFI”</v>
      </c>
    </row>
    <row r="182" spans="1:4">
      <c r="A182" t="s">
        <v>10725</v>
      </c>
      <c r="B182" t="s">
        <v>12534</v>
      </c>
      <c r="C182" t="str">
        <f>IF(B182="","",IFERROR(_xlfn.XLOOKUP(B182,Entidades!$C:$C,Entidades!$B:$B,""),""))</f>
        <v>PONTI_UNIVE_JAVER</v>
      </c>
      <c r="D182" t="str">
        <f>IF(A182="","",IFERROR(_xlfn.XLOOKUP(A182,Proyectos!A:A,Proyectos!C:C,""),""))</f>
        <v>PROYECTO
“ESTUDIO Y DISEÑO DE UN MURO DE CONTENCION EN ARBORIZADORA ALTA – CIUDAD BOLÍVAR”</v>
      </c>
    </row>
    <row r="183" spans="1:4">
      <c r="A183" t="s">
        <v>10614</v>
      </c>
      <c r="B183" t="s">
        <v>12534</v>
      </c>
      <c r="C183" t="str">
        <f>IF(B183="","",IFERROR(_xlfn.XLOOKUP(B183,Entidades!$C:$C,Entidades!$B:$B,""),""))</f>
        <v>PONTI_UNIVE_JAVER</v>
      </c>
      <c r="D183" t="str">
        <f>IF(A183="","",IFERROR(_xlfn.XLOOKUP(A183,Proyectos!A:A,Proyectos!C:C,""),""))</f>
        <v>PROYECTO "ESTUDIO DE PATOLOGIA ESTRUCTURAL"</v>
      </c>
    </row>
    <row r="184" spans="1:4">
      <c r="A184" t="s">
        <v>10076</v>
      </c>
      <c r="B184" t="s">
        <v>12534</v>
      </c>
      <c r="C184" t="str">
        <f>IF(B184="","",IFERROR(_xlfn.XLOOKUP(B184,Entidades!$C:$C,Entidades!$B:$B,""),""))</f>
        <v>PONTI_UNIVE_JAVER</v>
      </c>
      <c r="D184" t="str">
        <f>IF(A184="","",IFERROR(_xlfn.XLOOKUP(A184,Proyectos!A:A,Proyectos!C:C,""),""))</f>
        <v>PROYECTO
“APOYO A LAS ACTIVIDADES DEL PROYECTO SOCIAL DE LA FACULTAD DE INGENIERIA – PROSOFI”</v>
      </c>
    </row>
    <row r="185" spans="1:4">
      <c r="A185" t="s">
        <v>10624</v>
      </c>
      <c r="B185" t="s">
        <v>12534</v>
      </c>
      <c r="C185" t="str">
        <f>IF(B185="","",IFERROR(_xlfn.XLOOKUP(B185,Entidades!$C:$C,Entidades!$B:$B,""),""))</f>
        <v>PONTI_UNIVE_JAVER</v>
      </c>
      <c r="D185" t="str">
        <f>IF(A185="","",IFERROR(_xlfn.XLOOKUP(A185,Proyectos!A:A,Proyectos!C:C,""),""))</f>
        <v>PROYECTO "CREACION, DESARRLLO Y DISEÑO DE MATERIAL PEDAGOGICO"</v>
      </c>
    </row>
    <row r="186" spans="1:4">
      <c r="A186" t="s">
        <v>8652</v>
      </c>
      <c r="B186" t="s">
        <v>12534</v>
      </c>
      <c r="C186" t="str">
        <f>IF(B186="","",IFERROR(_xlfn.XLOOKUP(B186,Entidades!$C:$C,Entidades!$B:$B,""),""))</f>
        <v>PONTI_UNIVE_JAVER</v>
      </c>
      <c r="D186" t="str">
        <f>IF(A186="","",IFERROR(_xlfn.XLOOKUP(A186,Proyectos!A:A,Proyectos!C:C,""),""))</f>
        <v>PROYECTO
“APOYO A LAS ACTIVIDADES DEL PROYECTO SOCIAL DE LA FACULTAD DE INGENIERIA – PROSOFI”</v>
      </c>
    </row>
    <row r="187" spans="1:4">
      <c r="A187" t="s">
        <v>8728</v>
      </c>
      <c r="B187" t="s">
        <v>12534</v>
      </c>
      <c r="C187" t="str">
        <f>IF(B187="","",IFERROR(_xlfn.XLOOKUP(B187,Entidades!$C:$C,Entidades!$B:$B,""),""))</f>
        <v>PONTI_UNIVE_JAVER</v>
      </c>
      <c r="D187" t="str">
        <f>IF(A187="","",IFERROR(_xlfn.XLOOKUP(A187,Proyectos!A:A,Proyectos!C:C,""),""))</f>
        <v>PROYECTO
“ESTUDIO DE ESTABILIDAD ESTRUCTURAL DEL TEMPLO Y CASA CURAL EN CARACOLÍ – CIUDAD BOLÍVAR”</v>
      </c>
    </row>
    <row r="188" spans="1:4">
      <c r="A188" t="s">
        <v>9027</v>
      </c>
      <c r="B188" t="s">
        <v>12534</v>
      </c>
      <c r="C188" t="str">
        <f>IF(B188="","",IFERROR(_xlfn.XLOOKUP(B188,Entidades!$C:$C,Entidades!$B:$B,""),""))</f>
        <v>PONTI_UNIVE_JAVER</v>
      </c>
      <c r="D188" t="str">
        <f>IF(A188="","",IFERROR(_xlfn.XLOOKUP(A188,Proyectos!A:A,Proyectos!C:C,""),""))</f>
        <v>Diseño de campañas para proyectos</v>
      </c>
    </row>
    <row r="189" spans="1:4">
      <c r="A189" t="s">
        <v>10041</v>
      </c>
      <c r="B189" t="s">
        <v>12534</v>
      </c>
      <c r="C189" t="str">
        <f>IF(B189="","",IFERROR(_xlfn.XLOOKUP(B189,Entidades!$C:$C,Entidades!$B:$B,""),""))</f>
        <v>PONTI_UNIVE_JAVER</v>
      </c>
      <c r="D189" t="str">
        <f>IF(A189="","",IFERROR(_xlfn.XLOOKUP(A189,Proyectos!A:A,Proyectos!C:C,""),""))</f>
        <v>Campus Accesible - Inclusión y Diversidad</v>
      </c>
    </row>
    <row r="190" spans="1:4">
      <c r="A190" t="s">
        <v>9735</v>
      </c>
      <c r="B190" t="s">
        <v>12535</v>
      </c>
      <c r="C190" t="str">
        <f>IF(B190="","",IFERROR(_xlfn.XLOOKUP(B190,Entidades!$C:$C,Entidades!$B:$B,""),""))</f>
        <v/>
      </c>
      <c r="D190" t="str">
        <f>IF(A190="","",IFERROR(_xlfn.XLOOKUP(A190,Proyectos!A:A,Proyectos!C:C,""),""))</f>
        <v>OFICINA DE RESPONSABILIDAD SOCIAL</v>
      </c>
    </row>
    <row r="191" spans="1:4">
      <c r="A191" t="s">
        <v>9739</v>
      </c>
      <c r="B191" t="s">
        <v>12536</v>
      </c>
      <c r="C191" t="str">
        <f>IF(B191="","",IFERROR(_xlfn.XLOOKUP(B191,Entidades!$C:$C,Entidades!$B:$B,""),""))</f>
        <v/>
      </c>
      <c r="D191" t="str">
        <f>IF(A191="","",IFERROR(_xlfn.XLOOKUP(A191,Proyectos!A:A,Proyectos!C:C,""),""))</f>
        <v>Red Juvenil Ignaciana</v>
      </c>
    </row>
    <row r="192" spans="1:4">
      <c r="A192" t="s">
        <v>9802</v>
      </c>
      <c r="B192" t="s">
        <v>12537</v>
      </c>
      <c r="C192" t="str">
        <f>IF(B192="","",IFERROR(_xlfn.XLOOKUP(B192,Entidades!$C:$C,Entidades!$B:$B,""),""))</f>
        <v/>
      </c>
      <c r="D192" t="str">
        <f>IF(A192="","",IFERROR(_xlfn.XLOOKUP(A192,Proyectos!A:A,Proyectos!C:C,""),""))</f>
        <v>PROGRAMA SOCIAL VIDAS MÓVILES (JAVERIANA)</v>
      </c>
    </row>
    <row r="193" spans="1:4">
      <c r="A193" t="s">
        <v>10797</v>
      </c>
      <c r="B193" t="s">
        <v>12538</v>
      </c>
      <c r="C193" t="str">
        <f>IF(B193="","",IFERROR(_xlfn.XLOOKUP(B193,Entidades!$C:$C,Entidades!$B:$B,""),""))</f>
        <v>83013076-4</v>
      </c>
      <c r="D193" t="str">
        <f>IF(A193="","",IFERROR(_xlfn.XLOOKUP(A193,Proyectos!A:A,Proyectos!C:C,""),""))</f>
        <v>Proyecto 14</v>
      </c>
    </row>
    <row r="194" spans="1:4">
      <c r="A194" t="s">
        <v>8714</v>
      </c>
      <c r="B194" t="s">
        <v>12538</v>
      </c>
      <c r="C194" t="str">
        <f>IF(B194="","",IFERROR(_xlfn.XLOOKUP(B194,Entidades!$C:$C,Entidades!$B:$B,""),""))</f>
        <v>83013076-4</v>
      </c>
      <c r="D194" t="str">
        <f>IF(A194="","",IFERROR(_xlfn.XLOOKUP(A194,Proyectos!A:A,Proyectos!C:C,""),""))</f>
        <v>Proyecto 14</v>
      </c>
    </row>
    <row r="195" spans="1:4">
      <c r="A195" t="s">
        <v>9978</v>
      </c>
      <c r="B195" t="s">
        <v>12538</v>
      </c>
      <c r="C195" t="str">
        <f>IF(B195="","",IFERROR(_xlfn.XLOOKUP(B195,Entidades!$C:$C,Entidades!$B:$B,""),""))</f>
        <v>83013076-4</v>
      </c>
      <c r="D195">
        <f>IF(A195="","",IFERROR(_xlfn.XLOOKUP(A195,Proyectos!A:A,Proyectos!C:C,""),""))</f>
        <v>0</v>
      </c>
    </row>
    <row r="196" spans="1:4">
      <c r="A196" t="s">
        <v>8677</v>
      </c>
      <c r="B196" t="s">
        <v>12538</v>
      </c>
      <c r="C196" t="str">
        <f>IF(B196="","",IFERROR(_xlfn.XLOOKUP(B196,Entidades!$C:$C,Entidades!$B:$B,""),""))</f>
        <v>83013076-4</v>
      </c>
      <c r="D196">
        <f>IF(A196="","",IFERROR(_xlfn.XLOOKUP(A196,Proyectos!A:A,Proyectos!C:C,""),""))</f>
        <v>0</v>
      </c>
    </row>
    <row r="197" spans="1:4">
      <c r="A197" t="s">
        <v>9962</v>
      </c>
      <c r="B197" t="s">
        <v>12538</v>
      </c>
      <c r="C197" t="str">
        <f>IF(B197="","",IFERROR(_xlfn.XLOOKUP(B197,Entidades!$C:$C,Entidades!$B:$B,""),""))</f>
        <v>83013076-4</v>
      </c>
      <c r="D197" t="str">
        <f>IF(A197="","",IFERROR(_xlfn.XLOOKUP(A197,Proyectos!A:A,Proyectos!C:C,""),""))</f>
        <v>Proyecto 14</v>
      </c>
    </row>
    <row r="198" spans="1:4">
      <c r="A198" t="s">
        <v>11132</v>
      </c>
      <c r="B198" t="s">
        <v>12539</v>
      </c>
      <c r="C198" t="str">
        <f>IF(B198="","",IFERROR(_xlfn.XLOOKUP(B198,Entidades!$C:$C,Entidades!$B:$B,""),""))</f>
        <v/>
      </c>
      <c r="D198" t="str">
        <f>IF(A198="","",IFERROR(_xlfn.XLOOKUP(A198,Proyectos!A:A,Proyectos!C:C,""),""))</f>
        <v>Proyecto 1</v>
      </c>
    </row>
    <row r="199" spans="1:4">
      <c r="A199" t="s">
        <v>10993</v>
      </c>
      <c r="B199" t="s">
        <v>12540</v>
      </c>
      <c r="C199" t="str">
        <f>IF(B199="","",IFERROR(_xlfn.XLOOKUP(B199,Entidades!$C:$C,Entidades!$B:$B,""),""))</f>
        <v>900256899-8</v>
      </c>
      <c r="D199" t="str">
        <f>IF(A199="","",IFERROR(_xlfn.XLOOKUP(A199,Proyectos!A:A,Proyectos!C:C,""),""))</f>
        <v>Evaluación de residuos en la playa de Santa Marta</v>
      </c>
    </row>
    <row r="200" spans="1:4">
      <c r="A200" t="s">
        <v>11453</v>
      </c>
      <c r="B200" t="s">
        <v>12495</v>
      </c>
      <c r="C200" t="str">
        <f>IF(B200="","",IFERROR(_xlfn.XLOOKUP(B200,Entidades!$C:$C,Entidades!$B:$B,""),""))</f>
        <v/>
      </c>
      <c r="D200" t="str">
        <f>IF(A200="","",IFERROR(_xlfn.XLOOKUP(A200,Proyectos!A:A,Proyectos!C:C,""),""))</f>
        <v>PROPUESTA DE GESTION Y ANALISIS ESTRATEGICO</v>
      </c>
    </row>
    <row r="201" spans="1:4">
      <c r="A201" t="s">
        <v>11350</v>
      </c>
      <c r="B201" t="s">
        <v>12496</v>
      </c>
      <c r="C201" t="str">
        <f>IF(B201="","",IFERROR(_xlfn.XLOOKUP(B201,Entidades!$C:$C,Entidades!$B:$B,""),""))</f>
        <v>900103025-1</v>
      </c>
      <c r="D201" t="str">
        <f>IF(A201="","",IFERROR(_xlfn.XLOOKUP(A201,Proyectos!A:A,Proyectos!C:C,""),""))</f>
        <v>Sistema Antiescape en dispositivos de cuidado residencial</v>
      </c>
    </row>
    <row r="202" spans="1:4">
      <c r="A202" t="s">
        <v>10850</v>
      </c>
      <c r="B202" t="s">
        <v>12497</v>
      </c>
      <c r="C202" t="str">
        <f>IF(B202="","",IFERROR(_xlfn.XLOOKUP(B202,Entidades!$C:$C,Entidades!$B:$B,""),""))</f>
        <v>901705598-7</v>
      </c>
      <c r="D202" t="str">
        <f>IF(A202="","",IFERROR(_xlfn.XLOOKUP(A202,Proyectos!A:A,Proyectos!C:C,""),""))</f>
        <v>PROYECTO VENECIA</v>
      </c>
    </row>
    <row r="203" spans="1:4">
      <c r="A203" t="s">
        <v>10824</v>
      </c>
      <c r="B203" t="s">
        <v>12500</v>
      </c>
      <c r="C203" t="str">
        <f>IF(B203="","",IFERROR(_xlfn.XLOOKUP(B203,Entidades!$C:$C,Entidades!$B:$B,""),""))</f>
        <v/>
      </c>
      <c r="D203" t="str">
        <f>IF(A203="","",IFERROR(_xlfn.XLOOKUP(A203,Proyectos!A:A,Proyectos!C:C,""),""))</f>
        <v>PROYECTO
“CAPACITACIÓN EN CONSTRUCCIÓN-CAMACOL”</v>
      </c>
    </row>
    <row r="204" spans="1:4">
      <c r="A204" t="s">
        <v>11340</v>
      </c>
      <c r="B204" t="s">
        <v>12541</v>
      </c>
      <c r="C204" t="str">
        <f>IF(B204="","",IFERROR(_xlfn.XLOOKUP(B204,Entidades!$C:$C,Entidades!$B:$B,""),""))</f>
        <v/>
      </c>
      <c r="D204" t="str">
        <f>IF(A204="","",IFERROR(_xlfn.XLOOKUP(A204,Proyectos!A:A,Proyectos!C:C,""),""))</f>
        <v>Diagnóstico de necesidades de asesoría técnica para las labores de cuidado</v>
      </c>
    </row>
    <row r="205" spans="1:4">
      <c r="A205" t="s">
        <v>11048</v>
      </c>
      <c r="B205" t="s">
        <v>12503</v>
      </c>
      <c r="C205" t="str">
        <f>IF(B205="","",IFERROR(_xlfn.XLOOKUP(B205,Entidades!$C:$C,Entidades!$B:$B,""),""))</f>
        <v>860532248-2</v>
      </c>
      <c r="D205" t="str">
        <f>IF(A205="","",IFERROR(_xlfn.XLOOKUP(A205,Proyectos!A:A,Proyectos!C:C,""),""))</f>
        <v>Proyecto 4</v>
      </c>
    </row>
    <row r="206" spans="1:4">
      <c r="A206" t="s">
        <v>11623</v>
      </c>
      <c r="B206" t="s">
        <v>12505</v>
      </c>
      <c r="C206" t="str">
        <f>IF(B206="","",IFERROR(_xlfn.XLOOKUP(B206,Entidades!$C:$C,Entidades!$B:$B,""),""))</f>
        <v>860010371-0</v>
      </c>
      <c r="D206" t="str">
        <f>IF(A206="","",IFERROR(_xlfn.XLOOKUP(A206,Proyectos!A:A,Proyectos!C:C,""),""))</f>
        <v>Mejoramiento procesos alistamiento prendas.</v>
      </c>
    </row>
    <row r="207" spans="1:4">
      <c r="A207" t="s">
        <v>11136</v>
      </c>
      <c r="B207" t="s">
        <v>12507</v>
      </c>
      <c r="C207" t="str">
        <f>IF(B207="","",IFERROR(_xlfn.XLOOKUP(B207,Entidades!$C:$C,Entidades!$B:$B,""),""))</f>
        <v/>
      </c>
      <c r="D207" t="str">
        <f>IF(A207="","",IFERROR(_xlfn.XLOOKUP(A207,Proyectos!A:A,Proyectos!C:C,""),""))</f>
        <v>Proyecto 18</v>
      </c>
    </row>
    <row r="208" spans="1:4">
      <c r="A208" t="s">
        <v>10963</v>
      </c>
      <c r="B208" t="s">
        <v>12508</v>
      </c>
      <c r="C208" t="str">
        <f>IF(B208="","",IFERROR(_xlfn.XLOOKUP(B208,Entidades!$C:$C,Entidades!$B:$B,""),""))</f>
        <v>830099276-2</v>
      </c>
      <c r="D208" t="str">
        <f>IF(A208="","",IFERROR(_xlfn.XLOOKUP(A208,Proyectos!A:A,Proyectos!C:C,""),""))</f>
        <v>Diseño y construcción de metodologías de almacenamiento y empaque  ALIMENTOS PERECEDEROS, distribución y manejo de residuos</v>
      </c>
    </row>
    <row r="209" spans="1:4">
      <c r="A209" t="s">
        <v>11396</v>
      </c>
      <c r="B209" t="s">
        <v>12508</v>
      </c>
      <c r="C209" t="str">
        <f>IF(B209="","",IFERROR(_xlfn.XLOOKUP(B209,Entidades!$C:$C,Entidades!$B:$B,""),""))</f>
        <v>830099276-2</v>
      </c>
      <c r="D209" t="str">
        <f>IF(A209="","",IFERROR(_xlfn.XLOOKUP(A209,Proyectos!A:A,Proyectos!C:C,""),""))</f>
        <v>Reparación equipos y refuerzo escolar</v>
      </c>
    </row>
    <row r="210" spans="1:4">
      <c r="A210" t="s">
        <v>11612</v>
      </c>
      <c r="B210" t="s">
        <v>12508</v>
      </c>
      <c r="C210" t="str">
        <f>IF(B210="","",IFERROR(_xlfn.XLOOKUP(B210,Entidades!$C:$C,Entidades!$B:$B,""),""))</f>
        <v>830099276-2</v>
      </c>
      <c r="D210" t="str">
        <f>IF(A210="","",IFERROR(_xlfn.XLOOKUP(A210,Proyectos!A:A,Proyectos!C:C,""),""))</f>
        <v>Mejoramiento procesos administrativos.</v>
      </c>
    </row>
    <row r="211" spans="1:4">
      <c r="A211" t="s">
        <v>11007</v>
      </c>
      <c r="B211" t="s">
        <v>12508</v>
      </c>
      <c r="C211" t="str">
        <f>IF(B211="","",IFERROR(_xlfn.XLOOKUP(B211,Entidades!$C:$C,Entidades!$B:$B,""),""))</f>
        <v>830099276-2</v>
      </c>
      <c r="D211" t="str">
        <f>IF(A211="","",IFERROR(_xlfn.XLOOKUP(A211,Proyectos!A:A,Proyectos!C:C,""),""))</f>
        <v>Sede CDC Semillas de Esperanza</v>
      </c>
    </row>
    <row r="212" spans="1:4">
      <c r="A212" t="s">
        <v>11052</v>
      </c>
      <c r="B212" t="s">
        <v>12508</v>
      </c>
      <c r="C212" t="str">
        <f>IF(B212="","",IFERROR(_xlfn.XLOOKUP(B212,Entidades!$C:$C,Entidades!$B:$B,""),""))</f>
        <v>830099276-2</v>
      </c>
      <c r="D212" t="str">
        <f>IF(A212="","",IFERROR(_xlfn.XLOOKUP(A212,Proyectos!A:A,Proyectos!C:C,""),""))</f>
        <v>Proyecto 6</v>
      </c>
    </row>
    <row r="213" spans="1:4">
      <c r="A213" t="s">
        <v>11384</v>
      </c>
      <c r="B213" t="s">
        <v>12512</v>
      </c>
      <c r="C213" t="str">
        <f>IF(B213="","",IFERROR(_xlfn.XLOOKUP(B213,Entidades!$C:$C,Entidades!$B:$B,""),""))</f>
        <v>830086601-7</v>
      </c>
      <c r="D213" t="str">
        <f>IF(A213="","",IFERROR(_xlfn.XLOOKUP(A213,Proyectos!A:A,Proyectos!C:C,""),""))</f>
        <v>Reparación de Electrodomésticos BA</v>
      </c>
    </row>
    <row r="214" spans="1:4">
      <c r="A214" t="s">
        <v>11616</v>
      </c>
      <c r="B214" t="s">
        <v>12512</v>
      </c>
      <c r="C214" t="str">
        <f>IF(B214="","",IFERROR(_xlfn.XLOOKUP(B214,Entidades!$C:$C,Entidades!$B:$B,""),""))</f>
        <v>830086601-7</v>
      </c>
      <c r="D214" t="str">
        <f>IF(A214="","",IFERROR(_xlfn.XLOOKUP(A214,Proyectos!A:A,Proyectos!C:C,""),""))</f>
        <v>Mejoramiento procesos alistamiento alimentos.</v>
      </c>
    </row>
    <row r="215" spans="1:4">
      <c r="A215" t="s">
        <v>10925</v>
      </c>
      <c r="B215" t="s">
        <v>12512</v>
      </c>
      <c r="C215" t="str">
        <f>IF(B215="","",IFERROR(_xlfn.XLOOKUP(B215,Entidades!$C:$C,Entidades!$B:$B,""),""))</f>
        <v>830086601-7</v>
      </c>
      <c r="D215" t="str">
        <f>IF(A215="","",IFERROR(_xlfn.XLOOKUP(A215,Proyectos!A:A,Proyectos!C:C,""),""))</f>
        <v xml:space="preserve"> Diseño   de equipos y elaboración de proptotipos con sus hojas técnicas </v>
      </c>
    </row>
    <row r="216" spans="1:4">
      <c r="A216" t="s">
        <v>11036</v>
      </c>
      <c r="B216" t="s">
        <v>12512</v>
      </c>
      <c r="C216" t="str">
        <f>IF(B216="","",IFERROR(_xlfn.XLOOKUP(B216,Entidades!$C:$C,Entidades!$B:$B,""),""))</f>
        <v>830086601-7</v>
      </c>
      <c r="D216" t="str">
        <f>IF(A216="","",IFERROR(_xlfn.XLOOKUP(A216,Proyectos!A:A,Proyectos!C:C,""),""))</f>
        <v>Aplicativo Web de Gestión de Reservas</v>
      </c>
    </row>
    <row r="217" spans="1:4">
      <c r="A217" t="s">
        <v>11056</v>
      </c>
      <c r="B217" t="s">
        <v>12512</v>
      </c>
      <c r="C217" t="str">
        <f>IF(B217="","",IFERROR(_xlfn.XLOOKUP(B217,Entidades!$C:$C,Entidades!$B:$B,""),""))</f>
        <v>830086601-7</v>
      </c>
      <c r="D217" t="str">
        <f>IF(A217="","",IFERROR(_xlfn.XLOOKUP(A217,Proyectos!A:A,Proyectos!C:C,""),""))</f>
        <v>Proyecto 2</v>
      </c>
    </row>
    <row r="218" spans="1:4">
      <c r="A218" t="s">
        <v>11015</v>
      </c>
      <c r="B218" t="s">
        <v>12542</v>
      </c>
      <c r="C218" t="str">
        <f>IF(B218="","",IFERROR(_xlfn.XLOOKUP(B218,Entidades!$C:$C,Entidades!$B:$B,""),""))</f>
        <v/>
      </c>
      <c r="D218" t="str">
        <f>IF(A218="","",IFERROR(_xlfn.XLOOKUP(A218,Proyectos!A:A,Proyectos!C:C,""),""))</f>
        <v>API WhatsApp o Instagram</v>
      </c>
    </row>
    <row r="219" spans="1:4">
      <c r="A219" t="s">
        <v>11040</v>
      </c>
      <c r="B219" t="s">
        <v>12543</v>
      </c>
      <c r="C219" t="str">
        <f>IF(B219="","",IFERROR(_xlfn.XLOOKUP(B219,Entidades!$C:$C,Entidades!$B:$B,""),""))</f>
        <v/>
      </c>
      <c r="D219" t="str">
        <f>IF(A219="","",IFERROR(_xlfn.XLOOKUP(A219,Proyectos!A:A,Proyectos!C:C,""),""))</f>
        <v>Fortalecimiento Digital</v>
      </c>
    </row>
    <row r="220" spans="1:4">
      <c r="A220" t="s">
        <v>11003</v>
      </c>
      <c r="B220" t="s">
        <v>12544</v>
      </c>
      <c r="C220" t="str">
        <f>IF(B220="","",IFERROR(_xlfn.XLOOKUP(B220,Entidades!$C:$C,Entidades!$B:$B,""),""))</f>
        <v>901358132-1</v>
      </c>
      <c r="D220" t="str">
        <f>IF(A220="","",IFERROR(_xlfn.XLOOKUP(A220,Proyectos!A:A,Proyectos!C:C,""),""))</f>
        <v>Fundación M&amp;M Formando Líderes</v>
      </c>
    </row>
    <row r="221" spans="1:4">
      <c r="A221" t="s">
        <v>11029</v>
      </c>
      <c r="B221" t="s">
        <v>12455</v>
      </c>
      <c r="C221" t="str">
        <f>IF(B221="","",IFERROR(_xlfn.XLOOKUP(B221,Entidades!$C:$C,Entidades!$B:$B,""),""))</f>
        <v>FUNDA_MUTUA_FUNDA_PT</v>
      </c>
      <c r="D221" t="str">
        <f>IF(A221="","",IFERROR(_xlfn.XLOOKUP(A221,Proyectos!A:A,Proyectos!C:C,""),""))</f>
        <v>Herramienta Digital-familias</v>
      </c>
    </row>
    <row r="222" spans="1:4">
      <c r="A222" t="s">
        <v>11236</v>
      </c>
      <c r="B222" t="s">
        <v>12521</v>
      </c>
      <c r="C222" t="str">
        <f>IF(B222="","",IFERROR(_xlfn.XLOOKUP(B222,Entidades!$C:$C,Entidades!$B:$B,""),""))</f>
        <v>900907402-6</v>
      </c>
      <c r="D222" t="str">
        <f>IF(A222="","",IFERROR(_xlfn.XLOOKUP(A222,Proyectos!A:A,Proyectos!C:C,""),""))</f>
        <v>Proyecto 13</v>
      </c>
    </row>
    <row r="223" spans="1:4">
      <c r="A223" t="s">
        <v>10970</v>
      </c>
      <c r="B223" t="s">
        <v>12522</v>
      </c>
      <c r="C223" t="str">
        <f>IF(B223="","",IFERROR(_xlfn.XLOOKUP(B223,Entidades!$C:$C,Entidades!$B:$B,""),""))</f>
        <v>900328770-7</v>
      </c>
      <c r="D223" t="str">
        <f>IF(A223="","",IFERROR(_xlfn.XLOOKUP(A223,Proyectos!A:A,Proyectos!C:C,""),""))</f>
        <v>Diseñar  de herramientas y elementos  de ejercicios terapéutico  adultos mayores de la Fundación Pocalana y tambièn diseño de distribuciòn de la  cocina de acuerdo con los flujos de proceso</v>
      </c>
    </row>
    <row r="224" spans="1:4">
      <c r="A224" t="s">
        <v>11521</v>
      </c>
      <c r="B224" t="s">
        <v>12522</v>
      </c>
      <c r="C224" t="str">
        <f>IF(B224="","",IFERROR(_xlfn.XLOOKUP(B224,Entidades!$C:$C,Entidades!$B:$B,""),""))</f>
        <v>900328770-7</v>
      </c>
      <c r="D224" t="str">
        <f>IF(A224="","",IFERROR(_xlfn.XLOOKUP(A224,Proyectos!A:A,Proyectos!C:C,""),""))</f>
        <v>Mejoramiento de procesos Pocalana</v>
      </c>
    </row>
    <row r="225" spans="1:4">
      <c r="A225" t="s">
        <v>11627</v>
      </c>
      <c r="B225" t="s">
        <v>12523</v>
      </c>
      <c r="C225" t="str">
        <f>IF(B225="","",IFERROR(_xlfn.XLOOKUP(B225,Entidades!$C:$C,Entidades!$B:$B,""),""))</f>
        <v>830137451-9</v>
      </c>
      <c r="D225" t="str">
        <f>IF(A225="","",IFERROR(_xlfn.XLOOKUP(A225,Proyectos!A:A,Proyectos!C:C,""),""))</f>
        <v>Mejoramiento procesos administrativos.</v>
      </c>
    </row>
    <row r="226" spans="1:4">
      <c r="A226" t="s">
        <v>10921</v>
      </c>
      <c r="B226" t="s">
        <v>12523</v>
      </c>
      <c r="C226" t="str">
        <f>IF(B226="","",IFERROR(_xlfn.XLOOKUP(B226,Entidades!$C:$C,Entidades!$B:$B,""),""))</f>
        <v>830137451-9</v>
      </c>
      <c r="D226" t="str">
        <f>IF(A226="","",IFERROR(_xlfn.XLOOKUP(A226,Proyectos!A:A,Proyectos!C:C,""),""))</f>
        <v xml:space="preserve">Mejoramiento de caminador  versión 3  y diseño de nuevo caminador  y soporte para niños </v>
      </c>
    </row>
    <row r="227" spans="1:4">
      <c r="A227" t="s">
        <v>11408</v>
      </c>
      <c r="B227" t="s">
        <v>12526</v>
      </c>
      <c r="C227" t="str">
        <f>IF(B227="","",IFERROR(_xlfn.XLOOKUP(B227,Entidades!$C:$C,Entidades!$B:$B,""),""))</f>
        <v>800023096-6</v>
      </c>
      <c r="D227" t="str">
        <f>IF(A227="","",IFERROR(_xlfn.XLOOKUP(A227,Proyectos!A:A,Proyectos!C:C,""),""))</f>
        <v>Reparación de Electrodomésticos FSI</v>
      </c>
    </row>
    <row r="228" spans="1:4">
      <c r="A228" t="s">
        <v>10959</v>
      </c>
      <c r="B228" t="s">
        <v>12528</v>
      </c>
      <c r="C228" t="str">
        <f>IF(B228="","",IFERROR(_xlfn.XLOOKUP(B228,Entidades!$C:$C,Entidades!$B:$B,""),""))</f>
        <v>901062793-6</v>
      </c>
      <c r="D228" t="str">
        <f>IF(A228="","",IFERROR(_xlfn.XLOOKUP(A228,Proyectos!A:A,Proyectos!C:C,""),""))</f>
        <v>Señalizaciòn y delimitaciòn de àreas de acuerdo con las normas de  seguridad en colombia</v>
      </c>
    </row>
    <row r="229" spans="1:4">
      <c r="A229" t="s">
        <v>10983</v>
      </c>
      <c r="B229" t="s">
        <v>12528</v>
      </c>
      <c r="C229" t="str">
        <f>IF(B229="","",IFERROR(_xlfn.XLOOKUP(B229,Entidades!$C:$C,Entidades!$B:$B,""),""))</f>
        <v>901062793-6</v>
      </c>
      <c r="D229" t="str">
        <f>IF(A229="","",IFERROR(_xlfn.XLOOKUP(A229,Proyectos!A:A,Proyectos!C:C,""),""))</f>
        <v>Diseño de prototipò de silla de montar</v>
      </c>
    </row>
    <row r="230" spans="1:4">
      <c r="A230" t="s">
        <v>11248</v>
      </c>
      <c r="B230" t="s">
        <v>12528</v>
      </c>
      <c r="C230" t="str">
        <f>IF(B230="","",IFERROR(_xlfn.XLOOKUP(B230,Entidades!$C:$C,Entidades!$B:$B,""),""))</f>
        <v>901062793-6</v>
      </c>
      <c r="D230" t="str">
        <f>IF(A230="","",IFERROR(_xlfn.XLOOKUP(A230,Proyectos!A:A,Proyectos!C:C,""),""))</f>
        <v>Proyecto 8</v>
      </c>
    </row>
    <row r="231" spans="1:4">
      <c r="A231" t="s">
        <v>10832</v>
      </c>
      <c r="B231" t="s">
        <v>12545</v>
      </c>
      <c r="C231" t="str">
        <f>IF(B231="","",IFERROR(_xlfn.XLOOKUP(B231,Entidades!$C:$C,Entidades!$B:$B,""),""))</f>
        <v>900117515-1</v>
      </c>
      <c r="D231" t="str">
        <f>IF(A231="","",IFERROR(_xlfn.XLOOKUP(A231,Proyectos!A:A,Proyectos!C:C,""),""))</f>
        <v>"Capacitaciones en autoconstrucción de viviendas de 1 y 2 pisos, capacitaciones en propuestas domesticas de construcción sostenible"</v>
      </c>
    </row>
    <row r="232" spans="1:4">
      <c r="A232" t="s">
        <v>11269</v>
      </c>
      <c r="B232" t="s">
        <v>12532</v>
      </c>
      <c r="C232" t="str">
        <f>IF(B232="","",IFERROR(_xlfn.XLOOKUP(B232,Entidades!$C:$C,Entidades!$B:$B,""),""))</f>
        <v>900512803-1</v>
      </c>
      <c r="D232" t="str">
        <f>IF(A232="","",IFERROR(_xlfn.XLOOKUP(A232,Proyectos!A:A,Proyectos!C:C,""),""))</f>
        <v>Proyecto 23</v>
      </c>
    </row>
    <row r="233" spans="1:4">
      <c r="A233" t="s">
        <v>11228</v>
      </c>
      <c r="B233" t="s">
        <v>12532</v>
      </c>
      <c r="C233" t="str">
        <f>IF(B233="","",IFERROR(_xlfn.XLOOKUP(B233,Entidades!$C:$C,Entidades!$B:$B,""),""))</f>
        <v>900512803-1</v>
      </c>
      <c r="D233" t="str">
        <f>IF(A233="","",IFERROR(_xlfn.XLOOKUP(A233,Proyectos!A:A,Proyectos!C:C,""),""))</f>
        <v>Proyecto 24</v>
      </c>
    </row>
    <row r="234" spans="1:4">
      <c r="A234" t="s">
        <v>11261</v>
      </c>
      <c r="B234" t="s">
        <v>12532</v>
      </c>
      <c r="C234" t="str">
        <f>IF(B234="","",IFERROR(_xlfn.XLOOKUP(B234,Entidades!$C:$C,Entidades!$B:$B,""),""))</f>
        <v>900512803-1</v>
      </c>
      <c r="D234" t="str">
        <f>IF(A234="","",IFERROR(_xlfn.XLOOKUP(A234,Proyectos!A:A,Proyectos!C:C,""),""))</f>
        <v>Proyecto 25</v>
      </c>
    </row>
    <row r="235" spans="1:4">
      <c r="A235" t="s">
        <v>11310</v>
      </c>
      <c r="B235" t="s">
        <v>12532</v>
      </c>
      <c r="C235" t="str">
        <f>IF(B235="","",IFERROR(_xlfn.XLOOKUP(B235,Entidades!$C:$C,Entidades!$B:$B,""),""))</f>
        <v>900512803-1</v>
      </c>
      <c r="D235" t="str">
        <f>IF(A235="","",IFERROR(_xlfn.XLOOKUP(A235,Proyectos!A:A,Proyectos!C:C,""),""))</f>
        <v>Proyecto 28</v>
      </c>
    </row>
    <row r="236" spans="1:4">
      <c r="A236" t="s">
        <v>11638</v>
      </c>
      <c r="B236" t="s">
        <v>12533</v>
      </c>
      <c r="C236" t="str">
        <f>IF(B236="","",IFERROR(_xlfn.XLOOKUP(B236,Entidades!$C:$C,Entidades!$B:$B,""),""))</f>
        <v>860013475-1</v>
      </c>
      <c r="D236" t="str">
        <f>IF(A236="","",IFERROR(_xlfn.XLOOKUP(A236,Proyectos!A:A,Proyectos!C:C,""),""))</f>
        <v>Mejoramiento procesos administrativos.</v>
      </c>
    </row>
    <row r="237" spans="1:4">
      <c r="A237" t="s">
        <v>10875</v>
      </c>
      <c r="B237" t="s">
        <v>12534</v>
      </c>
      <c r="C237" t="str">
        <f>IF(B237="","",IFERROR(_xlfn.XLOOKUP(B237,Entidades!$C:$C,Entidades!$B:$B,""),""))</f>
        <v>PONTI_UNIVE_JAVER</v>
      </c>
      <c r="D237" t="str">
        <f>IF(A237="","",IFERROR(_xlfn.XLOOKUP(A237,Proyectos!A:A,Proyectos!C:C,""),""))</f>
        <v>PROYECTO "TOMA DE NIVELES TOPOGRAFICOS"</v>
      </c>
    </row>
    <row r="238" spans="1:4">
      <c r="A238" t="s">
        <v>10846</v>
      </c>
      <c r="B238" t="s">
        <v>12534</v>
      </c>
      <c r="C238" t="str">
        <f>IF(B238="","",IFERROR(_xlfn.XLOOKUP(B238,Entidades!$C:$C,Entidades!$B:$B,""),""))</f>
        <v>PONTI_UNIVE_JAVER</v>
      </c>
      <c r="D238" t="str">
        <f>IF(A238="","",IFERROR(_xlfn.XLOOKUP(A238,Proyectos!A:A,Proyectos!C:C,""),""))</f>
        <v>PROSOFI: Junta de Acción Comunal barrio J.J Rondón</v>
      </c>
    </row>
    <row r="239" spans="1:4">
      <c r="A239" t="s">
        <v>10839</v>
      </c>
      <c r="B239" t="s">
        <v>12534</v>
      </c>
      <c r="C239" t="str">
        <f>IF(B239="","",IFERROR(_xlfn.XLOOKUP(B239,Entidades!$C:$C,Entidades!$B:$B,""),""))</f>
        <v>PONTI_UNIVE_JAVER</v>
      </c>
      <c r="D239" t="str">
        <f>IF(A239="","",IFERROR(_xlfn.XLOOKUP(A239,Proyectos!A:A,Proyectos!C:C,""),""))</f>
        <v xml:space="preserve">PROSOFI: Fundación Laudes Infantis </v>
      </c>
    </row>
    <row r="240" spans="1:4">
      <c r="A240" t="s">
        <v>10820</v>
      </c>
      <c r="B240" t="s">
        <v>12534</v>
      </c>
      <c r="C240" t="str">
        <f>IF(B240="","",IFERROR(_xlfn.XLOOKUP(B240,Entidades!$C:$C,Entidades!$B:$B,""),""))</f>
        <v>PONTI_UNIVE_JAVER</v>
      </c>
      <c r="D240" t="str">
        <f>IF(A240="","",IFERROR(_xlfn.XLOOKUP(A240,Proyectos!A:A,Proyectos!C:C,""),""))</f>
        <v>PROYECTO
“ESTUDIO DE SUELOS EN CARACOLI – CIUDAD BOLÍVAR”</v>
      </c>
    </row>
    <row r="241" spans="1:4">
      <c r="A241" t="s">
        <v>11427</v>
      </c>
      <c r="B241" t="s">
        <v>12534</v>
      </c>
      <c r="C241" t="str">
        <f>IF(B241="","",IFERROR(_xlfn.XLOOKUP(B241,Entidades!$C:$C,Entidades!$B:$B,""),""))</f>
        <v>PONTI_UNIVE_JAVER</v>
      </c>
      <c r="D241" t="str">
        <f>IF(A241="","",IFERROR(_xlfn.XLOOKUP(A241,Proyectos!A:A,Proyectos!C:C,""),""))</f>
        <v>SAN CAYETANO ROBOTÍCA</v>
      </c>
    </row>
    <row r="242" spans="1:4">
      <c r="A242" t="s">
        <v>11404</v>
      </c>
      <c r="B242" t="s">
        <v>12534</v>
      </c>
      <c r="C242" t="str">
        <f>IF(B242="","",IFERROR(_xlfn.XLOOKUP(B242,Entidades!$C:$C,Entidades!$B:$B,""),""))</f>
        <v>PONTI_UNIVE_JAVER</v>
      </c>
      <c r="D242" t="str">
        <f>IF(A242="","",IFERROR(_xlfn.XLOOKUP(A242,Proyectos!A:A,Proyectos!C:C,""),""))</f>
        <v>COLEGIO SAN GREGORIO HERNÁNDEZ</v>
      </c>
    </row>
    <row r="243" spans="1:4">
      <c r="A243" t="s">
        <v>11389</v>
      </c>
      <c r="B243" t="s">
        <v>12534</v>
      </c>
      <c r="C243" t="str">
        <f>IF(B243="","",IFERROR(_xlfn.XLOOKUP(B243,Entidades!$C:$C,Entidades!$B:$B,""),""))</f>
        <v>PONTI_UNIVE_JAVER</v>
      </c>
      <c r="D243" t="str">
        <f>IF(A243="","",IFERROR(_xlfn.XLOOKUP(A243,Proyectos!A:A,Proyectos!C:C,""),""))</f>
        <v>Laudes Infantis</v>
      </c>
    </row>
    <row r="244" spans="1:4">
      <c r="A244" t="s">
        <v>11400</v>
      </c>
      <c r="B244" t="s">
        <v>12534</v>
      </c>
      <c r="C244" t="str">
        <f>IF(B244="","",IFERROR(_xlfn.XLOOKUP(B244,Entidades!$C:$C,Entidades!$B:$B,""),""))</f>
        <v>PONTI_UNIVE_JAVER</v>
      </c>
      <c r="D244" t="str">
        <f>IF(A244="","",IFERROR(_xlfn.XLOOKUP(A244,Proyectos!A:A,Proyectos!C:C,""),""))</f>
        <v>GABRIEL GARCÍA MARQUEZ
ROBÓTICA</v>
      </c>
    </row>
    <row r="245" spans="1:4">
      <c r="A245" t="s">
        <v>11333</v>
      </c>
      <c r="B245" t="s">
        <v>12534</v>
      </c>
      <c r="C245" t="str">
        <f>IF(B245="","",IFERROR(_xlfn.XLOOKUP(B245,Entidades!$C:$C,Entidades!$B:$B,""),""))</f>
        <v>PONTI_UNIVE_JAVER</v>
      </c>
      <c r="D245" t="str">
        <f>IF(A245="","",IFERROR(_xlfn.XLOOKUP(A245,Proyectos!A:A,Proyectos!C:C,""),""))</f>
        <v>Campus Accesible - Inclusión y Diversidad</v>
      </c>
    </row>
    <row r="246" spans="1:4">
      <c r="A246" t="s">
        <v>11559</v>
      </c>
      <c r="B246" t="s">
        <v>12534</v>
      </c>
      <c r="C246" t="str">
        <f>IF(B246="","",IFERROR(_xlfn.XLOOKUP(B246,Entidades!$C:$C,Entidades!$B:$B,""),""))</f>
        <v>PONTI_UNIVE_JAVER</v>
      </c>
      <c r="D246" t="str">
        <f>IF(A246="","",IFERROR(_xlfn.XLOOKUP(A246,Proyectos!A:A,Proyectos!C:C,""),""))</f>
        <v>Manual de Procesos PROSOFI</v>
      </c>
    </row>
    <row r="247" spans="1:4">
      <c r="A247" t="s">
        <v>11543</v>
      </c>
      <c r="B247" t="s">
        <v>12534</v>
      </c>
      <c r="C247" t="str">
        <f>IF(B247="","",IFERROR(_xlfn.XLOOKUP(B247,Entidades!$C:$C,Entidades!$B:$B,""),""))</f>
        <v>PONTI_UNIVE_JAVER</v>
      </c>
      <c r="D247" t="str">
        <f>IF(A247="","",IFERROR(_xlfn.XLOOKUP(A247,Proyectos!A:A,Proyectos!C:C,""),""))</f>
        <v>Indicadores PROSOFI</v>
      </c>
    </row>
    <row r="248" spans="1:4">
      <c r="A248" t="s">
        <v>11536</v>
      </c>
      <c r="B248" t="s">
        <v>12534</v>
      </c>
      <c r="C248" t="str">
        <f>IF(B248="","",IFERROR(_xlfn.XLOOKUP(B248,Entidades!$C:$C,Entidades!$B:$B,""),""))</f>
        <v>PONTI_UNIVE_JAVER</v>
      </c>
      <c r="D248" t="str">
        <f>IF(A248="","",IFERROR(_xlfn.XLOOKUP(A248,Proyectos!A:A,Proyectos!C:C,""),""))</f>
        <v>Análisis de procesos misionales del Consultorio Jurídico Javeriano</v>
      </c>
    </row>
    <row r="249" spans="1:4">
      <c r="A249" t="s">
        <v>11581</v>
      </c>
      <c r="B249" t="s">
        <v>12534</v>
      </c>
      <c r="C249" t="str">
        <f>IF(B249="","",IFERROR(_xlfn.XLOOKUP(B249,Entidades!$C:$C,Entidades!$B:$B,""),""))</f>
        <v>PONTI_UNIVE_JAVER</v>
      </c>
      <c r="D249" t="str">
        <f>IF(A249="","",IFERROR(_xlfn.XLOOKUP(A249,Proyectos!A:A,Proyectos!C:C,""),""))</f>
        <v>Terraza Verde PROSOFI</v>
      </c>
    </row>
    <row r="250" spans="1:4">
      <c r="A250" t="s">
        <v>11446</v>
      </c>
      <c r="B250" t="s">
        <v>12534</v>
      </c>
      <c r="C250" t="str">
        <f>IF(B250="","",IFERROR(_xlfn.XLOOKUP(B250,Entidades!$C:$C,Entidades!$B:$B,""),""))</f>
        <v>PONTI_UNIVE_JAVER</v>
      </c>
      <c r="D250">
        <f>IF(A250="","",IFERROR(_xlfn.XLOOKUP(A250,Proyectos!A:A,Proyectos!C:C,""),""))</f>
        <v>0</v>
      </c>
    </row>
    <row r="251" spans="1:4">
      <c r="A251" t="s">
        <v>11483</v>
      </c>
      <c r="B251" t="s">
        <v>12534</v>
      </c>
      <c r="C251" t="str">
        <f>IF(B251="","",IFERROR(_xlfn.XLOOKUP(B251,Entidades!$C:$C,Entidades!$B:$B,""),""))</f>
        <v>PONTI_UNIVE_JAVER</v>
      </c>
      <c r="D251">
        <f>IF(A251="","",IFERROR(_xlfn.XLOOKUP(A251,Proyectos!A:A,Proyectos!C:C,""),""))</f>
        <v>0</v>
      </c>
    </row>
    <row r="252" spans="1:4">
      <c r="A252" t="s">
        <v>11496</v>
      </c>
      <c r="B252" t="s">
        <v>12534</v>
      </c>
      <c r="C252" t="str">
        <f>IF(B252="","",IFERROR(_xlfn.XLOOKUP(B252,Entidades!$C:$C,Entidades!$B:$B,""),""))</f>
        <v>PONTI_UNIVE_JAVER</v>
      </c>
      <c r="D252">
        <f>IF(A252="","",IFERROR(_xlfn.XLOOKUP(A252,Proyectos!A:A,Proyectos!C:C,""),""))</f>
        <v>0</v>
      </c>
    </row>
    <row r="253" spans="1:4">
      <c r="A253" t="s">
        <v>11463</v>
      </c>
      <c r="B253" t="s">
        <v>12534</v>
      </c>
      <c r="C253" t="str">
        <f>IF(B253="","",IFERROR(_xlfn.XLOOKUP(B253,Entidades!$C:$C,Entidades!$B:$B,""),""))</f>
        <v>PONTI_UNIVE_JAVER</v>
      </c>
      <c r="D253" t="str">
        <f>IF(A253="","",IFERROR(_xlfn.XLOOKUP(A253,Proyectos!A:A,Proyectos!C:C,""),""))</f>
        <v>GABRIEL GARCÍA MARQUEZ
VOLVER A LA HUERTA</v>
      </c>
    </row>
    <row r="254" spans="1:4">
      <c r="A254" t="s">
        <v>11473</v>
      </c>
      <c r="B254" t="s">
        <v>12534</v>
      </c>
      <c r="C254" t="str">
        <f>IF(B254="","",IFERROR(_xlfn.XLOOKUP(B254,Entidades!$C:$C,Entidades!$B:$B,""),""))</f>
        <v>PONTI_UNIVE_JAVER</v>
      </c>
      <c r="D254" t="str">
        <f>IF(A254="","",IFERROR(_xlfn.XLOOKUP(A254,Proyectos!A:A,Proyectos!C:C,""),""))</f>
        <v>VIDAS MÓVILES</v>
      </c>
    </row>
    <row r="255" spans="1:4">
      <c r="A255" t="s">
        <v>11306</v>
      </c>
      <c r="B255" t="s">
        <v>12534</v>
      </c>
      <c r="C255" t="str">
        <f>IF(B255="","",IFERROR(_xlfn.XLOOKUP(B255,Entidades!$C:$C,Entidades!$B:$B,""),""))</f>
        <v>PONTI_UNIVE_JAVER</v>
      </c>
      <c r="D255" t="str">
        <f>IF(A255="","",IFERROR(_xlfn.XLOOKUP(A255,Proyectos!A:A,Proyectos!C:C,""),""))</f>
        <v>Proyección Social Ingeniería - VISUALIZACIÓN DE DATOS</v>
      </c>
    </row>
    <row r="256" spans="1:4">
      <c r="A256" t="s">
        <v>11290</v>
      </c>
      <c r="B256" t="s">
        <v>12534</v>
      </c>
      <c r="C256" t="str">
        <f>IF(B256="","",IFERROR(_xlfn.XLOOKUP(B256,Entidades!$C:$C,Entidades!$B:$B,""),""))</f>
        <v>PONTI_UNIVE_JAVER</v>
      </c>
      <c r="D256" t="str">
        <f>IF(A256="","",IFERROR(_xlfn.XLOOKUP(A256,Proyectos!A:A,Proyectos!C:C,""),""))</f>
        <v>PROSOFI - UNBOUND</v>
      </c>
    </row>
    <row r="257" spans="1:5">
      <c r="A257" t="s">
        <v>11232</v>
      </c>
      <c r="B257" t="s">
        <v>12534</v>
      </c>
      <c r="C257" t="str">
        <f>IF(B257="","",IFERROR(_xlfn.XLOOKUP(B257,Entidades!$C:$C,Entidades!$B:$B,""),""))</f>
        <v>PONTI_UNIVE_JAVER</v>
      </c>
      <c r="D257" t="str">
        <f>IF(A257="","",IFERROR(_xlfn.XLOOKUP(A257,Proyectos!A:A,Proyectos!C:C,""),""))</f>
        <v>PROSOFI - GABRIEL GARCIA MÁRQUEZ</v>
      </c>
    </row>
    <row r="258" spans="1:5">
      <c r="A258" t="s">
        <v>11283</v>
      </c>
      <c r="B258" t="s">
        <v>12534</v>
      </c>
      <c r="C258" t="str">
        <f>IF(B258="","",IFERROR(_xlfn.XLOOKUP(B258,Entidades!$C:$C,Entidades!$B:$B,""),""))</f>
        <v>PONTI_UNIVE_JAVER</v>
      </c>
      <c r="D258" t="str">
        <f>IF(A258="","",IFERROR(_xlfn.XLOOKUP(A258,Proyectos!A:A,Proyectos!C:C,""),""))</f>
        <v>PROSOFI - UNBOUND</v>
      </c>
    </row>
    <row r="259" spans="1:5">
      <c r="A259" t="s">
        <v>11224</v>
      </c>
      <c r="B259" t="s">
        <v>12534</v>
      </c>
      <c r="C259" t="str">
        <f>IF(B259="","",IFERROR(_xlfn.XLOOKUP(B259,Entidades!$C:$C,Entidades!$B:$B,""),""))</f>
        <v>PONTI_UNIVE_JAVER</v>
      </c>
      <c r="D259" t="str">
        <f>IF(A259="","",IFERROR(_xlfn.XLOOKUP(A259,Proyectos!A:A,Proyectos!C:C,""),""))</f>
        <v>Grupo comunitario Consentir Canitas</v>
      </c>
    </row>
    <row r="260" spans="1:5">
      <c r="A260" t="s">
        <v>11265</v>
      </c>
      <c r="B260" t="s">
        <v>12534</v>
      </c>
      <c r="C260" t="str">
        <f>IF(B260="","",IFERROR(_xlfn.XLOOKUP(B260,Entidades!$C:$C,Entidades!$B:$B,""),""))</f>
        <v>PONTI_UNIVE_JAVER</v>
      </c>
      <c r="D260" t="str">
        <f>IF(A260="","",IFERROR(_xlfn.XLOOKUP(A260,Proyectos!A:A,Proyectos!C:C,""),""))</f>
        <v>Seres</v>
      </c>
    </row>
    <row r="261" spans="1:5">
      <c r="A261" t="s">
        <v>11279</v>
      </c>
      <c r="B261" t="s">
        <v>12534</v>
      </c>
      <c r="C261" t="str">
        <f>IF(B261="","",IFERROR(_xlfn.XLOOKUP(B261,Entidades!$C:$C,Entidades!$B:$B,""),""))</f>
        <v>PONTI_UNIVE_JAVER</v>
      </c>
      <c r="D261" t="str">
        <f>IF(A261="","",IFERROR(_xlfn.XLOOKUP(A261,Proyectos!A:A,Proyectos!C:C,""),""))</f>
        <v>App Tywa khe</v>
      </c>
    </row>
    <row r="262" spans="1:5">
      <c r="A262" t="s">
        <v>11329</v>
      </c>
      <c r="B262" t="s">
        <v>12534</v>
      </c>
      <c r="C262" t="str">
        <f>IF(B262="","",IFERROR(_xlfn.XLOOKUP(B262,Entidades!$C:$C,Entidades!$B:$B,""),""))</f>
        <v>PONTI_UNIVE_JAVER</v>
      </c>
      <c r="D262" t="str">
        <f>IF(A262="","",IFERROR(_xlfn.XLOOKUP(A262,Proyectos!A:A,Proyectos!C:C,""),""))</f>
        <v>PROSOFI - GABRIEL GARCIA MÁRQUEZ</v>
      </c>
    </row>
    <row r="263" spans="1:5">
      <c r="A263" t="s">
        <v>11240</v>
      </c>
      <c r="B263" t="s">
        <v>12534</v>
      </c>
      <c r="C263" t="str">
        <f>IF(B263="","",IFERROR(_xlfn.XLOOKUP(B263,Entidades!$C:$C,Entidades!$B:$B,""),""))</f>
        <v>PONTI_UNIVE_JAVER</v>
      </c>
      <c r="D263" t="str">
        <f>IF(A263="","",IFERROR(_xlfn.XLOOKUP(A263,Proyectos!A:A,Proyectos!C:C,""),""))</f>
        <v>Proyección Social Ingeniería - VISUALIZACIÓN DE DATOS</v>
      </c>
      <c r="E263" s="62" t="s">
        <v>12546</v>
      </c>
    </row>
    <row r="264" spans="1:5">
      <c r="A264" t="s">
        <v>11220</v>
      </c>
      <c r="B264" t="s">
        <v>12534</v>
      </c>
      <c r="C264" t="str">
        <f>IF(B264="","",IFERROR(_xlfn.XLOOKUP(B264,Entidades!$C:$C,Entidades!$B:$B,""),""))</f>
        <v>PONTI_UNIVE_JAVER</v>
      </c>
      <c r="D264" t="str">
        <f>IF(A264="","",IFERROR(_xlfn.XLOOKUP(A264,Proyectos!A:A,Proyectos!C:C,""),""))</f>
        <v>PROSOFI - TYWA KHE</v>
      </c>
    </row>
    <row r="265" spans="1:5">
      <c r="A265" t="s">
        <v>11532</v>
      </c>
      <c r="B265" t="s">
        <v>12547</v>
      </c>
      <c r="C265" t="str">
        <f>IF(B265="","",IFERROR(_xlfn.XLOOKUP(B265,Entidades!$C:$C,Entidades!$B:$B,""),""))</f>
        <v/>
      </c>
      <c r="D265" t="str">
        <f>IF(A265="","",IFERROR(_xlfn.XLOOKUP(A265,Proyectos!A:A,Proyectos!C:C,""),""))</f>
        <v>Mesa de Medio Ambiente: cuidadores de semillas</v>
      </c>
    </row>
    <row r="266" spans="1:5">
      <c r="A266" t="s">
        <v>11525</v>
      </c>
      <c r="B266" t="s">
        <v>12548</v>
      </c>
      <c r="C266" t="str">
        <f>IF(B266="","",IFERROR(_xlfn.XLOOKUP(B266,Entidades!$C:$C,Entidades!$B:$B,""),""))</f>
        <v/>
      </c>
      <c r="D266" t="str">
        <f>IF(A266="","",IFERROR(_xlfn.XLOOKUP(A266,Proyectos!A:A,Proyectos!C:C,""),""))</f>
        <v xml:space="preserve">Apoyo a emprendimientos sociales </v>
      </c>
    </row>
    <row r="267" spans="1:5">
      <c r="A267" t="s">
        <v>11078</v>
      </c>
      <c r="B267" t="s">
        <v>12549</v>
      </c>
      <c r="C267" t="str">
        <f>IF(B267="","",IFERROR(_xlfn.XLOOKUP(B267,Entidades!$C:$C,Entidades!$B:$B,""),""))</f>
        <v/>
      </c>
      <c r="D267" t="str">
        <f>IF(A267="","",IFERROR(_xlfn.XLOOKUP(A267,Proyectos!A:A,Proyectos!C:C,""),""))</f>
        <v>OFICINA DE RESPONSABILIDAD SOCIAL</v>
      </c>
    </row>
    <row r="268" spans="1:5">
      <c r="A268" t="s">
        <v>11176</v>
      </c>
      <c r="B268" t="s">
        <v>12550</v>
      </c>
      <c r="C268" t="str">
        <f>IF(B268="","",IFERROR(_xlfn.XLOOKUP(B268,Entidades!$C:$C,Entidades!$B:$B,""),""))</f>
        <v/>
      </c>
      <c r="D268" t="str">
        <f>IF(A268="","",IFERROR(_xlfn.XLOOKUP(A268,Proyectos!A:A,Proyectos!C:C,""),""))</f>
        <v>Red Juvenil Ignaciana</v>
      </c>
    </row>
    <row r="269" spans="1:5">
      <c r="A269" t="s">
        <v>11044</v>
      </c>
      <c r="B269" t="s">
        <v>12551</v>
      </c>
      <c r="C269" t="str">
        <f>IF(B269="","",IFERROR(_xlfn.XLOOKUP(B269,Entidades!$C:$C,Entidades!$B:$B,""),""))</f>
        <v/>
      </c>
      <c r="D269" t="str">
        <f>IF(A269="","",IFERROR(_xlfn.XLOOKUP(A269,Proyectos!A:A,Proyectos!C:C,""),""))</f>
        <v>PROGRAMA SOCIAL VIDAS MÓVILES (JAVERIANA)</v>
      </c>
    </row>
    <row r="270" spans="1:5">
      <c r="A270" t="s">
        <v>11022</v>
      </c>
      <c r="B270" t="s">
        <v>12552</v>
      </c>
      <c r="C270" t="str">
        <f>IF(B270="","",IFERROR(_xlfn.XLOOKUP(B270,Entidades!$C:$C,Entidades!$B:$B,""),""))</f>
        <v/>
      </c>
      <c r="D270" t="str">
        <f>IF(A270="","",IFERROR(_xlfn.XLOOKUP(A270,Proyectos!A:A,Proyectos!C:C,""),""))</f>
        <v>PROGRAMA SOCIAL VIDAS MÓVILES (JAVERIANA)</v>
      </c>
    </row>
    <row r="271" spans="1:5">
      <c r="A271" t="s">
        <v>11631</v>
      </c>
      <c r="B271" t="s">
        <v>12538</v>
      </c>
      <c r="C271" t="str">
        <f>IF(B271="","",IFERROR(_xlfn.XLOOKUP(B271,Entidades!$C:$C,Entidades!$B:$B,""),""))</f>
        <v>83013076-4</v>
      </c>
      <c r="D271" t="str">
        <f>IF(A271="","",IFERROR(_xlfn.XLOOKUP(A271,Proyectos!A:A,Proyectos!C:C,""),""))</f>
        <v>Mejoramiento procesos administrativos.</v>
      </c>
    </row>
    <row r="272" spans="1:5">
      <c r="A272" t="s">
        <v>11011</v>
      </c>
      <c r="B272" t="s">
        <v>12538</v>
      </c>
      <c r="C272" t="str">
        <f>IF(B272="","",IFERROR(_xlfn.XLOOKUP(B272,Entidades!$C:$C,Entidades!$B:$B,""),""))</f>
        <v>83013076-4</v>
      </c>
      <c r="D272" t="str">
        <f>IF(A272="","",IFERROR(_xlfn.XLOOKUP(A272,Proyectos!A:A,Proyectos!C:C,""),""))</f>
        <v>Proyecto 14</v>
      </c>
    </row>
  </sheetData>
  <sheetProtection formatCells="0" formatColumns="0" formatRows="0" insertColumns="0" insertRows="0" insertHyperlinks="0" deleteColumns="0" deleteRows="0" sort="0"/>
  <protectedRanges>
    <protectedRange sqref="A1:B1048576" name="Editables"/>
    <protectedRange sqref="E1:F1048576" name="Editable"/>
  </protectedRanges>
  <dataValidations count="1">
    <dataValidation type="list" allowBlank="1" showInputMessage="1" showErrorMessage="1" sqref="F2:G2" xr:uid="{89261F39-D022-4ACE-8EE5-EBB57A29F2CE}">
      <formula1>TIPOREL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promptTitle="Entidad relacionada al proyecto" prompt="Lista en Hoja: Entidades" xr:uid="{4BC06BBC-11F8-4650-95F0-C89017AC43E3}">
          <x14:formula1>
            <xm:f>Entidades!$C$2:$C$127</xm:f>
          </x14:formula1>
          <xm:sqref>B2:B272</xm:sqref>
        </x14:dataValidation>
        <x14:dataValidation type="list" allowBlank="1" showInputMessage="1" showErrorMessage="1" promptTitle="Tipo relación" prompt="Seleccione el tipo de relacion que existe entre el proyecto y la entidad_x000a_" xr:uid="{D7E43D09-7C16-4709-AE4D-171037B1F1DF}">
          <x14:formula1>
            <xm:f>Listas!$L$2:$L$4</xm:f>
          </x14:formula1>
          <xm:sqref>E2:E272</xm:sqref>
        </x14:dataValidation>
        <x14:dataValidation type="list" allowBlank="1" showInputMessage="1" showErrorMessage="1" promptTitle="Código del Proyecto" prompt="Lista en Hoja: Proyectos_x000a_" xr:uid="{B47BC475-C496-4C0D-89BB-B4F1C8033146}">
          <x14:formula1>
            <xm:f>Proyectos!$A$2:$A$273</xm:f>
          </x14:formula1>
          <xm:sqref>A2:A272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0468-EB36-402B-965A-B1CAC827D2AB}">
  <sheetPr>
    <tabColor rgb="FF3A7D34"/>
  </sheetPr>
  <dimension ref="A1:J4"/>
  <sheetViews>
    <sheetView workbookViewId="0">
      <selection activeCell="D2" sqref="D2"/>
    </sheetView>
  </sheetViews>
  <sheetFormatPr defaultColWidth="9.140625" defaultRowHeight="15"/>
  <cols>
    <col min="1" max="1" width="20.7109375" customWidth="1"/>
    <col min="2" max="2" width="25.140625" customWidth="1"/>
    <col min="3" max="3" width="25.7109375" customWidth="1"/>
    <col min="4" max="4" width="20.7109375" customWidth="1"/>
    <col min="5" max="5" width="22.7109375" bestFit="1" customWidth="1"/>
    <col min="6" max="6" width="23" bestFit="1" customWidth="1"/>
    <col min="7" max="7" width="20.7109375" customWidth="1"/>
    <col min="8" max="9" width="20.7109375" style="15" customWidth="1"/>
    <col min="10" max="10" width="52.140625" customWidth="1"/>
  </cols>
  <sheetData>
    <row r="1" spans="1:10" ht="25.5">
      <c r="A1" s="74" t="s">
        <v>17</v>
      </c>
      <c r="B1" s="74" t="s">
        <v>37</v>
      </c>
      <c r="C1" s="76" t="s">
        <v>29</v>
      </c>
      <c r="D1" s="76" t="s">
        <v>12553</v>
      </c>
      <c r="E1" s="76" t="s">
        <v>12554</v>
      </c>
      <c r="F1" s="76" t="s">
        <v>12555</v>
      </c>
      <c r="G1" s="76" t="s">
        <v>12556</v>
      </c>
      <c r="H1" s="75" t="s">
        <v>12557</v>
      </c>
      <c r="I1" s="75" t="s">
        <v>12558</v>
      </c>
      <c r="J1" s="75" t="s">
        <v>60</v>
      </c>
    </row>
    <row r="2" spans="1:10">
      <c r="A2" t="s">
        <v>11240</v>
      </c>
      <c r="B2" t="s">
        <v>12559</v>
      </c>
      <c r="C2" t="str">
        <f>Tbla_Metas_Indicador[[#This Row],[codigo_proyecto]]&amp;Tbla_Metas_Indicador[[#This Row],[codigo_indicador]]</f>
        <v>2610ISISTJUA-8ODSALI-1</v>
      </c>
      <c r="D2" t="str">
        <f>IFERROR(VLOOKUP(Tbla_Metas_Indicador[[#This Row],[codigo_indicador]],Tbla_Bateria_Indicadores[],2,0),"")</f>
        <v>ODS</v>
      </c>
      <c r="E2" t="str">
        <f>IFERROR(VLOOKUP(Tbla_Metas_Indicador[[#This Row],[codigo_indicador]],Tbla_Bateria_Indicadores[],3,0),"")</f>
        <v>Alianzas para lograr los objetivos</v>
      </c>
      <c r="F2" t="str">
        <f>IFERROR(VLOOKUP(Tbla_Metas_Indicador[[#This Row],[codigo_indicador]],Tbla_Bateria_Indicadores[],4,0),"")</f>
        <v xml:space="preserve">Existe una base de datos que permite el seguimiento de los indicadores del proyecto. </v>
      </c>
      <c r="G2" t="str">
        <f>IFERROR(VLOOKUP(Tbla_Metas_Indicador[[#This Row],[codigo_indicador]],Tbla_Bateria_Indicadores[],5,0),"")</f>
        <v>Cuantitativo</v>
      </c>
      <c r="H2" s="15" t="s">
        <v>12560</v>
      </c>
      <c r="I2" s="15">
        <v>1</v>
      </c>
      <c r="J2" t="s">
        <v>12561</v>
      </c>
    </row>
    <row r="3" spans="1:10">
      <c r="A3" t="s">
        <v>11220</v>
      </c>
      <c r="B3" t="s">
        <v>12562</v>
      </c>
      <c r="C3" t="str">
        <f>Tbla_Metas_Indicador[[#This Row],[codigo_proyecto]]&amp;Tbla_Metas_Indicador[[#This Row],[codigo_indicador]]</f>
        <v>2610ISISTJUA-9ACAACA-2</v>
      </c>
      <c r="D3" t="str">
        <f>IFERROR(VLOOKUP(Tbla_Metas_Indicador[[#This Row],[codigo_indicador]],Tbla_Bateria_Indicadores[],2,0),"")</f>
        <v>Academicos</v>
      </c>
      <c r="E3" t="str">
        <f>IFERROR(VLOOKUP(Tbla_Metas_Indicador[[#This Row],[codigo_indicador]],Tbla_Bateria_Indicadores[],3,0),"")</f>
        <v xml:space="preserve">Acance </v>
      </c>
      <c r="F3" t="str">
        <f>IFERROR(VLOOKUP(Tbla_Metas_Indicador[[#This Row],[codigo_indicador]],Tbla_Bateria_Indicadores[],4,0),"")</f>
        <v>Atender X beneficiarios</v>
      </c>
      <c r="G3">
        <f>IFERROR(VLOOKUP(Tbla_Metas_Indicador[[#This Row],[codigo_indicador]],Tbla_Bateria_Indicadores[],5,0),"")</f>
        <v>0</v>
      </c>
      <c r="H3" s="15" t="s">
        <v>12563</v>
      </c>
      <c r="I3" s="15">
        <v>100</v>
      </c>
      <c r="J3" s="44" t="s">
        <v>12564</v>
      </c>
    </row>
    <row r="4" spans="1:10">
      <c r="C4" t="str">
        <f>Tbla_Metas_Indicador[[#This Row],[codigo_proyecto]]&amp;Tbla_Metas_Indicador[[#This Row],[codigo_indicador]]</f>
        <v/>
      </c>
      <c r="D4" t="str">
        <f>IFERROR(VLOOKUP(Tbla_Metas_Indicador[[#This Row],[codigo_indicador]],Tbla_Bateria_Indicadores[],2,0),"")</f>
        <v/>
      </c>
      <c r="E4" t="str">
        <f>IFERROR(VLOOKUP(Tbla_Metas_Indicador[[#This Row],[codigo_indicador]],Tbla_Bateria_Indicadores[],3,0),"")</f>
        <v/>
      </c>
      <c r="F4" t="str">
        <f>IFERROR(VLOOKUP(Tbla_Metas_Indicador[[#This Row],[codigo_indicador]],Tbla_Bateria_Indicadores[],4,0),"")</f>
        <v/>
      </c>
      <c r="G4" t="str">
        <f>IFERROR(VLOOKUP(Tbla_Metas_Indicador[[#This Row],[codigo_indicador]],Tbla_Bateria_Indicadores[],5,0),"")</f>
        <v/>
      </c>
      <c r="J4" s="44"/>
    </row>
  </sheetData>
  <conditionalFormatting sqref="C2:C4">
    <cfRule type="duplicateValues" dxfId="67" priority="1"/>
    <cfRule type="duplicateValues" dxfId="66" priority="4"/>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promptTitle="¿Cada cuánto voy a registrar seguimiento?" prompt="Seleccione el tipo de periodicidad que tiene la meta_x000a_" xr:uid="{1F21255E-22F3-47CF-9027-BB170CCC2FED}">
          <x14:formula1>
            <xm:f>Listas!$Q$2:$Q$7</xm:f>
          </x14:formula1>
          <xm:sqref>H2:H4</xm:sqref>
        </x14:dataValidation>
        <x14:dataValidation type="list" allowBlank="1" showInputMessage="1" showErrorMessage="1" xr:uid="{19DB519F-3FB9-41C3-84AB-66569EAAA007}">
          <x14:formula1>
            <xm:f>Proyectos!$A$2:$A$273</xm:f>
          </x14:formula1>
          <xm:sqref>A5:A50</xm:sqref>
        </x14:dataValidation>
        <x14:dataValidation type="list" allowBlank="1" showInputMessage="1" showErrorMessage="1" promptTitle="Código Proyecto" prompt="Lista en Hoja: Proyectos_x000a_" xr:uid="{C54CC364-65B8-45A2-BD73-15B24B08CD70}">
          <x14:formula1>
            <xm:f>Proyectos!$A$2:$A$273</xm:f>
          </x14:formula1>
          <xm:sqref>A2:A4</xm:sqref>
        </x14:dataValidation>
        <x14:dataValidation type="list" allowBlank="1" showInputMessage="1" showErrorMessage="1" promptTitle="Código Indicador" prompt="Lista en Hoja: Bateria Indicadores" xr:uid="{8B779BD1-6024-4D37-9C67-910BA4A45D54}">
          <x14:formula1>
            <xm:f>Bateria_Indicadores!$A$2:$A$4</xm:f>
          </x14:formula1>
          <xm:sqref>B2:B4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25B3-0617-478D-8B2F-AE02E6931933}">
  <sheetPr>
    <tabColor rgb="FF3A7D34"/>
  </sheetPr>
  <dimension ref="A1:E4"/>
  <sheetViews>
    <sheetView tabSelected="1" workbookViewId="0">
      <selection activeCell="C27" sqref="C27"/>
    </sheetView>
  </sheetViews>
  <sheetFormatPr defaultColWidth="9.140625" defaultRowHeight="15"/>
  <cols>
    <col min="1" max="1" width="25" customWidth="1"/>
    <col min="2" max="2" width="22.85546875" customWidth="1"/>
    <col min="3" max="3" width="30.28515625" bestFit="1" customWidth="1"/>
    <col min="4" max="4" width="78.5703125" bestFit="1" customWidth="1"/>
    <col min="5" max="5" width="42.5703125" customWidth="1"/>
  </cols>
  <sheetData>
    <row r="1" spans="1:5" ht="38.25" customHeight="1">
      <c r="A1" s="67" t="s">
        <v>37</v>
      </c>
      <c r="B1" s="67" t="s">
        <v>12553</v>
      </c>
      <c r="C1" s="67" t="s">
        <v>12554</v>
      </c>
      <c r="D1" s="67" t="s">
        <v>12565</v>
      </c>
      <c r="E1" s="67" t="s">
        <v>12556</v>
      </c>
    </row>
    <row r="2" spans="1:5">
      <c r="A2" t="str">
        <f>IFERROR(IF(Tbla_Bateria_Indicadores[[#This Row],[familia_indicador]]="","",UPPER(LEFT(Tbla_Bateria_Indicadores[[#This Row],[familia_indicador]],3)&amp;LEFT(Tbla_Bateria_Indicadores[[#This Row],[sub_familia_indicador]],3)&amp;"-"&amp;(ROW(Tbla_Bateria_Indicadores[[#This Row],[tipo_indicador ]])-1))),"")</f>
        <v>ODSALI-1</v>
      </c>
      <c r="B2" t="s">
        <v>12566</v>
      </c>
      <c r="C2" t="s">
        <v>12567</v>
      </c>
      <c r="D2" t="s">
        <v>12568</v>
      </c>
      <c r="E2" t="s">
        <v>12569</v>
      </c>
    </row>
    <row r="3" spans="1:5">
      <c r="A3" t="str">
        <f>IFERROR(IF(Tbla_Bateria_Indicadores[[#This Row],[familia_indicador]]="","",UPPER(LEFT(Tbla_Bateria_Indicadores[[#This Row],[familia_indicador]],3)&amp;LEFT(Tbla_Bateria_Indicadores[[#This Row],[sub_familia_indicador]],3)&amp;"-"&amp;(ROW(Tbla_Bateria_Indicadores[[#This Row],[tipo_indicador ]])-1))),"")</f>
        <v>ACAACA-2</v>
      </c>
      <c r="B3" t="s">
        <v>12570</v>
      </c>
      <c r="C3" t="s">
        <v>12571</v>
      </c>
      <c r="D3" t="s">
        <v>12572</v>
      </c>
    </row>
    <row r="4" spans="1:5">
      <c r="A4" t="str">
        <f>IFERROR(IF(Tbla_Bateria_Indicadores[[#This Row],[familia_indicador]]="","",UPPER(LEFT(Tbla_Bateria_Indicadores[[#This Row],[familia_indicador]],3)&amp;LEFT(Tbla_Bateria_Indicadores[[#This Row],[sub_familia_indicador]],3)&amp;"-"&amp;(ROW(Tbla_Bateria_Indicadores[[#This Row],[tipo_indicador ]])-1))),"")</f>
        <v/>
      </c>
    </row>
  </sheetData>
  <dataValidations count="1">
    <dataValidation allowBlank="1" showInputMessage="1" showErrorMessage="1" sqref="C2:C4" xr:uid="{4FDF8A87-9495-4C14-A61A-C232AF7942A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promptTitle="Familia Indicador" prompt="Seleccione el tipo de categoría del indicador_x000a_" xr:uid="{5D015CDF-97A4-4BFD-A79B-E6FA4B466117}">
          <x14:formula1>
            <xm:f>Listas!$P$2:$P$5</xm:f>
          </x14:formula1>
          <xm:sqref>B2:B4</xm:sqref>
        </x14:dataValidation>
        <x14:dataValidation type="list" allowBlank="1" showInputMessage="1" showErrorMessage="1" xr:uid="{08E90CEC-8307-4FBC-87AD-A5D2C8E8FCAB}">
          <x14:formula1>
            <xm:f>Listas!$R$2:$R$8</xm:f>
          </x14:formula1>
          <xm:sqref>E2:E4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BED3-B242-4287-8DF4-9C40E796F405}">
  <sheetPr>
    <tabColor rgb="FF3A7D34"/>
  </sheetPr>
  <dimension ref="A1:K5"/>
  <sheetViews>
    <sheetView topLeftCell="D1" workbookViewId="0">
      <selection activeCell="J12" sqref="J12"/>
    </sheetView>
  </sheetViews>
  <sheetFormatPr defaultColWidth="9.140625" defaultRowHeight="15"/>
  <cols>
    <col min="1" max="1" width="23.140625" customWidth="1"/>
    <col min="2" max="3" width="26.140625" customWidth="1"/>
    <col min="4" max="4" width="39.42578125" customWidth="1"/>
    <col min="5" max="5" width="26.28515625" style="62" customWidth="1"/>
    <col min="6" max="6" width="41" customWidth="1"/>
    <col min="7" max="7" width="26.7109375" style="62" customWidth="1"/>
    <col min="8" max="8" width="21.85546875" style="62" customWidth="1"/>
    <col min="9" max="9" width="20.5703125" customWidth="1"/>
    <col min="10" max="10" width="25.7109375" style="62" customWidth="1"/>
    <col min="11" max="11" width="19.140625" style="62" customWidth="1"/>
  </cols>
  <sheetData>
    <row r="1" spans="1:11" ht="25.5">
      <c r="A1" s="67" t="s">
        <v>12573</v>
      </c>
      <c r="B1" s="67" t="s">
        <v>37</v>
      </c>
      <c r="C1" s="68" t="s">
        <v>29</v>
      </c>
      <c r="D1" s="68" t="s">
        <v>12565</v>
      </c>
      <c r="E1" s="68" t="s">
        <v>12557</v>
      </c>
      <c r="F1" s="67" t="s">
        <v>12574</v>
      </c>
      <c r="G1" s="67" t="s">
        <v>12575</v>
      </c>
      <c r="H1" s="67" t="s">
        <v>12576</v>
      </c>
      <c r="I1" s="67" t="s">
        <v>12577</v>
      </c>
      <c r="J1" s="68" t="s">
        <v>12578</v>
      </c>
      <c r="K1" s="68" t="s">
        <v>12579</v>
      </c>
    </row>
    <row r="2" spans="1:11">
      <c r="A2" t="s">
        <v>11240</v>
      </c>
      <c r="B2" t="s">
        <v>12559</v>
      </c>
      <c r="C2" t="str">
        <f>Tbla_seguimiento_Indicador[[#This Row],[Codigo_proyecto]]&amp;Tbla_seguimiento_Indicador[[#This Row],[codigo_indicador]]</f>
        <v>2610ISISTJUA-8ODSALI-1</v>
      </c>
      <c r="D2" t="str">
        <f>IFERROR(VLOOKUP(Tbla_seguimiento_Indicador[[#This Row],[codigo_indicador]],Tbla_Bateria_Indicadores[],4,0),"")</f>
        <v xml:space="preserve">Existe una base de datos que permite el seguimiento de los indicadores del proyecto. </v>
      </c>
      <c r="E2" s="65" t="str">
        <f>IFERROR(VLOOKUP(Tbla_seguimiento_Indicador[[#This Row],[codigo_meta]],Tbla_Metas_Indicador[[codigo_meta]:[periodicidad]],6,0),"")</f>
        <v>Único</v>
      </c>
      <c r="F2" t="s">
        <v>12580</v>
      </c>
      <c r="G2" s="62" t="s">
        <v>12581</v>
      </c>
      <c r="H2" s="61">
        <v>46153</v>
      </c>
      <c r="I2">
        <v>0.5</v>
      </c>
      <c r="J2" s="62">
        <f>IFERROR(_xlfn.XLOOKUP(Tbla_seguimiento_Indicador[[#This Row],[Codigo_proyecto]]&amp;Tbla_seguimiento_Indicador[[#This Row],[codigo_indicador]],Tbla_Metas_Indicador[codigo_meta],Tbla_Metas_Indicador[meta_indicador]),"")</f>
        <v>1</v>
      </c>
      <c r="K2" s="105">
        <f>IFERROR(+Tbla_seguimiento_Indicador[[#This Row],[valor_avance]]/Tbla_seguimiento_Indicador[[#This Row],[meta_Indicador]],0)</f>
        <v>0.5</v>
      </c>
    </row>
    <row r="3" spans="1:11" ht="45">
      <c r="A3" t="s">
        <v>11220</v>
      </c>
      <c r="B3" t="s">
        <v>12562</v>
      </c>
      <c r="C3" t="str">
        <f>Tbla_seguimiento_Indicador[[#This Row],[Codigo_proyecto]]&amp;Tbla_seguimiento_Indicador[[#This Row],[codigo_indicador]]</f>
        <v>2610ISISTJUA-9ACAACA-2</v>
      </c>
      <c r="D3" s="44" t="s">
        <v>12568</v>
      </c>
      <c r="E3" s="65" t="str">
        <f>IFERROR(VLOOKUP(Tbla_seguimiento_Indicador[[#This Row],[codigo_meta]],Tbla_Metas_Indicador[[codigo_meta]:[periodicidad]],6,0),"")</f>
        <v>Mensual</v>
      </c>
      <c r="F3" t="s">
        <v>12582</v>
      </c>
      <c r="G3" s="62" t="s">
        <v>12581</v>
      </c>
      <c r="H3" s="61">
        <v>46127</v>
      </c>
      <c r="I3">
        <v>30</v>
      </c>
      <c r="J3" s="62">
        <f>IFERROR(_xlfn.XLOOKUP(Tbla_seguimiento_Indicador[[#This Row],[Codigo_proyecto]]&amp;Tbla_seguimiento_Indicador[[#This Row],[codigo_indicador]],Tbla_Metas_Indicador[codigo_meta],Tbla_Metas_Indicador[meta_indicador]),"")</f>
        <v>100</v>
      </c>
      <c r="K3" s="105">
        <f>IFERROR(+Tbla_seguimiento_Indicador[[#This Row],[valor_avance]]/Tbla_seguimiento_Indicador[[#This Row],[meta_Indicador]],0)</f>
        <v>0.3</v>
      </c>
    </row>
    <row r="4" spans="1:11">
      <c r="A4" t="s">
        <v>11220</v>
      </c>
      <c r="B4" t="s">
        <v>12562</v>
      </c>
      <c r="C4" t="str">
        <f>Tbla_seguimiento_Indicador[[#This Row],[Codigo_proyecto]]&amp;Tbla_seguimiento_Indicador[[#This Row],[codigo_indicador]]</f>
        <v>2610ISISTJUA-9ACAACA-2</v>
      </c>
      <c r="D4" t="str">
        <f>IFERROR(VLOOKUP(Tbla_seguimiento_Indicador[[#This Row],[codigo_indicador]],Tbla_Bateria_Indicadores[],4,0),"")</f>
        <v>Atender X beneficiarios</v>
      </c>
      <c r="E4" s="65" t="str">
        <f>IFERROR(VLOOKUP(Tbla_seguimiento_Indicador[[#This Row],[codigo_meta]],Tbla_Metas_Indicador[[codigo_meta]:[periodicidad]],6,0),"")</f>
        <v>Mensual</v>
      </c>
      <c r="F4" t="s">
        <v>12583</v>
      </c>
      <c r="G4" s="62" t="s">
        <v>12584</v>
      </c>
      <c r="H4" s="61">
        <v>46157</v>
      </c>
      <c r="I4">
        <v>55</v>
      </c>
      <c r="J4" s="62">
        <f>IFERROR(_xlfn.XLOOKUP(Tbla_seguimiento_Indicador[[#This Row],[Codigo_proyecto]]&amp;Tbla_seguimiento_Indicador[[#This Row],[codigo_indicador]],Tbla_Metas_Indicador[codigo_meta],Tbla_Metas_Indicador[meta_indicador]),"")</f>
        <v>100</v>
      </c>
      <c r="K4" s="105">
        <f>IFERROR(+Tbla_seguimiento_Indicador[[#This Row],[valor_avance]]/Tbla_seguimiento_Indicador[[#This Row],[meta_Indicador]],0)</f>
        <v>0.55000000000000004</v>
      </c>
    </row>
    <row r="5" spans="1:11">
      <c r="C5" t="str">
        <f>Tbla_seguimiento_Indicador[[#This Row],[Codigo_proyecto]]&amp;Tbla_seguimiento_Indicador[[#This Row],[codigo_indicador]]</f>
        <v/>
      </c>
      <c r="D5" t="str">
        <f>IFERROR(VLOOKUP(Tbla_seguimiento_Indicador[[#This Row],[codigo_indicador]],Tbla_Bateria_Indicadores[],4,0),"")</f>
        <v/>
      </c>
      <c r="E5" s="65">
        <f>IFERROR(VLOOKUP(Tbla_seguimiento_Indicador[[#This Row],[codigo_meta]],Tbla_Metas_Indicador[[codigo_meta]:[periodicidad]],6,0),"")</f>
        <v>0</v>
      </c>
      <c r="H5" s="61"/>
      <c r="J5" s="62">
        <f>IFERROR(_xlfn.XLOOKUP(Tbla_seguimiento_Indicador[[#This Row],[Codigo_proyecto]]&amp;Tbla_seguimiento_Indicador[[#This Row],[codigo_indicador]],Tbla_Metas_Indicador[codigo_meta],Tbla_Metas_Indicador[meta_indicador])," ")</f>
        <v>0</v>
      </c>
      <c r="K5" s="105">
        <f>IFERROR(+Tbla_seguimiento_Indicador[[#This Row],[valor_avance]]/Tbla_seguimiento_Indicador[[#This Row],[meta_Indicador]],0)</f>
        <v>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promptTitle="Código del Proyecto" prompt="Lista en Hoja: Proyectos" xr:uid="{A61FED32-B842-4531-94EA-810A18DFC06E}">
          <x14:formula1>
            <xm:f>Proyectos!$A$2:$A$273</xm:f>
          </x14:formula1>
          <xm:sqref>A2:A5</xm:sqref>
        </x14:dataValidation>
        <x14:dataValidation type="list" allowBlank="1" showInputMessage="1" showErrorMessage="1" promptTitle="Código Indicador " prompt="Lista en Hoja: Bater. Indicadores" xr:uid="{99AAC600-3B37-4E21-A708-C480B1D5D7F3}">
          <x14:formula1>
            <xm:f>Bateria_Indicadores!$A$2:$A$4</xm:f>
          </x14:formula1>
          <xm:sqref>B2:B5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A1:AA1122"/>
  <sheetViews>
    <sheetView topLeftCell="G1" zoomScaleNormal="100" workbookViewId="0">
      <selection activeCell="M13" sqref="M13"/>
    </sheetView>
  </sheetViews>
  <sheetFormatPr defaultColWidth="8.7109375" defaultRowHeight="15"/>
  <cols>
    <col min="1" max="1" width="28" customWidth="1"/>
    <col min="2" max="2" width="20" customWidth="1"/>
    <col min="3" max="3" width="28" customWidth="1"/>
    <col min="4" max="4" width="38" customWidth="1"/>
    <col min="5" max="6" width="30" customWidth="1"/>
    <col min="7" max="7" width="35" customWidth="1"/>
    <col min="8" max="8" width="25" customWidth="1"/>
    <col min="9" max="9" width="14" customWidth="1"/>
    <col min="10" max="11" width="16" customWidth="1"/>
    <col min="12" max="13" width="19.85546875" customWidth="1"/>
    <col min="14" max="14" width="13.85546875" customWidth="1"/>
    <col min="15" max="15" width="70.140625" customWidth="1"/>
    <col min="16" max="16" width="21.85546875" customWidth="1"/>
    <col min="17" max="17" width="21.28515625" customWidth="1"/>
    <col min="18" max="18" width="23.7109375" customWidth="1"/>
    <col min="19" max="19" width="25.42578125" customWidth="1"/>
    <col min="20" max="22" width="27.42578125" customWidth="1"/>
    <col min="23" max="23" width="26.28515625" customWidth="1"/>
    <col min="24" max="25" width="23" customWidth="1"/>
  </cols>
  <sheetData>
    <row r="1" spans="1:27" ht="27.75" customHeight="1">
      <c r="A1" s="74" t="s">
        <v>12585</v>
      </c>
      <c r="B1" s="74" t="s">
        <v>12586</v>
      </c>
      <c r="C1" s="74" t="s">
        <v>12587</v>
      </c>
      <c r="D1" s="74" t="s">
        <v>12588</v>
      </c>
      <c r="E1" s="74" t="s">
        <v>12589</v>
      </c>
      <c r="F1" s="67" t="s">
        <v>12590</v>
      </c>
      <c r="G1" s="77" t="s">
        <v>12591</v>
      </c>
      <c r="H1" s="74" t="s">
        <v>12592</v>
      </c>
      <c r="I1" s="74" t="s">
        <v>12593</v>
      </c>
      <c r="J1" s="74" t="s">
        <v>12594</v>
      </c>
      <c r="K1" s="74" t="s">
        <v>12595</v>
      </c>
      <c r="L1" s="78" t="s">
        <v>12596</v>
      </c>
      <c r="M1" s="79" t="s">
        <v>12597</v>
      </c>
      <c r="N1" s="80" t="s">
        <v>12045</v>
      </c>
      <c r="O1" s="80" t="s">
        <v>12598</v>
      </c>
      <c r="P1" s="81" t="s">
        <v>12599</v>
      </c>
      <c r="Q1" s="81" t="s">
        <v>12600</v>
      </c>
      <c r="R1" s="81" t="s">
        <v>12601</v>
      </c>
      <c r="S1" s="99" t="s">
        <v>12602</v>
      </c>
      <c r="T1" s="100" t="s">
        <v>12603</v>
      </c>
      <c r="U1" s="98" t="s">
        <v>12604</v>
      </c>
      <c r="V1" s="98" t="s">
        <v>12605</v>
      </c>
      <c r="W1" s="94" t="s">
        <v>12606</v>
      </c>
      <c r="X1" s="94" t="s">
        <v>12607</v>
      </c>
      <c r="Y1" s="94" t="s">
        <v>12608</v>
      </c>
    </row>
    <row r="2" spans="1:27" ht="15" customHeight="1">
      <c r="A2" s="6" t="s">
        <v>12609</v>
      </c>
      <c r="B2" s="6" t="s">
        <v>12610</v>
      </c>
      <c r="C2" s="6" t="s">
        <v>11726</v>
      </c>
      <c r="D2" s="6" t="s">
        <v>11702</v>
      </c>
      <c r="E2" s="6" t="s">
        <v>170</v>
      </c>
      <c r="F2" s="6" t="s">
        <v>6427</v>
      </c>
      <c r="G2" s="47" t="s">
        <v>12611</v>
      </c>
      <c r="H2" s="6" t="s">
        <v>12612</v>
      </c>
      <c r="I2" s="6" t="s">
        <v>11124</v>
      </c>
      <c r="J2" s="6" t="s">
        <v>12613</v>
      </c>
      <c r="K2" s="45" t="s">
        <v>73</v>
      </c>
      <c r="L2" s="11" t="s">
        <v>12614</v>
      </c>
      <c r="M2" s="11" t="s">
        <v>12615</v>
      </c>
      <c r="N2" s="41">
        <v>111</v>
      </c>
      <c r="O2" s="41" t="s">
        <v>12616</v>
      </c>
      <c r="P2" s="82" t="s">
        <v>12566</v>
      </c>
      <c r="Q2" s="82" t="s">
        <v>12560</v>
      </c>
      <c r="R2" s="82" t="s">
        <v>12569</v>
      </c>
      <c r="S2" s="103" t="s">
        <v>12617</v>
      </c>
      <c r="T2" s="103" t="s">
        <v>12618</v>
      </c>
      <c r="U2" s="26">
        <v>6.2575902589999997</v>
      </c>
      <c r="V2" s="26">
        <v>-75.611031069999996</v>
      </c>
      <c r="W2" s="92" t="s">
        <v>12617</v>
      </c>
      <c r="X2" s="88">
        <v>6.7020321249999997</v>
      </c>
      <c r="Y2" s="87">
        <v>-75.504557039999995</v>
      </c>
    </row>
    <row r="3" spans="1:27" ht="15" customHeight="1">
      <c r="A3" s="7" t="s">
        <v>12619</v>
      </c>
      <c r="B3" s="7" t="s">
        <v>12620</v>
      </c>
      <c r="C3" s="7" t="s">
        <v>11687</v>
      </c>
      <c r="D3" s="7" t="s">
        <v>12621</v>
      </c>
      <c r="E3" s="7" t="s">
        <v>70</v>
      </c>
      <c r="F3" s="7" t="s">
        <v>11388</v>
      </c>
      <c r="G3" s="47" t="s">
        <v>69</v>
      </c>
      <c r="H3" s="7" t="s">
        <v>12622</v>
      </c>
      <c r="I3" s="7" t="s">
        <v>61</v>
      </c>
      <c r="J3" s="7" t="s">
        <v>12203</v>
      </c>
      <c r="K3" s="46" t="s">
        <v>65</v>
      </c>
      <c r="L3" s="11" t="s">
        <v>12546</v>
      </c>
      <c r="M3" s="11" t="s">
        <v>12623</v>
      </c>
      <c r="N3" s="42">
        <v>112</v>
      </c>
      <c r="O3" s="42" t="s">
        <v>12624</v>
      </c>
      <c r="P3" s="82" t="s">
        <v>12570</v>
      </c>
      <c r="Q3" s="82" t="s">
        <v>12625</v>
      </c>
      <c r="R3" s="82" t="s">
        <v>12626</v>
      </c>
      <c r="S3" s="103" t="s">
        <v>12617</v>
      </c>
      <c r="T3" s="103" t="s">
        <v>12627</v>
      </c>
      <c r="U3" s="26">
        <v>5.8037281539999999</v>
      </c>
      <c r="V3" s="26">
        <v>-75.438473529999996</v>
      </c>
      <c r="W3" s="93" t="s">
        <v>12628</v>
      </c>
      <c r="X3" s="90">
        <v>10.677009529999999</v>
      </c>
      <c r="Y3" s="89">
        <v>-74.965219489999996</v>
      </c>
    </row>
    <row r="4" spans="1:27" ht="15" customHeight="1">
      <c r="A4" s="7" t="s">
        <v>12629</v>
      </c>
      <c r="B4" s="7" t="s">
        <v>11684</v>
      </c>
      <c r="C4" s="7" t="s">
        <v>11694</v>
      </c>
      <c r="D4" s="7" t="s">
        <v>11741</v>
      </c>
      <c r="E4" s="7" t="s">
        <v>2558</v>
      </c>
      <c r="F4" s="7" t="s">
        <v>495</v>
      </c>
      <c r="G4" s="48" t="s">
        <v>12630</v>
      </c>
      <c r="H4" s="7" t="s">
        <v>12631</v>
      </c>
      <c r="I4" s="7" t="s">
        <v>10825</v>
      </c>
      <c r="J4" s="7" t="s">
        <v>12130</v>
      </c>
      <c r="K4" s="46" t="s">
        <v>12632</v>
      </c>
      <c r="L4" s="12" t="s">
        <v>12494</v>
      </c>
      <c r="M4" s="108" t="s">
        <v>11696</v>
      </c>
      <c r="N4" s="41">
        <v>113</v>
      </c>
      <c r="O4" s="41" t="s">
        <v>12633</v>
      </c>
      <c r="P4" s="82" t="s">
        <v>12634</v>
      </c>
      <c r="Q4" s="82" t="s">
        <v>12563</v>
      </c>
      <c r="R4" s="82"/>
      <c r="S4" s="103" t="s">
        <v>12617</v>
      </c>
      <c r="T4" s="103" t="s">
        <v>12635</v>
      </c>
      <c r="U4" s="26">
        <v>6.6275693779999996</v>
      </c>
      <c r="V4" s="26">
        <v>-76.085977560000003</v>
      </c>
      <c r="W4" s="92" t="s">
        <v>11689</v>
      </c>
      <c r="X4" s="91">
        <v>4.3161076979999997</v>
      </c>
      <c r="Y4" s="87">
        <v>-74.181072700000001</v>
      </c>
    </row>
    <row r="5" spans="1:27" ht="15" customHeight="1">
      <c r="A5" s="6" t="s">
        <v>12636</v>
      </c>
      <c r="B5" s="6" t="s">
        <v>12637</v>
      </c>
      <c r="C5" s="6" t="s">
        <v>12638</v>
      </c>
      <c r="D5" s="6" t="s">
        <v>11756</v>
      </c>
      <c r="F5" t="s">
        <v>1489</v>
      </c>
      <c r="G5" s="47" t="s">
        <v>12639</v>
      </c>
      <c r="H5" s="6" t="s">
        <v>12060</v>
      </c>
      <c r="I5" s="6" t="s">
        <v>12640</v>
      </c>
      <c r="J5" s="6" t="s">
        <v>12055</v>
      </c>
      <c r="K5" s="45" t="s">
        <v>12641</v>
      </c>
      <c r="M5" s="12" t="s">
        <v>12642</v>
      </c>
      <c r="N5" s="42">
        <v>114</v>
      </c>
      <c r="O5" s="42" t="s">
        <v>12643</v>
      </c>
      <c r="P5" s="82" t="s">
        <v>12632</v>
      </c>
      <c r="Q5" s="82" t="s">
        <v>12644</v>
      </c>
      <c r="R5" s="82"/>
      <c r="S5" s="103" t="s">
        <v>12617</v>
      </c>
      <c r="T5" s="103" t="s">
        <v>12645</v>
      </c>
      <c r="U5" s="26">
        <v>6.3655341249999999</v>
      </c>
      <c r="V5" s="26">
        <v>-75.090597020000004</v>
      </c>
      <c r="W5" s="93" t="s">
        <v>12646</v>
      </c>
      <c r="X5" s="90">
        <v>8.0797968630000003</v>
      </c>
      <c r="Y5" s="89">
        <v>-74.235148140000007</v>
      </c>
    </row>
    <row r="6" spans="1:27" ht="15" customHeight="1">
      <c r="A6" s="7" t="s">
        <v>12647</v>
      </c>
      <c r="B6" s="7" t="s">
        <v>12648</v>
      </c>
      <c r="D6" s="7" t="s">
        <v>12649</v>
      </c>
      <c r="F6" t="s">
        <v>169</v>
      </c>
      <c r="G6" s="48" t="s">
        <v>12650</v>
      </c>
      <c r="H6" s="7" t="s">
        <v>12324</v>
      </c>
      <c r="I6" s="7" t="s">
        <v>12041</v>
      </c>
      <c r="M6" t="s">
        <v>11703</v>
      </c>
      <c r="N6" s="41">
        <v>115</v>
      </c>
      <c r="O6" s="41" t="s">
        <v>12651</v>
      </c>
      <c r="P6" s="82"/>
      <c r="Q6" s="82" t="s">
        <v>12652</v>
      </c>
      <c r="R6" s="82"/>
      <c r="S6" s="103" t="s">
        <v>12617</v>
      </c>
      <c r="T6" s="103" t="s">
        <v>12653</v>
      </c>
      <c r="U6" s="26">
        <v>6.0329219939999996</v>
      </c>
      <c r="V6" s="26">
        <v>-75.708003099999999</v>
      </c>
      <c r="W6" s="92" t="s">
        <v>12654</v>
      </c>
      <c r="X6" s="91">
        <v>5.8916728889999996</v>
      </c>
      <c r="Y6" s="87">
        <v>-72.627880540000007</v>
      </c>
    </row>
    <row r="7" spans="1:27" ht="15" customHeight="1">
      <c r="A7" s="6" t="s">
        <v>12655</v>
      </c>
      <c r="D7" s="6" t="s">
        <v>11738</v>
      </c>
      <c r="F7" t="s">
        <v>7671</v>
      </c>
      <c r="G7" s="47" t="s">
        <v>12656</v>
      </c>
      <c r="H7" s="6" t="s">
        <v>12657</v>
      </c>
      <c r="I7" s="6" t="s">
        <v>12632</v>
      </c>
      <c r="N7" s="42">
        <v>119</v>
      </c>
      <c r="O7" s="42" t="s">
        <v>12658</v>
      </c>
      <c r="P7" s="82"/>
      <c r="Q7" s="82" t="s">
        <v>12659</v>
      </c>
      <c r="R7" s="82"/>
      <c r="S7" s="103" t="s">
        <v>12617</v>
      </c>
      <c r="T7" s="103" t="s">
        <v>12660</v>
      </c>
      <c r="U7" s="26">
        <v>6.9777888429999999</v>
      </c>
      <c r="V7" s="26">
        <v>-74.981239299999999</v>
      </c>
      <c r="W7" s="93" t="s">
        <v>12661</v>
      </c>
      <c r="X7" s="90">
        <v>5.2801399780000002</v>
      </c>
      <c r="Y7" s="89">
        <v>-75.274983039999995</v>
      </c>
    </row>
    <row r="8" spans="1:27" ht="15" customHeight="1">
      <c r="A8" s="7" t="s">
        <v>12662</v>
      </c>
      <c r="D8" s="7" t="s">
        <v>11851</v>
      </c>
      <c r="F8" t="s">
        <v>7284</v>
      </c>
      <c r="G8" s="48" t="s">
        <v>12663</v>
      </c>
      <c r="H8" s="7" t="s">
        <v>12664</v>
      </c>
      <c r="N8" s="41">
        <v>121</v>
      </c>
      <c r="O8" s="41" t="s">
        <v>12665</v>
      </c>
      <c r="P8" s="82"/>
      <c r="Q8" s="82"/>
      <c r="R8" s="82"/>
      <c r="S8" s="103" t="s">
        <v>12617</v>
      </c>
      <c r="T8" s="103" t="s">
        <v>12666</v>
      </c>
      <c r="U8" s="26">
        <v>5.6049932480000004</v>
      </c>
      <c r="V8" s="26">
        <v>-75.941283909999996</v>
      </c>
      <c r="W8" s="92" t="s">
        <v>12667</v>
      </c>
      <c r="X8" s="91">
        <v>0.79855619499999997</v>
      </c>
      <c r="Y8" s="87">
        <v>-73.959467559999993</v>
      </c>
    </row>
    <row r="9" spans="1:27" ht="15" customHeight="1">
      <c r="A9" s="8" t="s">
        <v>12668</v>
      </c>
      <c r="D9" s="6" t="s">
        <v>11778</v>
      </c>
      <c r="F9" t="s">
        <v>68</v>
      </c>
      <c r="G9" s="47" t="s">
        <v>12669</v>
      </c>
      <c r="H9" s="6" t="s">
        <v>12670</v>
      </c>
      <c r="N9" s="42">
        <v>122</v>
      </c>
      <c r="O9" s="42" t="s">
        <v>12671</v>
      </c>
      <c r="P9" s="82"/>
      <c r="S9" s="103" t="s">
        <v>12617</v>
      </c>
      <c r="T9" s="103" t="s">
        <v>12672</v>
      </c>
      <c r="U9" s="26">
        <v>6.1214303030000004</v>
      </c>
      <c r="V9" s="26">
        <v>-75.715949660000007</v>
      </c>
      <c r="W9" s="93" t="s">
        <v>12673</v>
      </c>
      <c r="X9" s="90">
        <v>2.3968338870000001</v>
      </c>
      <c r="Y9" s="89">
        <v>-76.82423283</v>
      </c>
      <c r="AA9" t="s">
        <v>12674</v>
      </c>
    </row>
    <row r="10" spans="1:27" ht="15" customHeight="1">
      <c r="A10" t="s">
        <v>63</v>
      </c>
      <c r="D10" s="7" t="s">
        <v>12675</v>
      </c>
      <c r="G10" s="6" t="s">
        <v>12676</v>
      </c>
      <c r="H10" s="7" t="s">
        <v>12156</v>
      </c>
      <c r="N10" s="41">
        <v>123</v>
      </c>
      <c r="O10" s="41" t="s">
        <v>12677</v>
      </c>
      <c r="P10" s="82"/>
      <c r="S10" s="103" t="s">
        <v>12617</v>
      </c>
      <c r="T10" s="103" t="s">
        <v>12678</v>
      </c>
      <c r="U10" s="26">
        <v>6.8614987640000003</v>
      </c>
      <c r="V10" s="26">
        <v>-75.358316000000002</v>
      </c>
      <c r="W10" s="92" t="s">
        <v>12679</v>
      </c>
      <c r="X10" s="91">
        <v>9.5366599300000008</v>
      </c>
      <c r="Y10" s="87">
        <v>-73.517831540000003</v>
      </c>
    </row>
    <row r="11" spans="1:27" ht="15" customHeight="1">
      <c r="A11" s="6" t="s">
        <v>12680</v>
      </c>
      <c r="D11" s="6" t="s">
        <v>11910</v>
      </c>
      <c r="G11" s="7" t="s">
        <v>12681</v>
      </c>
      <c r="H11" s="6" t="s">
        <v>12682</v>
      </c>
      <c r="N11" s="42">
        <v>124</v>
      </c>
      <c r="O11" s="42" t="s">
        <v>12683</v>
      </c>
      <c r="P11" s="82"/>
      <c r="S11" s="103" t="s">
        <v>12617</v>
      </c>
      <c r="T11" s="103" t="s">
        <v>12684</v>
      </c>
      <c r="U11" s="26">
        <v>7.1931107780000003</v>
      </c>
      <c r="V11" s="26">
        <v>-75.108489539999994</v>
      </c>
      <c r="W11" s="93" t="s">
        <v>12685</v>
      </c>
      <c r="X11" s="90">
        <v>8.3585497540000002</v>
      </c>
      <c r="Y11" s="89">
        <v>-75.792008719999998</v>
      </c>
    </row>
    <row r="12" spans="1:27" ht="15" customHeight="1">
      <c r="C12" s="1"/>
      <c r="D12" s="7" t="s">
        <v>11736</v>
      </c>
      <c r="G12" s="6" t="s">
        <v>12686</v>
      </c>
      <c r="H12" s="7" t="s">
        <v>12687</v>
      </c>
      <c r="N12" s="41">
        <v>125</v>
      </c>
      <c r="O12" s="41" t="s">
        <v>12688</v>
      </c>
      <c r="P12" s="82"/>
      <c r="S12" s="103" t="s">
        <v>12617</v>
      </c>
      <c r="T12" s="103" t="s">
        <v>12689</v>
      </c>
      <c r="U12" s="26">
        <v>6.5357115759999997</v>
      </c>
      <c r="V12" s="26">
        <v>-75.904266579999998</v>
      </c>
      <c r="W12" s="92" t="s">
        <v>11714</v>
      </c>
      <c r="X12" s="91">
        <v>4.7711207160000004</v>
      </c>
      <c r="Y12" s="87">
        <v>-74.431110919999995</v>
      </c>
    </row>
    <row r="13" spans="1:27" ht="15" customHeight="1">
      <c r="D13" s="6" t="s">
        <v>12038</v>
      </c>
      <c r="G13" s="7" t="s">
        <v>12690</v>
      </c>
      <c r="N13" s="42">
        <v>126</v>
      </c>
      <c r="O13" s="42" t="s">
        <v>12691</v>
      </c>
      <c r="P13" s="82"/>
      <c r="S13" s="103" t="s">
        <v>12617</v>
      </c>
      <c r="T13" s="103" t="s">
        <v>12692</v>
      </c>
      <c r="U13" s="26">
        <v>6.2935466130000002</v>
      </c>
      <c r="V13" s="26">
        <v>-75.917369269999995</v>
      </c>
      <c r="W13" s="93" t="s">
        <v>12693</v>
      </c>
      <c r="X13" s="90">
        <v>5.3975815420000002</v>
      </c>
      <c r="Y13" s="89">
        <v>-76.942811000000006</v>
      </c>
    </row>
    <row r="14" spans="1:27" ht="15" customHeight="1">
      <c r="D14" s="7" t="s">
        <v>12010</v>
      </c>
      <c r="G14" s="6" t="s">
        <v>12694</v>
      </c>
      <c r="N14" s="41">
        <v>127</v>
      </c>
      <c r="O14" s="41" t="s">
        <v>12695</v>
      </c>
      <c r="P14" s="82"/>
      <c r="S14" s="103" t="s">
        <v>12617</v>
      </c>
      <c r="T14" s="103" t="s">
        <v>12696</v>
      </c>
      <c r="U14" s="26">
        <v>7.8604781499999996</v>
      </c>
      <c r="V14" s="26">
        <v>-76.582362639999999</v>
      </c>
      <c r="W14" s="92" t="s">
        <v>12697</v>
      </c>
      <c r="X14" s="91">
        <v>2.570143029</v>
      </c>
      <c r="Y14" s="87">
        <v>-75.584348360000007</v>
      </c>
    </row>
    <row r="15" spans="1:27" ht="15" customHeight="1">
      <c r="D15" s="6" t="s">
        <v>11686</v>
      </c>
      <c r="G15" s="6" t="s">
        <v>12698</v>
      </c>
      <c r="N15" s="42">
        <v>128</v>
      </c>
      <c r="O15" s="42" t="s">
        <v>12699</v>
      </c>
      <c r="P15" s="82"/>
      <c r="S15" s="103" t="s">
        <v>12617</v>
      </c>
      <c r="T15" s="103" t="s">
        <v>12700</v>
      </c>
      <c r="U15" s="26">
        <v>8.6113952620000003</v>
      </c>
      <c r="V15" s="26">
        <v>-76.414783170000007</v>
      </c>
      <c r="W15" s="93" t="s">
        <v>12701</v>
      </c>
      <c r="X15" s="90">
        <v>11.476870079999999</v>
      </c>
      <c r="Y15" s="89">
        <v>-72.429510719999996</v>
      </c>
    </row>
    <row r="16" spans="1:27" ht="15" customHeight="1">
      <c r="D16" s="7" t="s">
        <v>12702</v>
      </c>
      <c r="G16" s="7" t="s">
        <v>12703</v>
      </c>
      <c r="N16" s="41">
        <v>129</v>
      </c>
      <c r="O16" s="41" t="s">
        <v>12704</v>
      </c>
      <c r="P16" s="82"/>
      <c r="S16" s="103" t="s">
        <v>12617</v>
      </c>
      <c r="T16" s="103" t="s">
        <v>12705</v>
      </c>
      <c r="U16" s="26">
        <v>5.708114524</v>
      </c>
      <c r="V16" s="26">
        <v>-75.094697949999997</v>
      </c>
      <c r="W16" s="92" t="s">
        <v>12706</v>
      </c>
      <c r="X16" s="91">
        <v>10.24738355</v>
      </c>
      <c r="Y16" s="87">
        <v>-74.261757329999995</v>
      </c>
    </row>
    <row r="17" spans="4:25" ht="15" customHeight="1">
      <c r="D17" s="6" t="s">
        <v>11789</v>
      </c>
      <c r="G17" s="6" t="s">
        <v>12707</v>
      </c>
      <c r="N17" s="42">
        <v>130</v>
      </c>
      <c r="O17" s="42" t="s">
        <v>12708</v>
      </c>
      <c r="P17" s="82"/>
      <c r="S17" s="103" t="s">
        <v>12617</v>
      </c>
      <c r="T17" s="103" t="s">
        <v>12709</v>
      </c>
      <c r="U17" s="26">
        <v>6.1636837580000003</v>
      </c>
      <c r="V17" s="26">
        <v>-75.809955279999997</v>
      </c>
      <c r="W17" s="93" t="s">
        <v>12710</v>
      </c>
      <c r="X17" s="90">
        <v>3.3455627319999999</v>
      </c>
      <c r="Y17" s="89">
        <v>-72.956459879999997</v>
      </c>
    </row>
    <row r="18" spans="4:25" ht="15" customHeight="1">
      <c r="D18" s="7" t="s">
        <v>11768</v>
      </c>
      <c r="G18" s="7" t="s">
        <v>12711</v>
      </c>
      <c r="N18" s="41">
        <v>141</v>
      </c>
      <c r="O18" s="41" t="s">
        <v>12712</v>
      </c>
      <c r="P18" s="82"/>
      <c r="S18" s="103" t="s">
        <v>12617</v>
      </c>
      <c r="T18" s="103" t="s">
        <v>12713</v>
      </c>
      <c r="U18" s="26">
        <v>6.4434179350000003</v>
      </c>
      <c r="V18" s="26">
        <v>-75.329240850000005</v>
      </c>
      <c r="W18" s="92" t="s">
        <v>12714</v>
      </c>
      <c r="X18" s="91">
        <v>1.5710949869999999</v>
      </c>
      <c r="Y18" s="87">
        <v>-77.870204959999995</v>
      </c>
    </row>
    <row r="19" spans="4:25" ht="15" customHeight="1">
      <c r="D19" s="6" t="s">
        <v>12023</v>
      </c>
      <c r="N19" s="42">
        <v>142</v>
      </c>
      <c r="O19" s="42" t="s">
        <v>12715</v>
      </c>
      <c r="P19" s="82"/>
      <c r="S19" s="103" t="s">
        <v>12617</v>
      </c>
      <c r="T19" s="103" t="s">
        <v>12716</v>
      </c>
      <c r="U19" s="26">
        <v>6.6658539530000001</v>
      </c>
      <c r="V19" s="26">
        <v>-75.686216590000001</v>
      </c>
      <c r="W19" s="93" t="s">
        <v>12717</v>
      </c>
      <c r="X19" s="90">
        <v>8.0951375100000007</v>
      </c>
      <c r="Y19" s="89">
        <v>-72.881882970000007</v>
      </c>
    </row>
    <row r="20" spans="4:25" ht="15" customHeight="1">
      <c r="D20" s="7" t="s">
        <v>11693</v>
      </c>
      <c r="N20" s="41">
        <v>143</v>
      </c>
      <c r="O20" s="41" t="s">
        <v>12718</v>
      </c>
      <c r="P20" s="82"/>
      <c r="S20" s="103" t="s">
        <v>12617</v>
      </c>
      <c r="T20" s="103" t="s">
        <v>12719</v>
      </c>
      <c r="U20" s="26">
        <v>6.358841086</v>
      </c>
      <c r="V20" s="26">
        <v>-75.589735880000006</v>
      </c>
      <c r="W20" s="92" t="s">
        <v>12720</v>
      </c>
      <c r="X20" s="91">
        <v>4.4552415669999998</v>
      </c>
      <c r="Y20" s="87">
        <v>-75.689628529999993</v>
      </c>
    </row>
    <row r="21" spans="4:25" ht="15" customHeight="1">
      <c r="D21" s="6" t="s">
        <v>11859</v>
      </c>
      <c r="N21" s="42">
        <v>144</v>
      </c>
      <c r="O21" s="42" t="s">
        <v>12721</v>
      </c>
      <c r="P21" s="82"/>
      <c r="S21" s="103" t="s">
        <v>12617</v>
      </c>
      <c r="T21" s="103" t="s">
        <v>12722</v>
      </c>
      <c r="U21" s="26">
        <v>5.7270812849999997</v>
      </c>
      <c r="V21" s="26">
        <v>-75.986891069999999</v>
      </c>
      <c r="W21" s="93" t="s">
        <v>12723</v>
      </c>
      <c r="X21" s="90">
        <v>5.2407572389999997</v>
      </c>
      <c r="Y21" s="89">
        <v>-76.002444690000004</v>
      </c>
    </row>
    <row r="22" spans="4:25" ht="15" customHeight="1">
      <c r="D22" s="7" t="s">
        <v>11699</v>
      </c>
      <c r="N22" s="41">
        <v>145</v>
      </c>
      <c r="O22" s="41" t="s">
        <v>12724</v>
      </c>
      <c r="P22" s="82"/>
      <c r="S22" s="103" t="s">
        <v>12617</v>
      </c>
      <c r="T22" s="103" t="s">
        <v>12725</v>
      </c>
      <c r="U22" s="26">
        <v>6.1857836119999998</v>
      </c>
      <c r="V22" s="26">
        <v>-75.956492460000007</v>
      </c>
      <c r="W22" s="92" t="s">
        <v>12726</v>
      </c>
      <c r="X22" s="91">
        <v>6.6936331840000003</v>
      </c>
      <c r="Y22" s="87">
        <v>-73.486008940000005</v>
      </c>
    </row>
    <row r="23" spans="4:25" ht="15" customHeight="1">
      <c r="D23" s="6" t="s">
        <v>11886</v>
      </c>
      <c r="N23" s="42">
        <v>149</v>
      </c>
      <c r="O23" s="42" t="s">
        <v>12727</v>
      </c>
      <c r="P23" s="82"/>
      <c r="S23" s="103" t="s">
        <v>12617</v>
      </c>
      <c r="T23" s="103" t="s">
        <v>12728</v>
      </c>
      <c r="U23" s="26">
        <v>5.8409956660000004</v>
      </c>
      <c r="V23" s="26">
        <v>-76.010652530000002</v>
      </c>
      <c r="W23" s="93" t="s">
        <v>12729</v>
      </c>
      <c r="X23" s="90">
        <v>9.0649414480000008</v>
      </c>
      <c r="Y23" s="89">
        <v>-75.109817550000002</v>
      </c>
    </row>
    <row r="24" spans="4:25" ht="15" customHeight="1">
      <c r="D24" s="7" t="s">
        <v>11938</v>
      </c>
      <c r="N24" s="41">
        <v>150</v>
      </c>
      <c r="O24" s="41" t="s">
        <v>12730</v>
      </c>
      <c r="P24" s="82"/>
      <c r="S24" s="103" t="s">
        <v>12617</v>
      </c>
      <c r="T24" s="103" t="s">
        <v>12731</v>
      </c>
      <c r="U24" s="26">
        <v>7.1117884619999998</v>
      </c>
      <c r="V24" s="26">
        <v>-75.562234739999994</v>
      </c>
      <c r="W24" s="92" t="s">
        <v>12732</v>
      </c>
      <c r="X24" s="91">
        <v>4.0347725199999998</v>
      </c>
      <c r="Y24" s="87">
        <v>-75.255827100000005</v>
      </c>
    </row>
    <row r="25" spans="4:25" ht="15" customHeight="1">
      <c r="D25" s="6" t="s">
        <v>11791</v>
      </c>
      <c r="N25" s="42">
        <v>161</v>
      </c>
      <c r="O25" s="42" t="s">
        <v>12733</v>
      </c>
      <c r="P25" s="82"/>
      <c r="S25" s="103" t="s">
        <v>12617</v>
      </c>
      <c r="T25" s="103" t="s">
        <v>12734</v>
      </c>
      <c r="U25" s="26">
        <v>6.8090648900000001</v>
      </c>
      <c r="V25" s="26">
        <v>-75.912065949999999</v>
      </c>
      <c r="W25" s="93" t="s">
        <v>12735</v>
      </c>
      <c r="X25" s="90">
        <v>3.569858693</v>
      </c>
      <c r="Y25" s="89">
        <v>-76.628504269999993</v>
      </c>
    </row>
    <row r="26" spans="4:25" ht="15" customHeight="1">
      <c r="D26" s="7" t="s">
        <v>11749</v>
      </c>
      <c r="N26" s="41">
        <v>162</v>
      </c>
      <c r="O26" s="41" t="s">
        <v>12736</v>
      </c>
      <c r="P26" s="82"/>
      <c r="S26" s="103" t="s">
        <v>12617</v>
      </c>
      <c r="T26" s="103" t="s">
        <v>12737</v>
      </c>
      <c r="U26" s="26">
        <v>7.6651551050000002</v>
      </c>
      <c r="V26" s="26">
        <v>-75.223697439999995</v>
      </c>
      <c r="W26" s="92" t="s">
        <v>12738</v>
      </c>
      <c r="X26" s="91">
        <v>6.5695772149999998</v>
      </c>
      <c r="Y26" s="87">
        <v>-70.96732394</v>
      </c>
    </row>
    <row r="27" spans="4:25" ht="15" customHeight="1">
      <c r="D27" s="6" t="s">
        <v>11801</v>
      </c>
      <c r="N27" s="42">
        <v>163</v>
      </c>
      <c r="O27" s="42" t="s">
        <v>12739</v>
      </c>
      <c r="P27" s="82"/>
      <c r="S27" s="103" t="s">
        <v>12617</v>
      </c>
      <c r="T27" s="103" t="s">
        <v>12740</v>
      </c>
      <c r="U27" s="26">
        <v>6.4234636390000004</v>
      </c>
      <c r="V27" s="26">
        <v>-75.99351498</v>
      </c>
      <c r="W27" s="93" t="s">
        <v>12741</v>
      </c>
      <c r="X27" s="90">
        <v>5.404064237</v>
      </c>
      <c r="Y27" s="89">
        <v>-71.601880730000005</v>
      </c>
    </row>
    <row r="28" spans="4:25" ht="15" customHeight="1">
      <c r="D28" s="7" t="s">
        <v>11709</v>
      </c>
      <c r="N28" s="41">
        <v>164</v>
      </c>
      <c r="O28" s="41" t="s">
        <v>12742</v>
      </c>
      <c r="P28" s="82"/>
      <c r="S28" s="103" t="s">
        <v>12617</v>
      </c>
      <c r="T28" s="103" t="s">
        <v>12661</v>
      </c>
      <c r="U28" s="26">
        <v>6.0544468409999999</v>
      </c>
      <c r="V28" s="26">
        <v>-75.626426739999999</v>
      </c>
      <c r="W28" s="92" t="s">
        <v>12743</v>
      </c>
      <c r="X28" s="91">
        <v>0.36730309999999999</v>
      </c>
      <c r="Y28" s="87">
        <v>-75.514061830000003</v>
      </c>
    </row>
    <row r="29" spans="4:25" ht="15" customHeight="1">
      <c r="N29" s="42">
        <v>170</v>
      </c>
      <c r="O29" s="42" t="s">
        <v>12744</v>
      </c>
      <c r="P29" s="82"/>
      <c r="S29" s="103" t="s">
        <v>12617</v>
      </c>
      <c r="T29" s="103" t="s">
        <v>12745</v>
      </c>
      <c r="U29" s="26">
        <v>7.0360174779999998</v>
      </c>
      <c r="V29" s="26">
        <v>-75.287661779999993</v>
      </c>
      <c r="W29" s="93" t="s">
        <v>12746</v>
      </c>
      <c r="X29" s="90">
        <v>12.54311512</v>
      </c>
      <c r="Y29" s="89">
        <v>-81.71762382</v>
      </c>
    </row>
    <row r="30" spans="4:25" ht="15" customHeight="1">
      <c r="N30" s="41">
        <v>210</v>
      </c>
      <c r="O30" s="41" t="s">
        <v>12747</v>
      </c>
      <c r="P30" s="82"/>
      <c r="S30" s="103" t="s">
        <v>12617</v>
      </c>
      <c r="T30" s="103" t="s">
        <v>12748</v>
      </c>
      <c r="U30" s="26">
        <v>6.8149500229999997</v>
      </c>
      <c r="V30" s="26">
        <v>-76.026896320000006</v>
      </c>
      <c r="W30" s="92" t="s">
        <v>12749</v>
      </c>
      <c r="X30" s="91">
        <v>-1.5462276800000001</v>
      </c>
      <c r="Y30" s="87">
        <v>-71.502128580000004</v>
      </c>
    </row>
    <row r="31" spans="4:25" ht="15" customHeight="1">
      <c r="N31" s="42">
        <v>220</v>
      </c>
      <c r="O31" s="42" t="s">
        <v>12750</v>
      </c>
      <c r="P31" s="82"/>
      <c r="S31" s="103" t="s">
        <v>12617</v>
      </c>
      <c r="T31" s="103" t="s">
        <v>12751</v>
      </c>
      <c r="U31" s="26">
        <v>6.3379738799999998</v>
      </c>
      <c r="V31" s="26">
        <v>-74.733548170000006</v>
      </c>
      <c r="W31" s="93" t="s">
        <v>12752</v>
      </c>
      <c r="X31" s="90">
        <v>2.727842865</v>
      </c>
      <c r="Y31" s="89">
        <v>-68.816612719999995</v>
      </c>
    </row>
    <row r="32" spans="4:25" ht="15" customHeight="1">
      <c r="N32" s="41">
        <v>230</v>
      </c>
      <c r="O32" s="41" t="s">
        <v>12753</v>
      </c>
      <c r="P32" s="82"/>
      <c r="S32" s="103" t="s">
        <v>12617</v>
      </c>
      <c r="T32" s="103" t="s">
        <v>12754</v>
      </c>
      <c r="U32" s="26">
        <v>5.5552752959999996</v>
      </c>
      <c r="V32" s="26">
        <v>-75.630820959999994</v>
      </c>
      <c r="W32" s="92" t="s">
        <v>12755</v>
      </c>
      <c r="X32" s="91">
        <v>1.9245319729999999</v>
      </c>
      <c r="Y32" s="87">
        <v>-72.128595689999997</v>
      </c>
    </row>
    <row r="33" spans="14:25" ht="15" customHeight="1">
      <c r="N33" s="42">
        <v>240</v>
      </c>
      <c r="O33" s="42" t="s">
        <v>12756</v>
      </c>
      <c r="P33" s="82"/>
      <c r="S33" s="103" t="s">
        <v>12617</v>
      </c>
      <c r="T33" s="103" t="s">
        <v>12757</v>
      </c>
      <c r="U33" s="26">
        <v>7.7579674369999996</v>
      </c>
      <c r="V33" s="26">
        <v>-76.643746570000005</v>
      </c>
      <c r="W33" s="93" t="s">
        <v>12758</v>
      </c>
      <c r="X33" s="90">
        <v>0.64624561000000003</v>
      </c>
      <c r="Y33" s="89">
        <v>-70.561405660000005</v>
      </c>
    </row>
    <row r="34" spans="14:25" ht="15" customHeight="1">
      <c r="N34" s="41">
        <v>311</v>
      </c>
      <c r="O34" s="41" t="s">
        <v>12759</v>
      </c>
      <c r="P34" s="82"/>
      <c r="S34" s="103" t="s">
        <v>12617</v>
      </c>
      <c r="T34" s="103" t="s">
        <v>12760</v>
      </c>
      <c r="U34" s="26">
        <v>5.9780788410000003</v>
      </c>
      <c r="V34" s="26">
        <v>-75.263536099999996</v>
      </c>
      <c r="W34" s="95" t="s">
        <v>12761</v>
      </c>
      <c r="X34" s="96">
        <v>4.7135571250000003</v>
      </c>
      <c r="Y34" s="97">
        <v>-69.414000110000003</v>
      </c>
    </row>
    <row r="35" spans="14:25" ht="15" customHeight="1">
      <c r="N35" s="42">
        <v>312</v>
      </c>
      <c r="O35" s="42" t="s">
        <v>12762</v>
      </c>
      <c r="P35" s="82"/>
      <c r="S35" s="103" t="s">
        <v>12617</v>
      </c>
      <c r="T35" s="103" t="s">
        <v>12763</v>
      </c>
      <c r="U35" s="26">
        <v>6.7548214419999999</v>
      </c>
      <c r="V35" s="26">
        <v>-75.305906539999995</v>
      </c>
    </row>
    <row r="36" spans="14:25" ht="15" customHeight="1">
      <c r="N36" s="41">
        <v>321</v>
      </c>
      <c r="O36" s="41" t="s">
        <v>12764</v>
      </c>
      <c r="P36" s="82"/>
      <c r="S36" s="103" t="s">
        <v>12617</v>
      </c>
      <c r="T36" s="103" t="s">
        <v>12765</v>
      </c>
      <c r="U36" s="26">
        <v>7.8679417919999999</v>
      </c>
      <c r="V36" s="26">
        <v>-75.035018239999999</v>
      </c>
    </row>
    <row r="37" spans="14:25" ht="15" customHeight="1">
      <c r="N37" s="42">
        <v>322</v>
      </c>
      <c r="O37" s="42" t="s">
        <v>12766</v>
      </c>
      <c r="P37" s="82"/>
      <c r="S37" s="103" t="s">
        <v>12617</v>
      </c>
      <c r="T37" s="103" t="s">
        <v>12767</v>
      </c>
      <c r="U37" s="26">
        <v>7.6316656439999999</v>
      </c>
      <c r="V37" s="26">
        <v>-76.639642129999999</v>
      </c>
    </row>
    <row r="38" spans="14:25" ht="15" customHeight="1">
      <c r="N38" s="41">
        <v>510</v>
      </c>
      <c r="O38" s="41" t="s">
        <v>12768</v>
      </c>
      <c r="P38" s="82"/>
      <c r="S38" s="103" t="s">
        <v>12617</v>
      </c>
      <c r="T38" s="103" t="s">
        <v>12769</v>
      </c>
      <c r="U38" s="26">
        <v>6.5500654310000002</v>
      </c>
      <c r="V38" s="26">
        <v>-75.082541160000005</v>
      </c>
    </row>
    <row r="39" spans="14:25" ht="15" customHeight="1">
      <c r="N39" s="42">
        <v>520</v>
      </c>
      <c r="O39" s="42" t="s">
        <v>12770</v>
      </c>
      <c r="P39" s="82"/>
      <c r="S39" s="103" t="s">
        <v>12617</v>
      </c>
      <c r="T39" s="103" t="s">
        <v>12771</v>
      </c>
      <c r="U39" s="26">
        <v>6.0055930740000001</v>
      </c>
      <c r="V39" s="26">
        <v>-75.160154030000001</v>
      </c>
    </row>
    <row r="40" spans="14:25" ht="15" customHeight="1">
      <c r="N40" s="41">
        <v>610</v>
      </c>
      <c r="O40" s="41" t="s">
        <v>12772</v>
      </c>
      <c r="P40" s="82"/>
      <c r="S40" s="103" t="s">
        <v>12617</v>
      </c>
      <c r="T40" s="103" t="s">
        <v>12773</v>
      </c>
      <c r="U40" s="26">
        <v>6.3761061870000004</v>
      </c>
      <c r="V40" s="26">
        <v>-75.217859009999998</v>
      </c>
    </row>
    <row r="41" spans="14:25" ht="15" customHeight="1">
      <c r="N41" s="42">
        <v>620</v>
      </c>
      <c r="O41" s="42" t="s">
        <v>12774</v>
      </c>
      <c r="P41" s="82"/>
      <c r="S41" s="103" t="s">
        <v>12617</v>
      </c>
      <c r="T41" s="103" t="s">
        <v>12775</v>
      </c>
      <c r="U41" s="26">
        <v>6.0574686780000002</v>
      </c>
      <c r="V41" s="26">
        <v>-75.90014678</v>
      </c>
    </row>
    <row r="42" spans="14:25" ht="15" customHeight="1">
      <c r="N42" s="41">
        <v>710</v>
      </c>
      <c r="O42" s="41" t="s">
        <v>12776</v>
      </c>
      <c r="P42" s="82"/>
      <c r="S42" s="103" t="s">
        <v>12617</v>
      </c>
      <c r="T42" s="103" t="s">
        <v>12777</v>
      </c>
      <c r="U42" s="26">
        <v>6.351882893</v>
      </c>
      <c r="V42" s="26">
        <v>-75.500756330000002</v>
      </c>
    </row>
    <row r="43" spans="14:25" ht="15" customHeight="1">
      <c r="N43" s="42">
        <v>721</v>
      </c>
      <c r="O43" s="42" t="s">
        <v>12778</v>
      </c>
      <c r="P43" s="82"/>
      <c r="S43" s="103" t="s">
        <v>12617</v>
      </c>
      <c r="T43" s="103" t="s">
        <v>12779</v>
      </c>
      <c r="U43" s="26">
        <v>6.9922437820000001</v>
      </c>
      <c r="V43" s="26">
        <v>-76.314263280000006</v>
      </c>
    </row>
    <row r="44" spans="14:25" ht="15" customHeight="1">
      <c r="N44" s="41">
        <v>722</v>
      </c>
      <c r="O44" s="41" t="s">
        <v>12780</v>
      </c>
      <c r="P44" s="82"/>
      <c r="S44" s="103" t="s">
        <v>12617</v>
      </c>
      <c r="T44" s="103" t="s">
        <v>12781</v>
      </c>
      <c r="U44" s="26">
        <v>6.4924039049999998</v>
      </c>
      <c r="V44" s="26">
        <v>-75.422276870000005</v>
      </c>
    </row>
    <row r="45" spans="14:25" ht="15" customHeight="1">
      <c r="N45" s="42">
        <v>723</v>
      </c>
      <c r="O45" s="42" t="s">
        <v>12782</v>
      </c>
      <c r="P45" s="82"/>
      <c r="S45" s="103" t="s">
        <v>12617</v>
      </c>
      <c r="T45" s="103" t="s">
        <v>12783</v>
      </c>
      <c r="U45" s="26">
        <v>6.3264449220000003</v>
      </c>
      <c r="V45" s="26">
        <v>-75.783311749999996</v>
      </c>
    </row>
    <row r="46" spans="14:25" ht="15" customHeight="1">
      <c r="N46" s="41">
        <v>729</v>
      </c>
      <c r="O46" s="41" t="s">
        <v>12784</v>
      </c>
      <c r="P46" s="82"/>
      <c r="S46" s="103" t="s">
        <v>12617</v>
      </c>
      <c r="T46" s="103" t="s">
        <v>12785</v>
      </c>
      <c r="U46" s="26">
        <v>7.704633351</v>
      </c>
      <c r="V46" s="26">
        <v>-74.664277260000006</v>
      </c>
    </row>
    <row r="47" spans="14:25" ht="15" customHeight="1">
      <c r="N47" s="42">
        <v>811</v>
      </c>
      <c r="O47" s="42" t="s">
        <v>12786</v>
      </c>
      <c r="P47" s="82"/>
      <c r="S47" s="103" t="s">
        <v>12617</v>
      </c>
      <c r="T47" s="103" t="s">
        <v>12787</v>
      </c>
      <c r="U47" s="26">
        <v>6.594656004</v>
      </c>
      <c r="V47" s="26">
        <v>-75.559130830000001</v>
      </c>
    </row>
    <row r="48" spans="14:25" ht="15" customHeight="1">
      <c r="N48" s="41">
        <v>812</v>
      </c>
      <c r="O48" s="41" t="s">
        <v>12788</v>
      </c>
      <c r="P48" s="82"/>
      <c r="S48" s="103" t="s">
        <v>12617</v>
      </c>
      <c r="T48" s="103" t="s">
        <v>12789</v>
      </c>
      <c r="U48" s="26">
        <v>6.1543949219999998</v>
      </c>
      <c r="V48" s="26">
        <v>-75.546867789999993</v>
      </c>
    </row>
    <row r="49" spans="14:22" ht="15" customHeight="1">
      <c r="N49" s="42">
        <v>820</v>
      </c>
      <c r="O49" s="42" t="s">
        <v>12790</v>
      </c>
      <c r="P49" s="82"/>
      <c r="S49" s="103" t="s">
        <v>12617</v>
      </c>
      <c r="T49" s="103" t="s">
        <v>12791</v>
      </c>
      <c r="U49" s="26">
        <v>5.887702934</v>
      </c>
      <c r="V49" s="26">
        <v>-75.679262420000001</v>
      </c>
    </row>
    <row r="50" spans="14:22" ht="15" customHeight="1">
      <c r="N50" s="41">
        <v>891</v>
      </c>
      <c r="O50" s="41" t="s">
        <v>12792</v>
      </c>
      <c r="P50" s="82"/>
      <c r="S50" s="103" t="s">
        <v>12617</v>
      </c>
      <c r="T50" s="103" t="s">
        <v>12793</v>
      </c>
      <c r="U50" s="26">
        <v>6.6913647730000001</v>
      </c>
      <c r="V50" s="26">
        <v>-76.331996559999993</v>
      </c>
    </row>
    <row r="51" spans="14:22" ht="15" customHeight="1">
      <c r="N51" s="42">
        <v>892</v>
      </c>
      <c r="O51" s="42" t="s">
        <v>12794</v>
      </c>
      <c r="P51" s="82"/>
      <c r="S51" s="103" t="s">
        <v>12617</v>
      </c>
      <c r="T51" s="103" t="s">
        <v>12795</v>
      </c>
      <c r="U51" s="26">
        <v>6.6630958629999997</v>
      </c>
      <c r="V51" s="26">
        <v>-75.948046629999993</v>
      </c>
    </row>
    <row r="52" spans="14:22" ht="15" customHeight="1">
      <c r="N52" s="41">
        <v>899</v>
      </c>
      <c r="O52" s="41" t="s">
        <v>12796</v>
      </c>
      <c r="P52" s="82"/>
      <c r="S52" s="103" t="s">
        <v>12617</v>
      </c>
      <c r="T52" s="103" t="s">
        <v>12797</v>
      </c>
      <c r="U52" s="26">
        <v>6.3797458950000001</v>
      </c>
      <c r="V52" s="26">
        <v>-75.447957439999996</v>
      </c>
    </row>
    <row r="53" spans="14:22" ht="15" customHeight="1">
      <c r="N53" s="42">
        <v>910</v>
      </c>
      <c r="O53" s="42" t="s">
        <v>12798</v>
      </c>
      <c r="P53" s="82"/>
      <c r="S53" s="103" t="s">
        <v>12617</v>
      </c>
      <c r="T53" s="103" t="s">
        <v>12799</v>
      </c>
      <c r="U53" s="26">
        <v>6.7095628390000002</v>
      </c>
      <c r="V53" s="26">
        <v>-75.192702909999994</v>
      </c>
    </row>
    <row r="54" spans="14:22" ht="15" customHeight="1">
      <c r="N54" s="41">
        <v>990</v>
      </c>
      <c r="O54" s="41" t="s">
        <v>12800</v>
      </c>
      <c r="P54" s="82"/>
      <c r="S54" s="103" t="s">
        <v>12617</v>
      </c>
      <c r="T54" s="103" t="s">
        <v>12801</v>
      </c>
      <c r="U54" s="26">
        <v>6.1233807210000002</v>
      </c>
      <c r="V54" s="26">
        <v>-75.127636460000005</v>
      </c>
    </row>
    <row r="55" spans="14:22" ht="15" customHeight="1">
      <c r="N55" s="42">
        <v>1011</v>
      </c>
      <c r="O55" s="42" t="s">
        <v>12802</v>
      </c>
      <c r="P55" s="82"/>
      <c r="S55" s="103" t="s">
        <v>12617</v>
      </c>
      <c r="T55" s="103" t="s">
        <v>12803</v>
      </c>
      <c r="U55" s="26">
        <v>6.8615763249999997</v>
      </c>
      <c r="V55" s="26">
        <v>-75.225913030000001</v>
      </c>
    </row>
    <row r="56" spans="14:22" ht="15" customHeight="1">
      <c r="N56" s="41">
        <v>1012</v>
      </c>
      <c r="O56" s="41" t="s">
        <v>12804</v>
      </c>
      <c r="P56" s="82"/>
      <c r="S56" s="103" t="s">
        <v>12617</v>
      </c>
      <c r="T56" s="103" t="s">
        <v>12805</v>
      </c>
      <c r="U56" s="26">
        <v>6.2666257029999999</v>
      </c>
      <c r="V56" s="26">
        <v>-75.437308009999995</v>
      </c>
    </row>
    <row r="57" spans="14:22" ht="15" customHeight="1">
      <c r="N57" s="42">
        <v>1020</v>
      </c>
      <c r="O57" s="42" t="s">
        <v>12806</v>
      </c>
      <c r="P57" s="82"/>
      <c r="S57" s="103" t="s">
        <v>12617</v>
      </c>
      <c r="T57" s="103" t="s">
        <v>12807</v>
      </c>
      <c r="U57" s="26">
        <v>6.2363298260000004</v>
      </c>
      <c r="V57" s="26">
        <v>-75.156512719999995</v>
      </c>
    </row>
    <row r="58" spans="14:22" ht="15" customHeight="1">
      <c r="N58" s="41">
        <v>1030</v>
      </c>
      <c r="O58" s="41" t="s">
        <v>12808</v>
      </c>
      <c r="P58" s="82"/>
      <c r="S58" s="103" t="s">
        <v>12617</v>
      </c>
      <c r="T58" s="103" t="s">
        <v>12809</v>
      </c>
      <c r="U58" s="26">
        <v>6.2145117880000003</v>
      </c>
      <c r="V58" s="26">
        <v>-75.749710019999995</v>
      </c>
    </row>
    <row r="59" spans="14:22" ht="15" customHeight="1">
      <c r="N59" s="42">
        <v>1040</v>
      </c>
      <c r="O59" s="42" t="s">
        <v>12810</v>
      </c>
      <c r="P59" s="82"/>
      <c r="S59" s="103" t="s">
        <v>12617</v>
      </c>
      <c r="T59" s="103" t="s">
        <v>12811</v>
      </c>
      <c r="U59" s="26">
        <v>5.797039002</v>
      </c>
      <c r="V59" s="26">
        <v>-75.906692030000002</v>
      </c>
    </row>
    <row r="60" spans="14:22" ht="15" customHeight="1">
      <c r="N60" s="41">
        <v>1051</v>
      </c>
      <c r="O60" s="41" t="s">
        <v>12812</v>
      </c>
      <c r="P60" s="82"/>
      <c r="S60" s="103" t="s">
        <v>12617</v>
      </c>
      <c r="T60" s="103" t="s">
        <v>12813</v>
      </c>
      <c r="U60" s="26">
        <v>6.179279438</v>
      </c>
      <c r="V60" s="26">
        <v>-75.614203700000004</v>
      </c>
    </row>
    <row r="61" spans="14:22" ht="15" customHeight="1">
      <c r="N61" s="42">
        <v>1052</v>
      </c>
      <c r="O61" s="42" t="s">
        <v>12814</v>
      </c>
      <c r="P61" s="82"/>
      <c r="S61" s="103" t="s">
        <v>12617</v>
      </c>
      <c r="T61" s="103" t="s">
        <v>12815</v>
      </c>
      <c r="U61" s="26">
        <v>7.3415497179999996</v>
      </c>
      <c r="V61" s="26">
        <v>-75.678422769999997</v>
      </c>
    </row>
    <row r="62" spans="14:22" ht="15" customHeight="1">
      <c r="N62" s="41">
        <v>1061</v>
      </c>
      <c r="O62" s="41" t="s">
        <v>12816</v>
      </c>
      <c r="P62" s="82"/>
      <c r="S62" s="103" t="s">
        <v>12617</v>
      </c>
      <c r="T62" s="103" t="s">
        <v>12817</v>
      </c>
      <c r="U62" s="26">
        <v>5.5744443390000002</v>
      </c>
      <c r="V62" s="26">
        <v>-75.818425750000003</v>
      </c>
    </row>
    <row r="63" spans="14:22" ht="15" customHeight="1">
      <c r="N63" s="42">
        <v>1062</v>
      </c>
      <c r="O63" s="42" t="s">
        <v>12818</v>
      </c>
      <c r="P63" s="82"/>
      <c r="S63" s="103" t="s">
        <v>12617</v>
      </c>
      <c r="T63" s="103" t="s">
        <v>12819</v>
      </c>
      <c r="U63" s="26">
        <v>5.7698205360000001</v>
      </c>
      <c r="V63" s="26">
        <v>-75.764882560000004</v>
      </c>
    </row>
    <row r="64" spans="14:22" ht="15" customHeight="1">
      <c r="N64" s="41">
        <v>1063</v>
      </c>
      <c r="O64" s="41" t="s">
        <v>12820</v>
      </c>
      <c r="P64" s="82"/>
      <c r="S64" s="103" t="s">
        <v>12617</v>
      </c>
      <c r="T64" s="103" t="s">
        <v>12821</v>
      </c>
      <c r="U64" s="26">
        <v>5.992524843</v>
      </c>
      <c r="V64" s="26">
        <v>-75.430869349999995</v>
      </c>
    </row>
    <row r="65" spans="14:22" ht="15" customHeight="1">
      <c r="N65" s="42">
        <v>1071</v>
      </c>
      <c r="O65" s="42" t="s">
        <v>12822</v>
      </c>
      <c r="P65" s="82"/>
      <c r="S65" s="103" t="s">
        <v>12617</v>
      </c>
      <c r="T65" s="103" t="s">
        <v>12823</v>
      </c>
      <c r="U65" s="26">
        <v>6.1375958830000004</v>
      </c>
      <c r="V65" s="26">
        <v>-75.648954989999993</v>
      </c>
    </row>
    <row r="66" spans="14:22" ht="15" customHeight="1">
      <c r="N66" s="41">
        <v>1072</v>
      </c>
      <c r="O66" s="41" t="s">
        <v>12824</v>
      </c>
      <c r="P66" s="82"/>
      <c r="S66" s="103" t="s">
        <v>12617</v>
      </c>
      <c r="T66" s="103" t="s">
        <v>12825</v>
      </c>
      <c r="U66" s="26">
        <v>5.7465839580000004</v>
      </c>
      <c r="V66" s="26">
        <v>-75.602202059999996</v>
      </c>
    </row>
    <row r="67" spans="14:22" ht="15" customHeight="1">
      <c r="N67" s="42">
        <v>1081</v>
      </c>
      <c r="O67" s="42" t="s">
        <v>12826</v>
      </c>
      <c r="P67" s="82"/>
      <c r="S67" s="103" t="s">
        <v>12617</v>
      </c>
      <c r="T67" s="103" t="s">
        <v>12827</v>
      </c>
      <c r="U67" s="26">
        <v>5.9404346849999996</v>
      </c>
      <c r="V67" s="26">
        <v>-75.354290230000004</v>
      </c>
    </row>
    <row r="68" spans="14:22" ht="15" customHeight="1">
      <c r="N68" s="41">
        <v>1082</v>
      </c>
      <c r="O68" s="41" t="s">
        <v>12828</v>
      </c>
      <c r="P68" s="82"/>
      <c r="S68" s="103" t="s">
        <v>12617</v>
      </c>
      <c r="T68" s="103" t="s">
        <v>12829</v>
      </c>
      <c r="U68" s="26">
        <v>6.7239909349999998</v>
      </c>
      <c r="V68" s="26">
        <v>-75.783000459999997</v>
      </c>
    </row>
    <row r="69" spans="14:22" ht="15" customHeight="1">
      <c r="N69" s="42">
        <v>1083</v>
      </c>
      <c r="O69" s="42" t="s">
        <v>12830</v>
      </c>
      <c r="P69" s="82"/>
      <c r="S69" s="103" t="s">
        <v>12617</v>
      </c>
      <c r="T69" s="103" t="s">
        <v>12831</v>
      </c>
      <c r="U69" s="26">
        <v>6.5345735850000004</v>
      </c>
      <c r="V69" s="26">
        <v>-74.714108539999998</v>
      </c>
    </row>
    <row r="70" spans="14:22" ht="15" customHeight="1">
      <c r="N70" s="41">
        <v>1084</v>
      </c>
      <c r="O70" s="41" t="s">
        <v>12832</v>
      </c>
      <c r="P70" s="82"/>
      <c r="S70" s="103" t="s">
        <v>12617</v>
      </c>
      <c r="T70" s="103" t="s">
        <v>12833</v>
      </c>
      <c r="U70" s="26">
        <v>6.1852051499999998</v>
      </c>
      <c r="V70" s="26">
        <v>-75.304879330000006</v>
      </c>
    </row>
    <row r="71" spans="14:22" ht="15" customHeight="1">
      <c r="N71" s="42">
        <v>1089</v>
      </c>
      <c r="O71" s="42" t="s">
        <v>12834</v>
      </c>
      <c r="P71" s="82"/>
      <c r="S71" s="103" t="s">
        <v>12617</v>
      </c>
      <c r="T71" s="103" t="s">
        <v>12835</v>
      </c>
      <c r="U71" s="26">
        <v>5.9168539029999998</v>
      </c>
      <c r="V71" s="26">
        <v>-75.519726930000004</v>
      </c>
    </row>
    <row r="72" spans="14:22" ht="15" customHeight="1">
      <c r="N72" s="41">
        <v>1090</v>
      </c>
      <c r="O72" s="41" t="s">
        <v>12836</v>
      </c>
      <c r="P72" s="82"/>
      <c r="S72" s="103" t="s">
        <v>12617</v>
      </c>
      <c r="T72" s="103" t="s">
        <v>12837</v>
      </c>
      <c r="U72" s="26">
        <v>6.8287738549999997</v>
      </c>
      <c r="V72" s="26">
        <v>-76.708613490000005</v>
      </c>
    </row>
    <row r="73" spans="14:22" ht="15" customHeight="1">
      <c r="N73" s="42">
        <v>1101</v>
      </c>
      <c r="O73" s="42" t="s">
        <v>12838</v>
      </c>
      <c r="P73" s="82"/>
      <c r="S73" s="103" t="s">
        <v>12617</v>
      </c>
      <c r="T73" s="103" t="s">
        <v>12839</v>
      </c>
      <c r="U73" s="26">
        <v>7.3295578480000003</v>
      </c>
      <c r="V73" s="26">
        <v>-76.463065700000001</v>
      </c>
    </row>
    <row r="74" spans="14:22" ht="15" customHeight="1">
      <c r="N74" s="41">
        <v>1102</v>
      </c>
      <c r="O74" s="41" t="s">
        <v>12840</v>
      </c>
      <c r="P74" s="82"/>
      <c r="S74" s="103" t="s">
        <v>12617</v>
      </c>
      <c r="T74" s="103" t="s">
        <v>12714</v>
      </c>
      <c r="U74" s="26">
        <v>5.5812753119999998</v>
      </c>
      <c r="V74" s="26">
        <v>-75.194570189999993</v>
      </c>
    </row>
    <row r="75" spans="14:22" ht="15" customHeight="1">
      <c r="N75" s="42">
        <v>1103</v>
      </c>
      <c r="O75" s="42" t="s">
        <v>12841</v>
      </c>
      <c r="P75" s="82"/>
      <c r="S75" s="103" t="s">
        <v>12617</v>
      </c>
      <c r="T75" s="103" t="s">
        <v>12842</v>
      </c>
      <c r="U75" s="26">
        <v>8.4937285510000002</v>
      </c>
      <c r="V75" s="26">
        <v>-76.676995880000007</v>
      </c>
    </row>
    <row r="76" spans="14:22" ht="15" customHeight="1">
      <c r="N76" s="41">
        <v>1104</v>
      </c>
      <c r="O76" s="41" t="s">
        <v>12843</v>
      </c>
      <c r="P76" s="82"/>
      <c r="S76" s="103" t="s">
        <v>12617</v>
      </c>
      <c r="T76" s="103" t="s">
        <v>12844</v>
      </c>
      <c r="U76" s="26">
        <v>7.9834773940000003</v>
      </c>
      <c r="V76" s="26">
        <v>-74.658441859999996</v>
      </c>
    </row>
    <row r="77" spans="14:22" ht="15" customHeight="1">
      <c r="N77" s="42">
        <v>1200</v>
      </c>
      <c r="O77" s="42" t="s">
        <v>12845</v>
      </c>
      <c r="P77" s="82"/>
      <c r="S77" s="103" t="s">
        <v>12617</v>
      </c>
      <c r="T77" s="103" t="s">
        <v>12846</v>
      </c>
      <c r="U77" s="26">
        <v>6.6114180830000002</v>
      </c>
      <c r="V77" s="26">
        <v>-75.775670969999993</v>
      </c>
    </row>
    <row r="78" spans="14:22" ht="15" customHeight="1">
      <c r="N78" s="41">
        <v>1311</v>
      </c>
      <c r="O78" s="41" t="s">
        <v>12847</v>
      </c>
      <c r="P78" s="82"/>
      <c r="S78" s="103" t="s">
        <v>12617</v>
      </c>
      <c r="T78" s="103" t="s">
        <v>12848</v>
      </c>
      <c r="U78" s="26">
        <v>6.2323963679999999</v>
      </c>
      <c r="V78" s="26">
        <v>-75.223509059999998</v>
      </c>
    </row>
    <row r="79" spans="14:22" ht="15" customHeight="1">
      <c r="N79" s="42">
        <v>1312</v>
      </c>
      <c r="O79" s="42" t="s">
        <v>12849</v>
      </c>
      <c r="P79" s="82"/>
      <c r="S79" s="103" t="s">
        <v>12617</v>
      </c>
      <c r="T79" s="103" t="s">
        <v>12850</v>
      </c>
      <c r="U79" s="26">
        <v>7.0441800580000002</v>
      </c>
      <c r="V79" s="26">
        <v>-75.889688430000007</v>
      </c>
    </row>
    <row r="80" spans="14:22" ht="15" customHeight="1">
      <c r="N80" s="41">
        <v>1313</v>
      </c>
      <c r="O80" s="41" t="s">
        <v>12851</v>
      </c>
      <c r="P80" s="82"/>
      <c r="S80" s="103" t="s">
        <v>12617</v>
      </c>
      <c r="T80" s="103" t="s">
        <v>12852</v>
      </c>
      <c r="U80" s="26">
        <v>5.8097018599999997</v>
      </c>
      <c r="V80" s="26">
        <v>-75.860766670000004</v>
      </c>
    </row>
    <row r="81" spans="14:22" ht="15" customHeight="1">
      <c r="N81" s="42">
        <v>1391</v>
      </c>
      <c r="O81" s="42" t="s">
        <v>12853</v>
      </c>
      <c r="P81" s="82"/>
      <c r="S81" s="103" t="s">
        <v>12617</v>
      </c>
      <c r="T81" s="103" t="s">
        <v>12854</v>
      </c>
      <c r="U81" s="26">
        <v>6.4819222669999998</v>
      </c>
      <c r="V81" s="26">
        <v>-74.528742100000002</v>
      </c>
    </row>
    <row r="82" spans="14:22" ht="15" customHeight="1">
      <c r="N82" s="41">
        <v>1392</v>
      </c>
      <c r="O82" s="41" t="s">
        <v>12855</v>
      </c>
      <c r="P82" s="82"/>
      <c r="S82" s="103" t="s">
        <v>12617</v>
      </c>
      <c r="T82" s="103" t="s">
        <v>12856</v>
      </c>
      <c r="U82" s="26">
        <v>6.1265391390000001</v>
      </c>
      <c r="V82" s="26">
        <v>-74.703177220000001</v>
      </c>
    </row>
    <row r="83" spans="14:22" ht="15" customHeight="1">
      <c r="N83" s="42">
        <v>1393</v>
      </c>
      <c r="O83" s="42" t="s">
        <v>12857</v>
      </c>
      <c r="P83" s="82"/>
      <c r="S83" s="103" t="s">
        <v>12617</v>
      </c>
      <c r="T83" s="103" t="s">
        <v>12858</v>
      </c>
      <c r="U83" s="26">
        <v>5.9548301510000003</v>
      </c>
      <c r="V83" s="26">
        <v>-74.686191800000003</v>
      </c>
    </row>
    <row r="84" spans="14:22" ht="15" customHeight="1">
      <c r="N84" s="41">
        <v>1394</v>
      </c>
      <c r="O84" s="41" t="s">
        <v>12859</v>
      </c>
      <c r="P84" s="82"/>
      <c r="S84" s="103" t="s">
        <v>12617</v>
      </c>
      <c r="T84" s="103" t="s">
        <v>12860</v>
      </c>
      <c r="U84" s="26">
        <v>6.9972673749999998</v>
      </c>
      <c r="V84" s="26">
        <v>-74.55865652</v>
      </c>
    </row>
    <row r="85" spans="14:22" ht="15" customHeight="1">
      <c r="N85" s="42">
        <v>1399</v>
      </c>
      <c r="O85" s="42" t="s">
        <v>12861</v>
      </c>
      <c r="P85" s="82"/>
      <c r="S85" s="103" t="s">
        <v>12617</v>
      </c>
      <c r="T85" s="103" t="s">
        <v>12862</v>
      </c>
      <c r="U85" s="26">
        <v>6.0534442540000004</v>
      </c>
      <c r="V85" s="26">
        <v>-75.515738049999996</v>
      </c>
    </row>
    <row r="86" spans="14:22" ht="15" customHeight="1">
      <c r="N86" s="41">
        <v>1410</v>
      </c>
      <c r="O86" s="41" t="s">
        <v>12863</v>
      </c>
      <c r="P86" s="82"/>
      <c r="S86" s="103" t="s">
        <v>12617</v>
      </c>
      <c r="T86" s="103" t="s">
        <v>12864</v>
      </c>
      <c r="U86" s="26">
        <v>6.1507858070000001</v>
      </c>
      <c r="V86" s="26">
        <v>-75.410760519999997</v>
      </c>
    </row>
    <row r="87" spans="14:22" ht="15" customHeight="1">
      <c r="N87" s="42">
        <v>1420</v>
      </c>
      <c r="O87" s="42" t="s">
        <v>12865</v>
      </c>
      <c r="P87" s="82"/>
      <c r="S87" s="103" t="s">
        <v>12617</v>
      </c>
      <c r="T87" s="103" t="s">
        <v>12866</v>
      </c>
      <c r="U87" s="26">
        <v>6.9010005059999999</v>
      </c>
      <c r="V87" s="26">
        <v>-75.792227539999999</v>
      </c>
    </row>
    <row r="88" spans="14:22" ht="15" customHeight="1">
      <c r="N88" s="41">
        <v>1430</v>
      </c>
      <c r="O88" s="41" t="s">
        <v>12867</v>
      </c>
      <c r="P88" s="82"/>
      <c r="S88" s="103" t="s">
        <v>12617</v>
      </c>
      <c r="T88" s="103" t="s">
        <v>12868</v>
      </c>
      <c r="U88" s="26">
        <v>6.1383051829999999</v>
      </c>
      <c r="V88" s="26">
        <v>-75.608805989999993</v>
      </c>
    </row>
    <row r="89" spans="14:22" ht="15" customHeight="1">
      <c r="N89" s="42">
        <v>1511</v>
      </c>
      <c r="O89" s="42" t="s">
        <v>12869</v>
      </c>
      <c r="P89" s="82"/>
      <c r="S89" s="103" t="s">
        <v>12617</v>
      </c>
      <c r="T89" s="103" t="s">
        <v>12870</v>
      </c>
      <c r="U89" s="26">
        <v>5.9705023339999999</v>
      </c>
      <c r="V89" s="26">
        <v>-75.98137251</v>
      </c>
    </row>
    <row r="90" spans="14:22" ht="15" customHeight="1">
      <c r="N90" s="41">
        <v>1512</v>
      </c>
      <c r="O90" s="41" t="s">
        <v>12871</v>
      </c>
      <c r="P90" s="82"/>
      <c r="S90" s="103" t="s">
        <v>12617</v>
      </c>
      <c r="T90" s="103" t="s">
        <v>12872</v>
      </c>
      <c r="U90" s="26">
        <v>6.9184272330000001</v>
      </c>
      <c r="V90" s="26">
        <v>-75.665775800000006</v>
      </c>
    </row>
    <row r="91" spans="14:22" ht="15" customHeight="1">
      <c r="N91" s="42">
        <v>1513</v>
      </c>
      <c r="O91" s="42" t="s">
        <v>12873</v>
      </c>
      <c r="P91" s="82"/>
      <c r="S91" s="103" t="s">
        <v>12617</v>
      </c>
      <c r="T91" s="103" t="s">
        <v>12874</v>
      </c>
      <c r="U91" s="26">
        <v>6.1937896590000001</v>
      </c>
      <c r="V91" s="26">
        <v>-74.907327690000002</v>
      </c>
    </row>
    <row r="92" spans="14:22" ht="15" customHeight="1">
      <c r="N92" s="41">
        <v>1521</v>
      </c>
      <c r="O92" s="41" t="s">
        <v>12875</v>
      </c>
      <c r="P92" s="82"/>
      <c r="S92" s="103" t="s">
        <v>12617</v>
      </c>
      <c r="T92" s="103" t="s">
        <v>12876</v>
      </c>
      <c r="U92" s="26">
        <v>5.8400937309999996</v>
      </c>
      <c r="V92" s="26">
        <v>-74.981763340000001</v>
      </c>
    </row>
    <row r="93" spans="14:22" ht="15" customHeight="1">
      <c r="N93" s="42">
        <v>1522</v>
      </c>
      <c r="O93" s="42" t="s">
        <v>12877</v>
      </c>
      <c r="P93" s="82"/>
      <c r="S93" s="103" t="s">
        <v>12617</v>
      </c>
      <c r="T93" s="103" t="s">
        <v>12878</v>
      </c>
      <c r="U93" s="26">
        <v>6.438300409</v>
      </c>
      <c r="V93" s="26">
        <v>-75.703107270000004</v>
      </c>
    </row>
    <row r="94" spans="14:22" ht="15" customHeight="1">
      <c r="N94" s="41">
        <v>1523</v>
      </c>
      <c r="O94" s="41" t="s">
        <v>12879</v>
      </c>
      <c r="P94" s="82"/>
      <c r="S94" s="103" t="s">
        <v>12617</v>
      </c>
      <c r="T94" s="103" t="s">
        <v>12880</v>
      </c>
      <c r="U94" s="26">
        <v>6.8232589130000001</v>
      </c>
      <c r="V94" s="26">
        <v>-75.677708260000003</v>
      </c>
    </row>
    <row r="95" spans="14:22" ht="15" customHeight="1">
      <c r="N95" s="42">
        <v>1610</v>
      </c>
      <c r="O95" s="42" t="s">
        <v>12881</v>
      </c>
      <c r="P95" s="82"/>
      <c r="S95" s="103" t="s">
        <v>12617</v>
      </c>
      <c r="T95" s="103" t="s">
        <v>12882</v>
      </c>
      <c r="U95" s="26">
        <v>8.7071415830000003</v>
      </c>
      <c r="V95" s="26">
        <v>-76.532482340000001</v>
      </c>
    </row>
    <row r="96" spans="14:22" ht="15" customHeight="1">
      <c r="N96" s="41">
        <v>1620</v>
      </c>
      <c r="O96" s="41" t="s">
        <v>12883</v>
      </c>
      <c r="P96" s="82"/>
      <c r="S96" s="103" t="s">
        <v>12617</v>
      </c>
      <c r="T96" s="103" t="s">
        <v>12884</v>
      </c>
      <c r="U96" s="26">
        <v>6.0242059560000003</v>
      </c>
      <c r="V96" s="26">
        <v>-75.007667400000003</v>
      </c>
    </row>
    <row r="97" spans="14:22" ht="15" customHeight="1">
      <c r="N97" s="42">
        <v>1630</v>
      </c>
      <c r="O97" s="42" t="s">
        <v>12885</v>
      </c>
      <c r="P97" s="82"/>
      <c r="S97" s="103" t="s">
        <v>12617</v>
      </c>
      <c r="T97" s="103" t="s">
        <v>12886</v>
      </c>
      <c r="U97" s="26">
        <v>6.4586663079999997</v>
      </c>
      <c r="V97" s="26">
        <v>-75.562483900000004</v>
      </c>
    </row>
    <row r="98" spans="14:22" ht="15" customHeight="1">
      <c r="N98" s="41">
        <v>1640</v>
      </c>
      <c r="O98" s="41" t="s">
        <v>12887</v>
      </c>
      <c r="P98" s="82"/>
      <c r="S98" s="103" t="s">
        <v>12617</v>
      </c>
      <c r="T98" s="103" t="s">
        <v>12888</v>
      </c>
      <c r="U98" s="26">
        <v>8.3791569500000005</v>
      </c>
      <c r="V98" s="26">
        <v>-76.316642329999993</v>
      </c>
    </row>
    <row r="99" spans="14:22" ht="15" customHeight="1">
      <c r="N99" s="42">
        <v>1690</v>
      </c>
      <c r="O99" s="42" t="s">
        <v>12889</v>
      </c>
      <c r="P99" s="82"/>
      <c r="S99" s="103" t="s">
        <v>12617</v>
      </c>
      <c r="T99" s="103" t="s">
        <v>12890</v>
      </c>
      <c r="U99" s="26">
        <v>6.31074453</v>
      </c>
      <c r="V99" s="26">
        <v>-74.998586520000003</v>
      </c>
    </row>
    <row r="100" spans="14:22" ht="15" customHeight="1">
      <c r="N100" s="41">
        <v>1701</v>
      </c>
      <c r="O100" s="41" t="s">
        <v>12891</v>
      </c>
      <c r="P100" s="82"/>
      <c r="S100" s="103" t="s">
        <v>12617</v>
      </c>
      <c r="T100" s="103" t="s">
        <v>12892</v>
      </c>
      <c r="U100" s="26">
        <v>6.4661652109999999</v>
      </c>
      <c r="V100" s="26">
        <v>-74.945073199999996</v>
      </c>
    </row>
    <row r="101" spans="14:22" ht="15" customHeight="1">
      <c r="N101" s="42">
        <v>1702</v>
      </c>
      <c r="O101" s="42" t="s">
        <v>12893</v>
      </c>
      <c r="P101" s="82"/>
      <c r="S101" s="103" t="s">
        <v>12617</v>
      </c>
      <c r="T101" s="103" t="s">
        <v>12894</v>
      </c>
      <c r="U101" s="26">
        <v>6.3103875220000001</v>
      </c>
      <c r="V101" s="26">
        <v>-75.327401629999997</v>
      </c>
    </row>
    <row r="102" spans="14:22" ht="15" customHeight="1">
      <c r="N102" s="41">
        <v>1709</v>
      </c>
      <c r="O102" s="41" t="s">
        <v>12895</v>
      </c>
      <c r="P102" s="82"/>
      <c r="S102" s="103" t="s">
        <v>12617</v>
      </c>
      <c r="T102" s="103" t="s">
        <v>12896</v>
      </c>
      <c r="U102" s="26">
        <v>5.878984956</v>
      </c>
      <c r="V102" s="26">
        <v>-75.583303709999996</v>
      </c>
    </row>
    <row r="103" spans="14:22" ht="15" customHeight="1">
      <c r="N103" s="42">
        <v>1811</v>
      </c>
      <c r="O103" s="42" t="s">
        <v>12897</v>
      </c>
      <c r="P103" s="82"/>
      <c r="S103" s="103" t="s">
        <v>12617</v>
      </c>
      <c r="T103" s="103" t="s">
        <v>12898</v>
      </c>
      <c r="U103" s="26">
        <v>6.6758278249999998</v>
      </c>
      <c r="V103" s="26">
        <v>-75.438143330000003</v>
      </c>
    </row>
    <row r="104" spans="14:22" ht="15" customHeight="1">
      <c r="N104" s="41">
        <v>1812</v>
      </c>
      <c r="O104" s="41" t="s">
        <v>12899</v>
      </c>
      <c r="P104" s="82"/>
      <c r="S104" s="103" t="s">
        <v>12617</v>
      </c>
      <c r="T104" s="103" t="s">
        <v>12900</v>
      </c>
      <c r="U104" s="26">
        <v>6.4810441320000001</v>
      </c>
      <c r="V104" s="26">
        <v>-75.142600970000004</v>
      </c>
    </row>
    <row r="105" spans="14:22" ht="15" customHeight="1">
      <c r="N105" s="42">
        <v>1820</v>
      </c>
      <c r="O105" s="42" t="s">
        <v>12901</v>
      </c>
      <c r="P105" s="82"/>
      <c r="S105" s="103" t="s">
        <v>12617</v>
      </c>
      <c r="T105" s="103" t="s">
        <v>12902</v>
      </c>
      <c r="U105" s="26">
        <v>6.1242094949999997</v>
      </c>
      <c r="V105" s="26">
        <v>-75.252122779999993</v>
      </c>
    </row>
    <row r="106" spans="14:22" ht="15" customHeight="1">
      <c r="N106" s="41">
        <v>1910</v>
      </c>
      <c r="O106" s="41" t="s">
        <v>12903</v>
      </c>
      <c r="P106" s="82"/>
      <c r="S106" s="103" t="s">
        <v>12617</v>
      </c>
      <c r="T106" s="103" t="s">
        <v>12904</v>
      </c>
      <c r="U106" s="26">
        <v>7.2669233899999996</v>
      </c>
      <c r="V106" s="26">
        <v>-74.621639259999995</v>
      </c>
    </row>
    <row r="107" spans="14:22" ht="15" customHeight="1">
      <c r="N107" s="42">
        <v>1921</v>
      </c>
      <c r="O107" s="42" t="s">
        <v>12905</v>
      </c>
      <c r="P107" s="82"/>
      <c r="S107" s="103" t="s">
        <v>12617</v>
      </c>
      <c r="T107" s="103" t="s">
        <v>12906</v>
      </c>
      <c r="U107" s="26">
        <v>5.8263887790000002</v>
      </c>
      <c r="V107" s="26">
        <v>-74.836376229999999</v>
      </c>
    </row>
    <row r="108" spans="14:22" ht="15" customHeight="1">
      <c r="N108" s="41">
        <v>1922</v>
      </c>
      <c r="O108" s="41" t="s">
        <v>12907</v>
      </c>
      <c r="P108" s="82"/>
      <c r="S108" s="103" t="s">
        <v>12617</v>
      </c>
      <c r="T108" s="103" t="s">
        <v>12908</v>
      </c>
      <c r="U108" s="26">
        <v>6.5201645519999998</v>
      </c>
      <c r="V108" s="26">
        <v>-75.745809030000004</v>
      </c>
    </row>
    <row r="109" spans="14:22" ht="15" customHeight="1">
      <c r="N109" s="42">
        <v>2011</v>
      </c>
      <c r="O109" s="42" t="s">
        <v>12909</v>
      </c>
      <c r="P109" s="82"/>
      <c r="S109" s="103" t="s">
        <v>12617</v>
      </c>
      <c r="T109" s="103" t="s">
        <v>12910</v>
      </c>
      <c r="U109" s="26">
        <v>5.6737585709999996</v>
      </c>
      <c r="V109" s="26">
        <v>-75.709799739999994</v>
      </c>
    </row>
    <row r="110" spans="14:22" ht="15" customHeight="1">
      <c r="N110" s="41">
        <v>2012</v>
      </c>
      <c r="O110" s="41" t="s">
        <v>12911</v>
      </c>
      <c r="P110" s="82"/>
      <c r="S110" s="103" t="s">
        <v>12617</v>
      </c>
      <c r="T110" s="103" t="s">
        <v>12912</v>
      </c>
      <c r="U110" s="26">
        <v>7.4888759980000001</v>
      </c>
      <c r="V110" s="26">
        <v>-75.401894380000002</v>
      </c>
    </row>
    <row r="111" spans="14:22" ht="15" customHeight="1">
      <c r="N111" s="42">
        <v>2013</v>
      </c>
      <c r="O111" s="42" t="s">
        <v>12913</v>
      </c>
      <c r="P111" s="82"/>
      <c r="S111" s="103" t="s">
        <v>12617</v>
      </c>
      <c r="T111" s="103" t="s">
        <v>12914</v>
      </c>
      <c r="U111" s="26">
        <v>5.8710645570000004</v>
      </c>
      <c r="V111" s="26">
        <v>-75.828711440000006</v>
      </c>
    </row>
    <row r="112" spans="14:22" ht="15" customHeight="1">
      <c r="N112" s="41">
        <v>2014</v>
      </c>
      <c r="O112" s="41" t="s">
        <v>12915</v>
      </c>
      <c r="P112" s="82"/>
      <c r="S112" s="103" t="s">
        <v>12617</v>
      </c>
      <c r="T112" s="103" t="s">
        <v>12916</v>
      </c>
      <c r="U112" s="26">
        <v>6.0583499710000002</v>
      </c>
      <c r="V112" s="26">
        <v>-75.79966005</v>
      </c>
    </row>
    <row r="113" spans="14:22" ht="15" customHeight="1">
      <c r="N113" s="42">
        <v>2021</v>
      </c>
      <c r="O113" s="42" t="s">
        <v>12917</v>
      </c>
      <c r="P113" s="82"/>
      <c r="S113" s="103" t="s">
        <v>12617</v>
      </c>
      <c r="T113" s="103" t="s">
        <v>12918</v>
      </c>
      <c r="U113" s="26">
        <v>7.0163970689999999</v>
      </c>
      <c r="V113" s="26">
        <v>-75.713633819999998</v>
      </c>
    </row>
    <row r="114" spans="14:22" ht="15" customHeight="1">
      <c r="N114" s="41">
        <v>2022</v>
      </c>
      <c r="O114" s="41" t="s">
        <v>12919</v>
      </c>
      <c r="P114" s="82"/>
      <c r="S114" s="103" t="s">
        <v>12617</v>
      </c>
      <c r="T114" s="103" t="s">
        <v>12920</v>
      </c>
      <c r="U114" s="26">
        <v>8.1738517450000003</v>
      </c>
      <c r="V114" s="26">
        <v>-76.574037700000005</v>
      </c>
    </row>
    <row r="115" spans="14:22" ht="15" customHeight="1">
      <c r="N115" s="42">
        <v>2023</v>
      </c>
      <c r="O115" s="42" t="s">
        <v>12921</v>
      </c>
      <c r="P115" s="82"/>
      <c r="S115" s="103" t="s">
        <v>12617</v>
      </c>
      <c r="T115" s="103" t="s">
        <v>12922</v>
      </c>
      <c r="U115" s="26">
        <v>6.9139169239999996</v>
      </c>
      <c r="V115" s="26">
        <v>-76.133185139999995</v>
      </c>
    </row>
    <row r="116" spans="14:22" ht="15" customHeight="1">
      <c r="N116" s="41">
        <v>2029</v>
      </c>
      <c r="O116" s="41" t="s">
        <v>12923</v>
      </c>
      <c r="P116" s="82"/>
      <c r="S116" s="103" t="s">
        <v>12617</v>
      </c>
      <c r="T116" s="103" t="s">
        <v>12924</v>
      </c>
      <c r="U116" s="26">
        <v>6.3353413400000003</v>
      </c>
      <c r="V116" s="26">
        <v>-76.259064820000006</v>
      </c>
    </row>
    <row r="117" spans="14:22" ht="15" customHeight="1">
      <c r="N117" s="42">
        <v>2030</v>
      </c>
      <c r="O117" s="42" t="s">
        <v>12925</v>
      </c>
      <c r="P117" s="82"/>
      <c r="S117" s="103" t="s">
        <v>12617</v>
      </c>
      <c r="T117" s="103" t="s">
        <v>12926</v>
      </c>
      <c r="U117" s="26">
        <v>7.2654042130000001</v>
      </c>
      <c r="V117" s="26">
        <v>-75.400945019999995</v>
      </c>
    </row>
    <row r="118" spans="14:22" ht="15" customHeight="1">
      <c r="N118" s="41">
        <v>2100</v>
      </c>
      <c r="O118" s="41" t="s">
        <v>12927</v>
      </c>
      <c r="P118" s="82"/>
      <c r="S118" s="103" t="s">
        <v>12617</v>
      </c>
      <c r="T118" s="103" t="s">
        <v>12928</v>
      </c>
      <c r="U118" s="26">
        <v>5.651937802</v>
      </c>
      <c r="V118" s="26">
        <v>-75.630834120000003</v>
      </c>
    </row>
    <row r="119" spans="14:22" ht="15" customHeight="1">
      <c r="N119" s="42">
        <v>2211</v>
      </c>
      <c r="O119" s="42" t="s">
        <v>12929</v>
      </c>
      <c r="P119" s="82"/>
      <c r="S119" s="103" t="s">
        <v>12617</v>
      </c>
      <c r="T119" s="103" t="s">
        <v>12930</v>
      </c>
      <c r="U119" s="26">
        <v>6.8365351219999999</v>
      </c>
      <c r="V119" s="26">
        <v>-74.754030200000003</v>
      </c>
    </row>
    <row r="120" spans="14:22" ht="15" customHeight="1">
      <c r="N120" s="41">
        <v>2212</v>
      </c>
      <c r="O120" s="41" t="s">
        <v>12931</v>
      </c>
      <c r="P120" s="82"/>
      <c r="S120" s="103" t="s">
        <v>12617</v>
      </c>
      <c r="T120" s="103" t="s">
        <v>11715</v>
      </c>
      <c r="U120" s="26">
        <v>5.9565763550000002</v>
      </c>
      <c r="V120" s="26">
        <v>-75.777224230000002</v>
      </c>
    </row>
    <row r="121" spans="14:22" ht="15" customHeight="1">
      <c r="N121" s="42">
        <v>2219</v>
      </c>
      <c r="O121" s="42" t="s">
        <v>12932</v>
      </c>
      <c r="P121" s="82"/>
      <c r="S121" s="103" t="s">
        <v>12617</v>
      </c>
      <c r="T121" s="103" t="s">
        <v>12933</v>
      </c>
      <c r="U121" s="26">
        <v>6.4533513339999997</v>
      </c>
      <c r="V121" s="26">
        <v>-76.695048020000002</v>
      </c>
    </row>
    <row r="122" spans="14:22" ht="15" customHeight="1">
      <c r="N122" s="41">
        <v>2221</v>
      </c>
      <c r="O122" s="41" t="s">
        <v>12934</v>
      </c>
      <c r="P122" s="82"/>
      <c r="S122" s="103" t="s">
        <v>12617</v>
      </c>
      <c r="T122" s="103" t="s">
        <v>12935</v>
      </c>
      <c r="U122" s="26">
        <v>6.7168706790000003</v>
      </c>
      <c r="V122" s="26">
        <v>-74.755650020000004</v>
      </c>
    </row>
    <row r="123" spans="14:22" ht="15" customHeight="1">
      <c r="N123" s="42">
        <v>2229</v>
      </c>
      <c r="O123" s="42" t="s">
        <v>12936</v>
      </c>
      <c r="P123" s="82"/>
      <c r="S123" s="103" t="s">
        <v>12617</v>
      </c>
      <c r="T123" s="103" t="s">
        <v>12937</v>
      </c>
      <c r="U123" s="26">
        <v>6.9881308999999998</v>
      </c>
      <c r="V123" s="26">
        <v>-75.454399570000007</v>
      </c>
    </row>
    <row r="124" spans="14:22" ht="15" customHeight="1">
      <c r="N124" s="41">
        <v>2310</v>
      </c>
      <c r="O124" s="41" t="s">
        <v>12938</v>
      </c>
      <c r="P124" s="82"/>
      <c r="S124" s="103" t="s">
        <v>12617</v>
      </c>
      <c r="T124" s="103" t="s">
        <v>12939</v>
      </c>
      <c r="U124" s="26">
        <v>6.6444278600000004</v>
      </c>
      <c r="V124" s="26">
        <v>-75.029902660000005</v>
      </c>
    </row>
    <row r="125" spans="14:22" ht="15" customHeight="1">
      <c r="N125" s="42">
        <v>2391</v>
      </c>
      <c r="O125" s="42" t="s">
        <v>12940</v>
      </c>
      <c r="P125" s="82"/>
      <c r="S125" s="103" t="s">
        <v>12617</v>
      </c>
      <c r="T125" s="103" t="s">
        <v>12941</v>
      </c>
      <c r="U125" s="26">
        <v>6.9251593180000004</v>
      </c>
      <c r="V125" s="26">
        <v>-74.158240410000005</v>
      </c>
    </row>
    <row r="126" spans="14:22" ht="15" customHeight="1">
      <c r="N126" s="41">
        <v>2392</v>
      </c>
      <c r="O126" s="41" t="s">
        <v>12942</v>
      </c>
      <c r="P126" s="82"/>
      <c r="S126" s="103" t="s">
        <v>12617</v>
      </c>
      <c r="T126" s="103" t="s">
        <v>12943</v>
      </c>
      <c r="U126" s="26">
        <v>7.4740040060000004</v>
      </c>
      <c r="V126" s="26">
        <v>-74.85848326</v>
      </c>
    </row>
    <row r="127" spans="14:22" ht="15" customHeight="1">
      <c r="N127" s="42">
        <v>2393</v>
      </c>
      <c r="O127" s="42" t="s">
        <v>12944</v>
      </c>
      <c r="P127" s="82"/>
      <c r="S127" s="103" t="s">
        <v>12628</v>
      </c>
      <c r="T127" s="103" t="s">
        <v>12945</v>
      </c>
      <c r="U127" s="26">
        <v>10.981520509999999</v>
      </c>
      <c r="V127" s="26">
        <v>-74.827715440000006</v>
      </c>
    </row>
    <row r="128" spans="14:22" ht="15" customHeight="1">
      <c r="N128" s="41">
        <v>2394</v>
      </c>
      <c r="O128" s="41" t="s">
        <v>12946</v>
      </c>
      <c r="P128" s="82"/>
      <c r="S128" s="103" t="s">
        <v>12628</v>
      </c>
      <c r="T128" s="103" t="s">
        <v>12947</v>
      </c>
      <c r="U128" s="26">
        <v>10.79329302</v>
      </c>
      <c r="V128" s="26">
        <v>-74.922194910000002</v>
      </c>
    </row>
    <row r="129" spans="14:22" ht="15" customHeight="1">
      <c r="N129" s="42">
        <v>2395</v>
      </c>
      <c r="O129" s="42" t="s">
        <v>12948</v>
      </c>
      <c r="P129" s="82"/>
      <c r="S129" s="103" t="s">
        <v>12628</v>
      </c>
      <c r="T129" s="103" t="s">
        <v>12949</v>
      </c>
      <c r="U129" s="26">
        <v>10.38405079</v>
      </c>
      <c r="V129" s="26">
        <v>-74.884660389999993</v>
      </c>
    </row>
    <row r="130" spans="14:22" ht="15" customHeight="1">
      <c r="N130" s="41">
        <v>2396</v>
      </c>
      <c r="O130" s="41" t="s">
        <v>12950</v>
      </c>
      <c r="P130" s="82"/>
      <c r="S130" s="103" t="s">
        <v>12628</v>
      </c>
      <c r="T130" s="103" t="s">
        <v>12951</v>
      </c>
      <c r="U130" s="26">
        <v>10.48902047</v>
      </c>
      <c r="V130" s="26">
        <v>-74.877566270000003</v>
      </c>
    </row>
    <row r="131" spans="14:22" ht="15" customHeight="1">
      <c r="N131" s="42">
        <v>2399</v>
      </c>
      <c r="O131" s="42" t="s">
        <v>12952</v>
      </c>
      <c r="P131" s="82"/>
      <c r="S131" s="103" t="s">
        <v>12628</v>
      </c>
      <c r="T131" s="103" t="s">
        <v>12953</v>
      </c>
      <c r="U131" s="26">
        <v>10.897719909999999</v>
      </c>
      <c r="V131" s="26">
        <v>-74.887087879999996</v>
      </c>
    </row>
    <row r="132" spans="14:22" ht="15" customHeight="1">
      <c r="N132" s="41">
        <v>2410</v>
      </c>
      <c r="O132" s="41" t="s">
        <v>12954</v>
      </c>
      <c r="P132" s="82"/>
      <c r="S132" s="103" t="s">
        <v>12628</v>
      </c>
      <c r="T132" s="103" t="s">
        <v>12955</v>
      </c>
      <c r="U132" s="26">
        <v>10.82306503</v>
      </c>
      <c r="V132" s="26">
        <v>-75.07841904</v>
      </c>
    </row>
    <row r="133" spans="14:22" ht="15" customHeight="1">
      <c r="N133" s="42">
        <v>2421</v>
      </c>
      <c r="O133" s="42" t="s">
        <v>12956</v>
      </c>
      <c r="P133" s="82"/>
      <c r="S133" s="103" t="s">
        <v>12628</v>
      </c>
      <c r="T133" s="103" t="s">
        <v>12957</v>
      </c>
      <c r="U133" s="26">
        <v>10.63503116</v>
      </c>
      <c r="V133" s="26">
        <v>-75.154027409999998</v>
      </c>
    </row>
    <row r="134" spans="14:22" ht="15" customHeight="1">
      <c r="N134" s="41">
        <v>2429</v>
      </c>
      <c r="O134" s="41" t="s">
        <v>12958</v>
      </c>
      <c r="P134" s="82"/>
      <c r="S134" s="103" t="s">
        <v>12628</v>
      </c>
      <c r="T134" s="103" t="s">
        <v>12959</v>
      </c>
      <c r="U134" s="26">
        <v>10.84828864</v>
      </c>
      <c r="V134" s="26">
        <v>-74.806175550000006</v>
      </c>
    </row>
    <row r="135" spans="14:22" ht="15" customHeight="1">
      <c r="N135" s="42">
        <v>2431</v>
      </c>
      <c r="O135" s="42" t="s">
        <v>12960</v>
      </c>
      <c r="P135" s="82"/>
      <c r="S135" s="103" t="s">
        <v>12628</v>
      </c>
      <c r="T135" s="103" t="s">
        <v>12961</v>
      </c>
      <c r="U135" s="26">
        <v>10.45414555</v>
      </c>
      <c r="V135" s="26">
        <v>-74.984773669999996</v>
      </c>
    </row>
    <row r="136" spans="14:22" ht="15" customHeight="1">
      <c r="N136" s="41">
        <v>2432</v>
      </c>
      <c r="O136" s="41" t="s">
        <v>12962</v>
      </c>
      <c r="P136" s="82"/>
      <c r="S136" s="103" t="s">
        <v>12628</v>
      </c>
      <c r="T136" s="103" t="s">
        <v>12963</v>
      </c>
      <c r="U136" s="26">
        <v>10.69481208</v>
      </c>
      <c r="V136" s="26">
        <v>-74.770150900000004</v>
      </c>
    </row>
    <row r="137" spans="14:22" ht="15" customHeight="1">
      <c r="N137" s="42">
        <v>2511</v>
      </c>
      <c r="O137" s="42" t="s">
        <v>12964</v>
      </c>
      <c r="P137" s="82"/>
      <c r="S137" s="103" t="s">
        <v>12628</v>
      </c>
      <c r="T137" s="103" t="s">
        <v>12965</v>
      </c>
      <c r="U137" s="26">
        <v>10.74078959</v>
      </c>
      <c r="V137" s="26">
        <v>-75.143660339999997</v>
      </c>
    </row>
    <row r="138" spans="14:22" ht="15" customHeight="1">
      <c r="N138" s="41">
        <v>2512</v>
      </c>
      <c r="O138" s="41" t="s">
        <v>12966</v>
      </c>
      <c r="P138" s="82"/>
      <c r="S138" s="103" t="s">
        <v>12628</v>
      </c>
      <c r="T138" s="103" t="s">
        <v>12967</v>
      </c>
      <c r="U138" s="26">
        <v>10.76740141</v>
      </c>
      <c r="V138" s="26">
        <v>-74.854148440000003</v>
      </c>
    </row>
    <row r="139" spans="14:22" ht="15" customHeight="1">
      <c r="N139" s="42">
        <v>2513</v>
      </c>
      <c r="O139" s="42" t="s">
        <v>12968</v>
      </c>
      <c r="P139" s="82"/>
      <c r="S139" s="103" t="s">
        <v>12628</v>
      </c>
      <c r="T139" s="103" t="s">
        <v>12969</v>
      </c>
      <c r="U139" s="26">
        <v>10.594651020000001</v>
      </c>
      <c r="V139" s="26">
        <v>-74.79847316</v>
      </c>
    </row>
    <row r="140" spans="14:22" ht="15" customHeight="1">
      <c r="N140" s="41">
        <v>2520</v>
      </c>
      <c r="O140" s="41" t="s">
        <v>12970</v>
      </c>
      <c r="P140" s="82"/>
      <c r="S140" s="103" t="s">
        <v>12628</v>
      </c>
      <c r="T140" s="103" t="s">
        <v>12971</v>
      </c>
      <c r="U140" s="26">
        <v>11.0044226</v>
      </c>
      <c r="V140" s="26">
        <v>-74.907405800000006</v>
      </c>
    </row>
    <row r="141" spans="14:22" ht="15" customHeight="1">
      <c r="N141" s="42">
        <v>2591</v>
      </c>
      <c r="O141" s="42" t="s">
        <v>12972</v>
      </c>
      <c r="P141" s="82"/>
      <c r="S141" s="103" t="s">
        <v>12628</v>
      </c>
      <c r="T141" s="103" t="s">
        <v>12973</v>
      </c>
      <c r="U141" s="26">
        <v>10.507570510000001</v>
      </c>
      <c r="V141" s="26">
        <v>-75.121880529999999</v>
      </c>
    </row>
    <row r="142" spans="14:22" ht="15" customHeight="1">
      <c r="N142" s="41">
        <v>2592</v>
      </c>
      <c r="O142" s="41" t="s">
        <v>12974</v>
      </c>
      <c r="P142" s="82"/>
      <c r="S142" s="103" t="s">
        <v>12628</v>
      </c>
      <c r="T142" s="103" t="s">
        <v>12975</v>
      </c>
      <c r="U142" s="26">
        <v>10.79894015</v>
      </c>
      <c r="V142" s="26">
        <v>-74.768796600000002</v>
      </c>
    </row>
    <row r="143" spans="14:22" ht="15" customHeight="1">
      <c r="N143" s="42">
        <v>2593</v>
      </c>
      <c r="O143" s="42" t="s">
        <v>12976</v>
      </c>
      <c r="P143" s="82"/>
      <c r="S143" s="103" t="s">
        <v>12628</v>
      </c>
      <c r="T143" s="103" t="s">
        <v>12866</v>
      </c>
      <c r="U143" s="26">
        <v>10.62250777</v>
      </c>
      <c r="V143" s="26">
        <v>-74.955105419999995</v>
      </c>
    </row>
    <row r="144" spans="14:22" ht="15" customHeight="1">
      <c r="N144" s="41">
        <v>2599</v>
      </c>
      <c r="O144" s="41" t="s">
        <v>12977</v>
      </c>
      <c r="P144" s="82"/>
      <c r="S144" s="103" t="s">
        <v>12628</v>
      </c>
      <c r="T144" s="103" t="s">
        <v>12978</v>
      </c>
      <c r="U144" s="26">
        <v>10.353641919999999</v>
      </c>
      <c r="V144" s="26">
        <v>-74.965411790000005</v>
      </c>
    </row>
    <row r="145" spans="14:22" ht="15" customHeight="1">
      <c r="N145" s="42">
        <v>2610</v>
      </c>
      <c r="O145" s="42" t="s">
        <v>12979</v>
      </c>
      <c r="P145" s="82"/>
      <c r="S145" s="103" t="s">
        <v>12628</v>
      </c>
      <c r="T145" s="103" t="s">
        <v>12980</v>
      </c>
      <c r="U145" s="26">
        <v>10.75562656</v>
      </c>
      <c r="V145" s="26">
        <v>-74.787264680000007</v>
      </c>
    </row>
    <row r="146" spans="14:22" ht="15" customHeight="1">
      <c r="N146" s="41">
        <v>2620</v>
      </c>
      <c r="O146" s="41" t="s">
        <v>12981</v>
      </c>
      <c r="P146" s="82"/>
      <c r="S146" s="103" t="s">
        <v>12628</v>
      </c>
      <c r="T146" s="103" t="s">
        <v>12982</v>
      </c>
      <c r="U146" s="26">
        <v>10.906906599999999</v>
      </c>
      <c r="V146" s="26">
        <v>-74.778424900000005</v>
      </c>
    </row>
    <row r="147" spans="14:22" ht="15" customHeight="1">
      <c r="N147" s="42">
        <v>2630</v>
      </c>
      <c r="O147" s="42" t="s">
        <v>12983</v>
      </c>
      <c r="P147" s="82"/>
      <c r="S147" s="103" t="s">
        <v>12628</v>
      </c>
      <c r="T147" s="103" t="s">
        <v>12984</v>
      </c>
      <c r="U147" s="26">
        <v>10.310850350000001</v>
      </c>
      <c r="V147" s="26">
        <v>-74.907133079999994</v>
      </c>
    </row>
    <row r="148" spans="14:22" ht="15" customHeight="1">
      <c r="N148" s="41">
        <v>2640</v>
      </c>
      <c r="O148" s="41" t="s">
        <v>12985</v>
      </c>
      <c r="P148" s="82"/>
      <c r="S148" s="103" t="s">
        <v>12628</v>
      </c>
      <c r="T148" s="103" t="s">
        <v>12986</v>
      </c>
      <c r="U148" s="26">
        <v>10.907219380000001</v>
      </c>
      <c r="V148" s="26">
        <v>-74.984232930000005</v>
      </c>
    </row>
    <row r="149" spans="14:22" ht="15" customHeight="1">
      <c r="N149" s="42">
        <v>2651</v>
      </c>
      <c r="O149" s="42" t="s">
        <v>12987</v>
      </c>
      <c r="P149" s="82"/>
      <c r="S149" s="103" t="s">
        <v>12628</v>
      </c>
      <c r="T149" s="103" t="s">
        <v>12988</v>
      </c>
      <c r="U149" s="26">
        <v>10.74052266</v>
      </c>
      <c r="V149" s="26">
        <v>-74.982674130000007</v>
      </c>
    </row>
    <row r="150" spans="14:22" ht="15" customHeight="1">
      <c r="N150" s="41">
        <v>2652</v>
      </c>
      <c r="O150" s="41" t="s">
        <v>12989</v>
      </c>
      <c r="P150" s="82"/>
      <c r="S150" s="103" t="s">
        <v>11689</v>
      </c>
      <c r="T150" s="103" t="s">
        <v>11690</v>
      </c>
      <c r="U150" s="26">
        <v>4.3161076979999997</v>
      </c>
      <c r="V150" s="26">
        <v>-74.181072700000001</v>
      </c>
    </row>
    <row r="151" spans="14:22" ht="15" customHeight="1">
      <c r="N151" s="42">
        <v>2660</v>
      </c>
      <c r="O151" s="42" t="s">
        <v>12990</v>
      </c>
      <c r="P151" s="82"/>
      <c r="S151" s="103" t="s">
        <v>12646</v>
      </c>
      <c r="T151" s="103" t="s">
        <v>12991</v>
      </c>
      <c r="U151" s="26">
        <v>10.46343362</v>
      </c>
      <c r="V151" s="26">
        <v>-75.458899149999993</v>
      </c>
    </row>
    <row r="152" spans="14:22" ht="15" customHeight="1">
      <c r="N152" s="41">
        <v>2670</v>
      </c>
      <c r="O152" s="41" t="s">
        <v>12992</v>
      </c>
      <c r="P152" s="82"/>
      <c r="S152" s="103" t="s">
        <v>12646</v>
      </c>
      <c r="T152" s="103" t="s">
        <v>12993</v>
      </c>
      <c r="U152" s="26">
        <v>8.6229432619999997</v>
      </c>
      <c r="V152" s="26">
        <v>-74.478059450000003</v>
      </c>
    </row>
    <row r="153" spans="14:22" ht="15" customHeight="1">
      <c r="N153" s="42">
        <v>2680</v>
      </c>
      <c r="O153" s="42" t="s">
        <v>12994</v>
      </c>
      <c r="P153" s="82"/>
      <c r="S153" s="103" t="s">
        <v>12646</v>
      </c>
      <c r="T153" s="103" t="s">
        <v>12995</v>
      </c>
      <c r="U153" s="26">
        <v>8.7574688629999997</v>
      </c>
      <c r="V153" s="26">
        <v>-74.195158109999994</v>
      </c>
    </row>
    <row r="154" spans="14:22" ht="15" customHeight="1">
      <c r="N154" s="41">
        <v>2711</v>
      </c>
      <c r="O154" s="41" t="s">
        <v>12996</v>
      </c>
      <c r="P154" s="82"/>
      <c r="S154" s="103" t="s">
        <v>12646</v>
      </c>
      <c r="T154" s="103" t="s">
        <v>12997</v>
      </c>
      <c r="U154" s="26">
        <v>8.3629961579999996</v>
      </c>
      <c r="V154" s="26">
        <v>-74.10301905</v>
      </c>
    </row>
    <row r="155" spans="14:22" ht="15" customHeight="1">
      <c r="N155" s="42">
        <v>2712</v>
      </c>
      <c r="O155" s="42" t="s">
        <v>12998</v>
      </c>
      <c r="P155" s="82"/>
      <c r="S155" s="103" t="s">
        <v>12646</v>
      </c>
      <c r="T155" s="103" t="s">
        <v>12999</v>
      </c>
      <c r="U155" s="26">
        <v>10.164221230000001</v>
      </c>
      <c r="V155" s="26">
        <v>-75.371217880000003</v>
      </c>
    </row>
    <row r="156" spans="14:22" ht="15" customHeight="1">
      <c r="N156" s="41">
        <v>2720</v>
      </c>
      <c r="O156" s="41" t="s">
        <v>13000</v>
      </c>
      <c r="P156" s="82"/>
      <c r="S156" s="103" t="s">
        <v>12646</v>
      </c>
      <c r="T156" s="103" t="s">
        <v>13001</v>
      </c>
      <c r="U156" s="26">
        <v>10.241718049999999</v>
      </c>
      <c r="V156" s="26">
        <v>-75.026904220000006</v>
      </c>
    </row>
    <row r="157" spans="14:22" ht="15" customHeight="1">
      <c r="N157" s="42">
        <v>2731</v>
      </c>
      <c r="O157" s="42" t="s">
        <v>13002</v>
      </c>
      <c r="P157" s="82"/>
      <c r="S157" s="103" t="s">
        <v>12646</v>
      </c>
      <c r="T157" s="103" t="s">
        <v>13003</v>
      </c>
      <c r="U157" s="26">
        <v>8.8370776539999998</v>
      </c>
      <c r="V157" s="26">
        <v>-74.279665309999999</v>
      </c>
    </row>
    <row r="158" spans="14:22" ht="15" customHeight="1">
      <c r="N158" s="41">
        <v>2732</v>
      </c>
      <c r="O158" s="41" t="s">
        <v>13004</v>
      </c>
      <c r="P158" s="82"/>
      <c r="S158" s="103" t="s">
        <v>12646</v>
      </c>
      <c r="T158" s="103" t="s">
        <v>13005</v>
      </c>
      <c r="U158" s="26">
        <v>10.155170979999999</v>
      </c>
      <c r="V158" s="26">
        <v>-74.999959489999995</v>
      </c>
    </row>
    <row r="159" spans="14:22" ht="15" customHeight="1">
      <c r="N159" s="42">
        <v>2740</v>
      </c>
      <c r="O159" s="42" t="s">
        <v>13006</v>
      </c>
      <c r="P159" s="82"/>
      <c r="S159" s="103" t="s">
        <v>12646</v>
      </c>
      <c r="T159" s="103" t="s">
        <v>13007</v>
      </c>
      <c r="U159" s="26">
        <v>7.2392291459999996</v>
      </c>
      <c r="V159" s="26">
        <v>-74.100140429999996</v>
      </c>
    </row>
    <row r="160" spans="14:22" ht="15" customHeight="1">
      <c r="N160" s="41">
        <v>2750</v>
      </c>
      <c r="O160" s="41" t="s">
        <v>13008</v>
      </c>
      <c r="P160" s="82"/>
      <c r="S160" s="103" t="s">
        <v>12646</v>
      </c>
      <c r="T160" s="103" t="s">
        <v>13009</v>
      </c>
      <c r="U160" s="26">
        <v>9.2352685979999993</v>
      </c>
      <c r="V160" s="26">
        <v>-74.688409620000002</v>
      </c>
    </row>
    <row r="161" spans="14:22" ht="15" customHeight="1">
      <c r="N161" s="42">
        <v>2790</v>
      </c>
      <c r="O161" s="42" t="s">
        <v>13010</v>
      </c>
      <c r="P161" s="82"/>
      <c r="S161" s="103" t="s">
        <v>12646</v>
      </c>
      <c r="T161" s="103" t="s">
        <v>12685</v>
      </c>
      <c r="U161" s="26">
        <v>9.5400475149999995</v>
      </c>
      <c r="V161" s="26">
        <v>-74.894456349999999</v>
      </c>
    </row>
    <row r="162" spans="14:22" ht="15" customHeight="1">
      <c r="N162" s="41">
        <v>2811</v>
      </c>
      <c r="O162" s="41" t="s">
        <v>13011</v>
      </c>
      <c r="P162" s="82"/>
      <c r="S162" s="103" t="s">
        <v>12646</v>
      </c>
      <c r="T162" s="103" t="s">
        <v>13012</v>
      </c>
      <c r="U162" s="26">
        <v>10.556636960000001</v>
      </c>
      <c r="V162" s="26">
        <v>-75.314466530000004</v>
      </c>
    </row>
    <row r="163" spans="14:22" ht="15" customHeight="1">
      <c r="N163" s="42">
        <v>2812</v>
      </c>
      <c r="O163" s="42" t="s">
        <v>13013</v>
      </c>
      <c r="P163" s="82"/>
      <c r="S163" s="103" t="s">
        <v>12646</v>
      </c>
      <c r="T163" s="103" t="s">
        <v>13014</v>
      </c>
      <c r="U163" s="26">
        <v>9.6998198759999994</v>
      </c>
      <c r="V163" s="26">
        <v>-75.157935730000005</v>
      </c>
    </row>
    <row r="164" spans="14:22" ht="15" customHeight="1">
      <c r="N164" s="41">
        <v>2813</v>
      </c>
      <c r="O164" s="41" t="s">
        <v>13015</v>
      </c>
      <c r="P164" s="82"/>
      <c r="S164" s="103" t="s">
        <v>12646</v>
      </c>
      <c r="T164" s="103" t="s">
        <v>13016</v>
      </c>
      <c r="U164" s="26">
        <v>10.034836719999999</v>
      </c>
      <c r="V164" s="26">
        <v>-74.928110720000006</v>
      </c>
    </row>
    <row r="165" spans="14:22" ht="15" customHeight="1">
      <c r="N165" s="42">
        <v>2814</v>
      </c>
      <c r="O165" s="42" t="s">
        <v>13017</v>
      </c>
      <c r="P165" s="82"/>
      <c r="S165" s="103" t="s">
        <v>12646</v>
      </c>
      <c r="T165" s="103" t="s">
        <v>13018</v>
      </c>
      <c r="U165" s="26">
        <v>8.8648187860000007</v>
      </c>
      <c r="V165" s="26">
        <v>-73.912301470000003</v>
      </c>
    </row>
    <row r="166" spans="14:22" ht="15" customHeight="1">
      <c r="N166" s="41">
        <v>2815</v>
      </c>
      <c r="O166" s="41" t="s">
        <v>13019</v>
      </c>
      <c r="P166" s="82"/>
      <c r="S166" s="103" t="s">
        <v>12646</v>
      </c>
      <c r="T166" s="103" t="s">
        <v>13020</v>
      </c>
      <c r="U166" s="26">
        <v>8.9817171330000001</v>
      </c>
      <c r="V166" s="26">
        <v>-74.090719019999995</v>
      </c>
    </row>
    <row r="167" spans="14:22" ht="15" customHeight="1">
      <c r="N167" s="42">
        <v>2816</v>
      </c>
      <c r="O167" s="42" t="s">
        <v>13021</v>
      </c>
      <c r="P167" s="82"/>
      <c r="S167" s="103" t="s">
        <v>12646</v>
      </c>
      <c r="T167" s="103" t="s">
        <v>13022</v>
      </c>
      <c r="U167" s="26">
        <v>9.0531358950000005</v>
      </c>
      <c r="V167" s="26">
        <v>-74.705393180000002</v>
      </c>
    </row>
    <row r="168" spans="14:22" ht="15" customHeight="1">
      <c r="N168" s="41">
        <v>2817</v>
      </c>
      <c r="O168" s="41" t="s">
        <v>13023</v>
      </c>
      <c r="P168" s="82"/>
      <c r="S168" s="103" t="s">
        <v>12646</v>
      </c>
      <c r="T168" s="103" t="s">
        <v>13024</v>
      </c>
      <c r="U168" s="26">
        <v>10.17821391</v>
      </c>
      <c r="V168" s="26">
        <v>-75.179781610000006</v>
      </c>
    </row>
    <row r="169" spans="14:22" ht="15" customHeight="1">
      <c r="N169" s="42">
        <v>2818</v>
      </c>
      <c r="O169" s="42" t="s">
        <v>13025</v>
      </c>
      <c r="P169" s="82"/>
      <c r="S169" s="103" t="s">
        <v>12646</v>
      </c>
      <c r="T169" s="103" t="s">
        <v>13026</v>
      </c>
      <c r="U169" s="26">
        <v>9.0546018890000006</v>
      </c>
      <c r="V169" s="26">
        <v>-74.225847060000007</v>
      </c>
    </row>
    <row r="170" spans="14:22" ht="15" customHeight="1">
      <c r="N170" s="41">
        <v>2819</v>
      </c>
      <c r="O170" s="41" t="s">
        <v>13027</v>
      </c>
      <c r="P170" s="82"/>
      <c r="S170" s="103" t="s">
        <v>12646</v>
      </c>
      <c r="T170" s="103" t="s">
        <v>13028</v>
      </c>
      <c r="U170" s="26">
        <v>9.9760171680000003</v>
      </c>
      <c r="V170" s="26">
        <v>-75.343802650000001</v>
      </c>
    </row>
    <row r="171" spans="14:22" ht="15" customHeight="1">
      <c r="N171" s="42">
        <v>2821</v>
      </c>
      <c r="O171" s="42" t="s">
        <v>13029</v>
      </c>
      <c r="P171" s="82"/>
      <c r="S171" s="103" t="s">
        <v>12646</v>
      </c>
      <c r="T171" s="103" t="s">
        <v>13030</v>
      </c>
      <c r="U171" s="26">
        <v>8.0171002399999995</v>
      </c>
      <c r="V171" s="26">
        <v>-74.463429110000007</v>
      </c>
    </row>
    <row r="172" spans="14:22" ht="15" customHeight="1">
      <c r="N172" s="41">
        <v>2822</v>
      </c>
      <c r="O172" s="41" t="s">
        <v>13031</v>
      </c>
      <c r="P172" s="82"/>
      <c r="S172" s="103" t="s">
        <v>12646</v>
      </c>
      <c r="T172" s="103" t="s">
        <v>13032</v>
      </c>
      <c r="U172" s="26">
        <v>9.1425120639999999</v>
      </c>
      <c r="V172" s="26">
        <v>-74.545199060000002</v>
      </c>
    </row>
    <row r="173" spans="14:22" ht="15" customHeight="1">
      <c r="N173" s="42">
        <v>2823</v>
      </c>
      <c r="O173" s="42" t="s">
        <v>13033</v>
      </c>
      <c r="P173" s="82"/>
      <c r="S173" s="103" t="s">
        <v>12646</v>
      </c>
      <c r="T173" s="103" t="s">
        <v>13034</v>
      </c>
      <c r="U173" s="26">
        <v>8.253700061</v>
      </c>
      <c r="V173" s="26">
        <v>-73.971345900000003</v>
      </c>
    </row>
    <row r="174" spans="14:22" ht="15" customHeight="1">
      <c r="N174" s="41">
        <v>2824</v>
      </c>
      <c r="O174" s="41" t="s">
        <v>13035</v>
      </c>
      <c r="P174" s="82"/>
      <c r="S174" s="103" t="s">
        <v>12646</v>
      </c>
      <c r="T174" s="103" t="s">
        <v>13036</v>
      </c>
      <c r="U174" s="26">
        <v>8.5061347600000001</v>
      </c>
      <c r="V174" s="26">
        <v>-74.115889120000006</v>
      </c>
    </row>
    <row r="175" spans="14:22" ht="15" customHeight="1">
      <c r="N175" s="42">
        <v>2825</v>
      </c>
      <c r="O175" s="42" t="s">
        <v>13037</v>
      </c>
      <c r="P175" s="82"/>
      <c r="S175" s="103" t="s">
        <v>12646</v>
      </c>
      <c r="T175" s="103" t="s">
        <v>13038</v>
      </c>
      <c r="U175" s="26">
        <v>8.8863155109999994</v>
      </c>
      <c r="V175" s="26">
        <v>-74.408884760000007</v>
      </c>
    </row>
    <row r="176" spans="14:22" ht="15" customHeight="1">
      <c r="N176" s="41">
        <v>2826</v>
      </c>
      <c r="O176" s="41" t="s">
        <v>13039</v>
      </c>
      <c r="P176" s="82"/>
      <c r="S176" s="103" t="s">
        <v>12646</v>
      </c>
      <c r="T176" s="103" t="s">
        <v>13040</v>
      </c>
      <c r="U176" s="26">
        <v>8.6726285579999995</v>
      </c>
      <c r="V176" s="26">
        <v>-73.914506790000004</v>
      </c>
    </row>
    <row r="177" spans="14:22" ht="15" customHeight="1">
      <c r="N177" s="42">
        <v>2829</v>
      </c>
      <c r="O177" s="42" t="s">
        <v>13041</v>
      </c>
      <c r="P177" s="82"/>
      <c r="S177" s="103" t="s">
        <v>12646</v>
      </c>
      <c r="T177" s="103" t="s">
        <v>13042</v>
      </c>
      <c r="U177" s="26">
        <v>8.5599824649999992</v>
      </c>
      <c r="V177" s="26">
        <v>-73.902986679999998</v>
      </c>
    </row>
    <row r="178" spans="14:22" ht="15" customHeight="1">
      <c r="N178" s="41">
        <v>2910</v>
      </c>
      <c r="O178" s="41" t="s">
        <v>13043</v>
      </c>
      <c r="P178" s="82"/>
      <c r="S178" s="103" t="s">
        <v>12646</v>
      </c>
      <c r="T178" s="103" t="s">
        <v>13044</v>
      </c>
      <c r="U178" s="26">
        <v>10.36972087</v>
      </c>
      <c r="V178" s="26">
        <v>-75.07333835</v>
      </c>
    </row>
    <row r="179" spans="14:22" ht="15" customHeight="1">
      <c r="N179" s="42">
        <v>2920</v>
      </c>
      <c r="O179" s="42" t="s">
        <v>13045</v>
      </c>
      <c r="P179" s="82"/>
      <c r="S179" s="103" t="s">
        <v>12646</v>
      </c>
      <c r="T179" s="103" t="s">
        <v>13046</v>
      </c>
      <c r="U179" s="26">
        <v>10.364681920000001</v>
      </c>
      <c r="V179" s="26">
        <v>-75.205234869999998</v>
      </c>
    </row>
    <row r="180" spans="14:22" ht="15" customHeight="1">
      <c r="N180" s="41">
        <v>2930</v>
      </c>
      <c r="O180" s="41" t="s">
        <v>13047</v>
      </c>
      <c r="P180" s="82"/>
      <c r="S180" s="103" t="s">
        <v>12646</v>
      </c>
      <c r="T180" s="103" t="s">
        <v>13048</v>
      </c>
      <c r="U180" s="26">
        <v>9.0814831429999998</v>
      </c>
      <c r="V180" s="26">
        <v>-74.371866470000001</v>
      </c>
    </row>
    <row r="181" spans="14:22" ht="15" customHeight="1">
      <c r="N181" s="42">
        <v>3011</v>
      </c>
      <c r="O181" s="42" t="s">
        <v>13049</v>
      </c>
      <c r="P181" s="82"/>
      <c r="S181" s="103" t="s">
        <v>12646</v>
      </c>
      <c r="T181" s="103" t="s">
        <v>13050</v>
      </c>
      <c r="U181" s="26">
        <v>9.8353620110000008</v>
      </c>
      <c r="V181" s="26">
        <v>-75.106092009999998</v>
      </c>
    </row>
    <row r="182" spans="14:22" ht="15" customHeight="1">
      <c r="N182" s="41">
        <v>3012</v>
      </c>
      <c r="O182" s="41" t="s">
        <v>13051</v>
      </c>
      <c r="P182" s="82"/>
      <c r="S182" s="103" t="s">
        <v>12646</v>
      </c>
      <c r="T182" s="103" t="s">
        <v>13052</v>
      </c>
      <c r="U182" s="26">
        <v>8.2124632020000004</v>
      </c>
      <c r="V182" s="26">
        <v>-74.750820000000004</v>
      </c>
    </row>
    <row r="183" spans="14:22" ht="15" customHeight="1">
      <c r="N183" s="42">
        <v>3020</v>
      </c>
      <c r="O183" s="42" t="s">
        <v>13053</v>
      </c>
      <c r="P183" s="82"/>
      <c r="S183" s="103" t="s">
        <v>12646</v>
      </c>
      <c r="T183" s="103" t="s">
        <v>13054</v>
      </c>
      <c r="U183" s="26">
        <v>9.9679578230000008</v>
      </c>
      <c r="V183" s="26">
        <v>-75.06571959</v>
      </c>
    </row>
    <row r="184" spans="14:22" ht="15" customHeight="1">
      <c r="N184" s="41">
        <v>3030</v>
      </c>
      <c r="O184" s="41" t="s">
        <v>13055</v>
      </c>
      <c r="P184" s="82"/>
      <c r="S184" s="103" t="s">
        <v>12646</v>
      </c>
      <c r="T184" s="103" t="s">
        <v>13056</v>
      </c>
      <c r="U184" s="26">
        <v>8.816088444</v>
      </c>
      <c r="V184" s="26">
        <v>-74.005999669999994</v>
      </c>
    </row>
    <row r="185" spans="14:22" ht="15" customHeight="1">
      <c r="N185" s="42">
        <v>3040</v>
      </c>
      <c r="O185" s="42" t="s">
        <v>13057</v>
      </c>
      <c r="P185" s="82"/>
      <c r="S185" s="103" t="s">
        <v>12646</v>
      </c>
      <c r="T185" s="103" t="s">
        <v>13058</v>
      </c>
      <c r="U185" s="26">
        <v>7.5079226119999998</v>
      </c>
      <c r="V185" s="26">
        <v>-74.103569769999993</v>
      </c>
    </row>
    <row r="186" spans="14:22" ht="15" customHeight="1">
      <c r="N186" s="41">
        <v>3091</v>
      </c>
      <c r="O186" s="41" t="s">
        <v>13059</v>
      </c>
      <c r="P186" s="82"/>
      <c r="S186" s="103" t="s">
        <v>12646</v>
      </c>
      <c r="T186" s="103" t="s">
        <v>13060</v>
      </c>
      <c r="U186" s="26">
        <v>10.64981278</v>
      </c>
      <c r="V186" s="26">
        <v>-75.265484630000003</v>
      </c>
    </row>
    <row r="187" spans="14:22" ht="15" customHeight="1">
      <c r="N187" s="42">
        <v>3092</v>
      </c>
      <c r="O187" s="42" t="s">
        <v>13061</v>
      </c>
      <c r="P187" s="82"/>
      <c r="S187" s="103" t="s">
        <v>12646</v>
      </c>
      <c r="T187" s="103" t="s">
        <v>13062</v>
      </c>
      <c r="U187" s="26">
        <v>10.469207259999999</v>
      </c>
      <c r="V187" s="26">
        <v>-75.361160530000006</v>
      </c>
    </row>
    <row r="188" spans="14:22" ht="15" customHeight="1">
      <c r="N188" s="41">
        <v>3099</v>
      </c>
      <c r="O188" s="41" t="s">
        <v>13063</v>
      </c>
      <c r="P188" s="82"/>
      <c r="S188" s="103" t="s">
        <v>12646</v>
      </c>
      <c r="T188" s="103" t="s">
        <v>13064</v>
      </c>
      <c r="U188" s="26">
        <v>7.7725191730000001</v>
      </c>
      <c r="V188" s="26">
        <v>-74.262728429999996</v>
      </c>
    </row>
    <row r="189" spans="14:22" ht="15" customHeight="1">
      <c r="N189" s="42">
        <v>3110</v>
      </c>
      <c r="O189" s="42" t="s">
        <v>13065</v>
      </c>
      <c r="P189" s="82"/>
      <c r="S189" s="103" t="s">
        <v>12646</v>
      </c>
      <c r="T189" s="103" t="s">
        <v>13066</v>
      </c>
      <c r="U189" s="26">
        <v>7.8513155340000003</v>
      </c>
      <c r="V189" s="26">
        <v>-73.983716090000001</v>
      </c>
    </row>
    <row r="190" spans="14:22" ht="15" customHeight="1">
      <c r="N190" s="41">
        <v>3120</v>
      </c>
      <c r="O190" s="41" t="s">
        <v>13067</v>
      </c>
      <c r="P190" s="82"/>
      <c r="S190" s="103" t="s">
        <v>12646</v>
      </c>
      <c r="T190" s="103" t="s">
        <v>13068</v>
      </c>
      <c r="U190" s="26">
        <v>10.33209031</v>
      </c>
      <c r="V190" s="26">
        <v>-75.116992260000004</v>
      </c>
    </row>
    <row r="191" spans="14:22" ht="15" customHeight="1">
      <c r="N191" s="42">
        <v>3211</v>
      </c>
      <c r="O191" s="42" t="s">
        <v>13069</v>
      </c>
      <c r="P191" s="82"/>
      <c r="S191" s="103" t="s">
        <v>12646</v>
      </c>
      <c r="T191" s="103" t="s">
        <v>13070</v>
      </c>
      <c r="U191" s="26">
        <v>9.2695167049999991</v>
      </c>
      <c r="V191" s="26">
        <v>-74.586952330000003</v>
      </c>
    </row>
    <row r="192" spans="14:22" ht="15" customHeight="1">
      <c r="N192" s="41">
        <v>3212</v>
      </c>
      <c r="O192" s="41" t="s">
        <v>13071</v>
      </c>
      <c r="P192" s="82"/>
      <c r="S192" s="103" t="s">
        <v>12646</v>
      </c>
      <c r="T192" s="103" t="s">
        <v>13072</v>
      </c>
      <c r="U192" s="26">
        <v>8.4923451760000006</v>
      </c>
      <c r="V192" s="26">
        <v>-74.29676139</v>
      </c>
    </row>
    <row r="193" spans="14:22" ht="15" customHeight="1">
      <c r="N193" s="42">
        <v>3220</v>
      </c>
      <c r="O193" s="42" t="s">
        <v>13073</v>
      </c>
      <c r="P193" s="82"/>
      <c r="S193" s="103" t="s">
        <v>12646</v>
      </c>
      <c r="T193" s="103" t="s">
        <v>13074</v>
      </c>
      <c r="U193" s="26">
        <v>10.35310756</v>
      </c>
      <c r="V193" s="26">
        <v>-75.379715410000003</v>
      </c>
    </row>
    <row r="194" spans="14:22" ht="15" customHeight="1">
      <c r="N194" s="41">
        <v>3230</v>
      </c>
      <c r="O194" s="41" t="s">
        <v>13075</v>
      </c>
      <c r="P194" s="82"/>
      <c r="S194" s="103" t="s">
        <v>12646</v>
      </c>
      <c r="T194" s="103" t="s">
        <v>13076</v>
      </c>
      <c r="U194" s="26">
        <v>10.25276929</v>
      </c>
      <c r="V194" s="26">
        <v>-75.432702989999996</v>
      </c>
    </row>
    <row r="195" spans="14:22" ht="15" customHeight="1">
      <c r="N195" s="42">
        <v>3240</v>
      </c>
      <c r="O195" s="42" t="s">
        <v>13077</v>
      </c>
      <c r="P195" s="82"/>
      <c r="S195" s="103" t="s">
        <v>12646</v>
      </c>
      <c r="T195" s="103" t="s">
        <v>13078</v>
      </c>
      <c r="U195" s="26">
        <v>10.4449132</v>
      </c>
      <c r="V195" s="26">
        <v>-75.267362750000004</v>
      </c>
    </row>
    <row r="196" spans="14:22" ht="15" customHeight="1">
      <c r="N196" s="41">
        <v>3250</v>
      </c>
      <c r="O196" s="41" t="s">
        <v>13079</v>
      </c>
      <c r="P196" s="82"/>
      <c r="S196" s="103" t="s">
        <v>12646</v>
      </c>
      <c r="T196" s="103" t="s">
        <v>13080</v>
      </c>
      <c r="U196" s="26">
        <v>9.7451470209999993</v>
      </c>
      <c r="V196" s="26">
        <v>-74.880670370000004</v>
      </c>
    </row>
    <row r="197" spans="14:22" ht="15" customHeight="1">
      <c r="N197" s="42">
        <v>3290</v>
      </c>
      <c r="O197" s="42" t="s">
        <v>13081</v>
      </c>
      <c r="P197" s="82"/>
      <c r="S197" s="103" t="s">
        <v>12654</v>
      </c>
      <c r="T197" s="103" t="s">
        <v>13082</v>
      </c>
      <c r="U197" s="26">
        <v>5.5184726150000003</v>
      </c>
      <c r="V197" s="26">
        <v>-73.378018560000001</v>
      </c>
    </row>
    <row r="198" spans="14:22" ht="15" customHeight="1">
      <c r="N198" s="41">
        <v>3311</v>
      </c>
      <c r="O198" s="41" t="s">
        <v>13083</v>
      </c>
      <c r="P198" s="82"/>
      <c r="S198" s="103" t="s">
        <v>12654</v>
      </c>
      <c r="T198" s="103" t="s">
        <v>13084</v>
      </c>
      <c r="U198" s="26">
        <v>4.9548250810000001</v>
      </c>
      <c r="V198" s="26">
        <v>-73.388134249999993</v>
      </c>
    </row>
    <row r="199" spans="14:22" ht="15" customHeight="1">
      <c r="N199" s="42">
        <v>3312</v>
      </c>
      <c r="O199" s="42" t="s">
        <v>13085</v>
      </c>
      <c r="P199" s="82"/>
      <c r="S199" s="103" t="s">
        <v>12654</v>
      </c>
      <c r="T199" s="103" t="s">
        <v>13086</v>
      </c>
      <c r="U199" s="26">
        <v>5.4374163729999996</v>
      </c>
      <c r="V199" s="26">
        <v>-72.871494709999993</v>
      </c>
    </row>
    <row r="200" spans="14:22" ht="15" customHeight="1">
      <c r="N200" s="41">
        <v>3313</v>
      </c>
      <c r="O200" s="41" t="s">
        <v>13087</v>
      </c>
      <c r="P200" s="82"/>
      <c r="S200" s="103" t="s">
        <v>12654</v>
      </c>
      <c r="T200" s="103" t="s">
        <v>13088</v>
      </c>
      <c r="U200" s="26">
        <v>5.7352642400000002</v>
      </c>
      <c r="V200" s="26">
        <v>-73.427931090000001</v>
      </c>
    </row>
    <row r="201" spans="14:22" ht="15" customHeight="1">
      <c r="N201" s="42">
        <v>3314</v>
      </c>
      <c r="O201" s="42" t="s">
        <v>13089</v>
      </c>
      <c r="P201" s="82"/>
      <c r="S201" s="103" t="s">
        <v>12654</v>
      </c>
      <c r="T201" s="103" t="s">
        <v>13090</v>
      </c>
      <c r="U201" s="26">
        <v>6.0050592649999999</v>
      </c>
      <c r="V201" s="26">
        <v>-72.893698869999994</v>
      </c>
    </row>
    <row r="202" spans="14:22" ht="15" customHeight="1">
      <c r="N202" s="41">
        <v>3315</v>
      </c>
      <c r="O202" s="41" t="s">
        <v>13091</v>
      </c>
      <c r="P202" s="82"/>
      <c r="S202" s="103" t="s">
        <v>12654</v>
      </c>
      <c r="T202" s="103" t="s">
        <v>13092</v>
      </c>
      <c r="U202" s="26">
        <v>5.230936356</v>
      </c>
      <c r="V202" s="26">
        <v>-73.127319439999994</v>
      </c>
    </row>
    <row r="203" spans="14:22" ht="15" customHeight="1">
      <c r="N203" s="42">
        <v>3319</v>
      </c>
      <c r="O203" s="42" t="s">
        <v>13093</v>
      </c>
      <c r="P203" s="82"/>
      <c r="S203" s="103" t="s">
        <v>12654</v>
      </c>
      <c r="T203" s="103" t="s">
        <v>13094</v>
      </c>
      <c r="U203" s="26">
        <v>5.9208589329999999</v>
      </c>
      <c r="V203" s="26">
        <v>-72.848578759999995</v>
      </c>
    </row>
    <row r="204" spans="14:22" ht="15" customHeight="1">
      <c r="N204" s="41">
        <v>3320</v>
      </c>
      <c r="O204" s="41" t="s">
        <v>13095</v>
      </c>
      <c r="P204" s="82"/>
      <c r="S204" s="103" t="s">
        <v>12654</v>
      </c>
      <c r="T204" s="103" t="s">
        <v>13096</v>
      </c>
      <c r="U204" s="26">
        <v>6.3375156260000001</v>
      </c>
      <c r="V204" s="26">
        <v>-72.620212390000006</v>
      </c>
    </row>
    <row r="205" spans="14:22" ht="15" customHeight="1">
      <c r="N205" s="42">
        <v>3511</v>
      </c>
      <c r="O205" s="42" t="s">
        <v>13097</v>
      </c>
      <c r="P205" s="82"/>
      <c r="S205" s="103" t="s">
        <v>12654</v>
      </c>
      <c r="T205" s="103" t="s">
        <v>12654</v>
      </c>
      <c r="U205" s="26">
        <v>5.4398562159999999</v>
      </c>
      <c r="V205" s="26">
        <v>-73.381369939999999</v>
      </c>
    </row>
    <row r="206" spans="14:22" ht="15" customHeight="1">
      <c r="N206" s="41">
        <v>3512</v>
      </c>
      <c r="O206" s="41" t="s">
        <v>13098</v>
      </c>
      <c r="P206" s="82"/>
      <c r="S206" s="103" t="s">
        <v>12654</v>
      </c>
      <c r="T206" s="103" t="s">
        <v>12731</v>
      </c>
      <c r="U206" s="26">
        <v>5.6732292649999998</v>
      </c>
      <c r="V206" s="26">
        <v>-73.926607050000001</v>
      </c>
    </row>
    <row r="207" spans="14:22" ht="15" customHeight="1">
      <c r="N207" s="42">
        <v>3513</v>
      </c>
      <c r="O207" s="42" t="s">
        <v>13099</v>
      </c>
      <c r="P207" s="82"/>
      <c r="S207" s="103" t="s">
        <v>12654</v>
      </c>
      <c r="T207" s="103" t="s">
        <v>13100</v>
      </c>
      <c r="U207" s="26">
        <v>5.4893994189999997</v>
      </c>
      <c r="V207" s="26">
        <v>-73.950662550000004</v>
      </c>
    </row>
    <row r="208" spans="14:22" ht="15" customHeight="1">
      <c r="N208" s="41">
        <v>3514</v>
      </c>
      <c r="O208" s="41" t="s">
        <v>13101</v>
      </c>
      <c r="P208" s="82"/>
      <c r="S208" s="103" t="s">
        <v>12654</v>
      </c>
      <c r="T208" s="103" t="s">
        <v>13102</v>
      </c>
      <c r="U208" s="26">
        <v>5.8434837310000001</v>
      </c>
      <c r="V208" s="26">
        <v>-72.875746230000004</v>
      </c>
    </row>
    <row r="209" spans="14:22" ht="15" customHeight="1">
      <c r="N209" s="42">
        <v>3520</v>
      </c>
      <c r="O209" s="42" t="s">
        <v>13103</v>
      </c>
      <c r="P209" s="82"/>
      <c r="S209" s="103" t="s">
        <v>12654</v>
      </c>
      <c r="T209" s="103" t="s">
        <v>12661</v>
      </c>
      <c r="U209" s="26">
        <v>5.5759906690000003</v>
      </c>
      <c r="V209" s="26">
        <v>-73.88057508</v>
      </c>
    </row>
    <row r="210" spans="14:22" ht="15" customHeight="1">
      <c r="N210" s="41">
        <v>3530</v>
      </c>
      <c r="O210" s="41" t="s">
        <v>13104</v>
      </c>
      <c r="P210" s="82"/>
      <c r="S210" s="103" t="s">
        <v>12654</v>
      </c>
      <c r="T210" s="103" t="s">
        <v>13105</v>
      </c>
      <c r="U210" s="26">
        <v>5.0068625359999999</v>
      </c>
      <c r="V210" s="26">
        <v>-73.144670300000001</v>
      </c>
    </row>
    <row r="211" spans="14:22" ht="15" customHeight="1">
      <c r="N211" s="42">
        <v>3600</v>
      </c>
      <c r="O211" s="42" t="s">
        <v>13106</v>
      </c>
      <c r="P211" s="82"/>
      <c r="S211" s="103" t="s">
        <v>12654</v>
      </c>
      <c r="T211" s="103" t="s">
        <v>13107</v>
      </c>
      <c r="U211" s="26">
        <v>5.9620136979999998</v>
      </c>
      <c r="V211" s="26">
        <v>-72.964472880000002</v>
      </c>
    </row>
    <row r="212" spans="14:22" ht="15" customHeight="1">
      <c r="N212" s="41">
        <v>3700</v>
      </c>
      <c r="O212" s="41" t="s">
        <v>13108</v>
      </c>
      <c r="P212" s="82"/>
      <c r="S212" s="103" t="s">
        <v>12654</v>
      </c>
      <c r="T212" s="103" t="s">
        <v>13109</v>
      </c>
      <c r="U212" s="26">
        <v>5.2029716390000003</v>
      </c>
      <c r="V212" s="26">
        <v>-73.340480740000004</v>
      </c>
    </row>
    <row r="213" spans="14:22" ht="15" customHeight="1">
      <c r="N213" s="42">
        <v>3811</v>
      </c>
      <c r="O213" s="42" t="s">
        <v>13110</v>
      </c>
      <c r="P213" s="82"/>
      <c r="S213" s="103" t="s">
        <v>12654</v>
      </c>
      <c r="T213" s="103" t="s">
        <v>13111</v>
      </c>
      <c r="U213" s="26">
        <v>5.6224880239999999</v>
      </c>
      <c r="V213" s="26">
        <v>-73.804245309999999</v>
      </c>
    </row>
    <row r="214" spans="14:22" ht="15" customHeight="1">
      <c r="N214" s="41">
        <v>3812</v>
      </c>
      <c r="O214" s="41" t="s">
        <v>13112</v>
      </c>
      <c r="P214" s="82"/>
      <c r="S214" s="103" t="s">
        <v>12654</v>
      </c>
      <c r="T214" s="103" t="s">
        <v>13113</v>
      </c>
      <c r="U214" s="26">
        <v>6.6891180600000002</v>
      </c>
      <c r="V214" s="26">
        <v>-72.417956750000002</v>
      </c>
    </row>
    <row r="215" spans="14:22" ht="15" customHeight="1">
      <c r="N215" s="42">
        <v>3821</v>
      </c>
      <c r="O215" s="42" t="s">
        <v>13114</v>
      </c>
      <c r="P215" s="82"/>
      <c r="S215" s="103" t="s">
        <v>12654</v>
      </c>
      <c r="T215" s="103" t="s">
        <v>13115</v>
      </c>
      <c r="U215" s="26">
        <v>6.091468485</v>
      </c>
      <c r="V215" s="26">
        <v>-72.439031740000004</v>
      </c>
    </row>
    <row r="216" spans="14:22" ht="15" customHeight="1">
      <c r="N216" s="41">
        <v>3822</v>
      </c>
      <c r="O216" s="41" t="s">
        <v>13116</v>
      </c>
      <c r="P216" s="82"/>
      <c r="S216" s="103" t="s">
        <v>12654</v>
      </c>
      <c r="T216" s="103" t="s">
        <v>13117</v>
      </c>
      <c r="U216" s="26">
        <v>5.9843946250000002</v>
      </c>
      <c r="V216" s="26">
        <v>-73.425823750000006</v>
      </c>
    </row>
    <row r="217" spans="14:22" ht="15" customHeight="1">
      <c r="N217" s="42">
        <v>3830</v>
      </c>
      <c r="O217" s="42" t="s">
        <v>13118</v>
      </c>
      <c r="P217" s="82"/>
      <c r="S217" s="103" t="s">
        <v>12654</v>
      </c>
      <c r="T217" s="103" t="s">
        <v>13119</v>
      </c>
      <c r="U217" s="26">
        <v>5.556830465</v>
      </c>
      <c r="V217" s="26">
        <v>-73.260617150000002</v>
      </c>
    </row>
    <row r="218" spans="14:22" ht="15" customHeight="1">
      <c r="N218" s="41">
        <v>3900</v>
      </c>
      <c r="O218" s="41" t="s">
        <v>13120</v>
      </c>
      <c r="P218" s="82"/>
      <c r="S218" s="103" t="s">
        <v>12654</v>
      </c>
      <c r="T218" s="103" t="s">
        <v>13121</v>
      </c>
      <c r="U218" s="26">
        <v>5.393059633</v>
      </c>
      <c r="V218" s="26">
        <v>-73.282057719999997</v>
      </c>
    </row>
    <row r="219" spans="14:22" ht="15" customHeight="1">
      <c r="N219" s="42">
        <v>4111</v>
      </c>
      <c r="O219" s="42" t="s">
        <v>13122</v>
      </c>
      <c r="P219" s="82"/>
      <c r="S219" s="103" t="s">
        <v>12654</v>
      </c>
      <c r="T219" s="103" t="s">
        <v>13123</v>
      </c>
      <c r="U219" s="26">
        <v>5.6678223660000002</v>
      </c>
      <c r="V219" s="26">
        <v>-73.321370490000007</v>
      </c>
    </row>
    <row r="220" spans="14:22" ht="15" customHeight="1">
      <c r="N220" s="41">
        <v>4112</v>
      </c>
      <c r="O220" s="41" t="s">
        <v>13124</v>
      </c>
      <c r="P220" s="82"/>
      <c r="S220" s="103" t="s">
        <v>12654</v>
      </c>
      <c r="T220" s="103" t="s">
        <v>13125</v>
      </c>
      <c r="U220" s="26">
        <v>5.4524610720000002</v>
      </c>
      <c r="V220" s="26">
        <v>-74.059965779999999</v>
      </c>
    </row>
    <row r="221" spans="14:22" ht="15" customHeight="1">
      <c r="N221" s="42">
        <v>4210</v>
      </c>
      <c r="O221" s="42" t="s">
        <v>13126</v>
      </c>
      <c r="P221" s="82"/>
      <c r="S221" s="103" t="s">
        <v>12654</v>
      </c>
      <c r="T221" s="103" t="s">
        <v>13127</v>
      </c>
      <c r="U221" s="26">
        <v>5.82454582</v>
      </c>
      <c r="V221" s="26">
        <v>-72.845448450000006</v>
      </c>
    </row>
    <row r="222" spans="14:22" ht="15" customHeight="1">
      <c r="N222" s="41">
        <v>4220</v>
      </c>
      <c r="O222" s="41" t="s">
        <v>13128</v>
      </c>
      <c r="P222" s="82"/>
      <c r="S222" s="103" t="s">
        <v>12654</v>
      </c>
      <c r="T222" s="103" t="s">
        <v>13129</v>
      </c>
      <c r="U222" s="26">
        <v>6.5195214760000004</v>
      </c>
      <c r="V222" s="26">
        <v>-72.740204210000002</v>
      </c>
    </row>
    <row r="223" spans="14:22" ht="15" customHeight="1">
      <c r="N223" s="42">
        <v>4290</v>
      </c>
      <c r="O223" s="42" t="s">
        <v>13130</v>
      </c>
      <c r="P223" s="82"/>
      <c r="S223" s="103" t="s">
        <v>12654</v>
      </c>
      <c r="T223" s="103" t="s">
        <v>13131</v>
      </c>
      <c r="U223" s="26">
        <v>6.8869548780000001</v>
      </c>
      <c r="V223" s="26">
        <v>-72.181562850000006</v>
      </c>
    </row>
    <row r="224" spans="14:22" ht="15" customHeight="1">
      <c r="N224" s="41">
        <v>4311</v>
      </c>
      <c r="O224" s="41" t="s">
        <v>13132</v>
      </c>
      <c r="P224" s="82"/>
      <c r="S224" s="103" t="s">
        <v>12654</v>
      </c>
      <c r="T224" s="103" t="s">
        <v>13133</v>
      </c>
      <c r="U224" s="26">
        <v>5.5271041089999997</v>
      </c>
      <c r="V224" s="26">
        <v>-73.44598646</v>
      </c>
    </row>
    <row r="225" spans="14:22" ht="15" customHeight="1">
      <c r="N225" s="42">
        <v>4312</v>
      </c>
      <c r="O225" s="42" t="s">
        <v>13134</v>
      </c>
      <c r="P225" s="82"/>
      <c r="S225" s="103" t="s">
        <v>12654</v>
      </c>
      <c r="T225" s="103" t="s">
        <v>13135</v>
      </c>
      <c r="U225" s="26">
        <v>5.58775449</v>
      </c>
      <c r="V225" s="26">
        <v>-72.939536860000004</v>
      </c>
    </row>
    <row r="226" spans="14:22" ht="15" customHeight="1">
      <c r="N226" s="41">
        <v>4321</v>
      </c>
      <c r="O226" s="41" t="s">
        <v>13136</v>
      </c>
      <c r="P226" s="82"/>
      <c r="S226" s="103" t="s">
        <v>12654</v>
      </c>
      <c r="T226" s="103" t="s">
        <v>13137</v>
      </c>
      <c r="U226" s="26">
        <v>5.6430756479999999</v>
      </c>
      <c r="V226" s="26">
        <v>-73.445623909999995</v>
      </c>
    </row>
    <row r="227" spans="14:22" ht="15" customHeight="1">
      <c r="N227" s="42">
        <v>4322</v>
      </c>
      <c r="O227" s="42" t="s">
        <v>13138</v>
      </c>
      <c r="P227" s="82"/>
      <c r="S227" s="103" t="s">
        <v>12654</v>
      </c>
      <c r="T227" s="103" t="s">
        <v>13139</v>
      </c>
      <c r="U227" s="26">
        <v>4.8711816060000004</v>
      </c>
      <c r="V227" s="26">
        <v>-73.361423790000003</v>
      </c>
    </row>
    <row r="228" spans="14:22" ht="15" customHeight="1">
      <c r="N228" s="41">
        <v>4329</v>
      </c>
      <c r="O228" s="41" t="s">
        <v>13140</v>
      </c>
      <c r="P228" s="82"/>
      <c r="S228" s="103" t="s">
        <v>12654</v>
      </c>
      <c r="T228" s="103" t="s">
        <v>13141</v>
      </c>
      <c r="U228" s="26">
        <v>5.8906025150000003</v>
      </c>
      <c r="V228" s="26">
        <v>-73.067094839999996</v>
      </c>
    </row>
    <row r="229" spans="14:22" ht="15" customHeight="1">
      <c r="N229" s="42">
        <v>4330</v>
      </c>
      <c r="O229" s="42" t="s">
        <v>13142</v>
      </c>
      <c r="P229" s="82"/>
      <c r="S229" s="103" t="s">
        <v>12654</v>
      </c>
      <c r="T229" s="103" t="s">
        <v>13143</v>
      </c>
      <c r="U229" s="26">
        <v>6.3533631770000003</v>
      </c>
      <c r="V229" s="26">
        <v>-72.419237519999996</v>
      </c>
    </row>
    <row r="230" spans="14:22" ht="15" customHeight="1">
      <c r="N230" s="41">
        <v>4390</v>
      </c>
      <c r="O230" s="41" t="s">
        <v>13144</v>
      </c>
      <c r="P230" s="82"/>
      <c r="S230" s="103" t="s">
        <v>12654</v>
      </c>
      <c r="T230" s="103" t="s">
        <v>13145</v>
      </c>
      <c r="U230" s="26">
        <v>6.5082405559999996</v>
      </c>
      <c r="V230" s="26">
        <v>-72.480496250000002</v>
      </c>
    </row>
    <row r="231" spans="14:22" ht="15" customHeight="1">
      <c r="N231" s="42">
        <v>4511</v>
      </c>
      <c r="O231" s="42" t="s">
        <v>13146</v>
      </c>
      <c r="P231" s="82"/>
      <c r="S231" s="103" t="s">
        <v>12654</v>
      </c>
      <c r="T231" s="103" t="s">
        <v>13147</v>
      </c>
      <c r="U231" s="26">
        <v>5.6736765900000004</v>
      </c>
      <c r="V231" s="26">
        <v>-73.019833520000006</v>
      </c>
    </row>
    <row r="232" spans="14:22" ht="15" customHeight="1">
      <c r="N232" s="41">
        <v>4512</v>
      </c>
      <c r="O232" s="41" t="s">
        <v>13148</v>
      </c>
      <c r="P232" s="82"/>
      <c r="S232" s="103" t="s">
        <v>12654</v>
      </c>
      <c r="T232" s="103" t="s">
        <v>13149</v>
      </c>
      <c r="U232" s="26">
        <v>5.85899211</v>
      </c>
      <c r="V232" s="26">
        <v>-72.924998270000003</v>
      </c>
    </row>
    <row r="233" spans="14:22" ht="15" customHeight="1">
      <c r="N233" s="42">
        <v>4520</v>
      </c>
      <c r="O233" s="42" t="s">
        <v>13150</v>
      </c>
      <c r="P233" s="82"/>
      <c r="S233" s="103" t="s">
        <v>12654</v>
      </c>
      <c r="T233" s="103" t="s">
        <v>13151</v>
      </c>
      <c r="U233" s="26">
        <v>5.7441059750000001</v>
      </c>
      <c r="V233" s="26">
        <v>-73.542655199999999</v>
      </c>
    </row>
    <row r="234" spans="14:22" ht="15" customHeight="1">
      <c r="N234" s="41">
        <v>4530</v>
      </c>
      <c r="O234" s="41" t="s">
        <v>13152</v>
      </c>
      <c r="P234" s="82"/>
      <c r="S234" s="103" t="s">
        <v>12654</v>
      </c>
      <c r="T234" s="103" t="s">
        <v>13153</v>
      </c>
      <c r="U234" s="26">
        <v>5.7990502560000001</v>
      </c>
      <c r="V234" s="26">
        <v>-72.729647650000004</v>
      </c>
    </row>
    <row r="235" spans="14:22" ht="15" customHeight="1">
      <c r="N235" s="42">
        <v>4541</v>
      </c>
      <c r="O235" s="42" t="s">
        <v>13154</v>
      </c>
      <c r="P235" s="82"/>
      <c r="S235" s="103" t="s">
        <v>12654</v>
      </c>
      <c r="T235" s="103" t="s">
        <v>13155</v>
      </c>
      <c r="U235" s="26">
        <v>5.0894666510000004</v>
      </c>
      <c r="V235" s="26">
        <v>-73.314302720000001</v>
      </c>
    </row>
    <row r="236" spans="14:22" ht="15" customHeight="1">
      <c r="N236" s="41">
        <v>4542</v>
      </c>
      <c r="O236" s="41" t="s">
        <v>13156</v>
      </c>
      <c r="P236" s="82"/>
      <c r="S236" s="103" t="s">
        <v>12654</v>
      </c>
      <c r="T236" s="103" t="s">
        <v>13157</v>
      </c>
      <c r="U236" s="26">
        <v>6.4454385460000001</v>
      </c>
      <c r="V236" s="26">
        <v>-72.516353319999993</v>
      </c>
    </row>
    <row r="237" spans="14:22" ht="15" customHeight="1">
      <c r="N237" s="42">
        <v>4610</v>
      </c>
      <c r="O237" s="42" t="s">
        <v>13158</v>
      </c>
      <c r="P237" s="82"/>
      <c r="S237" s="103" t="s">
        <v>12654</v>
      </c>
      <c r="T237" s="103" t="s">
        <v>13159</v>
      </c>
      <c r="U237" s="26">
        <v>5.0145083100000001</v>
      </c>
      <c r="V237" s="26">
        <v>-73.488123520000002</v>
      </c>
    </row>
    <row r="238" spans="14:22" ht="15" customHeight="1">
      <c r="N238" s="41">
        <v>4620</v>
      </c>
      <c r="O238" s="41" t="s">
        <v>13160</v>
      </c>
      <c r="P238" s="82"/>
      <c r="S238" s="103" t="s">
        <v>12654</v>
      </c>
      <c r="T238" s="103" t="s">
        <v>13161</v>
      </c>
      <c r="U238" s="26">
        <v>4.9314243409999996</v>
      </c>
      <c r="V238" s="26">
        <v>-73.496633720000005</v>
      </c>
    </row>
    <row r="239" spans="14:22" ht="15" customHeight="1">
      <c r="N239" s="42">
        <v>4631</v>
      </c>
      <c r="O239" s="42" t="s">
        <v>13162</v>
      </c>
      <c r="P239" s="82"/>
      <c r="S239" s="103" t="s">
        <v>12654</v>
      </c>
      <c r="T239" s="103" t="s">
        <v>13163</v>
      </c>
      <c r="U239" s="26">
        <v>6.566991765</v>
      </c>
      <c r="V239" s="26">
        <v>-72.255993340000003</v>
      </c>
    </row>
    <row r="240" spans="14:22" ht="15" customHeight="1">
      <c r="N240" s="41">
        <v>4632</v>
      </c>
      <c r="O240" s="41" t="s">
        <v>13164</v>
      </c>
      <c r="P240" s="82"/>
      <c r="S240" s="103" t="s">
        <v>12654</v>
      </c>
      <c r="T240" s="103" t="s">
        <v>13165</v>
      </c>
      <c r="U240" s="26">
        <v>5.6173660160000001</v>
      </c>
      <c r="V240" s="26">
        <v>-72.969865040000002</v>
      </c>
    </row>
    <row r="241" spans="14:22" ht="15" customHeight="1">
      <c r="N241" s="42">
        <v>4641</v>
      </c>
      <c r="O241" s="42" t="s">
        <v>13166</v>
      </c>
      <c r="P241" s="82"/>
      <c r="S241" s="103" t="s">
        <v>12654</v>
      </c>
      <c r="T241" s="103" t="s">
        <v>13167</v>
      </c>
      <c r="U241" s="26">
        <v>5.3891627199999999</v>
      </c>
      <c r="V241" s="26">
        <v>-73.400870209999994</v>
      </c>
    </row>
    <row r="242" spans="14:22" ht="15" customHeight="1">
      <c r="N242" s="41">
        <v>4642</v>
      </c>
      <c r="O242" s="41" t="s">
        <v>13168</v>
      </c>
      <c r="P242" s="82"/>
      <c r="S242" s="103" t="s">
        <v>12654</v>
      </c>
      <c r="T242" s="103" t="s">
        <v>12819</v>
      </c>
      <c r="U242" s="26">
        <v>6.1556336619999996</v>
      </c>
      <c r="V242" s="26">
        <v>-72.585230929999994</v>
      </c>
    </row>
    <row r="243" spans="14:22" ht="15" customHeight="1">
      <c r="N243" s="42">
        <v>4643</v>
      </c>
      <c r="O243" s="42" t="s">
        <v>13169</v>
      </c>
      <c r="P243" s="82"/>
      <c r="S243" s="103" t="s">
        <v>12654</v>
      </c>
      <c r="T243" s="103" t="s">
        <v>13170</v>
      </c>
      <c r="U243" s="26">
        <v>5.5413781320000002</v>
      </c>
      <c r="V243" s="26">
        <v>-72.590384599999993</v>
      </c>
    </row>
    <row r="244" spans="14:22" ht="15" customHeight="1">
      <c r="N244" s="41">
        <v>4644</v>
      </c>
      <c r="O244" s="41" t="s">
        <v>13171</v>
      </c>
      <c r="P244" s="82"/>
      <c r="S244" s="103" t="s">
        <v>12654</v>
      </c>
      <c r="T244" s="103" t="s">
        <v>13172</v>
      </c>
      <c r="U244" s="26">
        <v>5.1131671020000002</v>
      </c>
      <c r="V244" s="26">
        <v>-73.459237079999994</v>
      </c>
    </row>
    <row r="245" spans="14:22" ht="15" customHeight="1">
      <c r="N245" s="42">
        <v>4645</v>
      </c>
      <c r="O245" s="42" t="s">
        <v>13173</v>
      </c>
      <c r="P245" s="82"/>
      <c r="S245" s="103" t="s">
        <v>12654</v>
      </c>
      <c r="T245" s="103" t="s">
        <v>13174</v>
      </c>
      <c r="U245" s="26">
        <v>5.5070081210000001</v>
      </c>
      <c r="V245" s="26">
        <v>-74.241627269999995</v>
      </c>
    </row>
    <row r="246" spans="14:22" ht="15" customHeight="1">
      <c r="N246" s="41">
        <v>4649</v>
      </c>
      <c r="O246" s="41" t="s">
        <v>13175</v>
      </c>
      <c r="P246" s="82"/>
      <c r="S246" s="103" t="s">
        <v>12654</v>
      </c>
      <c r="T246" s="103" t="s">
        <v>13176</v>
      </c>
      <c r="U246" s="26">
        <v>6.2651261910000002</v>
      </c>
      <c r="V246" s="26">
        <v>-72.555510850000005</v>
      </c>
    </row>
    <row r="247" spans="14:22" ht="15" customHeight="1">
      <c r="N247" s="42">
        <v>4651</v>
      </c>
      <c r="O247" s="42" t="s">
        <v>13177</v>
      </c>
      <c r="P247" s="82"/>
      <c r="S247" s="103" t="s">
        <v>12654</v>
      </c>
      <c r="T247" s="103" t="s">
        <v>13178</v>
      </c>
      <c r="U247" s="26">
        <v>5.6657624240000004</v>
      </c>
      <c r="V247" s="26">
        <v>-73.514948000000004</v>
      </c>
    </row>
    <row r="248" spans="14:22" ht="15" customHeight="1">
      <c r="N248" s="41">
        <v>4652</v>
      </c>
      <c r="O248" s="41" t="s">
        <v>13179</v>
      </c>
      <c r="P248" s="82"/>
      <c r="S248" s="103" t="s">
        <v>12654</v>
      </c>
      <c r="T248" s="103" t="s">
        <v>13180</v>
      </c>
      <c r="U248" s="26">
        <v>4.9801764950000003</v>
      </c>
      <c r="V248" s="26">
        <v>-73.294136949999995</v>
      </c>
    </row>
    <row r="249" spans="14:22" ht="15" customHeight="1">
      <c r="N249" s="42">
        <v>4653</v>
      </c>
      <c r="O249" s="42" t="s">
        <v>13181</v>
      </c>
      <c r="P249" s="82"/>
      <c r="S249" s="103" t="s">
        <v>12654</v>
      </c>
      <c r="T249" s="103" t="s">
        <v>13182</v>
      </c>
      <c r="U249" s="26">
        <v>5.5698106330000003</v>
      </c>
      <c r="V249" s="26">
        <v>-74.020031270000004</v>
      </c>
    </row>
    <row r="250" spans="14:22" ht="15" customHeight="1">
      <c r="N250" s="41">
        <v>4659</v>
      </c>
      <c r="O250" s="41" t="s">
        <v>13183</v>
      </c>
      <c r="P250" s="82"/>
      <c r="S250" s="103" t="s">
        <v>12654</v>
      </c>
      <c r="T250" s="103" t="s">
        <v>13184</v>
      </c>
      <c r="U250" s="26">
        <v>5.150953297</v>
      </c>
      <c r="V250" s="26">
        <v>-73.178967220000004</v>
      </c>
    </row>
    <row r="251" spans="14:22" ht="15" customHeight="1">
      <c r="N251" s="42">
        <v>4661</v>
      </c>
      <c r="O251" s="42" t="s">
        <v>13185</v>
      </c>
      <c r="P251" s="82"/>
      <c r="S251" s="103" t="s">
        <v>12654</v>
      </c>
      <c r="T251" s="103" t="s">
        <v>13186</v>
      </c>
      <c r="U251" s="26">
        <v>5.7109379809999998</v>
      </c>
      <c r="V251" s="26">
        <v>-72.634028749999999</v>
      </c>
    </row>
    <row r="252" spans="14:22" ht="15" customHeight="1">
      <c r="N252" s="41">
        <v>4662</v>
      </c>
      <c r="O252" s="41" t="s">
        <v>13187</v>
      </c>
      <c r="P252" s="82"/>
      <c r="S252" s="103" t="s">
        <v>12654</v>
      </c>
      <c r="T252" s="103" t="s">
        <v>13188</v>
      </c>
      <c r="U252" s="26">
        <v>5.6973522279999997</v>
      </c>
      <c r="V252" s="26">
        <v>-72.832986640000001</v>
      </c>
    </row>
    <row r="253" spans="14:22" ht="15" customHeight="1">
      <c r="N253" s="42">
        <v>4663</v>
      </c>
      <c r="O253" s="42" t="s">
        <v>13189</v>
      </c>
      <c r="P253" s="82"/>
      <c r="S253" s="103" t="s">
        <v>12654</v>
      </c>
      <c r="T253" s="103" t="s">
        <v>13190</v>
      </c>
      <c r="U253" s="26">
        <v>5.8633704849999999</v>
      </c>
      <c r="V253" s="26">
        <v>-73.558525380000006</v>
      </c>
    </row>
    <row r="254" spans="14:22" ht="15" customHeight="1">
      <c r="N254" s="41">
        <v>4664</v>
      </c>
      <c r="O254" s="41" t="s">
        <v>13191</v>
      </c>
      <c r="P254" s="82"/>
      <c r="S254" s="103" t="s">
        <v>12654</v>
      </c>
      <c r="T254" s="103" t="s">
        <v>13192</v>
      </c>
      <c r="U254" s="26">
        <v>5.6061924489999999</v>
      </c>
      <c r="V254" s="26">
        <v>-73.377342670000004</v>
      </c>
    </row>
    <row r="255" spans="14:22" ht="15" customHeight="1">
      <c r="N255" s="42">
        <v>4665</v>
      </c>
      <c r="O255" s="42" t="s">
        <v>13193</v>
      </c>
      <c r="P255" s="82"/>
      <c r="S255" s="103" t="s">
        <v>12654</v>
      </c>
      <c r="T255" s="103" t="s">
        <v>13194</v>
      </c>
      <c r="U255" s="26">
        <v>5.5394292719999996</v>
      </c>
      <c r="V255" s="26">
        <v>-74.111771390000001</v>
      </c>
    </row>
    <row r="256" spans="14:22" ht="15" customHeight="1">
      <c r="N256" s="41">
        <v>4669</v>
      </c>
      <c r="O256" s="41" t="s">
        <v>13195</v>
      </c>
      <c r="P256" s="82"/>
      <c r="S256" s="103" t="s">
        <v>12654</v>
      </c>
      <c r="T256" s="103" t="s">
        <v>13196</v>
      </c>
      <c r="U256" s="26">
        <v>5.7787598510000002</v>
      </c>
      <c r="V256" s="26">
        <v>-72.932683240000003</v>
      </c>
    </row>
    <row r="257" spans="14:22" ht="15" customHeight="1">
      <c r="N257" s="42">
        <v>4690</v>
      </c>
      <c r="O257" s="42" t="s">
        <v>13197</v>
      </c>
      <c r="P257" s="82"/>
      <c r="S257" s="103" t="s">
        <v>12654</v>
      </c>
      <c r="T257" s="103" t="s">
        <v>13198</v>
      </c>
      <c r="U257" s="26">
        <v>5.3547014849999996</v>
      </c>
      <c r="V257" s="26">
        <v>-73.448734239999993</v>
      </c>
    </row>
    <row r="258" spans="14:22" ht="15" customHeight="1">
      <c r="N258" s="41">
        <v>4711</v>
      </c>
      <c r="O258" s="41" t="s">
        <v>13199</v>
      </c>
      <c r="P258" s="82"/>
      <c r="S258" s="103" t="s">
        <v>12654</v>
      </c>
      <c r="T258" s="103" t="s">
        <v>13200</v>
      </c>
      <c r="U258" s="26">
        <v>5.6107878439999999</v>
      </c>
      <c r="V258" s="26">
        <v>-73.279919050000004</v>
      </c>
    </row>
    <row r="259" spans="14:22" ht="15" customHeight="1">
      <c r="N259" s="42">
        <v>4719</v>
      </c>
      <c r="O259" s="42" t="s">
        <v>13201</v>
      </c>
      <c r="P259" s="82"/>
      <c r="S259" s="103" t="s">
        <v>12654</v>
      </c>
      <c r="T259" s="103" t="s">
        <v>13202</v>
      </c>
      <c r="U259" s="26">
        <v>5.7537877870000003</v>
      </c>
      <c r="V259" s="26">
        <v>-74.197194229999994</v>
      </c>
    </row>
    <row r="260" spans="14:22" ht="15" customHeight="1">
      <c r="N260" s="41">
        <v>4721</v>
      </c>
      <c r="O260" s="41" t="s">
        <v>13203</v>
      </c>
      <c r="P260" s="82"/>
      <c r="S260" s="103" t="s">
        <v>12654</v>
      </c>
      <c r="T260" s="103" t="s">
        <v>13204</v>
      </c>
      <c r="U260" s="26">
        <v>5.1483238770000002</v>
      </c>
      <c r="V260" s="26">
        <v>-73.399512189999996</v>
      </c>
    </row>
    <row r="261" spans="14:22" ht="15" customHeight="1">
      <c r="N261" s="42">
        <v>4722</v>
      </c>
      <c r="O261" s="42" t="s">
        <v>13205</v>
      </c>
      <c r="P261" s="82"/>
      <c r="S261" s="103" t="s">
        <v>12654</v>
      </c>
      <c r="T261" s="103" t="s">
        <v>13206</v>
      </c>
      <c r="U261" s="26">
        <v>5.0952110350000002</v>
      </c>
      <c r="V261" s="26">
        <v>-73.004358629999999</v>
      </c>
    </row>
    <row r="262" spans="14:22" ht="15" customHeight="1">
      <c r="N262" s="41">
        <v>4723</v>
      </c>
      <c r="O262" s="41" t="s">
        <v>13207</v>
      </c>
      <c r="P262" s="82"/>
      <c r="S262" s="103" t="s">
        <v>12654</v>
      </c>
      <c r="T262" s="103" t="s">
        <v>13208</v>
      </c>
      <c r="U262" s="26">
        <v>5.762027786</v>
      </c>
      <c r="V262" s="26">
        <v>-73.13777442</v>
      </c>
    </row>
    <row r="263" spans="14:22" ht="15" customHeight="1">
      <c r="N263" s="42">
        <v>4724</v>
      </c>
      <c r="O263" s="42" t="s">
        <v>13209</v>
      </c>
      <c r="P263" s="82"/>
      <c r="S263" s="103" t="s">
        <v>12654</v>
      </c>
      <c r="T263" s="103" t="s">
        <v>13210</v>
      </c>
      <c r="U263" s="26">
        <v>5.3823289489999997</v>
      </c>
      <c r="V263" s="26">
        <v>-72.696726740000003</v>
      </c>
    </row>
    <row r="264" spans="14:22" ht="15" customHeight="1">
      <c r="N264" s="41">
        <v>4729</v>
      </c>
      <c r="O264" s="41" t="s">
        <v>13211</v>
      </c>
      <c r="P264" s="82"/>
      <c r="S264" s="103" t="s">
        <v>12654</v>
      </c>
      <c r="T264" s="103" t="s">
        <v>13212</v>
      </c>
      <c r="U264" s="26">
        <v>6.4432997580000002</v>
      </c>
      <c r="V264" s="26">
        <v>-72.461824309999997</v>
      </c>
    </row>
    <row r="265" spans="14:22" ht="15" customHeight="1">
      <c r="N265" s="42">
        <v>4731</v>
      </c>
      <c r="O265" s="42" t="s">
        <v>13213</v>
      </c>
      <c r="P265" s="82"/>
      <c r="S265" s="103" t="s">
        <v>12654</v>
      </c>
      <c r="T265" s="103" t="s">
        <v>13214</v>
      </c>
      <c r="U265" s="26">
        <v>5.6888015589999998</v>
      </c>
      <c r="V265" s="26">
        <v>-74.005041219999995</v>
      </c>
    </row>
    <row r="266" spans="14:22" ht="15" customHeight="1">
      <c r="N266" s="41">
        <v>4732</v>
      </c>
      <c r="O266" s="41" t="s">
        <v>13215</v>
      </c>
      <c r="P266" s="82"/>
      <c r="S266" s="103" t="s">
        <v>12654</v>
      </c>
      <c r="T266" s="103" t="s">
        <v>13216</v>
      </c>
      <c r="U266" s="26">
        <v>5.6212427419999997</v>
      </c>
      <c r="V266" s="26">
        <v>-72.369290599999999</v>
      </c>
    </row>
    <row r="267" spans="14:22" ht="15" customHeight="1">
      <c r="N267" s="42">
        <v>4741</v>
      </c>
      <c r="O267" s="42" t="s">
        <v>13217</v>
      </c>
      <c r="P267" s="82"/>
      <c r="S267" s="103" t="s">
        <v>12654</v>
      </c>
      <c r="T267" s="103" t="s">
        <v>13218</v>
      </c>
      <c r="U267" s="26">
        <v>6.0300085609999998</v>
      </c>
      <c r="V267" s="26">
        <v>-72.759880179999996</v>
      </c>
    </row>
    <row r="268" spans="14:22" ht="15" customHeight="1">
      <c r="N268" s="41">
        <v>4742</v>
      </c>
      <c r="O268" s="41" t="s">
        <v>13219</v>
      </c>
      <c r="P268" s="82"/>
      <c r="S268" s="103" t="s">
        <v>12654</v>
      </c>
      <c r="T268" s="103" t="s">
        <v>13220</v>
      </c>
      <c r="U268" s="26">
        <v>5.4984833240000004</v>
      </c>
      <c r="V268" s="26">
        <v>-73.078379929999997</v>
      </c>
    </row>
    <row r="269" spans="14:22" ht="15" customHeight="1">
      <c r="N269" s="42">
        <v>4751</v>
      </c>
      <c r="O269" s="42" t="s">
        <v>13221</v>
      </c>
      <c r="P269" s="82"/>
      <c r="S269" s="103" t="s">
        <v>12654</v>
      </c>
      <c r="T269" s="103" t="s">
        <v>13222</v>
      </c>
      <c r="U269" s="26">
        <v>5.768131812</v>
      </c>
      <c r="V269" s="26">
        <v>-72.439932319999997</v>
      </c>
    </row>
    <row r="270" spans="14:22" ht="15" customHeight="1">
      <c r="N270" s="41">
        <v>4752</v>
      </c>
      <c r="O270" s="41" t="s">
        <v>13223</v>
      </c>
      <c r="P270" s="82"/>
      <c r="S270" s="103" t="s">
        <v>12654</v>
      </c>
      <c r="T270" s="103" t="s">
        <v>13224</v>
      </c>
      <c r="U270" s="26">
        <v>5.9534666539999996</v>
      </c>
      <c r="V270" s="26">
        <v>-74.4528581</v>
      </c>
    </row>
    <row r="271" spans="14:22" ht="15" customHeight="1">
      <c r="N271" s="42">
        <v>4753</v>
      </c>
      <c r="O271" s="42" t="s">
        <v>13225</v>
      </c>
      <c r="P271" s="82"/>
      <c r="S271" s="103" t="s">
        <v>12654</v>
      </c>
      <c r="T271" s="103" t="s">
        <v>13226</v>
      </c>
      <c r="U271" s="26">
        <v>5.5957298309999999</v>
      </c>
      <c r="V271" s="26">
        <v>-74.268570670000003</v>
      </c>
    </row>
    <row r="272" spans="14:22" ht="15" customHeight="1">
      <c r="N272" s="41">
        <v>4754</v>
      </c>
      <c r="O272" s="41" t="s">
        <v>13227</v>
      </c>
      <c r="P272" s="82"/>
      <c r="S272" s="103" t="s">
        <v>12654</v>
      </c>
      <c r="T272" s="103" t="s">
        <v>13228</v>
      </c>
      <c r="U272" s="26">
        <v>5.3199340919999996</v>
      </c>
      <c r="V272" s="26">
        <v>-73.310778999999997</v>
      </c>
    </row>
    <row r="273" spans="14:22" ht="15" customHeight="1">
      <c r="N273" s="42">
        <v>4755</v>
      </c>
      <c r="O273" s="42" t="s">
        <v>13229</v>
      </c>
      <c r="S273" s="103" t="s">
        <v>12654</v>
      </c>
      <c r="T273" s="103" t="s">
        <v>13230</v>
      </c>
      <c r="U273" s="26">
        <v>5.4962686209999996</v>
      </c>
      <c r="V273" s="26">
        <v>-73.628944379999993</v>
      </c>
    </row>
    <row r="274" spans="14:22" ht="15" customHeight="1">
      <c r="N274" s="41">
        <v>4759</v>
      </c>
      <c r="O274" s="41" t="s">
        <v>13231</v>
      </c>
      <c r="S274" s="103" t="s">
        <v>12654</v>
      </c>
      <c r="T274" s="103" t="s">
        <v>13232</v>
      </c>
      <c r="U274" s="26">
        <v>5.3799478790000004</v>
      </c>
      <c r="V274" s="26">
        <v>-73.196509950000006</v>
      </c>
    </row>
    <row r="275" spans="14:22" ht="15" customHeight="1">
      <c r="N275" s="42">
        <v>4761</v>
      </c>
      <c r="O275" s="42" t="s">
        <v>13233</v>
      </c>
      <c r="S275" s="103" t="s">
        <v>12654</v>
      </c>
      <c r="T275" s="103" t="s">
        <v>13234</v>
      </c>
      <c r="U275" s="26">
        <v>5.6999260510000003</v>
      </c>
      <c r="V275" s="26">
        <v>-73.747994660000003</v>
      </c>
    </row>
    <row r="276" spans="14:22" ht="15" customHeight="1">
      <c r="N276" s="41">
        <v>4762</v>
      </c>
      <c r="O276" s="41" t="s">
        <v>13235</v>
      </c>
      <c r="S276" s="103" t="s">
        <v>12654</v>
      </c>
      <c r="T276" s="103" t="s">
        <v>13236</v>
      </c>
      <c r="U276" s="26">
        <v>5.5734648819999997</v>
      </c>
      <c r="V276" s="26">
        <v>-73.543102000000005</v>
      </c>
    </row>
    <row r="277" spans="14:22" ht="15" customHeight="1">
      <c r="N277" s="42">
        <v>4769</v>
      </c>
      <c r="O277" s="42" t="s">
        <v>13237</v>
      </c>
      <c r="S277" s="103" t="s">
        <v>12654</v>
      </c>
      <c r="T277" s="103" t="s">
        <v>13238</v>
      </c>
      <c r="U277" s="26">
        <v>5.4705399699999999</v>
      </c>
      <c r="V277" s="26">
        <v>-73.521175600000007</v>
      </c>
    </row>
    <row r="278" spans="14:22" ht="15" customHeight="1">
      <c r="N278" s="41">
        <v>4771</v>
      </c>
      <c r="O278" s="41" t="s">
        <v>13239</v>
      </c>
      <c r="S278" s="103" t="s">
        <v>12654</v>
      </c>
      <c r="T278" s="103" t="s">
        <v>13240</v>
      </c>
      <c r="U278" s="26">
        <v>5.2346146859999996</v>
      </c>
      <c r="V278" s="26">
        <v>-73.04914067</v>
      </c>
    </row>
    <row r="279" spans="14:22" ht="15" customHeight="1">
      <c r="N279" s="42">
        <v>4772</v>
      </c>
      <c r="O279" s="42" t="s">
        <v>13241</v>
      </c>
      <c r="S279" s="103" t="s">
        <v>12654</v>
      </c>
      <c r="T279" s="103" t="s">
        <v>13242</v>
      </c>
      <c r="U279" s="26">
        <v>5.9941540880000002</v>
      </c>
      <c r="V279" s="26">
        <v>-73.543865220000001</v>
      </c>
    </row>
    <row r="280" spans="14:22" ht="15" customHeight="1">
      <c r="N280" s="41">
        <v>4773</v>
      </c>
      <c r="O280" s="41" t="s">
        <v>13243</v>
      </c>
      <c r="S280" s="103" t="s">
        <v>12654</v>
      </c>
      <c r="T280" s="103" t="s">
        <v>13244</v>
      </c>
      <c r="U280" s="26">
        <v>4.7982035429999996</v>
      </c>
      <c r="V280" s="26">
        <v>-73.133970180000006</v>
      </c>
    </row>
    <row r="281" spans="14:22" ht="15" customHeight="1">
      <c r="N281" s="42">
        <v>4774</v>
      </c>
      <c r="O281" s="42" t="s">
        <v>13245</v>
      </c>
      <c r="S281" s="103" t="s">
        <v>12654</v>
      </c>
      <c r="T281" s="103" t="s">
        <v>13246</v>
      </c>
      <c r="U281" s="26">
        <v>6.3953888120000002</v>
      </c>
      <c r="V281" s="26">
        <v>-72.551848620000001</v>
      </c>
    </row>
    <row r="282" spans="14:22" ht="15" customHeight="1">
      <c r="N282" s="41">
        <v>4775</v>
      </c>
      <c r="O282" s="41" t="s">
        <v>13247</v>
      </c>
      <c r="S282" s="103" t="s">
        <v>12654</v>
      </c>
      <c r="T282" s="103" t="s">
        <v>13248</v>
      </c>
      <c r="U282" s="26">
        <v>5.5323269220000002</v>
      </c>
      <c r="V282" s="26">
        <v>-73.747158979999995</v>
      </c>
    </row>
    <row r="283" spans="14:22" ht="15" customHeight="1">
      <c r="N283" s="42">
        <v>4781</v>
      </c>
      <c r="O283" s="42" t="s">
        <v>13249</v>
      </c>
      <c r="S283" s="103" t="s">
        <v>12654</v>
      </c>
      <c r="T283" s="103" t="s">
        <v>13250</v>
      </c>
      <c r="U283" s="26">
        <v>5.677345066</v>
      </c>
      <c r="V283" s="26">
        <v>-74.114037490000001</v>
      </c>
    </row>
    <row r="284" spans="14:22" ht="15" customHeight="1">
      <c r="N284" s="41">
        <v>4782</v>
      </c>
      <c r="O284" s="41" t="s">
        <v>13251</v>
      </c>
      <c r="S284" s="103" t="s">
        <v>12654</v>
      </c>
      <c r="T284" s="103" t="s">
        <v>13252</v>
      </c>
      <c r="U284" s="26">
        <v>6.0576149709999996</v>
      </c>
      <c r="V284" s="26">
        <v>-73.489748280000001</v>
      </c>
    </row>
    <row r="285" spans="14:22" ht="15" customHeight="1">
      <c r="N285" s="42">
        <v>4789</v>
      </c>
      <c r="O285" s="42" t="s">
        <v>13253</v>
      </c>
      <c r="S285" s="103" t="s">
        <v>12654</v>
      </c>
      <c r="T285" s="103" t="s">
        <v>13254</v>
      </c>
      <c r="U285" s="26">
        <v>4.8230025559999996</v>
      </c>
      <c r="V285" s="26">
        <v>-73.253775059999995</v>
      </c>
    </row>
    <row r="286" spans="14:22" ht="15" customHeight="1">
      <c r="N286" s="41">
        <v>4791</v>
      </c>
      <c r="O286" s="41" t="s">
        <v>13255</v>
      </c>
      <c r="S286" s="103" t="s">
        <v>12654</v>
      </c>
      <c r="T286" s="103" t="s">
        <v>13256</v>
      </c>
      <c r="U286" s="26">
        <v>5.8929503009999999</v>
      </c>
      <c r="V286" s="26">
        <v>-72.991727800000007</v>
      </c>
    </row>
    <row r="287" spans="14:22" ht="15" customHeight="1">
      <c r="N287" s="42">
        <v>4792</v>
      </c>
      <c r="O287" s="42" t="s">
        <v>13257</v>
      </c>
      <c r="S287" s="103" t="s">
        <v>12654</v>
      </c>
      <c r="T287" s="103" t="s">
        <v>13258</v>
      </c>
      <c r="U287" s="26">
        <v>5.7316027160000003</v>
      </c>
      <c r="V287" s="26">
        <v>-73.603662869999994</v>
      </c>
    </row>
    <row r="288" spans="14:22" ht="15" customHeight="1">
      <c r="N288" s="41">
        <v>4799</v>
      </c>
      <c r="O288" s="41" t="s">
        <v>13259</v>
      </c>
      <c r="S288" s="103" t="s">
        <v>12654</v>
      </c>
      <c r="T288" s="103" t="s">
        <v>13260</v>
      </c>
      <c r="U288" s="26">
        <v>6.1321179299999997</v>
      </c>
      <c r="V288" s="26">
        <v>-72.730324150000001</v>
      </c>
    </row>
    <row r="289" spans="14:22" ht="15" customHeight="1">
      <c r="N289" s="42">
        <v>4911</v>
      </c>
      <c r="O289" s="42" t="s">
        <v>13261</v>
      </c>
      <c r="S289" s="103" t="s">
        <v>12654</v>
      </c>
      <c r="T289" s="103" t="s">
        <v>13262</v>
      </c>
      <c r="U289" s="26">
        <v>6.083405978</v>
      </c>
      <c r="V289" s="26">
        <v>-72.724108150000006</v>
      </c>
    </row>
    <row r="290" spans="14:22" ht="15" customHeight="1">
      <c r="N290" s="41">
        <v>4912</v>
      </c>
      <c r="O290" s="41" t="s">
        <v>13263</v>
      </c>
      <c r="S290" s="103" t="s">
        <v>12654</v>
      </c>
      <c r="T290" s="103" t="s">
        <v>13264</v>
      </c>
      <c r="U290" s="26">
        <v>5.4987477010000001</v>
      </c>
      <c r="V290" s="26">
        <v>-73.21681778</v>
      </c>
    </row>
    <row r="291" spans="14:22" ht="15" customHeight="1">
      <c r="N291" s="42">
        <v>4921</v>
      </c>
      <c r="O291" s="42" t="s">
        <v>13265</v>
      </c>
      <c r="S291" s="103" t="s">
        <v>12654</v>
      </c>
      <c r="T291" s="103" t="s">
        <v>13266</v>
      </c>
      <c r="U291" s="26">
        <v>6.3230880450000004</v>
      </c>
      <c r="V291" s="26">
        <v>-72.696040890000006</v>
      </c>
    </row>
    <row r="292" spans="14:22" ht="15" customHeight="1">
      <c r="N292" s="41">
        <v>4922</v>
      </c>
      <c r="O292" s="41" t="s">
        <v>13267</v>
      </c>
      <c r="S292" s="103" t="s">
        <v>12654</v>
      </c>
      <c r="T292" s="103" t="s">
        <v>13268</v>
      </c>
      <c r="U292" s="26">
        <v>5.9065137720000003</v>
      </c>
      <c r="V292" s="26">
        <v>-72.536463609999998</v>
      </c>
    </row>
    <row r="293" spans="14:22" ht="15" customHeight="1">
      <c r="N293" s="42">
        <v>4923</v>
      </c>
      <c r="O293" s="42" t="s">
        <v>13269</v>
      </c>
      <c r="S293" s="103" t="s">
        <v>12654</v>
      </c>
      <c r="T293" s="103" t="s">
        <v>13270</v>
      </c>
      <c r="U293" s="26">
        <v>5.9604988360000002</v>
      </c>
      <c r="V293" s="26">
        <v>-72.682397839999993</v>
      </c>
    </row>
    <row r="294" spans="14:22" ht="15" customHeight="1">
      <c r="N294" s="41">
        <v>4930</v>
      </c>
      <c r="O294" s="41" t="s">
        <v>13271</v>
      </c>
      <c r="S294" s="103" t="s">
        <v>12654</v>
      </c>
      <c r="T294" s="103" t="s">
        <v>13272</v>
      </c>
      <c r="U294" s="26">
        <v>5.6466720529999996</v>
      </c>
      <c r="V294" s="26">
        <v>-72.870956500000005</v>
      </c>
    </row>
    <row r="295" spans="14:22" ht="15" customHeight="1">
      <c r="N295" s="42">
        <v>5011</v>
      </c>
      <c r="O295" s="42" t="s">
        <v>13273</v>
      </c>
      <c r="S295" s="103" t="s">
        <v>12654</v>
      </c>
      <c r="T295" s="103" t="s">
        <v>13274</v>
      </c>
      <c r="U295" s="26">
        <v>4.970974064</v>
      </c>
      <c r="V295" s="26">
        <v>-73.428787850000006</v>
      </c>
    </row>
    <row r="296" spans="14:22" ht="15" customHeight="1">
      <c r="N296" s="41">
        <v>5012</v>
      </c>
      <c r="O296" s="41" t="s">
        <v>13275</v>
      </c>
      <c r="S296" s="103" t="s">
        <v>12654</v>
      </c>
      <c r="T296" s="103" t="s">
        <v>13276</v>
      </c>
      <c r="U296" s="26">
        <v>5.580573191</v>
      </c>
      <c r="V296" s="26">
        <v>-73.443718380000007</v>
      </c>
    </row>
    <row r="297" spans="14:22" ht="15" customHeight="1">
      <c r="N297" s="42">
        <v>5021</v>
      </c>
      <c r="O297" s="42" t="s">
        <v>13277</v>
      </c>
      <c r="S297" s="103" t="s">
        <v>12654</v>
      </c>
      <c r="T297" s="103" t="s">
        <v>13278</v>
      </c>
      <c r="U297" s="26">
        <v>5.763010553</v>
      </c>
      <c r="V297" s="26">
        <v>-73.243522319999997</v>
      </c>
    </row>
    <row r="298" spans="14:22" ht="15" customHeight="1">
      <c r="N298" s="41">
        <v>5022</v>
      </c>
      <c r="O298" s="41" t="s">
        <v>13279</v>
      </c>
      <c r="S298" s="103" t="s">
        <v>12654</v>
      </c>
      <c r="T298" s="103" t="s">
        <v>13280</v>
      </c>
      <c r="U298" s="26">
        <v>5.4948904609999998</v>
      </c>
      <c r="V298" s="26">
        <v>-73.318999969999993</v>
      </c>
    </row>
    <row r="299" spans="14:22" ht="15" customHeight="1">
      <c r="N299" s="42">
        <v>5111</v>
      </c>
      <c r="O299" s="42" t="s">
        <v>13281</v>
      </c>
      <c r="S299" s="103" t="s">
        <v>12654</v>
      </c>
      <c r="T299" s="103" t="s">
        <v>13282</v>
      </c>
      <c r="U299" s="26">
        <v>6.2152005780000001</v>
      </c>
      <c r="V299" s="26">
        <v>-72.715756339999999</v>
      </c>
    </row>
    <row r="300" spans="14:22" ht="15" customHeight="1">
      <c r="N300" s="41">
        <v>5112</v>
      </c>
      <c r="O300" s="41" t="s">
        <v>13283</v>
      </c>
      <c r="S300" s="103" t="s">
        <v>12654</v>
      </c>
      <c r="T300" s="103" t="s">
        <v>13284</v>
      </c>
      <c r="U300" s="26">
        <v>5.6400307590000001</v>
      </c>
      <c r="V300" s="26">
        <v>-73.625987730000006</v>
      </c>
    </row>
    <row r="301" spans="14:22" ht="15" customHeight="1">
      <c r="N301" s="42">
        <v>5121</v>
      </c>
      <c r="O301" s="42" t="s">
        <v>13285</v>
      </c>
      <c r="S301" s="103" t="s">
        <v>12654</v>
      </c>
      <c r="T301" s="103" t="s">
        <v>13286</v>
      </c>
      <c r="U301" s="26">
        <v>5.0307113350000003</v>
      </c>
      <c r="V301" s="26">
        <v>-73.412244009999995</v>
      </c>
    </row>
    <row r="302" spans="14:22" ht="15" customHeight="1">
      <c r="N302" s="41">
        <v>5122</v>
      </c>
      <c r="O302" s="41" t="s">
        <v>13287</v>
      </c>
      <c r="S302" s="103" t="s">
        <v>12654</v>
      </c>
      <c r="T302" s="103" t="s">
        <v>13288</v>
      </c>
      <c r="U302" s="26">
        <v>5.8822943130000001</v>
      </c>
      <c r="V302" s="26">
        <v>-72.726268169999997</v>
      </c>
    </row>
    <row r="303" spans="14:22" ht="15" customHeight="1">
      <c r="N303" s="42">
        <v>5210</v>
      </c>
      <c r="O303" s="42" t="s">
        <v>13289</v>
      </c>
      <c r="S303" s="103" t="s">
        <v>12654</v>
      </c>
      <c r="T303" s="103" t="s">
        <v>13290</v>
      </c>
      <c r="U303" s="26">
        <v>5.0714131389999997</v>
      </c>
      <c r="V303" s="26">
        <v>-73.424796990000004</v>
      </c>
    </row>
    <row r="304" spans="14:22" ht="15" customHeight="1">
      <c r="N304" s="41">
        <v>5221</v>
      </c>
      <c r="O304" s="41" t="s">
        <v>13291</v>
      </c>
      <c r="S304" s="103" t="s">
        <v>12654</v>
      </c>
      <c r="T304" s="103" t="s">
        <v>13292</v>
      </c>
      <c r="U304" s="26">
        <v>5.3011166489999999</v>
      </c>
      <c r="V304" s="26">
        <v>-73.393252099999998</v>
      </c>
    </row>
    <row r="305" spans="14:22" ht="15" customHeight="1">
      <c r="N305" s="42">
        <v>5222</v>
      </c>
      <c r="O305" s="42" t="s">
        <v>13293</v>
      </c>
      <c r="S305" s="103" t="s">
        <v>12654</v>
      </c>
      <c r="T305" s="103" t="s">
        <v>13294</v>
      </c>
      <c r="U305" s="26">
        <v>5.7473293889999999</v>
      </c>
      <c r="V305" s="26">
        <v>-73.01114724</v>
      </c>
    </row>
    <row r="306" spans="14:22" ht="15" customHeight="1">
      <c r="N306" s="41">
        <v>5223</v>
      </c>
      <c r="O306" s="41" t="s">
        <v>13295</v>
      </c>
      <c r="S306" s="103" t="s">
        <v>12654</v>
      </c>
      <c r="T306" s="103" t="s">
        <v>13296</v>
      </c>
      <c r="U306" s="26">
        <v>5.5775664970000003</v>
      </c>
      <c r="V306" s="26">
        <v>-73.676145719999994</v>
      </c>
    </row>
    <row r="307" spans="14:22" ht="15" customHeight="1">
      <c r="N307" s="42">
        <v>5224</v>
      </c>
      <c r="O307" s="42" t="s">
        <v>13297</v>
      </c>
      <c r="S307" s="103" t="s">
        <v>12654</v>
      </c>
      <c r="T307" s="103" t="s">
        <v>13298</v>
      </c>
      <c r="U307" s="26">
        <v>6.4203534900000001</v>
      </c>
      <c r="V307" s="26">
        <v>-72.694635829999996</v>
      </c>
    </row>
    <row r="308" spans="14:22" ht="15" customHeight="1">
      <c r="N308" s="41">
        <v>5229</v>
      </c>
      <c r="O308" s="41" t="s">
        <v>13299</v>
      </c>
      <c r="S308" s="103" t="s">
        <v>12654</v>
      </c>
      <c r="T308" s="103" t="s">
        <v>13300</v>
      </c>
      <c r="U308" s="26">
        <v>5.5802542869999998</v>
      </c>
      <c r="V308" s="26">
        <v>-73.160696900000005</v>
      </c>
    </row>
    <row r="309" spans="14:22" ht="15" customHeight="1">
      <c r="N309" s="42">
        <v>5310</v>
      </c>
      <c r="O309" s="42" t="s">
        <v>13301</v>
      </c>
      <c r="S309" s="103" t="s">
        <v>12654</v>
      </c>
      <c r="T309" s="103" t="s">
        <v>13302</v>
      </c>
      <c r="U309" s="26">
        <v>5.9218300619999997</v>
      </c>
      <c r="V309" s="26">
        <v>-73.489218059999999</v>
      </c>
    </row>
    <row r="310" spans="14:22" ht="15" customHeight="1">
      <c r="N310" s="41">
        <v>5320</v>
      </c>
      <c r="O310" s="41" t="s">
        <v>13303</v>
      </c>
      <c r="S310" s="103" t="s">
        <v>12654</v>
      </c>
      <c r="T310" s="103" t="s">
        <v>13304</v>
      </c>
      <c r="U310" s="26">
        <v>5.765350303</v>
      </c>
      <c r="V310" s="26">
        <v>-72.836729579999997</v>
      </c>
    </row>
    <row r="311" spans="14:22" ht="15" customHeight="1">
      <c r="N311" s="42">
        <v>5511</v>
      </c>
      <c r="O311" s="42" t="s">
        <v>13305</v>
      </c>
      <c r="S311" s="103" t="s">
        <v>12654</v>
      </c>
      <c r="T311" s="103" t="s">
        <v>13306</v>
      </c>
      <c r="U311" s="26">
        <v>5.5012972150000001</v>
      </c>
      <c r="V311" s="26">
        <v>-72.996332969999997</v>
      </c>
    </row>
    <row r="312" spans="14:22" ht="15" customHeight="1">
      <c r="N312" s="41">
        <v>5512</v>
      </c>
      <c r="O312" s="41" t="s">
        <v>13307</v>
      </c>
      <c r="S312" s="103" t="s">
        <v>12654</v>
      </c>
      <c r="T312" s="103" t="s">
        <v>13308</v>
      </c>
      <c r="U312" s="26">
        <v>5.7203015160000001</v>
      </c>
      <c r="V312" s="26">
        <v>-73.94330927</v>
      </c>
    </row>
    <row r="313" spans="14:22" ht="15" customHeight="1">
      <c r="N313" s="42">
        <v>5513</v>
      </c>
      <c r="O313" s="42" t="s">
        <v>13309</v>
      </c>
      <c r="S313" s="103" t="s">
        <v>12654</v>
      </c>
      <c r="T313" s="103" t="s">
        <v>13310</v>
      </c>
      <c r="U313" s="26">
        <v>5.3056974180000003</v>
      </c>
      <c r="V313" s="26">
        <v>-73.509087140000005</v>
      </c>
    </row>
    <row r="314" spans="14:22" ht="15" customHeight="1">
      <c r="N314" s="41">
        <v>5514</v>
      </c>
      <c r="O314" s="41" t="s">
        <v>13311</v>
      </c>
      <c r="S314" s="103" t="s">
        <v>12654</v>
      </c>
      <c r="T314" s="103" t="s">
        <v>13312</v>
      </c>
      <c r="U314" s="26">
        <v>5.6781269979999998</v>
      </c>
      <c r="V314" s="26">
        <v>-73.173430530000005</v>
      </c>
    </row>
    <row r="315" spans="14:22" ht="15" customHeight="1">
      <c r="N315" s="42">
        <v>5519</v>
      </c>
      <c r="O315" s="42" t="s">
        <v>13313</v>
      </c>
      <c r="S315" s="103" t="s">
        <v>12654</v>
      </c>
      <c r="T315" s="103" t="s">
        <v>13314</v>
      </c>
      <c r="U315" s="26">
        <v>6.0780519030000004</v>
      </c>
      <c r="V315" s="26">
        <v>-72.857078319999999</v>
      </c>
    </row>
    <row r="316" spans="14:22" ht="15" customHeight="1">
      <c r="N316" s="41">
        <v>5520</v>
      </c>
      <c r="O316" s="41" t="s">
        <v>13315</v>
      </c>
      <c r="S316" s="103" t="s">
        <v>12654</v>
      </c>
      <c r="T316" s="103" t="s">
        <v>13316</v>
      </c>
      <c r="U316" s="26">
        <v>5.2172413679999998</v>
      </c>
      <c r="V316" s="26">
        <v>-73.463384770000005</v>
      </c>
    </row>
    <row r="317" spans="14:22" ht="15" customHeight="1">
      <c r="N317" s="42">
        <v>5530</v>
      </c>
      <c r="O317" s="42" t="s">
        <v>13317</v>
      </c>
      <c r="S317" s="103" t="s">
        <v>12654</v>
      </c>
      <c r="T317" s="103" t="s">
        <v>13318</v>
      </c>
      <c r="U317" s="26">
        <v>5.3833854810000004</v>
      </c>
      <c r="V317" s="26">
        <v>-73.520979420000003</v>
      </c>
    </row>
    <row r="318" spans="14:22" ht="15" customHeight="1">
      <c r="N318" s="41">
        <v>5590</v>
      </c>
      <c r="O318" s="41" t="s">
        <v>13319</v>
      </c>
      <c r="S318" s="103" t="s">
        <v>12654</v>
      </c>
      <c r="T318" s="103" t="s">
        <v>13320</v>
      </c>
      <c r="U318" s="26">
        <v>5.4405582160000003</v>
      </c>
      <c r="V318" s="26">
        <v>-73.266274559999999</v>
      </c>
    </row>
    <row r="319" spans="14:22" ht="15" customHeight="1">
      <c r="N319" s="42">
        <v>5611</v>
      </c>
      <c r="O319" s="42" t="s">
        <v>13321</v>
      </c>
      <c r="S319" s="103" t="s">
        <v>12654</v>
      </c>
      <c r="T319" s="103" t="s">
        <v>13322</v>
      </c>
      <c r="U319" s="26">
        <v>5.2856359829999997</v>
      </c>
      <c r="V319" s="26">
        <v>-73.16763091</v>
      </c>
    </row>
    <row r="320" spans="14:22" ht="15" customHeight="1">
      <c r="N320" s="41">
        <v>5612</v>
      </c>
      <c r="O320" s="41" t="s">
        <v>13323</v>
      </c>
      <c r="S320" s="103" t="s">
        <v>12661</v>
      </c>
      <c r="T320" s="103" t="s">
        <v>13324</v>
      </c>
      <c r="U320" s="26">
        <v>5.0834330100000003</v>
      </c>
      <c r="V320" s="26">
        <v>-75.507278810000003</v>
      </c>
    </row>
    <row r="321" spans="14:22" ht="15" customHeight="1">
      <c r="N321" s="42">
        <v>5613</v>
      </c>
      <c r="O321" s="42" t="s">
        <v>13325</v>
      </c>
      <c r="S321" s="103" t="s">
        <v>12661</v>
      </c>
      <c r="T321" s="103" t="s">
        <v>13326</v>
      </c>
      <c r="U321" s="26">
        <v>5.6162040060000002</v>
      </c>
      <c r="V321" s="26">
        <v>-75.455447100000001</v>
      </c>
    </row>
    <row r="322" spans="14:22" ht="15" customHeight="1">
      <c r="N322" s="41">
        <v>5619</v>
      </c>
      <c r="O322" s="41" t="s">
        <v>13327</v>
      </c>
      <c r="S322" s="103" t="s">
        <v>12661</v>
      </c>
      <c r="T322" s="103" t="s">
        <v>13328</v>
      </c>
      <c r="U322" s="26">
        <v>5.2002992199999998</v>
      </c>
      <c r="V322" s="26">
        <v>-75.752890780000001</v>
      </c>
    </row>
    <row r="323" spans="14:22" ht="15" customHeight="1">
      <c r="N323" s="42">
        <v>5621</v>
      </c>
      <c r="O323" s="42" t="s">
        <v>13329</v>
      </c>
      <c r="S323" s="103" t="s">
        <v>12661</v>
      </c>
      <c r="T323" s="103" t="s">
        <v>13330</v>
      </c>
      <c r="U323" s="26">
        <v>5.2655399689999998</v>
      </c>
      <c r="V323" s="26">
        <v>-75.47392619</v>
      </c>
    </row>
    <row r="324" spans="14:22" ht="15" customHeight="1">
      <c r="N324" s="41">
        <v>5629</v>
      </c>
      <c r="O324" s="41" t="s">
        <v>13331</v>
      </c>
      <c r="S324" s="103" t="s">
        <v>12661</v>
      </c>
      <c r="T324" s="103" t="s">
        <v>13332</v>
      </c>
      <c r="U324" s="26">
        <v>4.9946772800000003</v>
      </c>
      <c r="V324" s="26">
        <v>-75.812259890000007</v>
      </c>
    </row>
    <row r="325" spans="14:22" ht="15" customHeight="1">
      <c r="N325" s="42">
        <v>5630</v>
      </c>
      <c r="O325" s="42" t="s">
        <v>13333</v>
      </c>
      <c r="S325" s="103" t="s">
        <v>12661</v>
      </c>
      <c r="T325" s="103" t="s">
        <v>13334</v>
      </c>
      <c r="U325" s="26">
        <v>4.9743405689999998</v>
      </c>
      <c r="V325" s="26">
        <v>-75.659546860000006</v>
      </c>
    </row>
    <row r="326" spans="14:22" ht="15" customHeight="1">
      <c r="N326" s="41">
        <v>5811</v>
      </c>
      <c r="O326" s="41" t="s">
        <v>13335</v>
      </c>
      <c r="S326" s="103" t="s">
        <v>12661</v>
      </c>
      <c r="T326" s="103" t="s">
        <v>13336</v>
      </c>
      <c r="U326" s="26">
        <v>5.2857437770000004</v>
      </c>
      <c r="V326" s="26">
        <v>-75.58978784</v>
      </c>
    </row>
    <row r="327" spans="14:22" ht="15" customHeight="1">
      <c r="N327" s="42">
        <v>5812</v>
      </c>
      <c r="O327" s="42" t="s">
        <v>13337</v>
      </c>
      <c r="S327" s="103" t="s">
        <v>12661</v>
      </c>
      <c r="T327" s="103" t="s">
        <v>13338</v>
      </c>
      <c r="U327" s="26">
        <v>5.4105156909999996</v>
      </c>
      <c r="V327" s="26">
        <v>-74.721142619999995</v>
      </c>
    </row>
    <row r="328" spans="14:22" ht="15" customHeight="1">
      <c r="N328" s="41">
        <v>5813</v>
      </c>
      <c r="O328" s="41" t="s">
        <v>13339</v>
      </c>
      <c r="S328" s="103" t="s">
        <v>12661</v>
      </c>
      <c r="T328" s="103" t="s">
        <v>13340</v>
      </c>
      <c r="U328" s="26">
        <v>5.3931857159999996</v>
      </c>
      <c r="V328" s="26">
        <v>-75.557910710000002</v>
      </c>
    </row>
    <row r="329" spans="14:22" ht="15" customHeight="1">
      <c r="N329" s="42">
        <v>5819</v>
      </c>
      <c r="O329" s="42" t="s">
        <v>13341</v>
      </c>
      <c r="S329" s="103" t="s">
        <v>12661</v>
      </c>
      <c r="T329" s="103" t="s">
        <v>13342</v>
      </c>
      <c r="U329" s="26">
        <v>5.23295391</v>
      </c>
      <c r="V329" s="26">
        <v>-75.152634469999995</v>
      </c>
    </row>
    <row r="330" spans="14:22" ht="15" customHeight="1">
      <c r="N330" s="41">
        <v>5820</v>
      </c>
      <c r="O330" s="41" t="s">
        <v>13343</v>
      </c>
      <c r="S330" s="103" t="s">
        <v>12661</v>
      </c>
      <c r="T330" s="103" t="s">
        <v>13344</v>
      </c>
      <c r="U330" s="26">
        <v>5.4926320290000001</v>
      </c>
      <c r="V330" s="26">
        <v>-75.602099550000005</v>
      </c>
    </row>
    <row r="331" spans="14:22" ht="15" customHeight="1">
      <c r="N331" s="42">
        <v>5911</v>
      </c>
      <c r="O331" s="42" t="s">
        <v>13345</v>
      </c>
      <c r="S331" s="103" t="s">
        <v>12661</v>
      </c>
      <c r="T331" s="103" t="s">
        <v>13346</v>
      </c>
      <c r="U331" s="26">
        <v>5.3091424910000002</v>
      </c>
      <c r="V331" s="26">
        <v>-75.041178919999993</v>
      </c>
    </row>
    <row r="332" spans="14:22" ht="15" customHeight="1">
      <c r="N332" s="41">
        <v>5912</v>
      </c>
      <c r="O332" s="41" t="s">
        <v>13347</v>
      </c>
      <c r="S332" s="103" t="s">
        <v>12661</v>
      </c>
      <c r="T332" s="103" t="s">
        <v>13348</v>
      </c>
      <c r="U332" s="26">
        <v>5.2355852440000001</v>
      </c>
      <c r="V332" s="26">
        <v>-75.283166480000006</v>
      </c>
    </row>
    <row r="333" spans="14:22" ht="15" customHeight="1">
      <c r="N333" s="42">
        <v>5913</v>
      </c>
      <c r="O333" s="42" t="s">
        <v>13349</v>
      </c>
      <c r="S333" s="103" t="s">
        <v>12661</v>
      </c>
      <c r="T333" s="103" t="s">
        <v>13350</v>
      </c>
      <c r="U333" s="26">
        <v>5.183358589</v>
      </c>
      <c r="V333" s="26">
        <v>-75.506929769999999</v>
      </c>
    </row>
    <row r="334" spans="14:22" ht="15" customHeight="1">
      <c r="N334" s="41">
        <v>5914</v>
      </c>
      <c r="O334" s="41" t="s">
        <v>13351</v>
      </c>
      <c r="S334" s="103" t="s">
        <v>12661</v>
      </c>
      <c r="T334" s="103" t="s">
        <v>13352</v>
      </c>
      <c r="U334" s="26">
        <v>5.6380623490000001</v>
      </c>
      <c r="V334" s="26">
        <v>-74.854927070000002</v>
      </c>
    </row>
    <row r="335" spans="14:22" ht="15" customHeight="1">
      <c r="N335" s="42">
        <v>5920</v>
      </c>
      <c r="O335" s="42" t="s">
        <v>13353</v>
      </c>
      <c r="S335" s="103" t="s">
        <v>12661</v>
      </c>
      <c r="T335" s="103" t="s">
        <v>13354</v>
      </c>
      <c r="U335" s="26">
        <v>5.5000350349999998</v>
      </c>
      <c r="V335" s="26">
        <v>-75.482450569999997</v>
      </c>
    </row>
    <row r="336" spans="14:22" ht="15" customHeight="1">
      <c r="N336" s="41">
        <v>6010</v>
      </c>
      <c r="O336" s="41" t="s">
        <v>13355</v>
      </c>
      <c r="S336" s="103" t="s">
        <v>12661</v>
      </c>
      <c r="T336" s="103" t="s">
        <v>13356</v>
      </c>
      <c r="U336" s="26">
        <v>5.0503425430000002</v>
      </c>
      <c r="V336" s="26">
        <v>-75.661762659999994</v>
      </c>
    </row>
    <row r="337" spans="14:22" ht="15" customHeight="1">
      <c r="N337" s="42">
        <v>6020</v>
      </c>
      <c r="O337" s="42" t="s">
        <v>13357</v>
      </c>
      <c r="S337" s="103" t="s">
        <v>12661</v>
      </c>
      <c r="T337" s="103" t="s">
        <v>13358</v>
      </c>
      <c r="U337" s="26">
        <v>5.4071878360000003</v>
      </c>
      <c r="V337" s="26">
        <v>-75.166839960000004</v>
      </c>
    </row>
    <row r="338" spans="14:22" ht="15" customHeight="1">
      <c r="N338" s="41">
        <v>6110</v>
      </c>
      <c r="O338" s="41" t="s">
        <v>13359</v>
      </c>
      <c r="S338" s="103" t="s">
        <v>12661</v>
      </c>
      <c r="T338" s="103" t="s">
        <v>13360</v>
      </c>
      <c r="U338" s="26">
        <v>5.4422754180000004</v>
      </c>
      <c r="V338" s="26">
        <v>-75.752204989999996</v>
      </c>
    </row>
    <row r="339" spans="14:22" ht="15" customHeight="1">
      <c r="N339" s="42">
        <v>6120</v>
      </c>
      <c r="O339" s="42" t="s">
        <v>13361</v>
      </c>
      <c r="S339" s="103" t="s">
        <v>12661</v>
      </c>
      <c r="T339" s="103" t="s">
        <v>12723</v>
      </c>
      <c r="U339" s="26">
        <v>5.0975638160000001</v>
      </c>
      <c r="V339" s="26">
        <v>-75.733351659999997</v>
      </c>
    </row>
    <row r="340" spans="14:22" ht="15" customHeight="1">
      <c r="N340" s="41">
        <v>6130</v>
      </c>
      <c r="O340" s="41" t="s">
        <v>13362</v>
      </c>
      <c r="S340" s="103" t="s">
        <v>12661</v>
      </c>
      <c r="T340" s="103" t="s">
        <v>13363</v>
      </c>
      <c r="U340" s="26">
        <v>5.370332425</v>
      </c>
      <c r="V340" s="26">
        <v>-75.409621770000001</v>
      </c>
    </row>
    <row r="341" spans="14:22" ht="15" customHeight="1">
      <c r="N341" s="42">
        <v>6190</v>
      </c>
      <c r="O341" s="42" t="s">
        <v>13364</v>
      </c>
      <c r="S341" s="103" t="s">
        <v>12661</v>
      </c>
      <c r="T341" s="103" t="s">
        <v>13365</v>
      </c>
      <c r="U341" s="26">
        <v>5.5196928730000003</v>
      </c>
      <c r="V341" s="26">
        <v>-74.997185770000002</v>
      </c>
    </row>
    <row r="342" spans="14:22" ht="15" customHeight="1">
      <c r="N342" s="41">
        <v>6201</v>
      </c>
      <c r="O342" s="41" t="s">
        <v>13366</v>
      </c>
      <c r="S342" s="103" t="s">
        <v>12661</v>
      </c>
      <c r="T342" s="103" t="s">
        <v>13367</v>
      </c>
      <c r="U342" s="26">
        <v>5.0834245129999998</v>
      </c>
      <c r="V342" s="26">
        <v>-75.810178899999997</v>
      </c>
    </row>
    <row r="343" spans="14:22" ht="15" customHeight="1">
      <c r="N343" s="42">
        <v>6202</v>
      </c>
      <c r="O343" s="42" t="s">
        <v>13368</v>
      </c>
      <c r="S343" s="103" t="s">
        <v>12661</v>
      </c>
      <c r="T343" s="103" t="s">
        <v>13369</v>
      </c>
      <c r="U343" s="26">
        <v>5.4529580199999996</v>
      </c>
      <c r="V343" s="26">
        <v>-75.640357050000006</v>
      </c>
    </row>
    <row r="344" spans="14:22" ht="15" customHeight="1">
      <c r="N344" s="41">
        <v>6209</v>
      </c>
      <c r="O344" s="41" t="s">
        <v>13370</v>
      </c>
      <c r="S344" s="103" t="s">
        <v>12661</v>
      </c>
      <c r="T344" s="103" t="s">
        <v>13371</v>
      </c>
      <c r="U344" s="26">
        <v>5.4475428590000003</v>
      </c>
      <c r="V344" s="26">
        <v>-74.836225020000001</v>
      </c>
    </row>
    <row r="345" spans="14:22" ht="15" customHeight="1">
      <c r="N345" s="42">
        <v>6311</v>
      </c>
      <c r="O345" s="42" t="s">
        <v>13372</v>
      </c>
      <c r="S345" s="103" t="s">
        <v>12661</v>
      </c>
      <c r="T345" s="103" t="s">
        <v>13373</v>
      </c>
      <c r="U345" s="26">
        <v>4.9402115909999997</v>
      </c>
      <c r="V345" s="26">
        <v>-75.435440139999997</v>
      </c>
    </row>
    <row r="346" spans="14:22" ht="15" customHeight="1">
      <c r="N346" s="41">
        <v>6312</v>
      </c>
      <c r="O346" s="41" t="s">
        <v>13374</v>
      </c>
      <c r="S346" s="103" t="s">
        <v>12661</v>
      </c>
      <c r="T346" s="103" t="s">
        <v>13375</v>
      </c>
      <c r="U346" s="26">
        <v>5.0478220540000001</v>
      </c>
      <c r="V346" s="26">
        <v>-75.879296999999994</v>
      </c>
    </row>
    <row r="347" spans="14:22" ht="15" customHeight="1">
      <c r="N347" s="42">
        <v>6391</v>
      </c>
      <c r="O347" s="42" t="s">
        <v>13376</v>
      </c>
      <c r="S347" s="103" t="s">
        <v>12667</v>
      </c>
      <c r="T347" s="103" t="s">
        <v>13377</v>
      </c>
      <c r="U347" s="26">
        <v>1.7491387039999999</v>
      </c>
      <c r="V347" s="26">
        <v>-75.558239060000005</v>
      </c>
    </row>
    <row r="348" spans="14:22" ht="15" customHeight="1">
      <c r="N348" s="41">
        <v>6399</v>
      </c>
      <c r="O348" s="41" t="s">
        <v>13378</v>
      </c>
      <c r="S348" s="103" t="s">
        <v>12667</v>
      </c>
      <c r="T348" s="103" t="s">
        <v>13379</v>
      </c>
      <c r="U348" s="26">
        <v>1.2278654899999999</v>
      </c>
      <c r="V348" s="26">
        <v>-75.882326509999999</v>
      </c>
    </row>
    <row r="349" spans="14:22" ht="15" customHeight="1">
      <c r="N349" s="42">
        <v>6411</v>
      </c>
      <c r="O349" s="42" t="s">
        <v>13380</v>
      </c>
      <c r="S349" s="103" t="s">
        <v>12667</v>
      </c>
      <c r="T349" s="103" t="s">
        <v>13381</v>
      </c>
      <c r="U349" s="26">
        <v>1.5361746570000001</v>
      </c>
      <c r="V349" s="26">
        <v>-75.909475040000004</v>
      </c>
    </row>
    <row r="350" spans="14:22" ht="15" customHeight="1">
      <c r="N350" s="41">
        <v>6412</v>
      </c>
      <c r="O350" s="41" t="s">
        <v>13382</v>
      </c>
      <c r="S350" s="103" t="s">
        <v>12667</v>
      </c>
      <c r="T350" s="103" t="s">
        <v>13383</v>
      </c>
      <c r="U350" s="26">
        <v>0.647693081</v>
      </c>
      <c r="V350" s="26">
        <v>-74.272354989999997</v>
      </c>
    </row>
    <row r="351" spans="14:22" ht="15" customHeight="1">
      <c r="N351" s="42">
        <v>6421</v>
      </c>
      <c r="O351" s="42" t="s">
        <v>13384</v>
      </c>
      <c r="S351" s="103" t="s">
        <v>12667</v>
      </c>
      <c r="T351" s="103" t="s">
        <v>13385</v>
      </c>
      <c r="U351" s="26">
        <v>1.1153792920000001</v>
      </c>
      <c r="V351" s="26">
        <v>-75.973284520000007</v>
      </c>
    </row>
    <row r="352" spans="14:22" ht="15" customHeight="1">
      <c r="N352" s="41">
        <v>6422</v>
      </c>
      <c r="O352" s="41" t="s">
        <v>13386</v>
      </c>
      <c r="S352" s="103" t="s">
        <v>12667</v>
      </c>
      <c r="T352" s="103" t="s">
        <v>13387</v>
      </c>
      <c r="U352" s="26">
        <v>1.713734697</v>
      </c>
      <c r="V352" s="26">
        <v>-75.268781090000004</v>
      </c>
    </row>
    <row r="353" spans="14:22" ht="15" customHeight="1">
      <c r="N353" s="42">
        <v>6423</v>
      </c>
      <c r="O353" s="42" t="s">
        <v>13388</v>
      </c>
      <c r="S353" s="103" t="s">
        <v>12667</v>
      </c>
      <c r="T353" s="103" t="s">
        <v>13389</v>
      </c>
      <c r="U353" s="26">
        <v>1.4766300160000001</v>
      </c>
      <c r="V353" s="26">
        <v>-75.202318250000005</v>
      </c>
    </row>
    <row r="354" spans="14:22" ht="15" customHeight="1">
      <c r="N354" s="41">
        <v>6424</v>
      </c>
      <c r="O354" s="41" t="s">
        <v>13390</v>
      </c>
      <c r="S354" s="103" t="s">
        <v>12667</v>
      </c>
      <c r="T354" s="103" t="s">
        <v>13391</v>
      </c>
      <c r="U354" s="26">
        <v>1.3028604420000001</v>
      </c>
      <c r="V354" s="26">
        <v>-75.235727319999995</v>
      </c>
    </row>
    <row r="355" spans="14:22" ht="15" customHeight="1">
      <c r="N355" s="42">
        <v>6431</v>
      </c>
      <c r="O355" s="42" t="s">
        <v>13392</v>
      </c>
      <c r="S355" s="103" t="s">
        <v>12667</v>
      </c>
      <c r="T355" s="103" t="s">
        <v>13393</v>
      </c>
      <c r="U355" s="26">
        <v>1.1466925539999999</v>
      </c>
      <c r="V355" s="26">
        <v>-75.386647640000007</v>
      </c>
    </row>
    <row r="356" spans="14:22" ht="15" customHeight="1">
      <c r="N356" s="41">
        <v>6432</v>
      </c>
      <c r="O356" s="41" t="s">
        <v>13394</v>
      </c>
      <c r="S356" s="103" t="s">
        <v>12667</v>
      </c>
      <c r="T356" s="103" t="s">
        <v>13395</v>
      </c>
      <c r="U356" s="26">
        <v>1.3829961099999999</v>
      </c>
      <c r="V356" s="26">
        <v>-75.673811229999998</v>
      </c>
    </row>
    <row r="357" spans="14:22" ht="15" customHeight="1">
      <c r="N357" s="42">
        <v>6491</v>
      </c>
      <c r="O357" s="42" t="s">
        <v>13396</v>
      </c>
      <c r="S357" s="103" t="s">
        <v>12667</v>
      </c>
      <c r="T357" s="103" t="s">
        <v>13397</v>
      </c>
      <c r="U357" s="26">
        <v>2.0189408910000002</v>
      </c>
      <c r="V357" s="26">
        <v>-75.073086270000005</v>
      </c>
    </row>
    <row r="358" spans="14:22" ht="15" customHeight="1">
      <c r="N358" s="41">
        <v>6492</v>
      </c>
      <c r="O358" s="41" t="s">
        <v>13398</v>
      </c>
      <c r="S358" s="103" t="s">
        <v>12667</v>
      </c>
      <c r="T358" s="103" t="s">
        <v>13399</v>
      </c>
      <c r="U358" s="26">
        <v>1.304702314</v>
      </c>
      <c r="V358" s="26">
        <v>-76.110005939999994</v>
      </c>
    </row>
    <row r="359" spans="14:22" ht="15" customHeight="1">
      <c r="N359" s="42">
        <v>6493</v>
      </c>
      <c r="O359" s="42" t="s">
        <v>13400</v>
      </c>
      <c r="S359" s="103" t="s">
        <v>12667</v>
      </c>
      <c r="T359" s="103" t="s">
        <v>13401</v>
      </c>
      <c r="U359" s="26">
        <v>1.3084650609999999</v>
      </c>
      <c r="V359" s="26">
        <v>-74.197469709999993</v>
      </c>
    </row>
    <row r="360" spans="14:22" ht="15" customHeight="1">
      <c r="N360" s="41">
        <v>6494</v>
      </c>
      <c r="O360" s="41" t="s">
        <v>13402</v>
      </c>
      <c r="S360" s="103" t="s">
        <v>12667</v>
      </c>
      <c r="T360" s="103" t="s">
        <v>13403</v>
      </c>
      <c r="U360" s="26">
        <v>9.6131861999999998E-2</v>
      </c>
      <c r="V360" s="26">
        <v>-72.32036402</v>
      </c>
    </row>
    <row r="361" spans="14:22" ht="15" customHeight="1">
      <c r="N361" s="42">
        <v>6495</v>
      </c>
      <c r="O361" s="42" t="s">
        <v>13404</v>
      </c>
      <c r="S361" s="103" t="s">
        <v>12667</v>
      </c>
      <c r="T361" s="103" t="s">
        <v>13405</v>
      </c>
      <c r="U361" s="26">
        <v>0.94393945400000001</v>
      </c>
      <c r="V361" s="26">
        <v>-75.646685439999999</v>
      </c>
    </row>
    <row r="362" spans="14:22" ht="15" customHeight="1">
      <c r="N362" s="41">
        <v>6496</v>
      </c>
      <c r="O362" s="41" t="s">
        <v>13406</v>
      </c>
      <c r="S362" s="103" t="s">
        <v>12667</v>
      </c>
      <c r="T362" s="103" t="s">
        <v>12928</v>
      </c>
      <c r="U362" s="26">
        <v>1.0753491500000001</v>
      </c>
      <c r="V362" s="26">
        <v>-75.737790039999993</v>
      </c>
    </row>
    <row r="363" spans="14:22" ht="15" customHeight="1">
      <c r="N363" s="42">
        <v>6499</v>
      </c>
      <c r="O363" s="42" t="s">
        <v>13407</v>
      </c>
      <c r="S363" s="103" t="s">
        <v>12673</v>
      </c>
      <c r="T363" s="103" t="s">
        <v>13408</v>
      </c>
      <c r="U363" s="26">
        <v>2.4717043620000001</v>
      </c>
      <c r="V363" s="26">
        <v>-76.591944190000007</v>
      </c>
    </row>
    <row r="364" spans="14:22" ht="15" customHeight="1">
      <c r="N364" s="41">
        <v>6511</v>
      </c>
      <c r="O364" s="41" t="s">
        <v>13409</v>
      </c>
      <c r="S364" s="103" t="s">
        <v>12673</v>
      </c>
      <c r="T364" s="103" t="s">
        <v>13410</v>
      </c>
      <c r="U364" s="26">
        <v>1.9124405209999999</v>
      </c>
      <c r="V364" s="26">
        <v>-76.834945189999999</v>
      </c>
    </row>
    <row r="365" spans="14:22" ht="15" customHeight="1">
      <c r="N365" s="42">
        <v>6512</v>
      </c>
      <c r="O365" s="42" t="s">
        <v>13411</v>
      </c>
      <c r="S365" s="103" t="s">
        <v>12673</v>
      </c>
      <c r="T365" s="103" t="s">
        <v>12705</v>
      </c>
      <c r="U365" s="26">
        <v>2.3293372830000001</v>
      </c>
      <c r="V365" s="26">
        <v>-77.263149060000003</v>
      </c>
    </row>
    <row r="366" spans="14:22" ht="15" customHeight="1">
      <c r="N366" s="41">
        <v>6513</v>
      </c>
      <c r="O366" s="41" t="s">
        <v>13412</v>
      </c>
      <c r="S366" s="103" t="s">
        <v>12673</v>
      </c>
      <c r="T366" s="103" t="s">
        <v>13413</v>
      </c>
      <c r="U366" s="26">
        <v>2.0847329449999998</v>
      </c>
      <c r="V366" s="26">
        <v>-77.208813300000003</v>
      </c>
    </row>
    <row r="367" spans="14:22" ht="15" customHeight="1">
      <c r="N367" s="42">
        <v>6515</v>
      </c>
      <c r="O367" s="42" t="s">
        <v>13414</v>
      </c>
      <c r="S367" s="103" t="s">
        <v>12673</v>
      </c>
      <c r="T367" s="103" t="s">
        <v>12646</v>
      </c>
      <c r="U367" s="26">
        <v>1.853951938</v>
      </c>
      <c r="V367" s="26">
        <v>-76.963374540000004</v>
      </c>
    </row>
    <row r="368" spans="14:22" ht="15" customHeight="1">
      <c r="N368" s="41">
        <v>6521</v>
      </c>
      <c r="O368" s="41" t="s">
        <v>13415</v>
      </c>
      <c r="S368" s="103" t="s">
        <v>12673</v>
      </c>
      <c r="T368" s="103" t="s">
        <v>13416</v>
      </c>
      <c r="U368" s="26">
        <v>2.9889238850000002</v>
      </c>
      <c r="V368" s="26">
        <v>-76.621589510000007</v>
      </c>
    </row>
    <row r="369" spans="14:22" ht="15" customHeight="1">
      <c r="N369" s="42">
        <v>6522</v>
      </c>
      <c r="O369" s="42" t="s">
        <v>13417</v>
      </c>
      <c r="S369" s="103" t="s">
        <v>12673</v>
      </c>
      <c r="T369" s="103" t="s">
        <v>13418</v>
      </c>
      <c r="U369" s="26">
        <v>2.6432098480000001</v>
      </c>
      <c r="V369" s="26">
        <v>-76.701389140000003</v>
      </c>
    </row>
    <row r="370" spans="14:22" ht="15" customHeight="1">
      <c r="N370" s="41">
        <v>6523</v>
      </c>
      <c r="O370" s="41" t="s">
        <v>13419</v>
      </c>
      <c r="S370" s="103" t="s">
        <v>12673</v>
      </c>
      <c r="T370" s="103" t="s">
        <v>13420</v>
      </c>
      <c r="U370" s="26">
        <v>2.8038456909999998</v>
      </c>
      <c r="V370" s="26">
        <v>-76.427193770000002</v>
      </c>
    </row>
    <row r="371" spans="14:22" ht="15" customHeight="1">
      <c r="N371" s="42">
        <v>6531</v>
      </c>
      <c r="O371" s="42" t="s">
        <v>13421</v>
      </c>
      <c r="S371" s="103" t="s">
        <v>12673</v>
      </c>
      <c r="T371" s="103" t="s">
        <v>13422</v>
      </c>
      <c r="U371" s="26">
        <v>3.0628755569999999</v>
      </c>
      <c r="V371" s="26">
        <v>-76.321279770000004</v>
      </c>
    </row>
    <row r="372" spans="14:22" ht="15" customHeight="1">
      <c r="N372" s="41">
        <v>6532</v>
      </c>
      <c r="O372" s="41" t="s">
        <v>13423</v>
      </c>
      <c r="S372" s="103" t="s">
        <v>12673</v>
      </c>
      <c r="T372" s="103" t="s">
        <v>13424</v>
      </c>
      <c r="U372" s="26">
        <v>3.1367536060000001</v>
      </c>
      <c r="V372" s="26">
        <v>-76.209645690000002</v>
      </c>
    </row>
    <row r="373" spans="14:22" ht="15" customHeight="1">
      <c r="N373" s="42">
        <v>6611</v>
      </c>
      <c r="O373" s="42" t="s">
        <v>13425</v>
      </c>
      <c r="S373" s="103" t="s">
        <v>12673</v>
      </c>
      <c r="T373" s="103" t="s">
        <v>13426</v>
      </c>
      <c r="U373" s="26">
        <v>2.5344883120000001</v>
      </c>
      <c r="V373" s="26">
        <v>-77.005112069999996</v>
      </c>
    </row>
    <row r="374" spans="14:22" ht="15" customHeight="1">
      <c r="N374" s="41">
        <v>6612</v>
      </c>
      <c r="O374" s="41" t="s">
        <v>13427</v>
      </c>
      <c r="S374" s="103" t="s">
        <v>12673</v>
      </c>
      <c r="T374" s="103" t="s">
        <v>13377</v>
      </c>
      <c r="U374" s="26">
        <v>1.6945347399999999</v>
      </c>
      <c r="V374" s="26">
        <v>-77.087357229999995</v>
      </c>
    </row>
    <row r="375" spans="14:22" ht="15" customHeight="1">
      <c r="N375" s="42">
        <v>6613</v>
      </c>
      <c r="O375" s="42" t="s">
        <v>13428</v>
      </c>
      <c r="S375" s="103" t="s">
        <v>12673</v>
      </c>
      <c r="T375" s="103" t="s">
        <v>13429</v>
      </c>
      <c r="U375" s="26">
        <v>3.1443899929999999</v>
      </c>
      <c r="V375" s="26">
        <v>-76.39234811</v>
      </c>
    </row>
    <row r="376" spans="14:22" ht="15" customHeight="1">
      <c r="N376" s="41">
        <v>6614</v>
      </c>
      <c r="O376" s="41" t="s">
        <v>13430</v>
      </c>
      <c r="S376" s="103" t="s">
        <v>12673</v>
      </c>
      <c r="T376" s="103" t="s">
        <v>13431</v>
      </c>
      <c r="U376" s="26">
        <v>2.4132669600000001</v>
      </c>
      <c r="V376" s="26">
        <v>-77.690475309999997</v>
      </c>
    </row>
    <row r="377" spans="14:22" ht="15" customHeight="1">
      <c r="N377" s="42">
        <v>6615</v>
      </c>
      <c r="O377" s="42" t="s">
        <v>13432</v>
      </c>
      <c r="S377" s="103" t="s">
        <v>12673</v>
      </c>
      <c r="T377" s="103" t="s">
        <v>13433</v>
      </c>
      <c r="U377" s="26">
        <v>2.4990587830000002</v>
      </c>
      <c r="V377" s="26">
        <v>-76.137625310000004</v>
      </c>
    </row>
    <row r="378" spans="14:22" ht="15" customHeight="1">
      <c r="N378" s="41">
        <v>6619</v>
      </c>
      <c r="O378" s="41" t="s">
        <v>13434</v>
      </c>
      <c r="S378" s="103" t="s">
        <v>12673</v>
      </c>
      <c r="T378" s="103" t="s">
        <v>13435</v>
      </c>
      <c r="U378" s="26">
        <v>2.8498101299999998</v>
      </c>
      <c r="V378" s="26">
        <v>-76.311249189999998</v>
      </c>
    </row>
    <row r="379" spans="14:22" ht="15" customHeight="1">
      <c r="N379" s="42">
        <v>6621</v>
      </c>
      <c r="O379" s="42" t="s">
        <v>13436</v>
      </c>
      <c r="S379" s="103" t="s">
        <v>12673</v>
      </c>
      <c r="T379" s="103" t="s">
        <v>13437</v>
      </c>
      <c r="U379" s="26">
        <v>2.187473572</v>
      </c>
      <c r="V379" s="26">
        <v>-76.782280319999998</v>
      </c>
    </row>
    <row r="380" spans="14:22" ht="15" customHeight="1">
      <c r="N380" s="41">
        <v>6629</v>
      </c>
      <c r="O380" s="41" t="s">
        <v>13438</v>
      </c>
      <c r="S380" s="103" t="s">
        <v>12673</v>
      </c>
      <c r="T380" s="103" t="s">
        <v>13439</v>
      </c>
      <c r="U380" s="26">
        <v>2.053933426</v>
      </c>
      <c r="V380" s="26">
        <v>-76.758806199999995</v>
      </c>
    </row>
    <row r="381" spans="14:22" ht="15" customHeight="1">
      <c r="N381" s="42">
        <v>6630</v>
      </c>
      <c r="O381" s="42" t="s">
        <v>13440</v>
      </c>
      <c r="S381" s="103" t="s">
        <v>12673</v>
      </c>
      <c r="T381" s="103" t="s">
        <v>13441</v>
      </c>
      <c r="U381" s="26">
        <v>2.9581987700000001</v>
      </c>
      <c r="V381" s="26">
        <v>-77.242121580000003</v>
      </c>
    </row>
    <row r="382" spans="14:22" ht="15" customHeight="1">
      <c r="N382" s="41">
        <v>6810</v>
      </c>
      <c r="O382" s="41" t="s">
        <v>13442</v>
      </c>
      <c r="S382" s="103" t="s">
        <v>12673</v>
      </c>
      <c r="T382" s="103" t="s">
        <v>13443</v>
      </c>
      <c r="U382" s="26">
        <v>1.793825164</v>
      </c>
      <c r="V382" s="26">
        <v>-77.180603809999994</v>
      </c>
    </row>
    <row r="383" spans="14:22" ht="15" customHeight="1">
      <c r="N383" s="42">
        <v>6820</v>
      </c>
      <c r="O383" s="42" t="s">
        <v>13444</v>
      </c>
      <c r="S383" s="103" t="s">
        <v>12673</v>
      </c>
      <c r="T383" s="103" t="s">
        <v>13445</v>
      </c>
      <c r="U383" s="26">
        <v>3.228235212</v>
      </c>
      <c r="V383" s="26">
        <v>-76.216708269999998</v>
      </c>
    </row>
    <row r="384" spans="14:22" ht="15" customHeight="1">
      <c r="N384" s="41">
        <v>6910</v>
      </c>
      <c r="O384" s="41" t="s">
        <v>13446</v>
      </c>
      <c r="S384" s="103" t="s">
        <v>12673</v>
      </c>
      <c r="T384" s="103" t="s">
        <v>13034</v>
      </c>
      <c r="U384" s="26">
        <v>2.7736639809999999</v>
      </c>
      <c r="V384" s="26">
        <v>-76.746051519999995</v>
      </c>
    </row>
    <row r="385" spans="14:22" ht="15" customHeight="1">
      <c r="N385" s="42">
        <v>6920</v>
      </c>
      <c r="O385" s="42" t="s">
        <v>13447</v>
      </c>
      <c r="S385" s="103" t="s">
        <v>12673</v>
      </c>
      <c r="T385" s="103" t="s">
        <v>13448</v>
      </c>
      <c r="U385" s="26">
        <v>3.1947306179999999</v>
      </c>
      <c r="V385" s="26">
        <v>-76.336241799999996</v>
      </c>
    </row>
    <row r="386" spans="14:22" ht="15" customHeight="1">
      <c r="N386" s="41">
        <v>7010</v>
      </c>
      <c r="O386" s="41" t="s">
        <v>13449</v>
      </c>
      <c r="S386" s="103" t="s">
        <v>12673</v>
      </c>
      <c r="T386" s="103" t="s">
        <v>13206</v>
      </c>
      <c r="U386" s="26">
        <v>2.7338877020000001</v>
      </c>
      <c r="V386" s="26">
        <v>-75.993682640000003</v>
      </c>
    </row>
    <row r="387" spans="14:22" ht="15" customHeight="1">
      <c r="N387" s="42">
        <v>7020</v>
      </c>
      <c r="O387" s="42" t="s">
        <v>13450</v>
      </c>
      <c r="S387" s="103" t="s">
        <v>12673</v>
      </c>
      <c r="T387" s="103" t="s">
        <v>13451</v>
      </c>
      <c r="U387" s="26">
        <v>2.1579839060000001</v>
      </c>
      <c r="V387" s="26">
        <v>-77.046576200000004</v>
      </c>
    </row>
    <row r="388" spans="14:22" ht="15" customHeight="1">
      <c r="N388" s="41">
        <v>7111</v>
      </c>
      <c r="O388" s="41" t="s">
        <v>13452</v>
      </c>
      <c r="S388" s="103" t="s">
        <v>12673</v>
      </c>
      <c r="T388" s="103" t="s">
        <v>13453</v>
      </c>
      <c r="U388" s="26">
        <v>1.054128816</v>
      </c>
      <c r="V388" s="26">
        <v>-76.444327099999995</v>
      </c>
    </row>
    <row r="389" spans="14:22" ht="15" customHeight="1">
      <c r="N389" s="42">
        <v>7112</v>
      </c>
      <c r="O389" s="42" t="s">
        <v>13454</v>
      </c>
      <c r="S389" s="103" t="s">
        <v>12673</v>
      </c>
      <c r="T389" s="103" t="s">
        <v>13455</v>
      </c>
      <c r="U389" s="26">
        <v>2.702420026</v>
      </c>
      <c r="V389" s="26">
        <v>-76.537704550000001</v>
      </c>
    </row>
    <row r="390" spans="14:22" ht="15" customHeight="1">
      <c r="N390" s="41">
        <v>7120</v>
      </c>
      <c r="O390" s="41" t="s">
        <v>13456</v>
      </c>
      <c r="S390" s="103" t="s">
        <v>12673</v>
      </c>
      <c r="T390" s="103" t="s">
        <v>13457</v>
      </c>
      <c r="U390" s="26">
        <v>3.266724205</v>
      </c>
      <c r="V390" s="26">
        <v>-76.418463529999997</v>
      </c>
    </row>
    <row r="391" spans="14:22" ht="15" customHeight="1">
      <c r="N391" s="42">
        <v>7210</v>
      </c>
      <c r="O391" s="42" t="s">
        <v>13458</v>
      </c>
      <c r="S391" s="103" t="s">
        <v>12673</v>
      </c>
      <c r="T391" s="103" t="s">
        <v>13459</v>
      </c>
      <c r="U391" s="26">
        <v>2.2621536180000001</v>
      </c>
      <c r="V391" s="26">
        <v>-76.448269379999999</v>
      </c>
    </row>
    <row r="392" spans="14:22" ht="15" customHeight="1">
      <c r="N392" s="41">
        <v>7220</v>
      </c>
      <c r="O392" s="41" t="s">
        <v>13460</v>
      </c>
      <c r="S392" s="103" t="s">
        <v>12673</v>
      </c>
      <c r="T392" s="103" t="s">
        <v>13461</v>
      </c>
      <c r="U392" s="26">
        <v>2.2604219539999999</v>
      </c>
      <c r="V392" s="26">
        <v>-76.745820330000001</v>
      </c>
    </row>
    <row r="393" spans="14:22" ht="15" customHeight="1">
      <c r="N393" s="42">
        <v>7310</v>
      </c>
      <c r="O393" s="42" t="s">
        <v>13462</v>
      </c>
      <c r="S393" s="103" t="s">
        <v>12673</v>
      </c>
      <c r="T393" s="103" t="s">
        <v>13463</v>
      </c>
      <c r="U393" s="26">
        <v>1.8562618150000001</v>
      </c>
      <c r="V393" s="26">
        <v>-76.716524239999998</v>
      </c>
    </row>
    <row r="394" spans="14:22" ht="15" customHeight="1">
      <c r="N394" s="41">
        <v>7320</v>
      </c>
      <c r="O394" s="41" t="s">
        <v>13464</v>
      </c>
      <c r="S394" s="103" t="s">
        <v>12673</v>
      </c>
      <c r="T394" s="103" t="s">
        <v>13465</v>
      </c>
      <c r="U394" s="26">
        <v>2.984467338</v>
      </c>
      <c r="V394" s="26">
        <v>-76.498731449999994</v>
      </c>
    </row>
    <row r="395" spans="14:22" ht="15" customHeight="1">
      <c r="N395" s="42">
        <v>7410</v>
      </c>
      <c r="O395" s="42" t="s">
        <v>13466</v>
      </c>
      <c r="S395" s="103" t="s">
        <v>12673</v>
      </c>
      <c r="T395" s="103" t="s">
        <v>13062</v>
      </c>
      <c r="U395" s="26">
        <v>1.5200217899999999</v>
      </c>
      <c r="V395" s="26">
        <v>-76.538762809999994</v>
      </c>
    </row>
    <row r="396" spans="14:22" ht="15" customHeight="1">
      <c r="N396" s="41">
        <v>7420</v>
      </c>
      <c r="O396" s="41" t="s">
        <v>13467</v>
      </c>
      <c r="S396" s="103" t="s">
        <v>12673</v>
      </c>
      <c r="T396" s="103" t="s">
        <v>13468</v>
      </c>
      <c r="U396" s="26">
        <v>2.6512918939999999</v>
      </c>
      <c r="V396" s="26">
        <v>-76.350573560000001</v>
      </c>
    </row>
    <row r="397" spans="14:22" ht="15" customHeight="1">
      <c r="N397" s="42">
        <v>7490</v>
      </c>
      <c r="O397" s="42" t="s">
        <v>13469</v>
      </c>
      <c r="S397" s="103" t="s">
        <v>12673</v>
      </c>
      <c r="T397" s="103" t="s">
        <v>13470</v>
      </c>
      <c r="U397" s="26">
        <v>2.2318205409999998</v>
      </c>
      <c r="V397" s="26">
        <v>-76.611466329999999</v>
      </c>
    </row>
    <row r="398" spans="14:22" ht="15" customHeight="1">
      <c r="N398" s="41">
        <v>7500</v>
      </c>
      <c r="O398" s="41" t="s">
        <v>13471</v>
      </c>
      <c r="S398" s="103" t="s">
        <v>12673</v>
      </c>
      <c r="T398" s="103" t="s">
        <v>13472</v>
      </c>
      <c r="U398" s="26">
        <v>2.936865997</v>
      </c>
      <c r="V398" s="26">
        <v>-76.745824299999995</v>
      </c>
    </row>
    <row r="399" spans="14:22" ht="15" customHeight="1">
      <c r="N399" s="42">
        <v>7710</v>
      </c>
      <c r="O399" s="42" t="s">
        <v>13473</v>
      </c>
      <c r="S399" s="103" t="s">
        <v>12673</v>
      </c>
      <c r="T399" s="103" t="s">
        <v>12729</v>
      </c>
      <c r="U399" s="26">
        <v>2.0577351840000002</v>
      </c>
      <c r="V399" s="26">
        <v>-76.909939649999998</v>
      </c>
    </row>
    <row r="400" spans="14:22" ht="15" customHeight="1">
      <c r="N400" s="41">
        <v>7721</v>
      </c>
      <c r="O400" s="41" t="s">
        <v>13474</v>
      </c>
      <c r="S400" s="103" t="s">
        <v>12673</v>
      </c>
      <c r="T400" s="103" t="s">
        <v>13475</v>
      </c>
      <c r="U400" s="26">
        <v>2.3696253120000002</v>
      </c>
      <c r="V400" s="26">
        <v>-76.710519320000003</v>
      </c>
    </row>
    <row r="401" spans="14:22" ht="15" customHeight="1">
      <c r="N401" s="42">
        <v>7722</v>
      </c>
      <c r="O401" s="42" t="s">
        <v>13476</v>
      </c>
      <c r="S401" s="103" t="s">
        <v>12673</v>
      </c>
      <c r="T401" s="103" t="s">
        <v>13477</v>
      </c>
      <c r="U401" s="26">
        <v>2.6994751269999999</v>
      </c>
      <c r="V401" s="26">
        <v>-77.49131577</v>
      </c>
    </row>
    <row r="402" spans="14:22" ht="15" customHeight="1">
      <c r="N402" s="41">
        <v>7729</v>
      </c>
      <c r="O402" s="41" t="s">
        <v>13478</v>
      </c>
      <c r="S402" s="103" t="s">
        <v>12673</v>
      </c>
      <c r="T402" s="103" t="s">
        <v>13479</v>
      </c>
      <c r="U402" s="26">
        <v>2.975771999</v>
      </c>
      <c r="V402" s="26">
        <v>-76.203315660000001</v>
      </c>
    </row>
    <row r="403" spans="14:22" ht="15" customHeight="1">
      <c r="N403" s="42">
        <v>7730</v>
      </c>
      <c r="O403" s="42" t="s">
        <v>13480</v>
      </c>
      <c r="S403" s="103" t="s">
        <v>12673</v>
      </c>
      <c r="T403" s="103" t="s">
        <v>13481</v>
      </c>
      <c r="U403" s="26">
        <v>2.475213085</v>
      </c>
      <c r="V403" s="26">
        <v>-76.396759369999998</v>
      </c>
    </row>
    <row r="404" spans="14:22" ht="15" customHeight="1">
      <c r="N404" s="41">
        <v>7740</v>
      </c>
      <c r="O404" s="41" t="s">
        <v>13482</v>
      </c>
      <c r="S404" s="103" t="s">
        <v>12673</v>
      </c>
      <c r="T404" s="103" t="s">
        <v>13483</v>
      </c>
      <c r="U404" s="26">
        <v>3.1806273169999999</v>
      </c>
      <c r="V404" s="26">
        <v>-76.464455580000006</v>
      </c>
    </row>
    <row r="405" spans="14:22" ht="15" customHeight="1">
      <c r="N405" s="42">
        <v>7810</v>
      </c>
      <c r="O405" s="42" t="s">
        <v>13484</v>
      </c>
      <c r="S405" s="103" t="s">
        <v>12679</v>
      </c>
      <c r="T405" s="103" t="s">
        <v>13485</v>
      </c>
      <c r="U405" s="26">
        <v>10.21890277</v>
      </c>
      <c r="V405" s="26">
        <v>-73.457847639999997</v>
      </c>
    </row>
    <row r="406" spans="14:22" ht="15" customHeight="1">
      <c r="N406" s="41">
        <v>7820</v>
      </c>
      <c r="O406" s="41" t="s">
        <v>13486</v>
      </c>
      <c r="S406" s="103" t="s">
        <v>12679</v>
      </c>
      <c r="T406" s="103" t="s">
        <v>13487</v>
      </c>
      <c r="U406" s="26">
        <v>8.2487352190000003</v>
      </c>
      <c r="V406" s="26">
        <v>-73.622740500000006</v>
      </c>
    </row>
    <row r="407" spans="14:22" ht="15" customHeight="1">
      <c r="N407" s="42">
        <v>7830</v>
      </c>
      <c r="O407" s="42" t="s">
        <v>13488</v>
      </c>
      <c r="S407" s="103" t="s">
        <v>12679</v>
      </c>
      <c r="T407" s="103" t="s">
        <v>13489</v>
      </c>
      <c r="U407" s="26">
        <v>9.9492159079999993</v>
      </c>
      <c r="V407" s="26">
        <v>-73.223582440000001</v>
      </c>
    </row>
    <row r="408" spans="14:22" ht="15" customHeight="1">
      <c r="N408" s="41">
        <v>7911</v>
      </c>
      <c r="O408" s="41" t="s">
        <v>13490</v>
      </c>
      <c r="S408" s="103" t="s">
        <v>12679</v>
      </c>
      <c r="T408" s="103" t="s">
        <v>13491</v>
      </c>
      <c r="U408" s="26">
        <v>9.5107279249999994</v>
      </c>
      <c r="V408" s="26">
        <v>-73.942146410000007</v>
      </c>
    </row>
    <row r="409" spans="14:22" ht="15" customHeight="1">
      <c r="N409" s="42">
        <v>7912</v>
      </c>
      <c r="O409" s="42" t="s">
        <v>13492</v>
      </c>
      <c r="S409" s="103" t="s">
        <v>12679</v>
      </c>
      <c r="T409" s="103" t="s">
        <v>13493</v>
      </c>
      <c r="U409" s="26">
        <v>9.7277329389999991</v>
      </c>
      <c r="V409" s="26">
        <v>-73.252505220000003</v>
      </c>
    </row>
    <row r="410" spans="14:22" ht="15" customHeight="1">
      <c r="N410" s="41">
        <v>7990</v>
      </c>
      <c r="O410" s="41" t="s">
        <v>13494</v>
      </c>
      <c r="S410" s="103" t="s">
        <v>12679</v>
      </c>
      <c r="T410" s="103" t="s">
        <v>13495</v>
      </c>
      <c r="U410" s="26">
        <v>9.9463913089999991</v>
      </c>
      <c r="V410" s="26">
        <v>-73.866288150000003</v>
      </c>
    </row>
    <row r="411" spans="14:22" ht="15" customHeight="1">
      <c r="N411" s="42">
        <v>8010</v>
      </c>
      <c r="O411" s="42" t="s">
        <v>13496</v>
      </c>
      <c r="S411" s="103" t="s">
        <v>12679</v>
      </c>
      <c r="T411" s="103" t="s">
        <v>13497</v>
      </c>
      <c r="U411" s="26">
        <v>9.2779776500000004</v>
      </c>
      <c r="V411" s="26">
        <v>-73.84697903</v>
      </c>
    </row>
    <row r="412" spans="14:22" ht="15" customHeight="1">
      <c r="N412" s="41">
        <v>8020</v>
      </c>
      <c r="O412" s="41" t="s">
        <v>13498</v>
      </c>
      <c r="S412" s="103" t="s">
        <v>12679</v>
      </c>
      <c r="T412" s="103" t="s">
        <v>13499</v>
      </c>
      <c r="U412" s="26">
        <v>9.4266483539999992</v>
      </c>
      <c r="V412" s="26">
        <v>-73.547978939999993</v>
      </c>
    </row>
    <row r="413" spans="14:22" ht="15" customHeight="1">
      <c r="N413" s="42">
        <v>8030</v>
      </c>
      <c r="O413" s="42" t="s">
        <v>13500</v>
      </c>
      <c r="S413" s="103" t="s">
        <v>12679</v>
      </c>
      <c r="T413" s="103" t="s">
        <v>13501</v>
      </c>
      <c r="U413" s="26">
        <v>9.2387713320000007</v>
      </c>
      <c r="V413" s="26">
        <v>-73.488108609999998</v>
      </c>
    </row>
    <row r="414" spans="14:22" ht="15" customHeight="1">
      <c r="N414" s="41">
        <v>8110</v>
      </c>
      <c r="O414" s="41" t="s">
        <v>13502</v>
      </c>
      <c r="S414" s="103" t="s">
        <v>12679</v>
      </c>
      <c r="T414" s="103" t="s">
        <v>13503</v>
      </c>
      <c r="U414" s="26">
        <v>10.199953560000001</v>
      </c>
      <c r="V414" s="26">
        <v>-73.912820640000007</v>
      </c>
    </row>
    <row r="415" spans="14:22" ht="15" customHeight="1">
      <c r="N415" s="42">
        <v>8121</v>
      </c>
      <c r="O415" s="42" t="s">
        <v>13504</v>
      </c>
      <c r="S415" s="103" t="s">
        <v>12679</v>
      </c>
      <c r="T415" s="103" t="s">
        <v>13505</v>
      </c>
      <c r="U415" s="26">
        <v>9.6834746809999999</v>
      </c>
      <c r="V415" s="26">
        <v>-73.738337779999995</v>
      </c>
    </row>
    <row r="416" spans="14:22" ht="15" customHeight="1">
      <c r="N416" s="41">
        <v>8129</v>
      </c>
      <c r="O416" s="41" t="s">
        <v>13506</v>
      </c>
      <c r="S416" s="103" t="s">
        <v>12679</v>
      </c>
      <c r="T416" s="103" t="s">
        <v>13507</v>
      </c>
      <c r="U416" s="26">
        <v>8.3377266219999999</v>
      </c>
      <c r="V416" s="26">
        <v>-73.706491990000004</v>
      </c>
    </row>
    <row r="417" spans="14:22" ht="15" customHeight="1">
      <c r="N417" s="42">
        <v>8130</v>
      </c>
      <c r="O417" s="42" t="s">
        <v>13508</v>
      </c>
      <c r="S417" s="103" t="s">
        <v>12679</v>
      </c>
      <c r="T417" s="103" t="s">
        <v>13509</v>
      </c>
      <c r="U417" s="26">
        <v>8.4055165219999992</v>
      </c>
      <c r="V417" s="26">
        <v>-73.375373089999997</v>
      </c>
    </row>
    <row r="418" spans="14:22" ht="15" customHeight="1">
      <c r="N418" s="41">
        <v>8211</v>
      </c>
      <c r="O418" s="41" t="s">
        <v>13510</v>
      </c>
      <c r="S418" s="103" t="s">
        <v>12679</v>
      </c>
      <c r="T418" s="103" t="s">
        <v>13511</v>
      </c>
      <c r="U418" s="26">
        <v>8.5880022470000004</v>
      </c>
      <c r="V418" s="26">
        <v>-73.616023839999997</v>
      </c>
    </row>
    <row r="419" spans="14:22" ht="15" customHeight="1">
      <c r="N419" s="42">
        <v>8219</v>
      </c>
      <c r="O419" s="42" t="s">
        <v>13512</v>
      </c>
      <c r="S419" s="103" t="s">
        <v>12679</v>
      </c>
      <c r="T419" s="103" t="s">
        <v>13513</v>
      </c>
      <c r="U419" s="26">
        <v>9.52099808</v>
      </c>
      <c r="V419" s="26">
        <v>-73.322493379999997</v>
      </c>
    </row>
    <row r="420" spans="14:22" ht="15" customHeight="1">
      <c r="N420" s="41">
        <v>8220</v>
      </c>
      <c r="O420" s="41" t="s">
        <v>13514</v>
      </c>
      <c r="S420" s="103" t="s">
        <v>12679</v>
      </c>
      <c r="T420" s="103" t="s">
        <v>13515</v>
      </c>
      <c r="U420" s="26">
        <v>10.380278519999999</v>
      </c>
      <c r="V420" s="26">
        <v>-73.007062750000003</v>
      </c>
    </row>
    <row r="421" spans="14:22" ht="15" customHeight="1">
      <c r="N421" s="42">
        <v>8230</v>
      </c>
      <c r="O421" s="42" t="s">
        <v>13516</v>
      </c>
      <c r="S421" s="103" t="s">
        <v>12679</v>
      </c>
      <c r="T421" s="103" t="s">
        <v>13517</v>
      </c>
      <c r="U421" s="26">
        <v>8.9389161430000001</v>
      </c>
      <c r="V421" s="26">
        <v>-73.572472129999994</v>
      </c>
    </row>
    <row r="422" spans="14:22" ht="15" customHeight="1">
      <c r="N422" s="41">
        <v>8291</v>
      </c>
      <c r="O422" s="41" t="s">
        <v>13518</v>
      </c>
      <c r="S422" s="103" t="s">
        <v>12679</v>
      </c>
      <c r="T422" s="103" t="s">
        <v>13519</v>
      </c>
      <c r="U422" s="26">
        <v>8.7641167339999999</v>
      </c>
      <c r="V422" s="26">
        <v>-73.632955460000005</v>
      </c>
    </row>
    <row r="423" spans="14:22" ht="15" customHeight="1">
      <c r="N423" s="42">
        <v>8292</v>
      </c>
      <c r="O423" s="42" t="s">
        <v>13520</v>
      </c>
      <c r="S423" s="103" t="s">
        <v>12679</v>
      </c>
      <c r="T423" s="103" t="s">
        <v>13521</v>
      </c>
      <c r="U423" s="26">
        <v>10.417368740000001</v>
      </c>
      <c r="V423" s="26">
        <v>-73.614506320000004</v>
      </c>
    </row>
    <row r="424" spans="14:22" ht="15" customHeight="1">
      <c r="N424" s="41">
        <v>8299</v>
      </c>
      <c r="O424" s="41" t="s">
        <v>13522</v>
      </c>
      <c r="S424" s="103" t="s">
        <v>12679</v>
      </c>
      <c r="T424" s="103" t="s">
        <v>13523</v>
      </c>
      <c r="U424" s="26">
        <v>8.2010702450000004</v>
      </c>
      <c r="V424" s="26">
        <v>-73.487501269999996</v>
      </c>
    </row>
    <row r="425" spans="14:22" ht="15" customHeight="1">
      <c r="N425" s="42">
        <v>8411</v>
      </c>
      <c r="O425" s="42" t="s">
        <v>13524</v>
      </c>
      <c r="S425" s="103" t="s">
        <v>12679</v>
      </c>
      <c r="T425" s="103" t="s">
        <v>13525</v>
      </c>
      <c r="U425" s="26">
        <v>10.24440562</v>
      </c>
      <c r="V425" s="26">
        <v>-73.078245690000003</v>
      </c>
    </row>
    <row r="426" spans="14:22" ht="15" customHeight="1">
      <c r="N426" s="41">
        <v>8412</v>
      </c>
      <c r="O426" s="41" t="s">
        <v>13526</v>
      </c>
      <c r="S426" s="103" t="s">
        <v>12679</v>
      </c>
      <c r="T426" s="103" t="s">
        <v>13527</v>
      </c>
      <c r="U426" s="26">
        <v>7.7698159870000003</v>
      </c>
      <c r="V426" s="26">
        <v>-73.472188880000004</v>
      </c>
    </row>
    <row r="427" spans="14:22" ht="15" customHeight="1">
      <c r="N427" s="42">
        <v>8413</v>
      </c>
      <c r="O427" s="42" t="s">
        <v>13528</v>
      </c>
      <c r="S427" s="103" t="s">
        <v>12679</v>
      </c>
      <c r="T427" s="103" t="s">
        <v>13529</v>
      </c>
      <c r="U427" s="26">
        <v>10.16952712</v>
      </c>
      <c r="V427" s="26">
        <v>-73.287982700000001</v>
      </c>
    </row>
    <row r="428" spans="14:22" ht="15" customHeight="1">
      <c r="N428" s="41">
        <v>8414</v>
      </c>
      <c r="O428" s="41" t="s">
        <v>13530</v>
      </c>
      <c r="S428" s="103" t="s">
        <v>12679</v>
      </c>
      <c r="T428" s="103" t="s">
        <v>13531</v>
      </c>
      <c r="U428" s="26">
        <v>7.9377884539999997</v>
      </c>
      <c r="V428" s="26">
        <v>-73.54436312</v>
      </c>
    </row>
    <row r="429" spans="14:22" ht="15" customHeight="1">
      <c r="N429" s="42">
        <v>8415</v>
      </c>
      <c r="O429" s="42" t="s">
        <v>13532</v>
      </c>
      <c r="S429" s="103" t="s">
        <v>12679</v>
      </c>
      <c r="T429" s="103" t="s">
        <v>13533</v>
      </c>
      <c r="U429" s="26">
        <v>8.9020750119999992</v>
      </c>
      <c r="V429" s="26">
        <v>-73.763396200000003</v>
      </c>
    </row>
    <row r="430" spans="14:22" ht="15" customHeight="1">
      <c r="N430" s="41">
        <v>8421</v>
      </c>
      <c r="O430" s="41" t="s">
        <v>13534</v>
      </c>
      <c r="S430" s="103" t="s">
        <v>12685</v>
      </c>
      <c r="T430" s="103" t="s">
        <v>13535</v>
      </c>
      <c r="U430" s="26">
        <v>8.5846980160000008</v>
      </c>
      <c r="V430" s="26">
        <v>-75.950550789999994</v>
      </c>
    </row>
    <row r="431" spans="14:22" ht="15" customHeight="1">
      <c r="N431" s="42">
        <v>8422</v>
      </c>
      <c r="O431" s="42" t="s">
        <v>13536</v>
      </c>
      <c r="S431" s="103" t="s">
        <v>12685</v>
      </c>
      <c r="T431" s="103" t="s">
        <v>13537</v>
      </c>
      <c r="U431" s="26">
        <v>8.2657686879999996</v>
      </c>
      <c r="V431" s="26">
        <v>-75.048684359999996</v>
      </c>
    </row>
    <row r="432" spans="14:22" ht="15" customHeight="1">
      <c r="N432" s="41">
        <v>8423</v>
      </c>
      <c r="O432" s="41" t="s">
        <v>13538</v>
      </c>
      <c r="S432" s="103" t="s">
        <v>12685</v>
      </c>
      <c r="T432" s="103" t="s">
        <v>13100</v>
      </c>
      <c r="U432" s="26">
        <v>8.1913979529999992</v>
      </c>
      <c r="V432" s="26">
        <v>-75.433825319999997</v>
      </c>
    </row>
    <row r="433" spans="14:22" ht="15" customHeight="1">
      <c r="N433" s="42">
        <v>8424</v>
      </c>
      <c r="O433" s="42" t="s">
        <v>13539</v>
      </c>
      <c r="S433" s="103" t="s">
        <v>12685</v>
      </c>
      <c r="T433" s="103" t="s">
        <v>13540</v>
      </c>
      <c r="U433" s="26">
        <v>8.7240958000000006</v>
      </c>
      <c r="V433" s="26">
        <v>-76.237790810000007</v>
      </c>
    </row>
    <row r="434" spans="14:22" ht="15" customHeight="1">
      <c r="N434" s="41">
        <v>8430</v>
      </c>
      <c r="O434" s="41" t="s">
        <v>13541</v>
      </c>
      <c r="S434" s="103" t="s">
        <v>12685</v>
      </c>
      <c r="T434" s="103" t="s">
        <v>13542</v>
      </c>
      <c r="U434" s="26">
        <v>8.8956670510000002</v>
      </c>
      <c r="V434" s="26">
        <v>-75.878423909999995</v>
      </c>
    </row>
    <row r="435" spans="14:22" ht="15" customHeight="1">
      <c r="N435" s="42">
        <v>8511</v>
      </c>
      <c r="O435" s="42" t="s">
        <v>13543</v>
      </c>
      <c r="S435" s="103" t="s">
        <v>12685</v>
      </c>
      <c r="T435" s="103" t="s">
        <v>13544</v>
      </c>
      <c r="U435" s="26">
        <v>9.1102494099999998</v>
      </c>
      <c r="V435" s="26">
        <v>-75.652373510000004</v>
      </c>
    </row>
    <row r="436" spans="14:22" ht="15" customHeight="1">
      <c r="N436" s="41">
        <v>8512</v>
      </c>
      <c r="O436" s="41" t="s">
        <v>13545</v>
      </c>
      <c r="S436" s="103" t="s">
        <v>12685</v>
      </c>
      <c r="T436" s="103" t="s">
        <v>13546</v>
      </c>
      <c r="U436" s="26">
        <v>9.0532871040000007</v>
      </c>
      <c r="V436" s="26">
        <v>-75.373873630000006</v>
      </c>
    </row>
    <row r="437" spans="14:22" ht="15" customHeight="1">
      <c r="N437" s="42">
        <v>8513</v>
      </c>
      <c r="O437" s="42" t="s">
        <v>13547</v>
      </c>
      <c r="S437" s="103" t="s">
        <v>12685</v>
      </c>
      <c r="T437" s="103" t="s">
        <v>13548</v>
      </c>
      <c r="U437" s="26">
        <v>8.8418118939999992</v>
      </c>
      <c r="V437" s="26">
        <v>-75.607798290000005</v>
      </c>
    </row>
    <row r="438" spans="14:22" ht="15" customHeight="1">
      <c r="N438" s="41">
        <v>8521</v>
      </c>
      <c r="O438" s="41" t="s">
        <v>13549</v>
      </c>
      <c r="S438" s="103" t="s">
        <v>12685</v>
      </c>
      <c r="T438" s="103" t="s">
        <v>13550</v>
      </c>
      <c r="U438" s="26">
        <v>9.0714602190000004</v>
      </c>
      <c r="V438" s="26">
        <v>-75.754592759999994</v>
      </c>
    </row>
    <row r="439" spans="14:22" ht="15" customHeight="1">
      <c r="N439" s="42">
        <v>8522</v>
      </c>
      <c r="O439" s="42" t="s">
        <v>13551</v>
      </c>
      <c r="S439" s="103" t="s">
        <v>12685</v>
      </c>
      <c r="T439" s="103" t="s">
        <v>13552</v>
      </c>
      <c r="U439" s="26">
        <v>8.0522184219999993</v>
      </c>
      <c r="V439" s="26">
        <v>-75.288160219999995</v>
      </c>
    </row>
    <row r="440" spans="14:22" ht="15" customHeight="1">
      <c r="N440" s="41">
        <v>8523</v>
      </c>
      <c r="O440" s="41" t="s">
        <v>13553</v>
      </c>
      <c r="S440" s="103" t="s">
        <v>12685</v>
      </c>
      <c r="T440" s="103" t="s">
        <v>13554</v>
      </c>
      <c r="U440" s="26">
        <v>9.1650349979999994</v>
      </c>
      <c r="V440" s="26">
        <v>-75.909781240000001</v>
      </c>
    </row>
    <row r="441" spans="14:22" ht="15" customHeight="1">
      <c r="N441" s="42">
        <v>8530</v>
      </c>
      <c r="O441" s="42" t="s">
        <v>13555</v>
      </c>
      <c r="S441" s="103" t="s">
        <v>12685</v>
      </c>
      <c r="T441" s="103" t="s">
        <v>13556</v>
      </c>
      <c r="U441" s="26">
        <v>8.8233070629999997</v>
      </c>
      <c r="V441" s="26">
        <v>-76.343055199999995</v>
      </c>
    </row>
    <row r="442" spans="14:22" ht="15" customHeight="1">
      <c r="N442" s="41">
        <v>8541</v>
      </c>
      <c r="O442" s="41" t="s">
        <v>13557</v>
      </c>
      <c r="S442" s="103" t="s">
        <v>12685</v>
      </c>
      <c r="T442" s="103" t="s">
        <v>13558</v>
      </c>
      <c r="U442" s="26">
        <v>9.265461621</v>
      </c>
      <c r="V442" s="26">
        <v>-75.650908759999993</v>
      </c>
    </row>
    <row r="443" spans="14:22" ht="15" customHeight="1">
      <c r="N443" s="42">
        <v>8542</v>
      </c>
      <c r="O443" s="42" t="s">
        <v>13559</v>
      </c>
      <c r="S443" s="103" t="s">
        <v>12685</v>
      </c>
      <c r="T443" s="103" t="s">
        <v>13560</v>
      </c>
      <c r="U443" s="26">
        <v>7.8664326349999998</v>
      </c>
      <c r="V443" s="26">
        <v>-75.875339260000004</v>
      </c>
    </row>
    <row r="444" spans="14:22" ht="15" customHeight="1">
      <c r="N444" s="41">
        <v>8543</v>
      </c>
      <c r="O444" s="41" t="s">
        <v>13561</v>
      </c>
      <c r="S444" s="103" t="s">
        <v>12685</v>
      </c>
      <c r="T444" s="103" t="s">
        <v>13562</v>
      </c>
      <c r="U444" s="26">
        <v>9.1905153429999995</v>
      </c>
      <c r="V444" s="26">
        <v>-76.119317089999996</v>
      </c>
    </row>
    <row r="445" spans="14:22" ht="15" customHeight="1">
      <c r="N445" s="42">
        <v>8544</v>
      </c>
      <c r="O445" s="42" t="s">
        <v>13563</v>
      </c>
      <c r="S445" s="103" t="s">
        <v>12685</v>
      </c>
      <c r="T445" s="103" t="s">
        <v>13564</v>
      </c>
      <c r="U445" s="26">
        <v>8.1811084879999996</v>
      </c>
      <c r="V445" s="26">
        <v>-75.689238029999999</v>
      </c>
    </row>
    <row r="446" spans="14:22" ht="15" customHeight="1">
      <c r="N446" s="41">
        <v>8551</v>
      </c>
      <c r="O446" s="41" t="s">
        <v>13565</v>
      </c>
      <c r="S446" s="103" t="s">
        <v>12685</v>
      </c>
      <c r="T446" s="103" t="s">
        <v>13566</v>
      </c>
      <c r="U446" s="26">
        <v>8.4813395679999992</v>
      </c>
      <c r="V446" s="26">
        <v>-75.405161539999995</v>
      </c>
    </row>
    <row r="447" spans="14:22" ht="15" customHeight="1">
      <c r="N447" s="42">
        <v>8552</v>
      </c>
      <c r="O447" s="42" t="s">
        <v>13567</v>
      </c>
      <c r="S447" s="103" t="s">
        <v>12685</v>
      </c>
      <c r="T447" s="103" t="s">
        <v>13568</v>
      </c>
      <c r="U447" s="26">
        <v>8.9886677309999996</v>
      </c>
      <c r="V447" s="26">
        <v>-76.194059120000006</v>
      </c>
    </row>
    <row r="448" spans="14:22" ht="15" customHeight="1">
      <c r="N448" s="41">
        <v>8553</v>
      </c>
      <c r="O448" s="41" t="s">
        <v>13569</v>
      </c>
      <c r="S448" s="103" t="s">
        <v>12685</v>
      </c>
      <c r="T448" s="103" t="s">
        <v>13570</v>
      </c>
      <c r="U448" s="26">
        <v>7.711515736</v>
      </c>
      <c r="V448" s="26">
        <v>-75.771232240000003</v>
      </c>
    </row>
    <row r="449" spans="14:22" ht="15" customHeight="1">
      <c r="N449" s="42">
        <v>8559</v>
      </c>
      <c r="O449" s="42" t="s">
        <v>13571</v>
      </c>
      <c r="S449" s="103" t="s">
        <v>12685</v>
      </c>
      <c r="T449" s="103" t="s">
        <v>13572</v>
      </c>
      <c r="U449" s="26">
        <v>9.2823861270000005</v>
      </c>
      <c r="V449" s="26">
        <v>-75.721293919999994</v>
      </c>
    </row>
    <row r="450" spans="14:22" ht="15" customHeight="1">
      <c r="N450" s="41">
        <v>8560</v>
      </c>
      <c r="O450" s="41" t="s">
        <v>13573</v>
      </c>
      <c r="S450" s="103" t="s">
        <v>12685</v>
      </c>
      <c r="T450" s="103" t="s">
        <v>13574</v>
      </c>
      <c r="U450" s="26">
        <v>8.7990070159999991</v>
      </c>
      <c r="V450" s="26">
        <v>-75.429256640000006</v>
      </c>
    </row>
    <row r="451" spans="14:22" ht="15" customHeight="1">
      <c r="N451" s="42">
        <v>8610</v>
      </c>
      <c r="O451" s="42" t="s">
        <v>13575</v>
      </c>
      <c r="S451" s="103" t="s">
        <v>12685</v>
      </c>
      <c r="T451" s="103" t="s">
        <v>13576</v>
      </c>
      <c r="U451" s="26">
        <v>9.121296353</v>
      </c>
      <c r="V451" s="26">
        <v>-75.520917109999999</v>
      </c>
    </row>
    <row r="452" spans="14:22" ht="15" customHeight="1">
      <c r="N452" s="41">
        <v>8621</v>
      </c>
      <c r="O452" s="41" t="s">
        <v>13577</v>
      </c>
      <c r="S452" s="103" t="s">
        <v>12685</v>
      </c>
      <c r="T452" s="103" t="s">
        <v>13578</v>
      </c>
      <c r="U452" s="26">
        <v>9.3596674889999996</v>
      </c>
      <c r="V452" s="26">
        <v>-75.787002520000001</v>
      </c>
    </row>
    <row r="453" spans="14:22" ht="15" customHeight="1">
      <c r="N453" s="42">
        <v>8622</v>
      </c>
      <c r="O453" s="42" t="s">
        <v>13579</v>
      </c>
      <c r="S453" s="103" t="s">
        <v>12685</v>
      </c>
      <c r="T453" s="103" t="s">
        <v>13580</v>
      </c>
      <c r="U453" s="26">
        <v>9.3300983290000001</v>
      </c>
      <c r="V453" s="26">
        <v>-75.97623858</v>
      </c>
    </row>
    <row r="454" spans="14:22" ht="15" customHeight="1">
      <c r="N454" s="41">
        <v>8691</v>
      </c>
      <c r="O454" s="41" t="s">
        <v>13581</v>
      </c>
      <c r="S454" s="103" t="s">
        <v>12685</v>
      </c>
      <c r="T454" s="103" t="s">
        <v>12874</v>
      </c>
      <c r="U454" s="26">
        <v>8.7064642630000009</v>
      </c>
      <c r="V454" s="26">
        <v>-75.692518250000006</v>
      </c>
    </row>
    <row r="455" spans="14:22" ht="15" customHeight="1">
      <c r="N455" s="42">
        <v>8692</v>
      </c>
      <c r="O455" s="42" t="s">
        <v>13582</v>
      </c>
      <c r="S455" s="103" t="s">
        <v>12685</v>
      </c>
      <c r="T455" s="103" t="s">
        <v>13583</v>
      </c>
      <c r="U455" s="26">
        <v>7.7530543950000004</v>
      </c>
      <c r="V455" s="26">
        <v>-75.567247399999999</v>
      </c>
    </row>
    <row r="456" spans="14:22" ht="15" customHeight="1">
      <c r="N456" s="41">
        <v>8699</v>
      </c>
      <c r="O456" s="41" t="s">
        <v>13584</v>
      </c>
      <c r="S456" s="103" t="s">
        <v>12685</v>
      </c>
      <c r="T456" s="103" t="s">
        <v>13585</v>
      </c>
      <c r="U456" s="26">
        <v>8.9877773919999999</v>
      </c>
      <c r="V456" s="26">
        <v>-75.909587709999997</v>
      </c>
    </row>
    <row r="457" spans="14:22" ht="15" customHeight="1">
      <c r="N457" s="42">
        <v>8710</v>
      </c>
      <c r="O457" s="42" t="s">
        <v>13586</v>
      </c>
      <c r="S457" s="103" t="s">
        <v>12685</v>
      </c>
      <c r="T457" s="103" t="s">
        <v>13587</v>
      </c>
      <c r="U457" s="26">
        <v>7.8138968289999999</v>
      </c>
      <c r="V457" s="26">
        <v>-76.168466780000003</v>
      </c>
    </row>
    <row r="458" spans="14:22" ht="15" customHeight="1">
      <c r="N458" s="41">
        <v>8720</v>
      </c>
      <c r="O458" s="41" t="s">
        <v>13588</v>
      </c>
      <c r="S458" s="103" t="s">
        <v>12685</v>
      </c>
      <c r="T458" s="103" t="s">
        <v>13589</v>
      </c>
      <c r="U458" s="26">
        <v>9.2246308030000002</v>
      </c>
      <c r="V458" s="26">
        <v>-75.544105930000001</v>
      </c>
    </row>
    <row r="459" spans="14:22" ht="15" customHeight="1">
      <c r="N459" s="42">
        <v>8730</v>
      </c>
      <c r="O459" s="42" t="s">
        <v>13590</v>
      </c>
      <c r="S459" s="103" t="s">
        <v>12685</v>
      </c>
      <c r="T459" s="103" t="s">
        <v>13591</v>
      </c>
      <c r="U459" s="26">
        <v>8.2199041279999996</v>
      </c>
      <c r="V459" s="26">
        <v>-76.221328600000007</v>
      </c>
    </row>
    <row r="460" spans="14:22" ht="15" customHeight="1">
      <c r="N460" s="41">
        <v>8790</v>
      </c>
      <c r="O460" s="41" t="s">
        <v>13592</v>
      </c>
      <c r="S460" s="103" t="s">
        <v>11714</v>
      </c>
      <c r="T460" s="103" t="s">
        <v>13593</v>
      </c>
      <c r="U460" s="26">
        <v>4.3727446759999999</v>
      </c>
      <c r="V460" s="26">
        <v>-74.671110510000005</v>
      </c>
    </row>
    <row r="461" spans="14:22" ht="15" customHeight="1">
      <c r="N461" s="42">
        <v>8810</v>
      </c>
      <c r="O461" s="42" t="s">
        <v>13594</v>
      </c>
      <c r="S461" s="103" t="s">
        <v>11714</v>
      </c>
      <c r="T461" s="103" t="s">
        <v>13595</v>
      </c>
      <c r="U461" s="26">
        <v>4.8911216380000004</v>
      </c>
      <c r="V461" s="26">
        <v>-74.442784320000001</v>
      </c>
    </row>
    <row r="462" spans="14:22" ht="15" customHeight="1">
      <c r="N462" s="41">
        <v>8891</v>
      </c>
      <c r="O462" s="41" t="s">
        <v>13596</v>
      </c>
      <c r="S462" s="103" t="s">
        <v>11714</v>
      </c>
      <c r="T462" s="103" t="s">
        <v>13597</v>
      </c>
      <c r="U462" s="26">
        <v>4.5599628809999997</v>
      </c>
      <c r="V462" s="26">
        <v>-74.525695299999995</v>
      </c>
    </row>
    <row r="463" spans="14:22" ht="15" customHeight="1">
      <c r="N463" s="42">
        <v>8899</v>
      </c>
      <c r="O463" s="42" t="s">
        <v>13598</v>
      </c>
      <c r="S463" s="103" t="s">
        <v>11714</v>
      </c>
      <c r="T463" s="103" t="s">
        <v>13599</v>
      </c>
      <c r="U463" s="26">
        <v>4.7893136140000001</v>
      </c>
      <c r="V463" s="26">
        <v>-74.461942559999997</v>
      </c>
    </row>
    <row r="464" spans="14:22" ht="15" customHeight="1">
      <c r="N464" s="41">
        <v>9001</v>
      </c>
      <c r="O464" s="41" t="s">
        <v>13600</v>
      </c>
      <c r="S464" s="103" t="s">
        <v>11714</v>
      </c>
      <c r="T464" s="103" t="s">
        <v>13601</v>
      </c>
      <c r="U464" s="26">
        <v>4.2327869849999997</v>
      </c>
      <c r="V464" s="26">
        <v>-74.395762910000002</v>
      </c>
    </row>
    <row r="465" spans="14:22" ht="15" customHeight="1">
      <c r="N465" s="42">
        <v>9002</v>
      </c>
      <c r="O465" s="42" t="s">
        <v>13602</v>
      </c>
      <c r="S465" s="103" t="s">
        <v>11714</v>
      </c>
      <c r="T465" s="103" t="s">
        <v>13603</v>
      </c>
      <c r="U465" s="26">
        <v>4.7917211049999997</v>
      </c>
      <c r="V465" s="26">
        <v>-74.714913989999999</v>
      </c>
    </row>
    <row r="466" spans="14:22" ht="15" customHeight="1">
      <c r="N466" s="41">
        <v>9003</v>
      </c>
      <c r="O466" s="41" t="s">
        <v>13604</v>
      </c>
      <c r="S466" s="103" t="s">
        <v>11714</v>
      </c>
      <c r="T466" s="103" t="s">
        <v>13605</v>
      </c>
      <c r="U466" s="26">
        <v>4.8478210910000001</v>
      </c>
      <c r="V466" s="26">
        <v>-74.528627659999998</v>
      </c>
    </row>
    <row r="467" spans="14:22" ht="15" customHeight="1">
      <c r="N467" s="42">
        <v>9004</v>
      </c>
      <c r="O467" s="42" t="s">
        <v>13606</v>
      </c>
      <c r="S467" s="103" t="s">
        <v>11714</v>
      </c>
      <c r="T467" s="103" t="s">
        <v>13607</v>
      </c>
      <c r="U467" s="26">
        <v>4.7055762520000002</v>
      </c>
      <c r="V467" s="26">
        <v>-74.335407700000005</v>
      </c>
    </row>
    <row r="468" spans="14:22" ht="15" customHeight="1">
      <c r="N468" s="41">
        <v>9005</v>
      </c>
      <c r="O468" s="41" t="s">
        <v>13608</v>
      </c>
      <c r="S468" s="103" t="s">
        <v>11714</v>
      </c>
      <c r="T468" s="103" t="s">
        <v>13609</v>
      </c>
      <c r="U468" s="26">
        <v>3.9186192399999999</v>
      </c>
      <c r="V468" s="26">
        <v>-74.446156060000007</v>
      </c>
    </row>
    <row r="469" spans="14:22" ht="15" customHeight="1">
      <c r="N469" s="42">
        <v>9006</v>
      </c>
      <c r="O469" s="42" t="s">
        <v>13610</v>
      </c>
      <c r="S469" s="103" t="s">
        <v>11714</v>
      </c>
      <c r="T469" s="103" t="s">
        <v>13611</v>
      </c>
      <c r="U469" s="26">
        <v>4.7230633409999996</v>
      </c>
      <c r="V469" s="26">
        <v>-74.459195280000003</v>
      </c>
    </row>
    <row r="470" spans="14:22" ht="15" customHeight="1">
      <c r="N470" s="41">
        <v>9007</v>
      </c>
      <c r="O470" s="41" t="s">
        <v>13612</v>
      </c>
      <c r="S470" s="103" t="s">
        <v>11714</v>
      </c>
      <c r="T470" s="103" t="s">
        <v>11826</v>
      </c>
      <c r="U470" s="26">
        <v>4.9304027789999996</v>
      </c>
      <c r="V470" s="26">
        <v>-74.029851149999999</v>
      </c>
    </row>
    <row r="471" spans="14:22" ht="15" customHeight="1">
      <c r="N471" s="42">
        <v>9008</v>
      </c>
      <c r="O471" s="42" t="s">
        <v>13613</v>
      </c>
      <c r="S471" s="103" t="s">
        <v>11714</v>
      </c>
      <c r="T471" s="103" t="s">
        <v>13614</v>
      </c>
      <c r="U471" s="26">
        <v>5.3815013990000002</v>
      </c>
      <c r="V471" s="26">
        <v>-74.521235950000005</v>
      </c>
    </row>
    <row r="472" spans="14:22" ht="15" customHeight="1">
      <c r="N472" s="41">
        <v>9101</v>
      </c>
      <c r="O472" s="41" t="s">
        <v>13615</v>
      </c>
      <c r="S472" s="103" t="s">
        <v>11714</v>
      </c>
      <c r="T472" s="103" t="s">
        <v>13616</v>
      </c>
      <c r="U472" s="26">
        <v>4.4022594570000004</v>
      </c>
      <c r="V472" s="26">
        <v>-73.944824350000005</v>
      </c>
    </row>
    <row r="473" spans="14:22" ht="15" customHeight="1">
      <c r="N473" s="42">
        <v>9102</v>
      </c>
      <c r="O473" s="42" t="s">
        <v>13617</v>
      </c>
      <c r="S473" s="103" t="s">
        <v>11714</v>
      </c>
      <c r="T473" s="103" t="s">
        <v>13618</v>
      </c>
      <c r="U473" s="26">
        <v>5.3388565559999996</v>
      </c>
      <c r="V473" s="26">
        <v>-73.926148170000005</v>
      </c>
    </row>
    <row r="474" spans="14:22" ht="15" customHeight="1">
      <c r="N474" s="41">
        <v>9103</v>
      </c>
      <c r="O474" s="41" t="s">
        <v>13619</v>
      </c>
      <c r="S474" s="103" t="s">
        <v>11714</v>
      </c>
      <c r="T474" s="103" t="s">
        <v>13620</v>
      </c>
      <c r="U474" s="26">
        <v>4.9542517500000001</v>
      </c>
      <c r="V474" s="26">
        <v>-74.630901390000005</v>
      </c>
    </row>
    <row r="475" spans="14:22" ht="15" customHeight="1">
      <c r="N475" s="42">
        <v>9200</v>
      </c>
      <c r="O475" s="42" t="s">
        <v>13621</v>
      </c>
      <c r="S475" s="103" t="s">
        <v>11714</v>
      </c>
      <c r="T475" s="103" t="s">
        <v>13622</v>
      </c>
      <c r="U475" s="26">
        <v>4.8578236710000002</v>
      </c>
      <c r="V475" s="26">
        <v>-74.038095389999995</v>
      </c>
    </row>
    <row r="476" spans="14:22" ht="15" customHeight="1">
      <c r="N476" s="41">
        <v>9311</v>
      </c>
      <c r="O476" s="41" t="s">
        <v>13623</v>
      </c>
      <c r="S476" s="103" t="s">
        <v>11714</v>
      </c>
      <c r="T476" s="103" t="s">
        <v>13624</v>
      </c>
      <c r="U476" s="26">
        <v>4.4637466290000001</v>
      </c>
      <c r="V476" s="26">
        <v>-74.046052459999999</v>
      </c>
    </row>
    <row r="477" spans="14:22" ht="15" customHeight="1">
      <c r="N477" s="42">
        <v>9312</v>
      </c>
      <c r="O477" s="42" t="s">
        <v>13625</v>
      </c>
      <c r="S477" s="103" t="s">
        <v>11714</v>
      </c>
      <c r="T477" s="103" t="s">
        <v>13626</v>
      </c>
      <c r="U477" s="26">
        <v>4.5781838959999996</v>
      </c>
      <c r="V477" s="26">
        <v>-73.952900540000002</v>
      </c>
    </row>
    <row r="478" spans="14:22" ht="15" customHeight="1">
      <c r="N478" s="41">
        <v>9319</v>
      </c>
      <c r="O478" s="41" t="s">
        <v>13627</v>
      </c>
      <c r="S478" s="103" t="s">
        <v>11714</v>
      </c>
      <c r="T478" s="103" t="s">
        <v>13628</v>
      </c>
      <c r="U478" s="26">
        <v>5.1184192709999996</v>
      </c>
      <c r="V478" s="26">
        <v>-73.680685830000002</v>
      </c>
    </row>
    <row r="479" spans="14:22" ht="15" customHeight="1">
      <c r="N479" s="42">
        <v>9321</v>
      </c>
      <c r="O479" s="42" t="s">
        <v>13629</v>
      </c>
      <c r="S479" s="103" t="s">
        <v>11714</v>
      </c>
      <c r="T479" s="103" t="s">
        <v>13630</v>
      </c>
      <c r="U479" s="26">
        <v>5.1031275320000002</v>
      </c>
      <c r="V479" s="26">
        <v>-73.975365589999996</v>
      </c>
    </row>
    <row r="480" spans="14:22" ht="15" customHeight="1">
      <c r="N480" s="41">
        <v>9329</v>
      </c>
      <c r="O480" s="41" t="s">
        <v>13631</v>
      </c>
      <c r="S480" s="103" t="s">
        <v>11714</v>
      </c>
      <c r="T480" s="103" t="s">
        <v>13632</v>
      </c>
      <c r="U480" s="26">
        <v>4.7675467400000002</v>
      </c>
      <c r="V480" s="26">
        <v>-74.1415583</v>
      </c>
    </row>
    <row r="481" spans="14:22" ht="15" customHeight="1">
      <c r="N481" s="42">
        <v>9411</v>
      </c>
      <c r="O481" s="42" t="s">
        <v>13633</v>
      </c>
      <c r="S481" s="103" t="s">
        <v>11714</v>
      </c>
      <c r="T481" s="103" t="s">
        <v>13634</v>
      </c>
      <c r="U481" s="26">
        <v>5.2303081049999998</v>
      </c>
      <c r="V481" s="26">
        <v>-73.780018850000005</v>
      </c>
    </row>
    <row r="482" spans="14:22" ht="15" customHeight="1">
      <c r="N482" s="41">
        <v>9412</v>
      </c>
      <c r="O482" s="41" t="s">
        <v>13635</v>
      </c>
      <c r="S482" s="103" t="s">
        <v>11714</v>
      </c>
      <c r="T482" s="103" t="s">
        <v>13636</v>
      </c>
      <c r="U482" s="26">
        <v>4.556947085</v>
      </c>
      <c r="V482" s="26">
        <v>-74.426584779999999</v>
      </c>
    </row>
    <row r="483" spans="14:22" ht="15" customHeight="1">
      <c r="N483" s="42">
        <v>9420</v>
      </c>
      <c r="O483" s="42" t="s">
        <v>13637</v>
      </c>
      <c r="S483" s="103" t="s">
        <v>11714</v>
      </c>
      <c r="T483" s="103" t="s">
        <v>13018</v>
      </c>
      <c r="U483" s="26">
        <v>5.2617282440000004</v>
      </c>
      <c r="V483" s="26">
        <v>-74.30830564</v>
      </c>
    </row>
    <row r="484" spans="14:22" ht="15" customHeight="1">
      <c r="N484" s="41">
        <v>9491</v>
      </c>
      <c r="O484" s="41" t="s">
        <v>13638</v>
      </c>
      <c r="S484" s="103" t="s">
        <v>11714</v>
      </c>
      <c r="T484" s="103" t="s">
        <v>13639</v>
      </c>
      <c r="U484" s="26">
        <v>4.8797230159999998</v>
      </c>
      <c r="V484" s="26">
        <v>-74.238022729999997</v>
      </c>
    </row>
    <row r="485" spans="14:22" ht="15" customHeight="1">
      <c r="N485" s="42">
        <v>9492</v>
      </c>
      <c r="O485" s="42" t="s">
        <v>13640</v>
      </c>
      <c r="S485" s="103" t="s">
        <v>11714</v>
      </c>
      <c r="T485" s="103" t="s">
        <v>11775</v>
      </c>
      <c r="U485" s="26">
        <v>4.8340523339999999</v>
      </c>
      <c r="V485" s="26">
        <v>-74.338022899999999</v>
      </c>
    </row>
    <row r="486" spans="14:22" ht="15" customHeight="1">
      <c r="N486" s="41">
        <v>9499</v>
      </c>
      <c r="O486" s="41" t="s">
        <v>13641</v>
      </c>
      <c r="S486" s="103" t="s">
        <v>11714</v>
      </c>
      <c r="T486" s="103" t="s">
        <v>13642</v>
      </c>
      <c r="U486" s="26">
        <v>4.528568462</v>
      </c>
      <c r="V486" s="26">
        <v>-73.797052669999999</v>
      </c>
    </row>
    <row r="487" spans="14:22" ht="15" customHeight="1">
      <c r="N487" s="42">
        <v>9511</v>
      </c>
      <c r="O487" s="42" t="s">
        <v>13643</v>
      </c>
      <c r="S487" s="103" t="s">
        <v>11714</v>
      </c>
      <c r="T487" s="103" t="s">
        <v>13644</v>
      </c>
      <c r="U487" s="26">
        <v>4.3162800719999996</v>
      </c>
      <c r="V487" s="26">
        <v>-73.952867839999996</v>
      </c>
    </row>
    <row r="488" spans="14:22" ht="15" customHeight="1">
      <c r="N488" s="41">
        <v>9512</v>
      </c>
      <c r="O488" s="41" t="s">
        <v>13645</v>
      </c>
      <c r="S488" s="103" t="s">
        <v>11714</v>
      </c>
      <c r="T488" s="103" t="s">
        <v>13646</v>
      </c>
      <c r="U488" s="26">
        <v>4.7439967110000003</v>
      </c>
      <c r="V488" s="26">
        <v>-74.198659919999997</v>
      </c>
    </row>
    <row r="489" spans="14:22" ht="15" customHeight="1">
      <c r="N489" s="42">
        <v>9521</v>
      </c>
      <c r="O489" s="42" t="s">
        <v>13647</v>
      </c>
      <c r="S489" s="103" t="s">
        <v>11714</v>
      </c>
      <c r="T489" s="103" t="s">
        <v>13648</v>
      </c>
      <c r="U489" s="26">
        <v>5.4162889019999998</v>
      </c>
      <c r="V489" s="26">
        <v>-73.770598289999995</v>
      </c>
    </row>
    <row r="490" spans="14:22" ht="15" customHeight="1">
      <c r="N490" s="41">
        <v>9522</v>
      </c>
      <c r="O490" s="41" t="s">
        <v>13649</v>
      </c>
      <c r="S490" s="103" t="s">
        <v>11714</v>
      </c>
      <c r="T490" s="103" t="s">
        <v>13650</v>
      </c>
      <c r="U490" s="26">
        <v>4.3235340280000001</v>
      </c>
      <c r="V490" s="26">
        <v>-74.388591140000003</v>
      </c>
    </row>
    <row r="491" spans="14:22" ht="15" customHeight="1">
      <c r="N491" s="42">
        <v>9523</v>
      </c>
      <c r="O491" s="42" t="s">
        <v>13651</v>
      </c>
      <c r="S491" s="103" t="s">
        <v>11714</v>
      </c>
      <c r="T491" s="103" t="s">
        <v>13652</v>
      </c>
      <c r="U491" s="26">
        <v>4.6549551300000003</v>
      </c>
      <c r="V491" s="26">
        <v>-73.510553810000005</v>
      </c>
    </row>
    <row r="492" spans="14:22" ht="15" customHeight="1">
      <c r="N492" s="41">
        <v>9524</v>
      </c>
      <c r="O492" s="41" t="s">
        <v>13653</v>
      </c>
      <c r="S492" s="103" t="s">
        <v>11714</v>
      </c>
      <c r="T492" s="103" t="s">
        <v>13654</v>
      </c>
      <c r="U492" s="26">
        <v>5.0100195300000001</v>
      </c>
      <c r="V492" s="26">
        <v>-73.876717589999998</v>
      </c>
    </row>
    <row r="493" spans="14:22" ht="15" customHeight="1">
      <c r="N493" s="42">
        <v>9529</v>
      </c>
      <c r="O493" s="42" t="s">
        <v>13655</v>
      </c>
      <c r="S493" s="103" t="s">
        <v>11714</v>
      </c>
      <c r="T493" s="103" t="s">
        <v>13656</v>
      </c>
      <c r="U493" s="26">
        <v>4.8675511340000002</v>
      </c>
      <c r="V493" s="26">
        <v>-73.617732869999998</v>
      </c>
    </row>
    <row r="494" spans="14:22" ht="15" customHeight="1">
      <c r="N494" s="41">
        <v>9601</v>
      </c>
      <c r="O494" s="41" t="s">
        <v>13657</v>
      </c>
      <c r="S494" s="103" t="s">
        <v>11714</v>
      </c>
      <c r="T494" s="103" t="s">
        <v>13658</v>
      </c>
      <c r="U494" s="26">
        <v>4.7235734640000002</v>
      </c>
      <c r="V494" s="26">
        <v>-73.600544409999998</v>
      </c>
    </row>
    <row r="495" spans="14:22" ht="15" customHeight="1">
      <c r="N495" s="42">
        <v>9602</v>
      </c>
      <c r="O495" s="42" t="s">
        <v>13659</v>
      </c>
      <c r="S495" s="103" t="s">
        <v>11714</v>
      </c>
      <c r="T495" s="103" t="s">
        <v>13660</v>
      </c>
      <c r="U495" s="26">
        <v>4.3381545179999996</v>
      </c>
      <c r="V495" s="26">
        <v>-74.811439219999997</v>
      </c>
    </row>
    <row r="496" spans="14:22" ht="15" customHeight="1">
      <c r="N496" s="41">
        <v>9603</v>
      </c>
      <c r="O496" s="41" t="s">
        <v>13661</v>
      </c>
      <c r="S496" s="103" t="s">
        <v>11714</v>
      </c>
      <c r="T496" s="103" t="s">
        <v>12801</v>
      </c>
      <c r="U496" s="26">
        <v>4.5234848840000002</v>
      </c>
      <c r="V496" s="26">
        <v>-74.337246190000002</v>
      </c>
    </row>
    <row r="497" spans="14:22" ht="15" customHeight="1">
      <c r="N497" s="42">
        <v>9609</v>
      </c>
      <c r="O497" s="42" t="s">
        <v>13662</v>
      </c>
      <c r="S497" s="103" t="s">
        <v>11714</v>
      </c>
      <c r="T497" s="103" t="s">
        <v>13663</v>
      </c>
      <c r="U497" s="26">
        <v>5.3872915419999998</v>
      </c>
      <c r="V497" s="26">
        <v>-73.693282339999996</v>
      </c>
    </row>
    <row r="498" spans="14:22" ht="15" customHeight="1">
      <c r="N498" s="41">
        <v>9700</v>
      </c>
      <c r="O498" s="41" t="s">
        <v>13664</v>
      </c>
      <c r="S498" s="103" t="s">
        <v>11714</v>
      </c>
      <c r="T498" s="103" t="s">
        <v>13665</v>
      </c>
      <c r="U498" s="26">
        <v>5.1735547640000004</v>
      </c>
      <c r="V498" s="26">
        <v>-74.640146509999994</v>
      </c>
    </row>
    <row r="499" spans="14:22" ht="15" customHeight="1">
      <c r="N499" s="42">
        <v>9810</v>
      </c>
      <c r="O499" s="42" t="s">
        <v>13666</v>
      </c>
      <c r="S499" s="103" t="s">
        <v>11714</v>
      </c>
      <c r="T499" s="103" t="s">
        <v>13667</v>
      </c>
      <c r="U499" s="26">
        <v>4.8012768320000001</v>
      </c>
      <c r="V499" s="26">
        <v>-73.846434849999994</v>
      </c>
    </row>
    <row r="500" spans="14:22" ht="15" customHeight="1">
      <c r="N500" s="41">
        <v>9820</v>
      </c>
      <c r="O500" s="41" t="s">
        <v>13668</v>
      </c>
      <c r="S500" s="103" t="s">
        <v>11714</v>
      </c>
      <c r="T500" s="103" t="s">
        <v>13669</v>
      </c>
      <c r="U500" s="26">
        <v>4.516381655</v>
      </c>
      <c r="V500" s="26">
        <v>-74.782577880000005</v>
      </c>
    </row>
    <row r="501" spans="14:22" ht="15" customHeight="1">
      <c r="N501" s="42">
        <v>9900</v>
      </c>
      <c r="O501" s="42" t="s">
        <v>13670</v>
      </c>
      <c r="S501" s="103" t="s">
        <v>11714</v>
      </c>
      <c r="T501" s="103" t="s">
        <v>13671</v>
      </c>
      <c r="U501" s="26">
        <v>4.9115871699999998</v>
      </c>
      <c r="V501" s="26">
        <v>-73.786485639999995</v>
      </c>
    </row>
    <row r="502" spans="14:22" ht="15" customHeight="1">
      <c r="N502" s="41" t="s">
        <v>13672</v>
      </c>
      <c r="O502" s="41" t="s">
        <v>13673</v>
      </c>
      <c r="S502" s="103" t="s">
        <v>11714</v>
      </c>
      <c r="T502" s="103" t="s">
        <v>13674</v>
      </c>
      <c r="U502" s="26">
        <v>4.8663102540000001</v>
      </c>
      <c r="V502" s="26">
        <v>-74.476770900000005</v>
      </c>
    </row>
    <row r="503" spans="14:22" ht="15" customHeight="1">
      <c r="N503" s="42">
        <v>10</v>
      </c>
      <c r="O503" s="42" t="s">
        <v>13675</v>
      </c>
      <c r="S503" s="103" t="s">
        <v>11714</v>
      </c>
      <c r="T503" s="103" t="s">
        <v>13676</v>
      </c>
      <c r="U503" s="26">
        <v>4.2318759449999996</v>
      </c>
      <c r="V503" s="26">
        <v>-73.835439809999997</v>
      </c>
    </row>
    <row r="504" spans="14:22" ht="15" customHeight="1">
      <c r="N504" s="41">
        <v>20</v>
      </c>
      <c r="O504" s="41" t="s">
        <v>13677</v>
      </c>
      <c r="S504" s="103" t="s">
        <v>11714</v>
      </c>
      <c r="T504" s="103" t="s">
        <v>13678</v>
      </c>
      <c r="U504" s="26">
        <v>4.1660895629999999</v>
      </c>
      <c r="V504" s="26">
        <v>-74.024652700000004</v>
      </c>
    </row>
    <row r="505" spans="14:22" ht="15" customHeight="1">
      <c r="N505" s="42">
        <v>81</v>
      </c>
      <c r="O505" s="42" t="s">
        <v>13679</v>
      </c>
      <c r="S505" s="103" t="s">
        <v>11714</v>
      </c>
      <c r="T505" s="103" t="s">
        <v>13680</v>
      </c>
      <c r="U505" s="26">
        <v>4.5713502540000004</v>
      </c>
      <c r="V505" s="26">
        <v>-74.689158539999994</v>
      </c>
    </row>
    <row r="506" spans="14:22" ht="15" customHeight="1">
      <c r="N506" s="41">
        <v>82</v>
      </c>
      <c r="O506" s="41" t="s">
        <v>13681</v>
      </c>
      <c r="S506" s="103" t="s">
        <v>11714</v>
      </c>
      <c r="T506" s="103" t="s">
        <v>13682</v>
      </c>
      <c r="U506" s="26">
        <v>4.7051707890000003</v>
      </c>
      <c r="V506" s="26">
        <v>-73.692478730000005</v>
      </c>
    </row>
    <row r="507" spans="14:22" ht="15" customHeight="1">
      <c r="N507" s="43">
        <v>90</v>
      </c>
      <c r="O507" s="43" t="s">
        <v>13683</v>
      </c>
      <c r="S507" s="103" t="s">
        <v>11714</v>
      </c>
      <c r="T507" s="103" t="s">
        <v>13684</v>
      </c>
      <c r="U507" s="26">
        <v>4.700785443</v>
      </c>
      <c r="V507" s="26">
        <v>-73.92939921</v>
      </c>
    </row>
    <row r="508" spans="14:22" ht="15" customHeight="1">
      <c r="N508" s="14"/>
      <c r="O508" s="14"/>
      <c r="S508" s="103" t="s">
        <v>11714</v>
      </c>
      <c r="T508" s="103" t="s">
        <v>13685</v>
      </c>
      <c r="U508" s="26">
        <v>4.6507731669999997</v>
      </c>
      <c r="V508" s="26">
        <v>-74.473217169999998</v>
      </c>
    </row>
    <row r="509" spans="14:22" ht="15" customHeight="1">
      <c r="N509" s="14"/>
      <c r="O509" s="14"/>
      <c r="S509" s="103" t="s">
        <v>11714</v>
      </c>
      <c r="T509" s="103" t="s">
        <v>13686</v>
      </c>
      <c r="U509" s="26">
        <v>5.3334006460000003</v>
      </c>
      <c r="V509" s="26">
        <v>-74.408078630000006</v>
      </c>
    </row>
    <row r="510" spans="14:22" ht="15" customHeight="1">
      <c r="N510" s="14"/>
      <c r="O510" s="14"/>
      <c r="S510" s="103" t="s">
        <v>11714</v>
      </c>
      <c r="T510" s="103" t="s">
        <v>13687</v>
      </c>
      <c r="U510" s="26">
        <v>5.2045988200000002</v>
      </c>
      <c r="V510" s="26">
        <v>-74.407866110000001</v>
      </c>
    </row>
    <row r="511" spans="14:22" ht="15" customHeight="1">
      <c r="N511" s="14"/>
      <c r="O511" s="14"/>
      <c r="S511" s="103" t="s">
        <v>11714</v>
      </c>
      <c r="T511" s="103" t="s">
        <v>13439</v>
      </c>
      <c r="U511" s="26">
        <v>4.9786198419999996</v>
      </c>
      <c r="V511" s="26">
        <v>-74.33936061</v>
      </c>
    </row>
    <row r="512" spans="14:22" ht="15" customHeight="1">
      <c r="N512" s="14"/>
      <c r="O512" s="14"/>
      <c r="S512" s="103" t="s">
        <v>11714</v>
      </c>
      <c r="T512" s="103" t="s">
        <v>13688</v>
      </c>
      <c r="U512" s="26">
        <v>5.3036371710000001</v>
      </c>
      <c r="V512" s="26">
        <v>-73.681532279999999</v>
      </c>
    </row>
    <row r="513" spans="14:22" ht="15" customHeight="1">
      <c r="N513" s="14"/>
      <c r="O513" s="14"/>
      <c r="S513" s="103" t="s">
        <v>11714</v>
      </c>
      <c r="T513" s="103" t="s">
        <v>13689</v>
      </c>
      <c r="U513" s="26">
        <v>5.0403491980000004</v>
      </c>
      <c r="V513" s="26">
        <v>-73.617382410000005</v>
      </c>
    </row>
    <row r="514" spans="14:22" ht="15" customHeight="1">
      <c r="N514" s="14"/>
      <c r="O514" s="14"/>
      <c r="S514" s="103" t="s">
        <v>11714</v>
      </c>
      <c r="T514" s="103" t="s">
        <v>13690</v>
      </c>
      <c r="U514" s="26">
        <v>4.7515675100000001</v>
      </c>
      <c r="V514" s="26">
        <v>-74.289630500000001</v>
      </c>
    </row>
    <row r="515" spans="14:22" ht="15" customHeight="1">
      <c r="N515" s="14"/>
      <c r="O515" s="14"/>
      <c r="S515" s="103" t="s">
        <v>11714</v>
      </c>
      <c r="T515" s="103" t="s">
        <v>13691</v>
      </c>
      <c r="U515" s="26">
        <v>4.9768811509999997</v>
      </c>
      <c r="V515" s="26">
        <v>-73.563137409999996</v>
      </c>
    </row>
    <row r="516" spans="14:22" ht="15" customHeight="1">
      <c r="N516" s="14"/>
      <c r="O516" s="14"/>
      <c r="S516" s="103" t="s">
        <v>11714</v>
      </c>
      <c r="T516" s="103" t="s">
        <v>13692</v>
      </c>
      <c r="U516" s="26">
        <v>4.4844379190000003</v>
      </c>
      <c r="V516" s="26">
        <v>-73.405984869999997</v>
      </c>
    </row>
    <row r="517" spans="14:22" ht="15" customHeight="1">
      <c r="N517" s="14"/>
      <c r="O517" s="14"/>
      <c r="S517" s="103" t="s">
        <v>11714</v>
      </c>
      <c r="T517" s="103" t="s">
        <v>13693</v>
      </c>
      <c r="U517" s="26">
        <v>4.6727142229999998</v>
      </c>
      <c r="V517" s="26">
        <v>-74.235731939999994</v>
      </c>
    </row>
    <row r="518" spans="14:22" ht="15" customHeight="1">
      <c r="N518" s="14"/>
      <c r="O518" s="14"/>
      <c r="S518" s="103" t="s">
        <v>11714</v>
      </c>
      <c r="T518" s="103" t="s">
        <v>12714</v>
      </c>
      <c r="U518" s="26">
        <v>4.4079520150000002</v>
      </c>
      <c r="V518" s="26">
        <v>-74.805653169999999</v>
      </c>
    </row>
    <row r="519" spans="14:22" ht="15" customHeight="1">
      <c r="N519" s="14"/>
      <c r="O519" s="14"/>
      <c r="S519" s="103" t="s">
        <v>11714</v>
      </c>
      <c r="T519" s="103" t="s">
        <v>13694</v>
      </c>
      <c r="U519" s="26">
        <v>5.0937053580000002</v>
      </c>
      <c r="V519" s="26">
        <v>-73.883802380000006</v>
      </c>
    </row>
    <row r="520" spans="14:22" ht="15" customHeight="1">
      <c r="N520" s="14"/>
      <c r="O520" s="14"/>
      <c r="S520" s="103" t="s">
        <v>11714</v>
      </c>
      <c r="T520" s="103" t="s">
        <v>13695</v>
      </c>
      <c r="U520" s="26">
        <v>4.2947809330000002</v>
      </c>
      <c r="V520" s="26">
        <v>-74.614694999999998</v>
      </c>
    </row>
    <row r="521" spans="14:22" ht="15" customHeight="1">
      <c r="N521" s="14"/>
      <c r="O521" s="14"/>
      <c r="S521" s="103" t="s">
        <v>11714</v>
      </c>
      <c r="T521" s="103" t="s">
        <v>13696</v>
      </c>
      <c r="U521" s="26">
        <v>5.1214453249999998</v>
      </c>
      <c r="V521" s="26">
        <v>-74.397370480000006</v>
      </c>
    </row>
    <row r="522" spans="14:22" ht="15" customHeight="1">
      <c r="N522" s="14"/>
      <c r="O522" s="14"/>
      <c r="S522" s="103" t="s">
        <v>11714</v>
      </c>
      <c r="T522" s="103" t="s">
        <v>13697</v>
      </c>
      <c r="U522" s="26">
        <v>5.066110761</v>
      </c>
      <c r="V522" s="26">
        <v>-74.389754760000002</v>
      </c>
    </row>
    <row r="523" spans="14:22" ht="15" customHeight="1">
      <c r="N523" s="14"/>
      <c r="O523" s="14"/>
      <c r="S523" s="103" t="s">
        <v>11714</v>
      </c>
      <c r="T523" s="103" t="s">
        <v>11715</v>
      </c>
      <c r="U523" s="26">
        <v>4.0633420740000004</v>
      </c>
      <c r="V523" s="26">
        <v>-74.452597960000006</v>
      </c>
    </row>
    <row r="524" spans="14:22" ht="15" customHeight="1">
      <c r="N524" s="14"/>
      <c r="O524" s="14"/>
      <c r="S524" s="103" t="s">
        <v>11714</v>
      </c>
      <c r="T524" s="103" t="s">
        <v>13698</v>
      </c>
      <c r="U524" s="26">
        <v>5.168367634</v>
      </c>
      <c r="V524" s="26">
        <v>-74.163365440000007</v>
      </c>
    </row>
    <row r="525" spans="14:22" ht="15" customHeight="1">
      <c r="N525" s="14"/>
      <c r="O525" s="14"/>
      <c r="S525" s="103" t="s">
        <v>11714</v>
      </c>
      <c r="T525" s="103" t="s">
        <v>13699</v>
      </c>
      <c r="U525" s="26">
        <v>5.3876473450000004</v>
      </c>
      <c r="V525" s="26">
        <v>-74.163956959999993</v>
      </c>
    </row>
    <row r="526" spans="14:22" ht="15" customHeight="1">
      <c r="N526" s="14"/>
      <c r="O526" s="14"/>
      <c r="S526" s="103" t="s">
        <v>11714</v>
      </c>
      <c r="T526" s="103" t="s">
        <v>13700</v>
      </c>
      <c r="U526" s="26">
        <v>4.1804972679999999</v>
      </c>
      <c r="V526" s="26">
        <v>-74.471121299999993</v>
      </c>
    </row>
    <row r="527" spans="14:22" ht="15" customHeight="1">
      <c r="N527" s="14"/>
      <c r="O527" s="14"/>
      <c r="S527" s="103" t="s">
        <v>11714</v>
      </c>
      <c r="T527" s="103" t="s">
        <v>13701</v>
      </c>
      <c r="U527" s="26">
        <v>4.3681589589999996</v>
      </c>
      <c r="V527" s="26">
        <v>-73.241661399999998</v>
      </c>
    </row>
    <row r="528" spans="14:22" ht="15" customHeight="1">
      <c r="N528" s="14"/>
      <c r="O528" s="14"/>
      <c r="S528" s="103" t="s">
        <v>11714</v>
      </c>
      <c r="T528" s="103" t="s">
        <v>13702</v>
      </c>
      <c r="U528" s="26">
        <v>4.2937336110000004</v>
      </c>
      <c r="V528" s="26">
        <v>-74.27396924</v>
      </c>
    </row>
    <row r="529" spans="14:22" ht="15" customHeight="1">
      <c r="N529" s="14"/>
      <c r="O529" s="14"/>
      <c r="S529" s="103" t="s">
        <v>11714</v>
      </c>
      <c r="T529" s="103" t="s">
        <v>13703</v>
      </c>
      <c r="U529" s="26">
        <v>5.6197527479999998</v>
      </c>
      <c r="V529" s="26">
        <v>-74.580192299999993</v>
      </c>
    </row>
    <row r="530" spans="14:22" ht="15" customHeight="1">
      <c r="N530" s="14"/>
      <c r="O530" s="14"/>
      <c r="S530" s="103" t="s">
        <v>11714</v>
      </c>
      <c r="T530" s="103" t="s">
        <v>13704</v>
      </c>
      <c r="U530" s="26">
        <v>4.6913362530000002</v>
      </c>
      <c r="V530" s="26">
        <v>-74.680744039999993</v>
      </c>
    </row>
    <row r="531" spans="14:22" ht="15" customHeight="1">
      <c r="N531" s="14"/>
      <c r="O531" s="14"/>
      <c r="S531" s="103" t="s">
        <v>11714</v>
      </c>
      <c r="T531" s="103" t="s">
        <v>13705</v>
      </c>
      <c r="U531" s="26">
        <v>5.0999810300000004</v>
      </c>
      <c r="V531" s="26">
        <v>-74.494510700000006</v>
      </c>
    </row>
    <row r="532" spans="14:22" ht="15" customHeight="1">
      <c r="N532" s="14"/>
      <c r="O532" s="14"/>
      <c r="S532" s="103" t="s">
        <v>11714</v>
      </c>
      <c r="T532" s="103" t="s">
        <v>13706</v>
      </c>
      <c r="U532" s="26">
        <v>4.3345890440000003</v>
      </c>
      <c r="V532" s="26">
        <v>-73.852645609999996</v>
      </c>
    </row>
    <row r="533" spans="14:22" ht="15" customHeight="1">
      <c r="N533" s="14"/>
      <c r="O533" s="14"/>
      <c r="S533" s="103" t="s">
        <v>11714</v>
      </c>
      <c r="T533" s="103" t="s">
        <v>13707</v>
      </c>
      <c r="U533" s="26">
        <v>4.7269079759999997</v>
      </c>
      <c r="V533" s="26">
        <v>-74.553599259999999</v>
      </c>
    </row>
    <row r="534" spans="14:22" ht="15" customHeight="1">
      <c r="N534" s="14"/>
      <c r="O534" s="14"/>
      <c r="S534" s="103" t="s">
        <v>11714</v>
      </c>
      <c r="T534" s="103" t="s">
        <v>13708</v>
      </c>
      <c r="U534" s="26">
        <v>4.5377116190000004</v>
      </c>
      <c r="V534" s="26">
        <v>-74.591246560000002</v>
      </c>
    </row>
    <row r="535" spans="14:22" ht="15" customHeight="1">
      <c r="N535" s="14"/>
      <c r="O535" s="14"/>
      <c r="S535" s="103" t="s">
        <v>11714</v>
      </c>
      <c r="T535" s="103" t="s">
        <v>13709</v>
      </c>
      <c r="U535" s="26">
        <v>4.3073634890000001</v>
      </c>
      <c r="V535" s="26">
        <v>-74.729434029999993</v>
      </c>
    </row>
    <row r="536" spans="14:22" ht="15" customHeight="1">
      <c r="N536" s="14"/>
      <c r="O536" s="14"/>
      <c r="S536" s="103" t="s">
        <v>11714</v>
      </c>
      <c r="T536" s="103" t="s">
        <v>13710</v>
      </c>
      <c r="U536" s="26">
        <v>4.5997413570000001</v>
      </c>
      <c r="V536" s="26">
        <v>-74.344903419999994</v>
      </c>
    </row>
    <row r="537" spans="14:22" ht="15" customHeight="1">
      <c r="N537" s="14"/>
      <c r="O537" s="14"/>
      <c r="S537" s="103" t="s">
        <v>11714</v>
      </c>
      <c r="T537" s="103" t="s">
        <v>13711</v>
      </c>
      <c r="U537" s="26">
        <v>4.1409584639999997</v>
      </c>
      <c r="V537" s="26">
        <v>-74.353976919999994</v>
      </c>
    </row>
    <row r="538" spans="14:22" ht="15" customHeight="1">
      <c r="N538" s="14"/>
      <c r="O538" s="14"/>
      <c r="S538" s="103" t="s">
        <v>11714</v>
      </c>
      <c r="T538" s="103" t="s">
        <v>13712</v>
      </c>
      <c r="U538" s="26">
        <v>5.3146004229999999</v>
      </c>
      <c r="V538" s="26">
        <v>-74.072320770000005</v>
      </c>
    </row>
    <row r="539" spans="14:22" ht="15" customHeight="1">
      <c r="N539" s="14"/>
      <c r="O539" s="14"/>
      <c r="S539" s="103" t="s">
        <v>11714</v>
      </c>
      <c r="T539" s="103" t="s">
        <v>12876</v>
      </c>
      <c r="U539" s="26">
        <v>4.9641007029999997</v>
      </c>
      <c r="V539" s="26">
        <v>-74.272171290000003</v>
      </c>
    </row>
    <row r="540" spans="14:22" ht="15" customHeight="1">
      <c r="N540" s="14"/>
      <c r="O540" s="14"/>
      <c r="S540" s="103" t="s">
        <v>11714</v>
      </c>
      <c r="T540" s="103" t="s">
        <v>13713</v>
      </c>
      <c r="U540" s="26">
        <v>4.814537831</v>
      </c>
      <c r="V540" s="26">
        <v>-74.615259850000001</v>
      </c>
    </row>
    <row r="541" spans="14:22" ht="15" customHeight="1">
      <c r="N541" s="14"/>
      <c r="O541" s="14"/>
      <c r="S541" s="103" t="s">
        <v>11714</v>
      </c>
      <c r="T541" s="103" t="s">
        <v>13714</v>
      </c>
      <c r="U541" s="26">
        <v>4.9468052629999999</v>
      </c>
      <c r="V541" s="26">
        <v>-74.412309210000004</v>
      </c>
    </row>
    <row r="542" spans="14:22" ht="15" customHeight="1">
      <c r="N542" s="14"/>
      <c r="O542" s="14"/>
      <c r="S542" s="103" t="s">
        <v>11714</v>
      </c>
      <c r="T542" s="103" t="s">
        <v>13715</v>
      </c>
      <c r="U542" s="26">
        <v>5.0006338750000001</v>
      </c>
      <c r="V542" s="26">
        <v>-73.772065440000006</v>
      </c>
    </row>
    <row r="543" spans="14:22" ht="15" customHeight="1">
      <c r="N543" s="14"/>
      <c r="O543" s="14"/>
      <c r="S543" s="103" t="s">
        <v>11714</v>
      </c>
      <c r="T543" s="103" t="s">
        <v>13716</v>
      </c>
      <c r="U543" s="26">
        <v>4.4659700039999999</v>
      </c>
      <c r="V543" s="26">
        <v>-74.263289630000003</v>
      </c>
    </row>
    <row r="544" spans="14:22" ht="15" customHeight="1">
      <c r="N544" s="14"/>
      <c r="O544" s="14"/>
      <c r="S544" s="103" t="s">
        <v>11714</v>
      </c>
      <c r="T544" s="103" t="s">
        <v>13717</v>
      </c>
      <c r="U544" s="26">
        <v>4.4369671410000002</v>
      </c>
      <c r="V544" s="26">
        <v>-74.370509029999994</v>
      </c>
    </row>
    <row r="545" spans="14:22" ht="15" customHeight="1">
      <c r="N545" s="14"/>
      <c r="O545" s="14"/>
      <c r="S545" s="103" t="s">
        <v>11714</v>
      </c>
      <c r="T545" s="103" t="s">
        <v>13718</v>
      </c>
      <c r="U545" s="26">
        <v>5.509773128</v>
      </c>
      <c r="V545" s="26">
        <v>-73.845191639999996</v>
      </c>
    </row>
    <row r="546" spans="14:22" ht="15" customHeight="1">
      <c r="N546" s="14"/>
      <c r="O546" s="14"/>
      <c r="S546" s="103" t="s">
        <v>11714</v>
      </c>
      <c r="T546" s="103" t="s">
        <v>11753</v>
      </c>
      <c r="U546" s="26">
        <v>4.5818662669999997</v>
      </c>
      <c r="V546" s="26">
        <v>-74.240296959999995</v>
      </c>
    </row>
    <row r="547" spans="14:22" ht="15" customHeight="1">
      <c r="N547" s="14"/>
      <c r="O547" s="14"/>
      <c r="S547" s="103" t="s">
        <v>11714</v>
      </c>
      <c r="T547" s="103" t="s">
        <v>13719</v>
      </c>
      <c r="U547" s="26">
        <v>4.8880601119999998</v>
      </c>
      <c r="V547" s="26">
        <v>-73.965875280000006</v>
      </c>
    </row>
    <row r="548" spans="14:22" ht="15" customHeight="1">
      <c r="N548" s="14"/>
      <c r="O548" s="14"/>
      <c r="S548" s="103" t="s">
        <v>11714</v>
      </c>
      <c r="T548" s="103" t="s">
        <v>13720</v>
      </c>
      <c r="U548" s="26">
        <v>4.9703580340000002</v>
      </c>
      <c r="V548" s="26">
        <v>-74.156899229999993</v>
      </c>
    </row>
    <row r="549" spans="14:22" ht="15" customHeight="1">
      <c r="N549" s="14"/>
      <c r="O549" s="14"/>
      <c r="S549" s="103" t="s">
        <v>11714</v>
      </c>
      <c r="T549" s="103" t="s">
        <v>13721</v>
      </c>
      <c r="U549" s="26">
        <v>5.1227284610000003</v>
      </c>
      <c r="V549" s="26">
        <v>-73.824273129999995</v>
      </c>
    </row>
    <row r="550" spans="14:22" ht="15" customHeight="1">
      <c r="N550" s="14"/>
      <c r="O550" s="14"/>
      <c r="S550" s="103" t="s">
        <v>11714</v>
      </c>
      <c r="T550" s="103" t="s">
        <v>13722</v>
      </c>
      <c r="U550" s="26">
        <v>5.0616927030000003</v>
      </c>
      <c r="V550" s="26">
        <v>-74.231383280000003</v>
      </c>
    </row>
    <row r="551" spans="14:22" ht="15" customHeight="1">
      <c r="N551" s="14"/>
      <c r="O551" s="14"/>
      <c r="S551" s="103" t="s">
        <v>11714</v>
      </c>
      <c r="T551" s="103" t="s">
        <v>13723</v>
      </c>
      <c r="U551" s="26">
        <v>5.4400923580000002</v>
      </c>
      <c r="V551" s="26">
        <v>-73.823925290000005</v>
      </c>
    </row>
    <row r="552" spans="14:22" ht="15" customHeight="1">
      <c r="N552" s="14"/>
      <c r="O552" s="14"/>
      <c r="S552" s="103" t="s">
        <v>11714</v>
      </c>
      <c r="T552" s="103" t="s">
        <v>13724</v>
      </c>
      <c r="U552" s="26">
        <v>5.2429093470000003</v>
      </c>
      <c r="V552" s="26">
        <v>-73.855403429999996</v>
      </c>
    </row>
    <row r="553" spans="14:22" ht="15" customHeight="1">
      <c r="N553" s="14"/>
      <c r="O553" s="14"/>
      <c r="S553" s="103" t="s">
        <v>11714</v>
      </c>
      <c r="T553" s="103" t="s">
        <v>13725</v>
      </c>
      <c r="U553" s="26">
        <v>4.9515200459999997</v>
      </c>
      <c r="V553" s="26">
        <v>-74.084496479999999</v>
      </c>
    </row>
    <row r="554" spans="14:22" ht="15" customHeight="1">
      <c r="N554" s="14"/>
      <c r="O554" s="14"/>
      <c r="S554" s="103" t="s">
        <v>11714</v>
      </c>
      <c r="T554" s="103" t="s">
        <v>13726</v>
      </c>
      <c r="U554" s="26">
        <v>5.1705272119999997</v>
      </c>
      <c r="V554" s="26">
        <v>-73.958195939999996</v>
      </c>
    </row>
    <row r="555" spans="14:22" ht="15" customHeight="1">
      <c r="N555" s="14"/>
      <c r="O555" s="14"/>
      <c r="S555" s="103" t="s">
        <v>11714</v>
      </c>
      <c r="T555" s="103" t="s">
        <v>13727</v>
      </c>
      <c r="U555" s="26">
        <v>4.666608192</v>
      </c>
      <c r="V555" s="26">
        <v>-74.367649560000004</v>
      </c>
    </row>
    <row r="556" spans="14:22" ht="15" customHeight="1">
      <c r="N556" s="14"/>
      <c r="O556" s="14"/>
      <c r="S556" s="103" t="s">
        <v>11714</v>
      </c>
      <c r="T556" s="103" t="s">
        <v>13728</v>
      </c>
      <c r="U556" s="26">
        <v>4.8385486010000003</v>
      </c>
      <c r="V556" s="26">
        <v>-74.146802870000002</v>
      </c>
    </row>
    <row r="557" spans="14:22" ht="15" customHeight="1">
      <c r="N557" s="14"/>
      <c r="O557" s="14"/>
      <c r="S557" s="103" t="s">
        <v>11714</v>
      </c>
      <c r="T557" s="103" t="s">
        <v>13729</v>
      </c>
      <c r="U557" s="26">
        <v>4.3213578989999997</v>
      </c>
      <c r="V557" s="26">
        <v>-74.486672740000003</v>
      </c>
    </row>
    <row r="558" spans="14:22" ht="15" customHeight="1">
      <c r="N558" s="14"/>
      <c r="O558" s="14"/>
      <c r="S558" s="103" t="s">
        <v>11714</v>
      </c>
      <c r="T558" s="103" t="s">
        <v>13730</v>
      </c>
      <c r="U558" s="26">
        <v>5.0841026820000002</v>
      </c>
      <c r="V558" s="26">
        <v>-73.51362546</v>
      </c>
    </row>
    <row r="559" spans="14:22" ht="15" customHeight="1">
      <c r="N559" s="14"/>
      <c r="O559" s="14"/>
      <c r="S559" s="103" t="s">
        <v>11714</v>
      </c>
      <c r="T559" s="103" t="s">
        <v>13731</v>
      </c>
      <c r="U559" s="26">
        <v>4.452072974</v>
      </c>
      <c r="V559" s="26">
        <v>-74.648644059999995</v>
      </c>
    </row>
    <row r="560" spans="14:22" ht="15" customHeight="1">
      <c r="N560" s="14"/>
      <c r="O560" s="14"/>
      <c r="S560" s="103" t="s">
        <v>11714</v>
      </c>
      <c r="T560" s="103" t="s">
        <v>13732</v>
      </c>
      <c r="U560" s="26">
        <v>4.9688529130000001</v>
      </c>
      <c r="V560" s="26">
        <v>-73.928870209999999</v>
      </c>
    </row>
    <row r="561" spans="14:22" ht="15" customHeight="1">
      <c r="N561" s="14"/>
      <c r="O561" s="14"/>
      <c r="S561" s="103" t="s">
        <v>11714</v>
      </c>
      <c r="T561" s="103" t="s">
        <v>13733</v>
      </c>
      <c r="U561" s="26">
        <v>5.3556883859999997</v>
      </c>
      <c r="V561" s="26">
        <v>-74.289639940000001</v>
      </c>
    </row>
    <row r="562" spans="14:22" ht="15" customHeight="1">
      <c r="N562" s="14"/>
      <c r="O562" s="14"/>
      <c r="S562" s="103" t="s">
        <v>11714</v>
      </c>
      <c r="T562" s="103" t="s">
        <v>13734</v>
      </c>
      <c r="U562" s="26">
        <v>4.8038051819999996</v>
      </c>
      <c r="V562" s="26">
        <v>-73.476546040000002</v>
      </c>
    </row>
    <row r="563" spans="14:22" ht="15" customHeight="1">
      <c r="N563" s="14"/>
      <c r="O563" s="14"/>
      <c r="S563" s="103" t="s">
        <v>11714</v>
      </c>
      <c r="T563" s="103" t="s">
        <v>13735</v>
      </c>
      <c r="U563" s="26">
        <v>4.5007541819999997</v>
      </c>
      <c r="V563" s="26">
        <v>-73.975645450000002</v>
      </c>
    </row>
    <row r="564" spans="14:22" ht="15" customHeight="1">
      <c r="N564" s="14"/>
      <c r="O564" s="14"/>
      <c r="S564" s="103" t="s">
        <v>11714</v>
      </c>
      <c r="T564" s="103" t="s">
        <v>13736</v>
      </c>
      <c r="U564" s="26">
        <v>5.3160806520000001</v>
      </c>
      <c r="V564" s="26">
        <v>-73.820105659999996</v>
      </c>
    </row>
    <row r="565" spans="14:22" ht="15" customHeight="1">
      <c r="N565" s="14"/>
      <c r="O565" s="14"/>
      <c r="S565" s="103" t="s">
        <v>11714</v>
      </c>
      <c r="T565" s="103" t="s">
        <v>13737</v>
      </c>
      <c r="U565" s="26">
        <v>4.2446111630000001</v>
      </c>
      <c r="V565" s="26">
        <v>-74.111873040000006</v>
      </c>
    </row>
    <row r="566" spans="14:22" ht="15" customHeight="1">
      <c r="N566" s="14"/>
      <c r="O566" s="14"/>
      <c r="S566" s="103" t="s">
        <v>11714</v>
      </c>
      <c r="T566" s="103" t="s">
        <v>13738</v>
      </c>
      <c r="U566" s="26">
        <v>5.1927957080000002</v>
      </c>
      <c r="V566" s="26">
        <v>-74.477800029999997</v>
      </c>
    </row>
    <row r="567" spans="14:22" ht="15" customHeight="1">
      <c r="N567" s="14"/>
      <c r="O567" s="14"/>
      <c r="S567" s="103" t="s">
        <v>11714</v>
      </c>
      <c r="T567" s="103" t="s">
        <v>13739</v>
      </c>
      <c r="U567" s="26">
        <v>5.1312675419999998</v>
      </c>
      <c r="V567" s="26">
        <v>-74.309792290000004</v>
      </c>
    </row>
    <row r="568" spans="14:22" ht="15" customHeight="1">
      <c r="N568" s="14"/>
      <c r="O568" s="14"/>
      <c r="S568" s="103" t="s">
        <v>11714</v>
      </c>
      <c r="T568" s="103" t="s">
        <v>13740</v>
      </c>
      <c r="U568" s="26">
        <v>4.9140406189999997</v>
      </c>
      <c r="V568" s="26">
        <v>-74.549366550000002</v>
      </c>
    </row>
    <row r="569" spans="14:22" ht="15" customHeight="1">
      <c r="N569" s="14"/>
      <c r="O569" s="14"/>
      <c r="S569" s="103" t="s">
        <v>11714</v>
      </c>
      <c r="T569" s="103" t="s">
        <v>13741</v>
      </c>
      <c r="U569" s="26">
        <v>5.270694636</v>
      </c>
      <c r="V569" s="26">
        <v>-74.190743749999996</v>
      </c>
    </row>
    <row r="570" spans="14:22" ht="15" customHeight="1">
      <c r="N570" s="14"/>
      <c r="O570" s="14"/>
      <c r="S570" s="103" t="s">
        <v>11714</v>
      </c>
      <c r="T570" s="103" t="s">
        <v>13742</v>
      </c>
      <c r="U570" s="26">
        <v>5.2272987090000003</v>
      </c>
      <c r="V570" s="26">
        <v>-73.577259209999994</v>
      </c>
    </row>
    <row r="571" spans="14:22" ht="15" customHeight="1">
      <c r="N571" s="14"/>
      <c r="O571" s="14"/>
      <c r="S571" s="103" t="s">
        <v>11714</v>
      </c>
      <c r="T571" s="103" t="s">
        <v>13743</v>
      </c>
      <c r="U571" s="26">
        <v>5.011670402</v>
      </c>
      <c r="V571" s="26">
        <v>-74.487647460000005</v>
      </c>
    </row>
    <row r="572" spans="14:22" ht="15" customHeight="1">
      <c r="N572" s="14"/>
      <c r="O572" s="14"/>
      <c r="S572" s="103" t="s">
        <v>11714</v>
      </c>
      <c r="T572" s="103" t="s">
        <v>13744</v>
      </c>
      <c r="U572" s="26">
        <v>4.4360541050000002</v>
      </c>
      <c r="V572" s="26">
        <v>-74.485433389999997</v>
      </c>
    </row>
    <row r="573" spans="14:22" ht="15" customHeight="1">
      <c r="N573" s="14"/>
      <c r="O573" s="14"/>
      <c r="S573" s="103" t="s">
        <v>11714</v>
      </c>
      <c r="T573" s="103" t="s">
        <v>13745</v>
      </c>
      <c r="U573" s="26">
        <v>5.591910157</v>
      </c>
      <c r="V573" s="26">
        <v>-74.364808650000001</v>
      </c>
    </row>
    <row r="574" spans="14:22" ht="15" customHeight="1">
      <c r="N574" s="14"/>
      <c r="O574" s="14"/>
      <c r="S574" s="103" t="s">
        <v>11714</v>
      </c>
      <c r="T574" s="103" t="s">
        <v>13746</v>
      </c>
      <c r="U574" s="26">
        <v>4.75432173</v>
      </c>
      <c r="V574" s="26">
        <v>-74.386734439999998</v>
      </c>
    </row>
    <row r="575" spans="14:22" ht="15" customHeight="1">
      <c r="N575" s="14"/>
      <c r="O575" s="14"/>
      <c r="S575" s="103" t="s">
        <v>11714</v>
      </c>
      <c r="T575" s="103" t="s">
        <v>13747</v>
      </c>
      <c r="U575" s="26">
        <v>5.0663168499999998</v>
      </c>
      <c r="V575" s="26">
        <v>-74.049603230000002</v>
      </c>
    </row>
    <row r="576" spans="14:22" ht="15" customHeight="1">
      <c r="N576" s="14"/>
      <c r="O576" s="14"/>
      <c r="S576" s="103" t="s">
        <v>12693</v>
      </c>
      <c r="T576" s="103" t="s">
        <v>13748</v>
      </c>
      <c r="U576" s="26">
        <v>5.7543229</v>
      </c>
      <c r="V576" s="26">
        <v>-76.650151469999997</v>
      </c>
    </row>
    <row r="577" spans="14:22" ht="15" customHeight="1">
      <c r="N577" s="14"/>
      <c r="O577" s="14"/>
      <c r="S577" s="103" t="s">
        <v>12693</v>
      </c>
      <c r="T577" s="103" t="s">
        <v>13749</v>
      </c>
      <c r="U577" s="26">
        <v>8.3839384989999992</v>
      </c>
      <c r="V577" s="26">
        <v>-77.265602560000005</v>
      </c>
    </row>
    <row r="578" spans="14:22" ht="15" customHeight="1">
      <c r="N578" s="14"/>
      <c r="O578" s="14"/>
      <c r="S578" s="103" t="s">
        <v>12693</v>
      </c>
      <c r="T578" s="103" t="s">
        <v>13750</v>
      </c>
      <c r="U578" s="26">
        <v>5.6367409889999998</v>
      </c>
      <c r="V578" s="26">
        <v>-77.084215400000005</v>
      </c>
    </row>
    <row r="579" spans="14:22" ht="15" customHeight="1">
      <c r="N579" s="14"/>
      <c r="O579" s="14"/>
      <c r="S579" s="103" t="s">
        <v>12693</v>
      </c>
      <c r="T579" s="103" t="s">
        <v>13751</v>
      </c>
      <c r="U579" s="26">
        <v>5.5258250840000001</v>
      </c>
      <c r="V579" s="26">
        <v>-76.65064357</v>
      </c>
    </row>
    <row r="580" spans="14:22" ht="15" customHeight="1">
      <c r="N580" s="14"/>
      <c r="O580" s="14"/>
      <c r="S580" s="103" t="s">
        <v>12693</v>
      </c>
      <c r="T580" s="103" t="s">
        <v>13752</v>
      </c>
      <c r="U580" s="26">
        <v>5.5031197719999998</v>
      </c>
      <c r="V580" s="26">
        <v>-76.197969069999999</v>
      </c>
    </row>
    <row r="581" spans="14:22" ht="15" customHeight="1">
      <c r="N581" s="14"/>
      <c r="O581" s="14"/>
      <c r="S581" s="103" t="s">
        <v>12693</v>
      </c>
      <c r="T581" s="103" t="s">
        <v>13753</v>
      </c>
      <c r="U581" s="26">
        <v>6.162762775</v>
      </c>
      <c r="V581" s="26">
        <v>-77.416535339999996</v>
      </c>
    </row>
    <row r="582" spans="14:22" ht="15" customHeight="1">
      <c r="N582" s="14"/>
      <c r="O582" s="14"/>
      <c r="S582" s="103" t="s">
        <v>12693</v>
      </c>
      <c r="T582" s="103" t="s">
        <v>13754</v>
      </c>
      <c r="U582" s="26">
        <v>4.4928654349999997</v>
      </c>
      <c r="V582" s="26">
        <v>-77.082713519999999</v>
      </c>
    </row>
    <row r="583" spans="14:22" ht="15" customHeight="1">
      <c r="N583" s="14"/>
      <c r="O583" s="14"/>
      <c r="S583" s="103" t="s">
        <v>12693</v>
      </c>
      <c r="T583" s="103" t="s">
        <v>13755</v>
      </c>
      <c r="U583" s="26">
        <v>6.4746668850000004</v>
      </c>
      <c r="V583" s="26">
        <v>-77.099330249999994</v>
      </c>
    </row>
    <row r="584" spans="14:22" ht="15" customHeight="1">
      <c r="N584" s="14"/>
      <c r="O584" s="14"/>
      <c r="S584" s="103" t="s">
        <v>12693</v>
      </c>
      <c r="T584" s="103" t="s">
        <v>13756</v>
      </c>
      <c r="U584" s="26">
        <v>5.3596619670000001</v>
      </c>
      <c r="V584" s="26">
        <v>-76.77255624</v>
      </c>
    </row>
    <row r="585" spans="14:22" ht="15" customHeight="1">
      <c r="N585" s="14"/>
      <c r="O585" s="14"/>
      <c r="S585" s="103" t="s">
        <v>12693</v>
      </c>
      <c r="T585" s="103" t="s">
        <v>13757</v>
      </c>
      <c r="U585" s="26">
        <v>7.0336465410000004</v>
      </c>
      <c r="V585" s="26">
        <v>-76.974230160000005</v>
      </c>
    </row>
    <row r="586" spans="14:22" ht="15" customHeight="1">
      <c r="N586" s="14"/>
      <c r="O586" s="14"/>
      <c r="S586" s="103" t="s">
        <v>12693</v>
      </c>
      <c r="T586" s="103" t="s">
        <v>13758</v>
      </c>
      <c r="U586" s="26">
        <v>5.3898282289999999</v>
      </c>
      <c r="V586" s="26">
        <v>-76.52264237</v>
      </c>
    </row>
    <row r="587" spans="14:22" ht="15" customHeight="1">
      <c r="N587" s="14"/>
      <c r="O587" s="14"/>
      <c r="S587" s="103" t="s">
        <v>12693</v>
      </c>
      <c r="T587" s="103" t="s">
        <v>13759</v>
      </c>
      <c r="U587" s="26">
        <v>5.070586101</v>
      </c>
      <c r="V587" s="26">
        <v>-76.507017509999997</v>
      </c>
    </row>
    <row r="588" spans="14:22" ht="15" customHeight="1">
      <c r="N588" s="14"/>
      <c r="O588" s="14"/>
      <c r="S588" s="103" t="s">
        <v>12693</v>
      </c>
      <c r="T588" s="103" t="s">
        <v>13760</v>
      </c>
      <c r="U588" s="26">
        <v>5.8109383640000001</v>
      </c>
      <c r="V588" s="26">
        <v>-76.191894419999997</v>
      </c>
    </row>
    <row r="589" spans="14:22" ht="15" customHeight="1">
      <c r="N589" s="14"/>
      <c r="O589" s="14"/>
      <c r="S589" s="103" t="s">
        <v>12693</v>
      </c>
      <c r="T589" s="103" t="s">
        <v>13761</v>
      </c>
      <c r="U589" s="26">
        <v>4.272940191</v>
      </c>
      <c r="V589" s="26">
        <v>-76.987858279999998</v>
      </c>
    </row>
    <row r="590" spans="14:22" ht="15" customHeight="1">
      <c r="N590" s="14"/>
      <c r="O590" s="14"/>
      <c r="S590" s="103" t="s">
        <v>12693</v>
      </c>
      <c r="T590" s="103" t="s">
        <v>13762</v>
      </c>
      <c r="U590" s="26">
        <v>4.586818665</v>
      </c>
      <c r="V590" s="26">
        <v>-77.000907369999993</v>
      </c>
    </row>
    <row r="591" spans="14:22" ht="15" customHeight="1">
      <c r="N591" s="14"/>
      <c r="O591" s="14"/>
      <c r="S591" s="103" t="s">
        <v>12693</v>
      </c>
      <c r="T591" s="103" t="s">
        <v>13763</v>
      </c>
      <c r="U591" s="26">
        <v>7.1033388679999998</v>
      </c>
      <c r="V591" s="26">
        <v>-77.67973662</v>
      </c>
    </row>
    <row r="592" spans="14:22" ht="15" customHeight="1">
      <c r="N592" s="14"/>
      <c r="O592" s="14"/>
      <c r="S592" s="103" t="s">
        <v>12693</v>
      </c>
      <c r="T592" s="103" t="s">
        <v>13764</v>
      </c>
      <c r="U592" s="26">
        <v>5.5851011789999996</v>
      </c>
      <c r="V592" s="26">
        <v>-76.385444489999998</v>
      </c>
    </row>
    <row r="593" spans="14:22" ht="15" customHeight="1">
      <c r="N593" s="14"/>
      <c r="O593" s="14"/>
      <c r="S593" s="103" t="s">
        <v>12693</v>
      </c>
      <c r="T593" s="103" t="s">
        <v>13765</v>
      </c>
      <c r="U593" s="26">
        <v>6.033880098</v>
      </c>
      <c r="V593" s="26">
        <v>-76.673469699999998</v>
      </c>
    </row>
    <row r="594" spans="14:22" ht="15" customHeight="1">
      <c r="N594" s="14"/>
      <c r="O594" s="14"/>
      <c r="S594" s="103" t="s">
        <v>12693</v>
      </c>
      <c r="T594" s="103" t="s">
        <v>13766</v>
      </c>
      <c r="U594" s="26">
        <v>5.1103922429999997</v>
      </c>
      <c r="V594" s="26">
        <v>-76.995930749999999</v>
      </c>
    </row>
    <row r="595" spans="14:22" ht="15" customHeight="1">
      <c r="N595" s="14"/>
      <c r="O595" s="14"/>
      <c r="S595" s="103" t="s">
        <v>12693</v>
      </c>
      <c r="T595" s="103" t="s">
        <v>13767</v>
      </c>
      <c r="U595" s="26">
        <v>4.621182739</v>
      </c>
      <c r="V595" s="26">
        <v>-76.808618429999996</v>
      </c>
    </row>
    <row r="596" spans="14:22" ht="15" customHeight="1">
      <c r="N596" s="14"/>
      <c r="O596" s="14"/>
      <c r="S596" s="103" t="s">
        <v>12693</v>
      </c>
      <c r="T596" s="103" t="s">
        <v>13768</v>
      </c>
      <c r="U596" s="26">
        <v>4.8533866269999999</v>
      </c>
      <c r="V596" s="26">
        <v>-76.618236690000003</v>
      </c>
    </row>
    <row r="597" spans="14:22" ht="15" customHeight="1">
      <c r="N597" s="14"/>
      <c r="O597" s="14"/>
      <c r="S597" s="103" t="s">
        <v>12693</v>
      </c>
      <c r="T597" s="103" t="s">
        <v>13769</v>
      </c>
      <c r="U597" s="26">
        <v>5.5913598440000003</v>
      </c>
      <c r="V597" s="26">
        <v>-77.330574389999995</v>
      </c>
    </row>
    <row r="598" spans="14:22" ht="15" customHeight="1">
      <c r="N598" s="14"/>
      <c r="O598" s="14"/>
      <c r="S598" s="103" t="s">
        <v>12693</v>
      </c>
      <c r="T598" s="103" t="s">
        <v>13770</v>
      </c>
      <c r="U598" s="26">
        <v>5.1909950150000004</v>
      </c>
      <c r="V598" s="26">
        <v>-76.419961509999993</v>
      </c>
    </row>
    <row r="599" spans="14:22" ht="15" customHeight="1">
      <c r="N599" s="14"/>
      <c r="O599" s="14"/>
      <c r="S599" s="103" t="s">
        <v>12693</v>
      </c>
      <c r="T599" s="103" t="s">
        <v>13771</v>
      </c>
      <c r="U599" s="26">
        <v>5.5675333370000004</v>
      </c>
      <c r="V599" s="26">
        <v>-76.811570840000002</v>
      </c>
    </row>
    <row r="600" spans="14:22" ht="15" customHeight="1">
      <c r="N600" s="14"/>
      <c r="O600" s="14"/>
      <c r="S600" s="103" t="s">
        <v>12693</v>
      </c>
      <c r="T600" s="103" t="s">
        <v>13360</v>
      </c>
      <c r="U600" s="26">
        <v>7.3898879370000001</v>
      </c>
      <c r="V600" s="26">
        <v>-77.240674830000003</v>
      </c>
    </row>
    <row r="601" spans="14:22" ht="15" customHeight="1">
      <c r="N601" s="14"/>
      <c r="O601" s="14"/>
      <c r="S601" s="103" t="s">
        <v>12693</v>
      </c>
      <c r="T601" s="103" t="s">
        <v>13772</v>
      </c>
      <c r="U601" s="26">
        <v>4.958741345</v>
      </c>
      <c r="V601" s="26">
        <v>-76.280023610000001</v>
      </c>
    </row>
    <row r="602" spans="14:22" ht="15" customHeight="1">
      <c r="N602" s="14"/>
      <c r="O602" s="14"/>
      <c r="S602" s="103" t="s">
        <v>12693</v>
      </c>
      <c r="T602" s="103" t="s">
        <v>13773</v>
      </c>
      <c r="U602" s="26">
        <v>4.5944151570000002</v>
      </c>
      <c r="V602" s="26">
        <v>-76.54194459</v>
      </c>
    </row>
    <row r="603" spans="14:22" ht="15" customHeight="1">
      <c r="N603" s="14"/>
      <c r="O603" s="14"/>
      <c r="S603" s="103" t="s">
        <v>12693</v>
      </c>
      <c r="T603" s="103" t="s">
        <v>13774</v>
      </c>
      <c r="U603" s="26">
        <v>5.2661015799999999</v>
      </c>
      <c r="V603" s="26">
        <v>-76.331095469999994</v>
      </c>
    </row>
    <row r="604" spans="14:22" ht="15" customHeight="1">
      <c r="N604" s="14"/>
      <c r="O604" s="14"/>
      <c r="S604" s="103" t="s">
        <v>12693</v>
      </c>
      <c r="T604" s="103" t="s">
        <v>13775</v>
      </c>
      <c r="U604" s="26">
        <v>8.1172810789999996</v>
      </c>
      <c r="V604" s="26">
        <v>-77.103727230000004</v>
      </c>
    </row>
    <row r="605" spans="14:22" ht="15" customHeight="1">
      <c r="N605" s="14"/>
      <c r="O605" s="14"/>
      <c r="S605" s="103" t="s">
        <v>12693</v>
      </c>
      <c r="T605" s="103" t="s">
        <v>13776</v>
      </c>
      <c r="U605" s="26">
        <v>5.281599258</v>
      </c>
      <c r="V605" s="26">
        <v>-76.619627460000004</v>
      </c>
    </row>
    <row r="606" spans="14:22" ht="15" customHeight="1">
      <c r="N606" s="14"/>
      <c r="O606" s="14"/>
      <c r="S606" s="103" t="s">
        <v>12697</v>
      </c>
      <c r="T606" s="103" t="s">
        <v>13777</v>
      </c>
      <c r="U606" s="26">
        <v>2.9933600459999998</v>
      </c>
      <c r="V606" s="26">
        <v>-75.272362319999999</v>
      </c>
    </row>
    <row r="607" spans="14:22" ht="15" customHeight="1">
      <c r="N607" s="14"/>
      <c r="O607" s="14"/>
      <c r="S607" s="103" t="s">
        <v>12697</v>
      </c>
      <c r="T607" s="103" t="s">
        <v>13778</v>
      </c>
      <c r="U607" s="26">
        <v>1.7091144460000001</v>
      </c>
      <c r="V607" s="26">
        <v>-75.996641839999995</v>
      </c>
    </row>
    <row r="608" spans="14:22" ht="15" customHeight="1">
      <c r="N608" s="14"/>
      <c r="O608" s="14"/>
      <c r="S608" s="103" t="s">
        <v>12697</v>
      </c>
      <c r="T608" s="103" t="s">
        <v>13779</v>
      </c>
      <c r="U608" s="26">
        <v>2.2697504199999998</v>
      </c>
      <c r="V608" s="26">
        <v>-75.716322360000007</v>
      </c>
    </row>
    <row r="609" spans="14:22" ht="15" customHeight="1">
      <c r="N609" s="14"/>
      <c r="O609" s="14"/>
      <c r="S609" s="103" t="s">
        <v>12697</v>
      </c>
      <c r="T609" s="103" t="s">
        <v>13780</v>
      </c>
      <c r="U609" s="26">
        <v>3.2434419229999998</v>
      </c>
      <c r="V609" s="26">
        <v>-75.27670655</v>
      </c>
    </row>
    <row r="610" spans="14:22" ht="15" customHeight="1">
      <c r="N610" s="14"/>
      <c r="O610" s="14"/>
      <c r="S610" s="103" t="s">
        <v>12697</v>
      </c>
      <c r="T610" s="103" t="s">
        <v>13781</v>
      </c>
      <c r="U610" s="26">
        <v>2.49785068</v>
      </c>
      <c r="V610" s="26">
        <v>-75.291349460000006</v>
      </c>
    </row>
    <row r="611" spans="14:22" ht="15" customHeight="1">
      <c r="N611" s="14"/>
      <c r="O611" s="14"/>
      <c r="S611" s="103" t="s">
        <v>12697</v>
      </c>
      <c r="T611" s="103" t="s">
        <v>13782</v>
      </c>
      <c r="U611" s="26">
        <v>2.07922808</v>
      </c>
      <c r="V611" s="26">
        <v>-75.768582879999997</v>
      </c>
    </row>
    <row r="612" spans="14:22" ht="15" customHeight="1">
      <c r="N612" s="14"/>
      <c r="O612" s="14"/>
      <c r="S612" s="103" t="s">
        <v>12697</v>
      </c>
      <c r="T612" s="103" t="s">
        <v>13783</v>
      </c>
      <c r="U612" s="26">
        <v>3.1354236339999999</v>
      </c>
      <c r="V612" s="26">
        <v>-74.957977959999994</v>
      </c>
    </row>
    <row r="613" spans="14:22" ht="15" customHeight="1">
      <c r="N613" s="14"/>
      <c r="O613" s="14"/>
      <c r="S613" s="103" t="s">
        <v>12697</v>
      </c>
      <c r="T613" s="103" t="s">
        <v>13784</v>
      </c>
      <c r="U613" s="26">
        <v>2.6586666750000001</v>
      </c>
      <c r="V613" s="26">
        <v>-75.329438030000006</v>
      </c>
    </row>
    <row r="614" spans="14:22" ht="15" customHeight="1">
      <c r="N614" s="14"/>
      <c r="O614" s="14"/>
      <c r="S614" s="103" t="s">
        <v>12697</v>
      </c>
      <c r="T614" s="103" t="s">
        <v>13785</v>
      </c>
      <c r="U614" s="26">
        <v>3.2627635640000001</v>
      </c>
      <c r="V614" s="26">
        <v>-74.785161169999995</v>
      </c>
    </row>
    <row r="615" spans="14:22" ht="15" customHeight="1">
      <c r="N615" s="14"/>
      <c r="O615" s="14"/>
      <c r="S615" s="103" t="s">
        <v>12697</v>
      </c>
      <c r="T615" s="103" t="s">
        <v>13786</v>
      </c>
      <c r="U615" s="26">
        <v>2.022053305</v>
      </c>
      <c r="V615" s="26">
        <v>-75.944305209999996</v>
      </c>
    </row>
    <row r="616" spans="14:22" ht="15" customHeight="1">
      <c r="N616" s="14"/>
      <c r="O616" s="14"/>
      <c r="S616" s="103" t="s">
        <v>12697</v>
      </c>
      <c r="T616" s="103" t="s">
        <v>13787</v>
      </c>
      <c r="U616" s="26">
        <v>2.1724414959999998</v>
      </c>
      <c r="V616" s="26">
        <v>-75.571312430000006</v>
      </c>
    </row>
    <row r="617" spans="14:22" ht="15" customHeight="1">
      <c r="N617" s="14"/>
      <c r="O617" s="14"/>
      <c r="S617" s="103" t="s">
        <v>12697</v>
      </c>
      <c r="T617" s="103" t="s">
        <v>13788</v>
      </c>
      <c r="U617" s="26">
        <v>2.3717815390000001</v>
      </c>
      <c r="V617" s="26">
        <v>-75.516997540000006</v>
      </c>
    </row>
    <row r="618" spans="14:22" ht="15" customHeight="1">
      <c r="N618" s="14"/>
      <c r="O618" s="14"/>
      <c r="S618" s="103" t="s">
        <v>12697</v>
      </c>
      <c r="T618" s="103" t="s">
        <v>12803</v>
      </c>
      <c r="U618" s="26">
        <v>1.984394016</v>
      </c>
      <c r="V618" s="26">
        <v>-75.696935490000001</v>
      </c>
    </row>
    <row r="619" spans="14:22" ht="15" customHeight="1">
      <c r="N619" s="14"/>
      <c r="O619" s="14"/>
      <c r="S619" s="103" t="s">
        <v>12697</v>
      </c>
      <c r="T619" s="103" t="s">
        <v>13789</v>
      </c>
      <c r="U619" s="26">
        <v>2.5416541609999999</v>
      </c>
      <c r="V619" s="26">
        <v>-75.447810829999995</v>
      </c>
    </row>
    <row r="620" spans="14:22" ht="15" customHeight="1">
      <c r="N620" s="14"/>
      <c r="O620" s="14"/>
      <c r="S620" s="103" t="s">
        <v>12697</v>
      </c>
      <c r="T620" s="103" t="s">
        <v>13790</v>
      </c>
      <c r="U620" s="26">
        <v>2.6915177730000002</v>
      </c>
      <c r="V620" s="26">
        <v>-75.673831410000005</v>
      </c>
    </row>
    <row r="621" spans="14:22" ht="15" customHeight="1">
      <c r="N621" s="14"/>
      <c r="O621" s="14"/>
      <c r="S621" s="103" t="s">
        <v>12697</v>
      </c>
      <c r="T621" s="103" t="s">
        <v>13791</v>
      </c>
      <c r="U621" s="26">
        <v>1.945591321</v>
      </c>
      <c r="V621" s="26">
        <v>-76.182047220000001</v>
      </c>
    </row>
    <row r="622" spans="14:22" ht="15" customHeight="1">
      <c r="N622" s="14"/>
      <c r="O622" s="14"/>
      <c r="S622" s="103" t="s">
        <v>12697</v>
      </c>
      <c r="T622" s="103" t="s">
        <v>13792</v>
      </c>
      <c r="U622" s="26">
        <v>2.156287619</v>
      </c>
      <c r="V622" s="26">
        <v>-76.006794510000006</v>
      </c>
    </row>
    <row r="623" spans="14:22" ht="15" customHeight="1">
      <c r="N623" s="14"/>
      <c r="O623" s="14"/>
      <c r="S623" s="103" t="s">
        <v>12697</v>
      </c>
      <c r="T623" s="103" t="s">
        <v>13793</v>
      </c>
      <c r="U623" s="26">
        <v>2.3280765859999999</v>
      </c>
      <c r="V623" s="26">
        <v>-76.001172990000001</v>
      </c>
    </row>
    <row r="624" spans="14:22" ht="15" customHeight="1">
      <c r="N624" s="14"/>
      <c r="O624" s="14"/>
      <c r="S624" s="103" t="s">
        <v>12697</v>
      </c>
      <c r="T624" s="103" t="s">
        <v>13794</v>
      </c>
      <c r="U624" s="26">
        <v>2.576066285</v>
      </c>
      <c r="V624" s="26">
        <v>-75.786937570000006</v>
      </c>
    </row>
    <row r="625" spans="14:22" ht="15" customHeight="1">
      <c r="N625" s="14"/>
      <c r="O625" s="14"/>
      <c r="S625" s="103" t="s">
        <v>12697</v>
      </c>
      <c r="T625" s="103" t="s">
        <v>13795</v>
      </c>
      <c r="U625" s="26">
        <v>2.0611913620000002</v>
      </c>
      <c r="V625" s="26">
        <v>-76.041102890000005</v>
      </c>
    </row>
    <row r="626" spans="14:22" ht="15" customHeight="1">
      <c r="N626" s="14"/>
      <c r="O626" s="14"/>
      <c r="S626" s="103" t="s">
        <v>12697</v>
      </c>
      <c r="T626" s="103" t="s">
        <v>13796</v>
      </c>
      <c r="U626" s="26">
        <v>2.4068982700000001</v>
      </c>
      <c r="V626" s="26">
        <v>-75.728030270000005</v>
      </c>
    </row>
    <row r="627" spans="14:22" ht="15" customHeight="1">
      <c r="N627" s="14"/>
      <c r="O627" s="14"/>
      <c r="S627" s="103" t="s">
        <v>12697</v>
      </c>
      <c r="T627" s="103" t="s">
        <v>13797</v>
      </c>
      <c r="U627" s="26">
        <v>2.914491967</v>
      </c>
      <c r="V627" s="26">
        <v>-75.440661180000006</v>
      </c>
    </row>
    <row r="628" spans="14:22" ht="15" customHeight="1">
      <c r="N628" s="14"/>
      <c r="O628" s="14"/>
      <c r="S628" s="103" t="s">
        <v>12697</v>
      </c>
      <c r="T628" s="103" t="s">
        <v>13356</v>
      </c>
      <c r="U628" s="26">
        <v>1.68458076</v>
      </c>
      <c r="V628" s="26">
        <v>-76.147855899999996</v>
      </c>
    </row>
    <row r="629" spans="14:22" ht="15" customHeight="1">
      <c r="N629" s="14"/>
      <c r="O629" s="14"/>
      <c r="S629" s="103" t="s">
        <v>12697</v>
      </c>
      <c r="T629" s="103" t="s">
        <v>13798</v>
      </c>
      <c r="U629" s="26">
        <v>2.259601773</v>
      </c>
      <c r="V629" s="26">
        <v>-75.831951599999996</v>
      </c>
    </row>
    <row r="630" spans="14:22" ht="15" customHeight="1">
      <c r="N630" s="14"/>
      <c r="O630" s="14"/>
      <c r="S630" s="103" t="s">
        <v>12697</v>
      </c>
      <c r="T630" s="103" t="s">
        <v>13799</v>
      </c>
      <c r="U630" s="26">
        <v>1.848217185</v>
      </c>
      <c r="V630" s="26">
        <v>-76.052176430000003</v>
      </c>
    </row>
    <row r="631" spans="14:22" ht="15" customHeight="1">
      <c r="N631" s="14"/>
      <c r="O631" s="14"/>
      <c r="S631" s="103" t="s">
        <v>12697</v>
      </c>
      <c r="T631" s="103" t="s">
        <v>13800</v>
      </c>
      <c r="U631" s="26">
        <v>2.7928611499999998</v>
      </c>
      <c r="V631" s="26">
        <v>-75.235368679999993</v>
      </c>
    </row>
    <row r="632" spans="14:22" ht="15" customHeight="1">
      <c r="N632" s="14"/>
      <c r="O632" s="14"/>
      <c r="S632" s="103" t="s">
        <v>12697</v>
      </c>
      <c r="T632" s="103" t="s">
        <v>13801</v>
      </c>
      <c r="U632" s="26">
        <v>2.1003828489999998</v>
      </c>
      <c r="V632" s="26">
        <v>-76.228978710000007</v>
      </c>
    </row>
    <row r="633" spans="14:22" ht="15" customHeight="1">
      <c r="N633" s="14"/>
      <c r="O633" s="14"/>
      <c r="S633" s="103" t="s">
        <v>12697</v>
      </c>
      <c r="T633" s="103" t="s">
        <v>13802</v>
      </c>
      <c r="U633" s="26">
        <v>1.9241654930000001</v>
      </c>
      <c r="V633" s="26">
        <v>-76.416565500000004</v>
      </c>
    </row>
    <row r="634" spans="14:22" ht="15" customHeight="1">
      <c r="N634" s="14"/>
      <c r="O634" s="14"/>
      <c r="S634" s="103" t="s">
        <v>12697</v>
      </c>
      <c r="T634" s="103" t="s">
        <v>13254</v>
      </c>
      <c r="U634" s="26">
        <v>2.9262659370000002</v>
      </c>
      <c r="V634" s="26">
        <v>-75.633597859999995</v>
      </c>
    </row>
    <row r="635" spans="14:22" ht="15" customHeight="1">
      <c r="N635" s="14"/>
      <c r="O635" s="14"/>
      <c r="S635" s="103" t="s">
        <v>12697</v>
      </c>
      <c r="T635" s="103" t="s">
        <v>13803</v>
      </c>
      <c r="U635" s="26">
        <v>1.8709920950000001</v>
      </c>
      <c r="V635" s="26">
        <v>-75.807984709999999</v>
      </c>
    </row>
    <row r="636" spans="14:22" ht="15" customHeight="1">
      <c r="N636" s="14"/>
      <c r="O636" s="14"/>
      <c r="S636" s="103" t="s">
        <v>12697</v>
      </c>
      <c r="T636" s="103" t="s">
        <v>13804</v>
      </c>
      <c r="U636" s="26">
        <v>2.1302805440000001</v>
      </c>
      <c r="V636" s="26">
        <v>-75.875348450000004</v>
      </c>
    </row>
    <row r="637" spans="14:22" ht="15" customHeight="1">
      <c r="N637" s="14"/>
      <c r="O637" s="14"/>
      <c r="S637" s="103" t="s">
        <v>12697</v>
      </c>
      <c r="T637" s="103" t="s">
        <v>13805</v>
      </c>
      <c r="U637" s="26">
        <v>2.5268551320000001</v>
      </c>
      <c r="V637" s="26">
        <v>-75.682596419999996</v>
      </c>
    </row>
    <row r="638" spans="14:22" ht="15" customHeight="1">
      <c r="N638" s="14"/>
      <c r="O638" s="14"/>
      <c r="S638" s="103" t="s">
        <v>12697</v>
      </c>
      <c r="T638" s="103" t="s">
        <v>13806</v>
      </c>
      <c r="U638" s="26">
        <v>3.0306117769999998</v>
      </c>
      <c r="V638" s="26">
        <v>-75.085365530000004</v>
      </c>
    </row>
    <row r="639" spans="14:22" ht="15" customHeight="1">
      <c r="N639" s="14"/>
      <c r="O639" s="14"/>
      <c r="S639" s="103" t="s">
        <v>12697</v>
      </c>
      <c r="T639" s="103" t="s">
        <v>13807</v>
      </c>
      <c r="U639" s="26">
        <v>2.851852692</v>
      </c>
      <c r="V639" s="26">
        <v>-75.759889340000001</v>
      </c>
    </row>
    <row r="640" spans="14:22" ht="15" customHeight="1">
      <c r="N640" s="14"/>
      <c r="O640" s="14"/>
      <c r="S640" s="103" t="s">
        <v>12697</v>
      </c>
      <c r="T640" s="103" t="s">
        <v>13808</v>
      </c>
      <c r="U640" s="26">
        <v>1.950715226</v>
      </c>
      <c r="V640" s="26">
        <v>-75.917576490000002</v>
      </c>
    </row>
    <row r="641" spans="14:22" ht="15" customHeight="1">
      <c r="N641" s="14"/>
      <c r="O641" s="14"/>
      <c r="S641" s="103" t="s">
        <v>12697</v>
      </c>
      <c r="T641" s="103" t="s">
        <v>13809</v>
      </c>
      <c r="U641" s="26">
        <v>3.2870578749999999</v>
      </c>
      <c r="V641" s="26">
        <v>-75.138382919999998</v>
      </c>
    </row>
    <row r="642" spans="14:22" ht="15" customHeight="1">
      <c r="N642" s="14"/>
      <c r="O642" s="14"/>
      <c r="S642" s="103" t="s">
        <v>12697</v>
      </c>
      <c r="T642" s="103" t="s">
        <v>13810</v>
      </c>
      <c r="U642" s="26">
        <v>2.6465633390000001</v>
      </c>
      <c r="V642" s="26">
        <v>-75.515926449999995</v>
      </c>
    </row>
    <row r="643" spans="14:22" ht="15" customHeight="1">
      <c r="N643" s="14"/>
      <c r="O643" s="14"/>
      <c r="S643" s="106" t="s">
        <v>12701</v>
      </c>
      <c r="T643" s="103" t="s">
        <v>13811</v>
      </c>
      <c r="U643" s="26">
        <v>11.242972139999999</v>
      </c>
      <c r="V643" s="26">
        <v>-72.958763149999996</v>
      </c>
    </row>
    <row r="644" spans="14:22" ht="15" customHeight="1">
      <c r="N644" s="14"/>
      <c r="O644" s="14"/>
      <c r="S644" s="103" t="s">
        <v>12701</v>
      </c>
      <c r="T644" s="103" t="s">
        <v>13379</v>
      </c>
      <c r="U644" s="26">
        <v>11.22869049</v>
      </c>
      <c r="V644" s="26">
        <v>-72.532096569999993</v>
      </c>
    </row>
    <row r="645" spans="14:22" ht="15" customHeight="1">
      <c r="N645" s="14"/>
      <c r="O645" s="14"/>
      <c r="S645" s="103" t="s">
        <v>12701</v>
      </c>
      <c r="T645" s="103" t="s">
        <v>13812</v>
      </c>
      <c r="U645" s="26">
        <v>10.948716770000001</v>
      </c>
      <c r="V645" s="26">
        <v>-72.69696879</v>
      </c>
    </row>
    <row r="646" spans="14:22" ht="15" customHeight="1">
      <c r="N646" s="14"/>
      <c r="O646" s="14"/>
      <c r="S646" s="103" t="s">
        <v>12701</v>
      </c>
      <c r="T646" s="103" t="s">
        <v>13813</v>
      </c>
      <c r="U646" s="26">
        <v>11.09029715</v>
      </c>
      <c r="V646" s="26">
        <v>-73.435687880000003</v>
      </c>
    </row>
    <row r="647" spans="14:22" ht="15" customHeight="1">
      <c r="N647" s="14"/>
      <c r="O647" s="14"/>
      <c r="S647" s="103" t="s">
        <v>12701</v>
      </c>
      <c r="T647" s="103" t="s">
        <v>13814</v>
      </c>
      <c r="U647" s="26">
        <v>10.92505107</v>
      </c>
      <c r="V647" s="26">
        <v>-72.944440270000001</v>
      </c>
    </row>
    <row r="648" spans="14:22" ht="15" customHeight="1">
      <c r="N648" s="14"/>
      <c r="O648" s="14"/>
      <c r="S648" s="103" t="s">
        <v>12701</v>
      </c>
      <c r="T648" s="103" t="s">
        <v>13815</v>
      </c>
      <c r="U648" s="26">
        <v>10.63669646</v>
      </c>
      <c r="V648" s="26">
        <v>-72.885843100000002</v>
      </c>
    </row>
    <row r="649" spans="14:22" ht="15" customHeight="1">
      <c r="N649" s="14"/>
      <c r="O649" s="14"/>
      <c r="S649" s="103" t="s">
        <v>12701</v>
      </c>
      <c r="T649" s="103" t="s">
        <v>13816</v>
      </c>
      <c r="U649" s="26">
        <v>10.828371600000001</v>
      </c>
      <c r="V649" s="26">
        <v>-72.801817799999995</v>
      </c>
    </row>
    <row r="650" spans="14:22" ht="15" customHeight="1">
      <c r="N650" s="14"/>
      <c r="O650" s="14"/>
      <c r="S650" s="103" t="s">
        <v>12701</v>
      </c>
      <c r="T650" s="103" t="s">
        <v>13817</v>
      </c>
      <c r="U650" s="26">
        <v>11.09905582</v>
      </c>
      <c r="V650" s="26">
        <v>-72.738424269999996</v>
      </c>
    </row>
    <row r="651" spans="14:22" ht="15" customHeight="1">
      <c r="N651" s="14"/>
      <c r="O651" s="14"/>
      <c r="S651" s="103" t="s">
        <v>12701</v>
      </c>
      <c r="T651" s="103" t="s">
        <v>13818</v>
      </c>
      <c r="U651" s="26">
        <v>10.4580941</v>
      </c>
      <c r="V651" s="26">
        <v>-73.072091929999999</v>
      </c>
    </row>
    <row r="652" spans="14:22" ht="15" customHeight="1">
      <c r="N652" s="14"/>
      <c r="O652" s="14"/>
      <c r="S652" s="103" t="s">
        <v>12701</v>
      </c>
      <c r="T652" s="103" t="s">
        <v>13819</v>
      </c>
      <c r="U652" s="26">
        <v>11.38157764</v>
      </c>
      <c r="V652" s="26">
        <v>-72.295008179999996</v>
      </c>
    </row>
    <row r="653" spans="14:22" ht="15" customHeight="1">
      <c r="N653" s="14"/>
      <c r="O653" s="14"/>
      <c r="S653" s="103" t="s">
        <v>12701</v>
      </c>
      <c r="T653" s="103" t="s">
        <v>13820</v>
      </c>
      <c r="U653" s="26">
        <v>11.60554263</v>
      </c>
      <c r="V653" s="26">
        <v>-72.571603920000001</v>
      </c>
    </row>
    <row r="654" spans="14:22" ht="15" customHeight="1">
      <c r="N654" s="14"/>
      <c r="O654" s="14"/>
      <c r="S654" s="103" t="s">
        <v>12701</v>
      </c>
      <c r="T654" s="103" t="s">
        <v>13821</v>
      </c>
      <c r="U654" s="26">
        <v>10.81311496</v>
      </c>
      <c r="V654" s="26">
        <v>-73.086599860000007</v>
      </c>
    </row>
    <row r="655" spans="14:22" ht="15" customHeight="1">
      <c r="N655" s="14"/>
      <c r="O655" s="14"/>
      <c r="S655" s="103" t="s">
        <v>12701</v>
      </c>
      <c r="T655" s="103" t="s">
        <v>13822</v>
      </c>
      <c r="U655" s="26">
        <v>11.999719860000001</v>
      </c>
      <c r="V655" s="26">
        <v>-71.748826620000003</v>
      </c>
    </row>
    <row r="656" spans="14:22" ht="15" customHeight="1">
      <c r="N656" s="14"/>
      <c r="O656" s="14"/>
      <c r="S656" s="103" t="s">
        <v>12701</v>
      </c>
      <c r="T656" s="103" t="s">
        <v>13823</v>
      </c>
      <c r="U656" s="26">
        <v>10.4947021</v>
      </c>
      <c r="V656" s="26">
        <v>-72.986239909999995</v>
      </c>
    </row>
    <row r="657" spans="14:22" ht="15" customHeight="1">
      <c r="N657" s="14"/>
      <c r="O657" s="14"/>
      <c r="S657" s="103" t="s">
        <v>12701</v>
      </c>
      <c r="T657" s="103" t="s">
        <v>13078</v>
      </c>
      <c r="U657" s="26">
        <v>10.58364755</v>
      </c>
      <c r="V657" s="26">
        <v>-72.975202859999996</v>
      </c>
    </row>
    <row r="658" spans="14:22" ht="15" customHeight="1">
      <c r="N658" s="14"/>
      <c r="O658" s="14"/>
      <c r="S658" s="103" t="s">
        <v>12706</v>
      </c>
      <c r="T658" s="103" t="s">
        <v>13824</v>
      </c>
      <c r="U658" s="26">
        <v>11.121894360000001</v>
      </c>
      <c r="V658" s="26">
        <v>-73.885278549999995</v>
      </c>
    </row>
    <row r="659" spans="14:22" ht="15" customHeight="1">
      <c r="N659" s="14"/>
      <c r="O659" s="14"/>
      <c r="S659" s="103" t="s">
        <v>12706</v>
      </c>
      <c r="T659" s="103" t="s">
        <v>13825</v>
      </c>
      <c r="U659" s="26">
        <v>10.253564750000001</v>
      </c>
      <c r="V659" s="26">
        <v>-74.103230269999997</v>
      </c>
    </row>
    <row r="660" spans="14:22" ht="15" customHeight="1">
      <c r="N660" s="14"/>
      <c r="O660" s="14"/>
      <c r="S660" s="103" t="s">
        <v>12706</v>
      </c>
      <c r="T660" s="103" t="s">
        <v>13826</v>
      </c>
      <c r="U660" s="26">
        <v>10.644908770000001</v>
      </c>
      <c r="V660" s="26">
        <v>-73.879722569999998</v>
      </c>
    </row>
    <row r="661" spans="14:22" ht="15" customHeight="1">
      <c r="N661" s="14"/>
      <c r="O661" s="14"/>
      <c r="S661" s="103" t="s">
        <v>12706</v>
      </c>
      <c r="T661" s="103" t="s">
        <v>13827</v>
      </c>
      <c r="U661" s="26">
        <v>9.8342649550000001</v>
      </c>
      <c r="V661" s="26">
        <v>-74.084600850000001</v>
      </c>
    </row>
    <row r="662" spans="14:22" ht="15" customHeight="1">
      <c r="N662" s="14"/>
      <c r="O662" s="14"/>
      <c r="S662" s="103" t="s">
        <v>12706</v>
      </c>
      <c r="T662" s="103" t="s">
        <v>13828</v>
      </c>
      <c r="U662" s="26">
        <v>10.3132933</v>
      </c>
      <c r="V662" s="26">
        <v>-74.808344129999995</v>
      </c>
    </row>
    <row r="663" spans="14:22" ht="15" customHeight="1">
      <c r="N663" s="14"/>
      <c r="O663" s="14"/>
      <c r="S663" s="103" t="s">
        <v>12706</v>
      </c>
      <c r="T663" s="103" t="s">
        <v>13829</v>
      </c>
      <c r="U663" s="26">
        <v>10.09951961</v>
      </c>
      <c r="V663" s="26">
        <v>-74.526066670000006</v>
      </c>
    </row>
    <row r="664" spans="14:22" ht="15" customHeight="1">
      <c r="N664" s="14"/>
      <c r="O664" s="14"/>
      <c r="S664" s="103" t="s">
        <v>12706</v>
      </c>
      <c r="T664" s="103" t="s">
        <v>13830</v>
      </c>
      <c r="U664" s="26">
        <v>10.85754552</v>
      </c>
      <c r="V664" s="26">
        <v>-74.025004929999994</v>
      </c>
    </row>
    <row r="665" spans="14:22" ht="15" customHeight="1">
      <c r="N665" s="14"/>
      <c r="O665" s="14"/>
      <c r="S665" s="103" t="s">
        <v>12706</v>
      </c>
      <c r="T665" s="103" t="s">
        <v>12775</v>
      </c>
      <c r="U665" s="26">
        <v>10.23284801</v>
      </c>
      <c r="V665" s="26">
        <v>-74.778101750000005</v>
      </c>
    </row>
    <row r="666" spans="14:22" ht="15" customHeight="1">
      <c r="N666" s="14"/>
      <c r="O666" s="14"/>
      <c r="S666" s="103" t="s">
        <v>12706</v>
      </c>
      <c r="T666" s="103" t="s">
        <v>13831</v>
      </c>
      <c r="U666" s="26">
        <v>9.1149306350000003</v>
      </c>
      <c r="V666" s="26">
        <v>-73.981054909999997</v>
      </c>
    </row>
    <row r="667" spans="14:22" ht="15" customHeight="1">
      <c r="N667" s="14"/>
      <c r="O667" s="14"/>
      <c r="S667" s="103" t="s">
        <v>12706</v>
      </c>
      <c r="T667" s="103" t="s">
        <v>13832</v>
      </c>
      <c r="U667" s="26">
        <v>10.34310988</v>
      </c>
      <c r="V667" s="26">
        <v>-74.678177559999995</v>
      </c>
    </row>
    <row r="668" spans="14:22" ht="15" customHeight="1">
      <c r="N668" s="14"/>
      <c r="O668" s="14"/>
      <c r="S668" s="103" t="s">
        <v>12706</v>
      </c>
      <c r="T668" s="103" t="s">
        <v>13833</v>
      </c>
      <c r="U668" s="26">
        <v>10.659616959999999</v>
      </c>
      <c r="V668" s="26">
        <v>-74.3251597</v>
      </c>
    </row>
    <row r="669" spans="14:22" ht="15" customHeight="1">
      <c r="N669" s="14"/>
      <c r="O669" s="14"/>
      <c r="S669" s="103" t="s">
        <v>12706</v>
      </c>
      <c r="T669" s="103" t="s">
        <v>13834</v>
      </c>
      <c r="U669" s="26">
        <v>10.45937818</v>
      </c>
      <c r="V669" s="26">
        <v>-73.884065179999993</v>
      </c>
    </row>
    <row r="670" spans="14:22" ht="15" customHeight="1">
      <c r="N670" s="14"/>
      <c r="O670" s="14"/>
      <c r="S670" s="103" t="s">
        <v>12706</v>
      </c>
      <c r="T670" s="103" t="s">
        <v>13835</v>
      </c>
      <c r="U670" s="26">
        <v>9.2480046730000005</v>
      </c>
      <c r="V670" s="26">
        <v>-74.139680850000005</v>
      </c>
    </row>
    <row r="671" spans="14:22" ht="15" customHeight="1">
      <c r="N671" s="14"/>
      <c r="O671" s="14"/>
      <c r="S671" s="103" t="s">
        <v>12706</v>
      </c>
      <c r="T671" s="103" t="s">
        <v>13836</v>
      </c>
      <c r="U671" s="26">
        <v>9.7359981340000008</v>
      </c>
      <c r="V671" s="26">
        <v>-74.328402220000001</v>
      </c>
    </row>
    <row r="672" spans="14:22" ht="15" customHeight="1">
      <c r="N672" s="14"/>
      <c r="O672" s="14"/>
      <c r="S672" s="103" t="s">
        <v>12706</v>
      </c>
      <c r="T672" s="103" t="s">
        <v>13837</v>
      </c>
      <c r="U672" s="26">
        <v>10.15429546</v>
      </c>
      <c r="V672" s="26">
        <v>-74.831780910000006</v>
      </c>
    </row>
    <row r="673" spans="14:22" ht="15" customHeight="1">
      <c r="N673" s="14"/>
      <c r="O673" s="14"/>
      <c r="S673" s="103" t="s">
        <v>12706</v>
      </c>
      <c r="T673" s="103" t="s">
        <v>13838</v>
      </c>
      <c r="U673" s="26">
        <v>9.5307486539999999</v>
      </c>
      <c r="V673" s="26">
        <v>-74.144765699999994</v>
      </c>
    </row>
    <row r="674" spans="14:22" ht="15" customHeight="1">
      <c r="N674" s="14"/>
      <c r="O674" s="14"/>
      <c r="S674" s="103" t="s">
        <v>12706</v>
      </c>
      <c r="T674" s="103" t="s">
        <v>13839</v>
      </c>
      <c r="U674" s="26">
        <v>10.43303399</v>
      </c>
      <c r="V674" s="26">
        <v>-74.412511969999997</v>
      </c>
    </row>
    <row r="675" spans="14:22" ht="15" customHeight="1">
      <c r="N675" s="14"/>
      <c r="O675" s="14"/>
      <c r="S675" s="103" t="s">
        <v>12706</v>
      </c>
      <c r="T675" s="103" t="s">
        <v>13840</v>
      </c>
      <c r="U675" s="26">
        <v>9.7694561100000001</v>
      </c>
      <c r="V675" s="26">
        <v>-74.601815759999994</v>
      </c>
    </row>
    <row r="676" spans="14:22" ht="15" customHeight="1">
      <c r="N676" s="14"/>
      <c r="O676" s="14"/>
      <c r="S676" s="103" t="s">
        <v>12706</v>
      </c>
      <c r="T676" s="103" t="s">
        <v>13841</v>
      </c>
      <c r="U676" s="26">
        <v>10.84758901</v>
      </c>
      <c r="V676" s="26">
        <v>-74.360579419999993</v>
      </c>
    </row>
    <row r="677" spans="14:22" ht="15" customHeight="1">
      <c r="N677" s="14"/>
      <c r="O677" s="14"/>
      <c r="S677" s="103" t="s">
        <v>12706</v>
      </c>
      <c r="T677" s="103" t="s">
        <v>13842</v>
      </c>
      <c r="U677" s="26">
        <v>10.648603509999999</v>
      </c>
      <c r="V677" s="26">
        <v>-74.58106823</v>
      </c>
    </row>
    <row r="678" spans="14:22" ht="15" customHeight="1">
      <c r="N678" s="14"/>
      <c r="O678" s="14"/>
      <c r="S678" s="103" t="s">
        <v>12706</v>
      </c>
      <c r="T678" s="103" t="s">
        <v>13843</v>
      </c>
      <c r="U678" s="26">
        <v>10.10533028</v>
      </c>
      <c r="V678" s="26">
        <v>-74.264439199999998</v>
      </c>
    </row>
    <row r="679" spans="14:22" ht="15" customHeight="1">
      <c r="N679" s="14"/>
      <c r="O679" s="14"/>
      <c r="S679" s="103" t="s">
        <v>12706</v>
      </c>
      <c r="T679" s="103" t="s">
        <v>13363</v>
      </c>
      <c r="U679" s="26">
        <v>10.51538178</v>
      </c>
      <c r="V679" s="26">
        <v>-74.722969719999995</v>
      </c>
    </row>
    <row r="680" spans="14:22" ht="15" customHeight="1">
      <c r="N680" s="14"/>
      <c r="O680" s="14"/>
      <c r="S680" s="103" t="s">
        <v>12706</v>
      </c>
      <c r="T680" s="103" t="s">
        <v>13844</v>
      </c>
      <c r="U680" s="26">
        <v>9.3806802719999993</v>
      </c>
      <c r="V680" s="26">
        <v>-74.197979880000005</v>
      </c>
    </row>
    <row r="681" spans="14:22" ht="15" customHeight="1">
      <c r="N681" s="14"/>
      <c r="O681" s="14"/>
      <c r="S681" s="103" t="s">
        <v>12706</v>
      </c>
      <c r="T681" s="103" t="s">
        <v>13845</v>
      </c>
      <c r="U681" s="26">
        <v>9.3068695479999999</v>
      </c>
      <c r="V681" s="26">
        <v>-74.358516440000002</v>
      </c>
    </row>
    <row r="682" spans="14:22" ht="15" customHeight="1">
      <c r="N682" s="14"/>
      <c r="O682" s="14"/>
      <c r="S682" s="103" t="s">
        <v>12706</v>
      </c>
      <c r="T682" s="103" t="s">
        <v>13846</v>
      </c>
      <c r="U682" s="26">
        <v>9.5030972150000004</v>
      </c>
      <c r="V682" s="26">
        <v>-74.444193810000002</v>
      </c>
    </row>
    <row r="683" spans="14:22" ht="15" customHeight="1">
      <c r="N683" s="14"/>
      <c r="O683" s="14"/>
      <c r="S683" s="103" t="s">
        <v>12706</v>
      </c>
      <c r="T683" s="103" t="s">
        <v>13847</v>
      </c>
      <c r="U683" s="26">
        <v>9.4843881349999997</v>
      </c>
      <c r="V683" s="26">
        <v>-74.665211780000007</v>
      </c>
    </row>
    <row r="684" spans="14:22" ht="15" customHeight="1">
      <c r="N684" s="14"/>
      <c r="O684" s="14"/>
      <c r="S684" s="103" t="s">
        <v>12706</v>
      </c>
      <c r="T684" s="103" t="s">
        <v>13848</v>
      </c>
      <c r="U684" s="26">
        <v>10.890276160000001</v>
      </c>
      <c r="V684" s="26">
        <v>-74.629660380000004</v>
      </c>
    </row>
    <row r="685" spans="14:22" ht="15" customHeight="1">
      <c r="N685" s="14"/>
      <c r="O685" s="14"/>
      <c r="S685" s="103" t="s">
        <v>12706</v>
      </c>
      <c r="T685" s="103" t="s">
        <v>13849</v>
      </c>
      <c r="U685" s="26">
        <v>9.9247012669999997</v>
      </c>
      <c r="V685" s="26">
        <v>-74.732630009999994</v>
      </c>
    </row>
    <row r="686" spans="14:22" ht="15" customHeight="1">
      <c r="N686" s="14"/>
      <c r="O686" s="14"/>
      <c r="S686" s="103" t="s">
        <v>12706</v>
      </c>
      <c r="T686" s="103" t="s">
        <v>13850</v>
      </c>
      <c r="U686" s="26">
        <v>10.117798929999999</v>
      </c>
      <c r="V686" s="26">
        <v>-74.691154560000001</v>
      </c>
    </row>
    <row r="687" spans="14:22" ht="15" customHeight="1">
      <c r="N687" s="14"/>
      <c r="O687" s="14"/>
      <c r="S687" s="103" t="s">
        <v>12706</v>
      </c>
      <c r="T687" s="103" t="s">
        <v>13851</v>
      </c>
      <c r="U687" s="26">
        <v>10.79634658</v>
      </c>
      <c r="V687" s="26">
        <v>-74.177983170000005</v>
      </c>
    </row>
    <row r="688" spans="14:22" ht="15" customHeight="1">
      <c r="N688" s="14"/>
      <c r="O688" s="14"/>
      <c r="S688" s="103" t="s">
        <v>12710</v>
      </c>
      <c r="T688" s="103" t="s">
        <v>13852</v>
      </c>
      <c r="U688" s="26">
        <v>4.0916687700000001</v>
      </c>
      <c r="V688" s="26">
        <v>-73.492915949999997</v>
      </c>
    </row>
    <row r="689" spans="14:22" ht="15" customHeight="1">
      <c r="N689" s="14"/>
      <c r="O689" s="14"/>
      <c r="S689" s="103" t="s">
        <v>12710</v>
      </c>
      <c r="T689" s="103" t="s">
        <v>13853</v>
      </c>
      <c r="U689" s="26">
        <v>3.9433830080000001</v>
      </c>
      <c r="V689" s="26">
        <v>-73.571351620000002</v>
      </c>
    </row>
    <row r="690" spans="14:22" ht="15" customHeight="1">
      <c r="N690" s="14"/>
      <c r="O690" s="14"/>
      <c r="S690" s="103" t="s">
        <v>12710</v>
      </c>
      <c r="T690" s="103" t="s">
        <v>13854</v>
      </c>
      <c r="U690" s="26">
        <v>4.5190761269999999</v>
      </c>
      <c r="V690" s="26">
        <v>-72.995489809999995</v>
      </c>
    </row>
    <row r="691" spans="14:22" ht="15" customHeight="1">
      <c r="N691" s="14"/>
      <c r="O691" s="14"/>
      <c r="S691" s="103" t="s">
        <v>12710</v>
      </c>
      <c r="T691" s="103" t="s">
        <v>13855</v>
      </c>
      <c r="U691" s="26">
        <v>4.3152447589999996</v>
      </c>
      <c r="V691" s="26">
        <v>-72.952688960000003</v>
      </c>
    </row>
    <row r="692" spans="14:22" ht="15" customHeight="1">
      <c r="N692" s="14"/>
      <c r="O692" s="14"/>
      <c r="S692" s="103" t="s">
        <v>12710</v>
      </c>
      <c r="T692" s="103" t="s">
        <v>13856</v>
      </c>
      <c r="U692" s="26">
        <v>3.8051540890000002</v>
      </c>
      <c r="V692" s="26">
        <v>-73.538866679999998</v>
      </c>
    </row>
    <row r="693" spans="14:22" ht="15" customHeight="1">
      <c r="N693" s="14"/>
      <c r="O693" s="14"/>
      <c r="S693" s="103" t="s">
        <v>12710</v>
      </c>
      <c r="T693" s="103" t="s">
        <v>13857</v>
      </c>
      <c r="U693" s="26">
        <v>3.834631516</v>
      </c>
      <c r="V693" s="26">
        <v>-74.062324939999996</v>
      </c>
    </row>
    <row r="694" spans="14:22" ht="15" customHeight="1">
      <c r="N694" s="14"/>
      <c r="O694" s="14"/>
      <c r="S694" s="103" t="s">
        <v>12710</v>
      </c>
      <c r="T694" s="103" t="s">
        <v>13858</v>
      </c>
      <c r="U694" s="26">
        <v>4.2325263890000002</v>
      </c>
      <c r="V694" s="26">
        <v>-73.314775389999994</v>
      </c>
    </row>
    <row r="695" spans="14:22" ht="15" customHeight="1">
      <c r="N695" s="14"/>
      <c r="O695" s="14"/>
      <c r="S695" s="103" t="s">
        <v>12710</v>
      </c>
      <c r="T695" s="103" t="s">
        <v>13859</v>
      </c>
      <c r="U695" s="26">
        <v>4.3537698880000004</v>
      </c>
      <c r="V695" s="26">
        <v>-73.714416839999998</v>
      </c>
    </row>
    <row r="696" spans="14:22" ht="15" customHeight="1">
      <c r="N696" s="14"/>
      <c r="O696" s="14"/>
      <c r="S696" s="103" t="s">
        <v>12710</v>
      </c>
      <c r="T696" s="103" t="s">
        <v>13860</v>
      </c>
      <c r="U696" s="26">
        <v>3.6028263300000001</v>
      </c>
      <c r="V696" s="26">
        <v>-73.894452380000004</v>
      </c>
    </row>
    <row r="697" spans="14:22" ht="15" customHeight="1">
      <c r="N697" s="14"/>
      <c r="O697" s="14"/>
      <c r="S697" s="103" t="s">
        <v>12710</v>
      </c>
      <c r="T697" s="103" t="s">
        <v>13861</v>
      </c>
      <c r="U697" s="26">
        <v>3.7069697850000001</v>
      </c>
      <c r="V697" s="26">
        <v>-73.831618919999997</v>
      </c>
    </row>
    <row r="698" spans="14:22" ht="15" customHeight="1">
      <c r="N698" s="14"/>
      <c r="O698" s="14"/>
      <c r="S698" s="103" t="s">
        <v>12710</v>
      </c>
      <c r="T698" s="103" t="s">
        <v>13862</v>
      </c>
      <c r="U698" s="26">
        <v>3.3823701239999999</v>
      </c>
      <c r="V698" s="26">
        <v>-73.596254290000005</v>
      </c>
    </row>
    <row r="699" spans="14:22" ht="15" customHeight="1">
      <c r="N699" s="14"/>
      <c r="O699" s="14"/>
      <c r="S699" s="103" t="s">
        <v>12710</v>
      </c>
      <c r="T699" s="103" t="s">
        <v>12801</v>
      </c>
      <c r="U699" s="26">
        <v>3.441051399</v>
      </c>
      <c r="V699" s="26">
        <v>-73.761154700000006</v>
      </c>
    </row>
    <row r="700" spans="14:22" ht="15" customHeight="1">
      <c r="N700" s="14"/>
      <c r="O700" s="14"/>
      <c r="S700" s="103" t="s">
        <v>12710</v>
      </c>
      <c r="T700" s="103" t="s">
        <v>13835</v>
      </c>
      <c r="U700" s="26">
        <v>3.947775585</v>
      </c>
      <c r="V700" s="26">
        <v>-73.959838640000001</v>
      </c>
    </row>
    <row r="701" spans="14:22" ht="15" customHeight="1">
      <c r="N701" s="14"/>
      <c r="O701" s="14"/>
      <c r="S701" s="103" t="s">
        <v>12710</v>
      </c>
      <c r="T701" s="103" t="s">
        <v>13863</v>
      </c>
      <c r="U701" s="26">
        <v>3.1175233609999999</v>
      </c>
      <c r="V701" s="26">
        <v>-71.938056919999994</v>
      </c>
    </row>
    <row r="702" spans="14:22" ht="15" customHeight="1">
      <c r="N702" s="14"/>
      <c r="O702" s="14"/>
      <c r="S702" s="103" t="s">
        <v>12710</v>
      </c>
      <c r="T702" s="103" t="s">
        <v>13864</v>
      </c>
      <c r="U702" s="26">
        <v>3.154771201</v>
      </c>
      <c r="V702" s="26">
        <v>-74.124548239999996</v>
      </c>
    </row>
    <row r="703" spans="14:22" ht="15" customHeight="1">
      <c r="N703" s="14"/>
      <c r="O703" s="14"/>
      <c r="S703" s="103" t="s">
        <v>12710</v>
      </c>
      <c r="T703" s="103" t="s">
        <v>13865</v>
      </c>
      <c r="U703" s="26">
        <v>2.1618639169999998</v>
      </c>
      <c r="V703" s="26">
        <v>-74.094880759999995</v>
      </c>
    </row>
    <row r="704" spans="14:22" ht="15" customHeight="1">
      <c r="N704" s="14"/>
      <c r="O704" s="14"/>
      <c r="S704" s="103" t="s">
        <v>12710</v>
      </c>
      <c r="T704" s="103" t="s">
        <v>13866</v>
      </c>
      <c r="U704" s="26">
        <v>3.0477268579999999</v>
      </c>
      <c r="V704" s="26">
        <v>-74.43066134</v>
      </c>
    </row>
    <row r="705" spans="14:22" ht="15" customHeight="1">
      <c r="N705" s="14"/>
      <c r="O705" s="14"/>
      <c r="S705" s="103" t="s">
        <v>12710</v>
      </c>
      <c r="T705" s="103" t="s">
        <v>13867</v>
      </c>
      <c r="U705" s="26">
        <v>3.6147148730000001</v>
      </c>
      <c r="V705" s="26">
        <v>-74.096284670000003</v>
      </c>
    </row>
    <row r="706" spans="14:22" ht="15" customHeight="1">
      <c r="N706" s="14"/>
      <c r="O706" s="14"/>
      <c r="S706" s="103" t="s">
        <v>12710</v>
      </c>
      <c r="T706" s="103" t="s">
        <v>13868</v>
      </c>
      <c r="U706" s="26">
        <v>2.7522601120000001</v>
      </c>
      <c r="V706" s="26">
        <v>-72.721094100000002</v>
      </c>
    </row>
    <row r="707" spans="14:22" ht="15" customHeight="1">
      <c r="N707" s="14"/>
      <c r="O707" s="14"/>
      <c r="S707" s="103" t="s">
        <v>12710</v>
      </c>
      <c r="T707" s="103" t="s">
        <v>13869</v>
      </c>
      <c r="U707" s="26">
        <v>4.0050344669999998</v>
      </c>
      <c r="V707" s="26">
        <v>-71.631574290000003</v>
      </c>
    </row>
    <row r="708" spans="14:22" ht="15" customHeight="1">
      <c r="N708" s="14"/>
      <c r="O708" s="14"/>
      <c r="S708" s="103" t="s">
        <v>12710</v>
      </c>
      <c r="T708" s="103" t="s">
        <v>13870</v>
      </c>
      <c r="U708" s="26">
        <v>4.014298921</v>
      </c>
      <c r="V708" s="26">
        <v>-72.645704989999999</v>
      </c>
    </row>
    <row r="709" spans="14:22" ht="15" customHeight="1">
      <c r="N709" s="14"/>
      <c r="O709" s="14"/>
      <c r="S709" s="103" t="s">
        <v>12710</v>
      </c>
      <c r="T709" s="103" t="s">
        <v>13871</v>
      </c>
      <c r="U709" s="26">
        <v>3.1930929250000002</v>
      </c>
      <c r="V709" s="26">
        <v>-73.236714359999993</v>
      </c>
    </row>
    <row r="710" spans="14:22" ht="15" customHeight="1">
      <c r="N710" s="14"/>
      <c r="O710" s="14"/>
      <c r="S710" s="103" t="s">
        <v>12710</v>
      </c>
      <c r="T710" s="103" t="s">
        <v>13397</v>
      </c>
      <c r="U710" s="26">
        <v>2.7580836569999998</v>
      </c>
      <c r="V710" s="26">
        <v>-73.137801710000005</v>
      </c>
    </row>
    <row r="711" spans="14:22" ht="15" customHeight="1">
      <c r="N711" s="14"/>
      <c r="O711" s="14"/>
      <c r="S711" s="103" t="s">
        <v>12710</v>
      </c>
      <c r="T711" s="103" t="s">
        <v>13872</v>
      </c>
      <c r="U711" s="26">
        <v>4.2043109769999996</v>
      </c>
      <c r="V711" s="26">
        <v>-73.502260370000002</v>
      </c>
    </row>
    <row r="712" spans="14:22" ht="15" customHeight="1">
      <c r="N712" s="14"/>
      <c r="O712" s="14"/>
      <c r="S712" s="103" t="s">
        <v>12710</v>
      </c>
      <c r="T712" s="103" t="s">
        <v>13873</v>
      </c>
      <c r="U712" s="26">
        <v>3.8476167800000001</v>
      </c>
      <c r="V712" s="26">
        <v>-73.275834009999997</v>
      </c>
    </row>
    <row r="713" spans="14:22" ht="15" customHeight="1">
      <c r="N713" s="14"/>
      <c r="O713" s="14"/>
      <c r="S713" s="103" t="s">
        <v>12710</v>
      </c>
      <c r="T713" s="103" t="s">
        <v>13874</v>
      </c>
      <c r="U713" s="26">
        <v>3.289851171</v>
      </c>
      <c r="V713" s="26">
        <v>-73.816352429999995</v>
      </c>
    </row>
    <row r="714" spans="14:22" ht="15" customHeight="1">
      <c r="N714" s="14"/>
      <c r="O714" s="14"/>
      <c r="S714" s="103" t="s">
        <v>12710</v>
      </c>
      <c r="T714" s="103" t="s">
        <v>13875</v>
      </c>
      <c r="U714" s="26">
        <v>4.4713463219999996</v>
      </c>
      <c r="V714" s="26">
        <v>-73.660413550000001</v>
      </c>
    </row>
    <row r="715" spans="14:22" ht="15" customHeight="1">
      <c r="N715" s="14"/>
      <c r="O715" s="14"/>
      <c r="S715" s="103" t="s">
        <v>12710</v>
      </c>
      <c r="T715" s="103" t="s">
        <v>13531</v>
      </c>
      <c r="U715" s="26">
        <v>3.5158609620000001</v>
      </c>
      <c r="V715" s="26">
        <v>-72.656727419999996</v>
      </c>
    </row>
    <row r="716" spans="14:22" ht="15" customHeight="1">
      <c r="N716" s="14"/>
      <c r="O716" s="14"/>
      <c r="S716" s="103" t="s">
        <v>12710</v>
      </c>
      <c r="T716" s="103" t="s">
        <v>13876</v>
      </c>
      <c r="U716" s="26">
        <v>2.8116166979999999</v>
      </c>
      <c r="V716" s="26">
        <v>-73.66652234</v>
      </c>
    </row>
    <row r="717" spans="14:22" ht="15" customHeight="1">
      <c r="N717" s="14"/>
      <c r="O717" s="14"/>
      <c r="S717" s="103" t="s">
        <v>12714</v>
      </c>
      <c r="T717" s="103" t="s">
        <v>13877</v>
      </c>
      <c r="U717" s="26">
        <v>1.083605497</v>
      </c>
      <c r="V717" s="26">
        <v>-77.206100739999997</v>
      </c>
    </row>
    <row r="718" spans="14:22" ht="15" customHeight="1">
      <c r="N718" s="14"/>
      <c r="O718" s="14"/>
      <c r="S718" s="103" t="s">
        <v>12714</v>
      </c>
      <c r="T718" s="103" t="s">
        <v>13595</v>
      </c>
      <c r="U718" s="26">
        <v>1.4698540840000001</v>
      </c>
      <c r="V718" s="26">
        <v>-77.068809470000005</v>
      </c>
    </row>
    <row r="719" spans="14:22" ht="15" customHeight="1">
      <c r="N719" s="14"/>
      <c r="O719" s="14"/>
      <c r="S719" s="103" t="s">
        <v>12714</v>
      </c>
      <c r="T719" s="103" t="s">
        <v>13878</v>
      </c>
      <c r="U719" s="26">
        <v>0.91343191599999995</v>
      </c>
      <c r="V719" s="26">
        <v>-77.695387310000001</v>
      </c>
    </row>
    <row r="720" spans="14:22" ht="15" customHeight="1">
      <c r="N720" s="14"/>
      <c r="O720" s="14"/>
      <c r="S720" s="103" t="s">
        <v>12714</v>
      </c>
      <c r="T720" s="103" t="s">
        <v>13879</v>
      </c>
      <c r="U720" s="26">
        <v>1.245254077</v>
      </c>
      <c r="V720" s="26">
        <v>-77.531157769999993</v>
      </c>
    </row>
    <row r="721" spans="14:22" ht="15" customHeight="1">
      <c r="N721" s="14"/>
      <c r="O721" s="14"/>
      <c r="S721" s="103" t="s">
        <v>12714</v>
      </c>
      <c r="T721" s="103" t="s">
        <v>13880</v>
      </c>
      <c r="U721" s="26">
        <v>1.480051172</v>
      </c>
      <c r="V721" s="26">
        <v>-77.129850009999998</v>
      </c>
    </row>
    <row r="722" spans="14:22" ht="15" customHeight="1">
      <c r="N722" s="14"/>
      <c r="O722" s="14"/>
      <c r="S722" s="103" t="s">
        <v>12714</v>
      </c>
      <c r="T722" s="103" t="s">
        <v>13881</v>
      </c>
      <c r="U722" s="26">
        <v>1.44563774</v>
      </c>
      <c r="V722" s="26">
        <v>-78.156210720000004</v>
      </c>
    </row>
    <row r="723" spans="14:22" ht="15" customHeight="1">
      <c r="N723" s="14"/>
      <c r="O723" s="14"/>
      <c r="S723" s="103" t="s">
        <v>12714</v>
      </c>
      <c r="T723" s="103" t="s">
        <v>13090</v>
      </c>
      <c r="U723" s="26">
        <v>1.593645287</v>
      </c>
      <c r="V723" s="26">
        <v>-77.019993659999997</v>
      </c>
    </row>
    <row r="724" spans="14:22" ht="15" customHeight="1">
      <c r="N724" s="14"/>
      <c r="O724" s="14"/>
      <c r="S724" s="103" t="s">
        <v>12714</v>
      </c>
      <c r="T724" s="103" t="s">
        <v>13882</v>
      </c>
      <c r="U724" s="26">
        <v>1.315215636</v>
      </c>
      <c r="V724" s="26">
        <v>-77.116366400000004</v>
      </c>
    </row>
    <row r="725" spans="14:22" ht="15" customHeight="1">
      <c r="N725" s="14"/>
      <c r="O725" s="14"/>
      <c r="S725" s="103" t="s">
        <v>12714</v>
      </c>
      <c r="T725" s="103" t="s">
        <v>13883</v>
      </c>
      <c r="U725" s="26">
        <v>1.636334379</v>
      </c>
      <c r="V725" s="26">
        <v>-77.047315600000005</v>
      </c>
    </row>
    <row r="726" spans="14:22" ht="15" customHeight="1">
      <c r="N726" s="14"/>
      <c r="O726" s="14"/>
      <c r="S726" s="103" t="s">
        <v>12714</v>
      </c>
      <c r="T726" s="103" t="s">
        <v>13884</v>
      </c>
      <c r="U726" s="26">
        <v>1.2090667319999999</v>
      </c>
      <c r="V726" s="26">
        <v>-77.440639210000001</v>
      </c>
    </row>
    <row r="727" spans="14:22" ht="15" customHeight="1">
      <c r="N727" s="14"/>
      <c r="O727" s="14"/>
      <c r="S727" s="103" t="s">
        <v>12714</v>
      </c>
      <c r="T727" s="103" t="s">
        <v>13885</v>
      </c>
      <c r="U727" s="26">
        <v>0.93266745799999995</v>
      </c>
      <c r="V727" s="26">
        <v>-77.528087310000004</v>
      </c>
    </row>
    <row r="728" spans="14:22" ht="15" customHeight="1">
      <c r="N728" s="14"/>
      <c r="O728" s="14"/>
      <c r="S728" s="103" t="s">
        <v>12714</v>
      </c>
      <c r="T728" s="103" t="s">
        <v>12685</v>
      </c>
      <c r="U728" s="26">
        <v>0.78274688000000003</v>
      </c>
      <c r="V728" s="26">
        <v>-77.368059029999998</v>
      </c>
    </row>
    <row r="729" spans="14:22" ht="15" customHeight="1">
      <c r="N729" s="14"/>
      <c r="O729" s="14"/>
      <c r="S729" s="103" t="s">
        <v>12714</v>
      </c>
      <c r="T729" s="103" t="s">
        <v>13886</v>
      </c>
      <c r="U729" s="26">
        <v>0.87542699899999998</v>
      </c>
      <c r="V729" s="26">
        <v>-77.735916009999997</v>
      </c>
    </row>
    <row r="730" spans="14:22" ht="15" customHeight="1">
      <c r="N730" s="14"/>
      <c r="O730" s="14"/>
      <c r="S730" s="103" t="s">
        <v>12714</v>
      </c>
      <c r="T730" s="103" t="s">
        <v>13887</v>
      </c>
      <c r="U730" s="26">
        <v>0.94422327399999995</v>
      </c>
      <c r="V730" s="26">
        <v>-77.959584460000002</v>
      </c>
    </row>
    <row r="731" spans="14:22" ht="15" customHeight="1">
      <c r="N731" s="14"/>
      <c r="O731" s="14"/>
      <c r="S731" s="103" t="s">
        <v>12714</v>
      </c>
      <c r="T731" s="103" t="s">
        <v>13888</v>
      </c>
      <c r="U731" s="26">
        <v>1.72559011</v>
      </c>
      <c r="V731" s="26">
        <v>-77.592816369999994</v>
      </c>
    </row>
    <row r="732" spans="14:22" ht="15" customHeight="1">
      <c r="N732" s="14"/>
      <c r="O732" s="14"/>
      <c r="S732" s="103" t="s">
        <v>12714</v>
      </c>
      <c r="T732" s="103" t="s">
        <v>13889</v>
      </c>
      <c r="U732" s="26">
        <v>1.386497844</v>
      </c>
      <c r="V732" s="26">
        <v>-77.269690220000001</v>
      </c>
    </row>
    <row r="733" spans="14:22" ht="15" customHeight="1">
      <c r="N733" s="14"/>
      <c r="O733" s="14"/>
      <c r="S733" s="103" t="s">
        <v>12714</v>
      </c>
      <c r="T733" s="103" t="s">
        <v>13890</v>
      </c>
      <c r="U733" s="26">
        <v>2.2163822949999998</v>
      </c>
      <c r="V733" s="26">
        <v>-77.995332340000004</v>
      </c>
    </row>
    <row r="734" spans="14:22" ht="15" customHeight="1">
      <c r="N734" s="14"/>
      <c r="O734" s="14"/>
      <c r="S734" s="103" t="s">
        <v>12714</v>
      </c>
      <c r="T734" s="103" t="s">
        <v>13891</v>
      </c>
      <c r="U734" s="26">
        <v>1.5122839669999999</v>
      </c>
      <c r="V734" s="26">
        <v>-77.43050934</v>
      </c>
    </row>
    <row r="735" spans="14:22" ht="15" customHeight="1">
      <c r="N735" s="14"/>
      <c r="O735" s="14"/>
      <c r="S735" s="103" t="s">
        <v>12714</v>
      </c>
      <c r="T735" s="103" t="s">
        <v>13892</v>
      </c>
      <c r="U735" s="26">
        <v>1.8876894369999999</v>
      </c>
      <c r="V735" s="26">
        <v>-77.483195890000005</v>
      </c>
    </row>
    <row r="736" spans="14:22" ht="15" customHeight="1">
      <c r="N736" s="14"/>
      <c r="O736" s="14"/>
      <c r="S736" s="103" t="s">
        <v>12714</v>
      </c>
      <c r="T736" s="103" t="s">
        <v>13893</v>
      </c>
      <c r="U736" s="26">
        <v>1.409430207</v>
      </c>
      <c r="V736" s="26">
        <v>-76.985269590000001</v>
      </c>
    </row>
    <row r="737" spans="14:22" ht="15" customHeight="1">
      <c r="N737" s="14"/>
      <c r="O737" s="14"/>
      <c r="S737" s="103" t="s">
        <v>12714</v>
      </c>
      <c r="T737" s="103" t="s">
        <v>13426</v>
      </c>
      <c r="U737" s="26">
        <v>1.4302637600000001</v>
      </c>
      <c r="V737" s="26">
        <v>-77.383115970000006</v>
      </c>
    </row>
    <row r="738" spans="14:22" ht="15" customHeight="1">
      <c r="N738" s="14"/>
      <c r="O738" s="14"/>
      <c r="S738" s="103" t="s">
        <v>12714</v>
      </c>
      <c r="T738" s="103" t="s">
        <v>13894</v>
      </c>
      <c r="U738" s="26">
        <v>0.95778642899999999</v>
      </c>
      <c r="V738" s="26">
        <v>-77.395327809999998</v>
      </c>
    </row>
    <row r="739" spans="14:22" ht="15" customHeight="1">
      <c r="N739" s="14"/>
      <c r="O739" s="14"/>
      <c r="S739" s="103" t="s">
        <v>12714</v>
      </c>
      <c r="T739" s="103" t="s">
        <v>13895</v>
      </c>
      <c r="U739" s="26">
        <v>0.97503790400000001</v>
      </c>
      <c r="V739" s="26">
        <v>-77.737589409999998</v>
      </c>
    </row>
    <row r="740" spans="14:22" ht="15" customHeight="1">
      <c r="N740" s="14"/>
      <c r="O740" s="14"/>
      <c r="S740" s="103" t="s">
        <v>12714</v>
      </c>
      <c r="T740" s="103" t="s">
        <v>13896</v>
      </c>
      <c r="U740" s="26">
        <v>1.1513666579999999</v>
      </c>
      <c r="V740" s="26">
        <v>-77.530113360000001</v>
      </c>
    </row>
    <row r="741" spans="14:22" ht="15" customHeight="1">
      <c r="N741" s="14"/>
      <c r="O741" s="14"/>
      <c r="S741" s="103" t="s">
        <v>12714</v>
      </c>
      <c r="T741" s="103" t="s">
        <v>13897</v>
      </c>
      <c r="U741" s="26">
        <v>0.928642623</v>
      </c>
      <c r="V741" s="26">
        <v>-77.582618830000001</v>
      </c>
    </row>
    <row r="742" spans="14:22" ht="15" customHeight="1">
      <c r="N742" s="14"/>
      <c r="O742" s="14"/>
      <c r="S742" s="103" t="s">
        <v>12714</v>
      </c>
      <c r="T742" s="103" t="s">
        <v>13898</v>
      </c>
      <c r="U742" s="26">
        <v>0.98053403699999997</v>
      </c>
      <c r="V742" s="26">
        <v>-77.518657300000001</v>
      </c>
    </row>
    <row r="743" spans="14:22" ht="15" customHeight="1">
      <c r="N743" s="14"/>
      <c r="O743" s="14"/>
      <c r="S743" s="103" t="s">
        <v>12714</v>
      </c>
      <c r="T743" s="103" t="s">
        <v>13899</v>
      </c>
      <c r="U743" s="26">
        <v>1.07287697</v>
      </c>
      <c r="V743" s="26">
        <v>-77.501508639999997</v>
      </c>
    </row>
    <row r="744" spans="14:22" ht="15" customHeight="1">
      <c r="N744" s="14"/>
      <c r="O744" s="14"/>
      <c r="S744" s="103" t="s">
        <v>12714</v>
      </c>
      <c r="T744" s="103" t="s">
        <v>13900</v>
      </c>
      <c r="U744" s="26">
        <v>0.49770846499999999</v>
      </c>
      <c r="V744" s="26">
        <v>-77.24047625</v>
      </c>
    </row>
    <row r="745" spans="14:22" ht="15" customHeight="1">
      <c r="N745" s="14"/>
      <c r="O745" s="14"/>
      <c r="S745" s="103" t="s">
        <v>12714</v>
      </c>
      <c r="T745" s="103" t="s">
        <v>13901</v>
      </c>
      <c r="U745" s="26">
        <v>1.5841759980000001</v>
      </c>
      <c r="V745" s="26">
        <v>-76.923352620000003</v>
      </c>
    </row>
    <row r="746" spans="14:22" ht="15" customHeight="1">
      <c r="N746" s="14"/>
      <c r="O746" s="14"/>
      <c r="S746" s="103" t="s">
        <v>12714</v>
      </c>
      <c r="T746" s="103" t="s">
        <v>13902</v>
      </c>
      <c r="U746" s="26">
        <v>1.338034371</v>
      </c>
      <c r="V746" s="26">
        <v>-77.422930410000006</v>
      </c>
    </row>
    <row r="747" spans="14:22" ht="15" customHeight="1">
      <c r="N747" s="14"/>
      <c r="O747" s="14"/>
      <c r="S747" s="103" t="s">
        <v>12714</v>
      </c>
      <c r="T747" s="103" t="s">
        <v>13903</v>
      </c>
      <c r="U747" s="26">
        <v>1.5418478470000001</v>
      </c>
      <c r="V747" s="26">
        <v>-77.617816079999997</v>
      </c>
    </row>
    <row r="748" spans="14:22" ht="15" customHeight="1">
      <c r="N748" s="14"/>
      <c r="O748" s="14"/>
      <c r="S748" s="103" t="s">
        <v>12714</v>
      </c>
      <c r="T748" s="103" t="s">
        <v>13904</v>
      </c>
      <c r="U748" s="26">
        <v>2.5602733299999998</v>
      </c>
      <c r="V748" s="26">
        <v>-78.235066939999996</v>
      </c>
    </row>
    <row r="749" spans="14:22" ht="15" customHeight="1">
      <c r="N749" s="14"/>
      <c r="O749" s="14"/>
      <c r="S749" s="103" t="s">
        <v>12714</v>
      </c>
      <c r="T749" s="103" t="s">
        <v>12827</v>
      </c>
      <c r="U749" s="26">
        <v>1.619697376</v>
      </c>
      <c r="V749" s="26">
        <v>-77.142846219999996</v>
      </c>
    </row>
    <row r="750" spans="14:22" ht="15" customHeight="1">
      <c r="N750" s="14"/>
      <c r="O750" s="14"/>
      <c r="S750" s="103" t="s">
        <v>12714</v>
      </c>
      <c r="T750" s="103" t="s">
        <v>13905</v>
      </c>
      <c r="U750" s="26">
        <v>1.9008623609999999</v>
      </c>
      <c r="V750" s="26">
        <v>-77.312200730000001</v>
      </c>
    </row>
    <row r="751" spans="14:22" ht="15" customHeight="1">
      <c r="N751" s="14"/>
      <c r="O751" s="14"/>
      <c r="S751" s="103" t="s">
        <v>12714</v>
      </c>
      <c r="T751" s="103" t="s">
        <v>13906</v>
      </c>
      <c r="U751" s="26">
        <v>1.3951730840000001</v>
      </c>
      <c r="V751" s="26">
        <v>-77.520937739999994</v>
      </c>
    </row>
    <row r="752" spans="14:22" ht="15" customHeight="1">
      <c r="N752" s="14"/>
      <c r="O752" s="14"/>
      <c r="S752" s="103" t="s">
        <v>12714</v>
      </c>
      <c r="T752" s="103" t="s">
        <v>13907</v>
      </c>
      <c r="U752" s="26">
        <v>1.6726012690000001</v>
      </c>
      <c r="V752" s="26">
        <v>-77.710544490000004</v>
      </c>
    </row>
    <row r="753" spans="14:22" ht="15" customHeight="1">
      <c r="N753" s="14"/>
      <c r="O753" s="14"/>
      <c r="S753" s="103" t="s">
        <v>12714</v>
      </c>
      <c r="T753" s="103" t="s">
        <v>13908</v>
      </c>
      <c r="U753" s="26">
        <v>1.9068584289999999</v>
      </c>
      <c r="V753" s="26">
        <v>-78.044736439999994</v>
      </c>
    </row>
    <row r="754" spans="14:22" ht="15" customHeight="1">
      <c r="N754" s="14"/>
      <c r="O754" s="14"/>
      <c r="S754" s="103" t="s">
        <v>12714</v>
      </c>
      <c r="T754" s="103" t="s">
        <v>13909</v>
      </c>
      <c r="U754" s="26">
        <v>1.155947016</v>
      </c>
      <c r="V754" s="26">
        <v>-77.846646460000002</v>
      </c>
    </row>
    <row r="755" spans="14:22" ht="15" customHeight="1">
      <c r="N755" s="14"/>
      <c r="O755" s="14"/>
      <c r="S755" s="103" t="s">
        <v>12714</v>
      </c>
      <c r="T755" s="103" t="s">
        <v>13693</v>
      </c>
      <c r="U755" s="26">
        <v>2.4424936979999998</v>
      </c>
      <c r="V755" s="26">
        <v>-78.438827000000003</v>
      </c>
    </row>
    <row r="756" spans="14:22" ht="15" customHeight="1">
      <c r="N756" s="14"/>
      <c r="O756" s="14"/>
      <c r="S756" s="103" t="s">
        <v>12714</v>
      </c>
      <c r="T756" s="103" t="s">
        <v>12714</v>
      </c>
      <c r="U756" s="26">
        <v>1.2867752729999999</v>
      </c>
      <c r="V756" s="26">
        <v>-77.352203669999994</v>
      </c>
    </row>
    <row r="757" spans="14:22" ht="15" customHeight="1">
      <c r="N757" s="14"/>
      <c r="O757" s="14"/>
      <c r="S757" s="103" t="s">
        <v>12714</v>
      </c>
      <c r="T757" s="103" t="s">
        <v>13910</v>
      </c>
      <c r="U757" s="26">
        <v>2.2878565470000001</v>
      </c>
      <c r="V757" s="26">
        <v>-78.312190240000007</v>
      </c>
    </row>
    <row r="758" spans="14:22" ht="15" customHeight="1">
      <c r="N758" s="14"/>
      <c r="O758" s="14"/>
      <c r="S758" s="103" t="s">
        <v>12714</v>
      </c>
      <c r="T758" s="103" t="s">
        <v>13911</v>
      </c>
      <c r="U758" s="26">
        <v>1.029815854</v>
      </c>
      <c r="V758" s="26">
        <v>-77.55234944</v>
      </c>
    </row>
    <row r="759" spans="14:22" ht="15" customHeight="1">
      <c r="N759" s="14"/>
      <c r="O759" s="14"/>
      <c r="S759" s="103" t="s">
        <v>12714</v>
      </c>
      <c r="T759" s="103" t="s">
        <v>13912</v>
      </c>
      <c r="U759" s="26">
        <v>2.0885319249999998</v>
      </c>
      <c r="V759" s="26">
        <v>-78.591930989999994</v>
      </c>
    </row>
    <row r="760" spans="14:22" ht="15" customHeight="1">
      <c r="N760" s="14"/>
      <c r="O760" s="14"/>
      <c r="S760" s="103" t="s">
        <v>12714</v>
      </c>
      <c r="T760" s="103" t="s">
        <v>13913</v>
      </c>
      <c r="U760" s="26">
        <v>1.7353542019999999</v>
      </c>
      <c r="V760" s="26">
        <v>-77.481343589999994</v>
      </c>
    </row>
    <row r="761" spans="14:22" ht="15" customHeight="1">
      <c r="N761" s="14"/>
      <c r="O761" s="14"/>
      <c r="S761" s="103" t="s">
        <v>12714</v>
      </c>
      <c r="T761" s="103" t="s">
        <v>13914</v>
      </c>
      <c r="U761" s="26">
        <v>0.78584108799999997</v>
      </c>
      <c r="V761" s="26">
        <v>-77.528704070000003</v>
      </c>
    </row>
    <row r="762" spans="14:22" ht="15" customHeight="1">
      <c r="N762" s="14"/>
      <c r="O762" s="14"/>
      <c r="S762" s="103" t="s">
        <v>12714</v>
      </c>
      <c r="T762" s="103" t="s">
        <v>13915</v>
      </c>
      <c r="U762" s="26">
        <v>1.2328648209999999</v>
      </c>
      <c r="V762" s="26">
        <v>-77.598442120000001</v>
      </c>
    </row>
    <row r="763" spans="14:22" ht="15" customHeight="1">
      <c r="N763" s="14"/>
      <c r="O763" s="14"/>
      <c r="S763" s="103" t="s">
        <v>12714</v>
      </c>
      <c r="T763" s="103" t="s">
        <v>13916</v>
      </c>
      <c r="U763" s="26">
        <v>0.85435165099999999</v>
      </c>
      <c r="V763" s="26">
        <v>-77.350325229999996</v>
      </c>
    </row>
    <row r="764" spans="14:22" ht="15" customHeight="1">
      <c r="N764" s="14"/>
      <c r="O764" s="14"/>
      <c r="S764" s="103" t="s">
        <v>12714</v>
      </c>
      <c r="T764" s="103" t="s">
        <v>13917</v>
      </c>
      <c r="U764" s="26">
        <v>0.91676983099999998</v>
      </c>
      <c r="V764" s="26">
        <v>-77.633369540000004</v>
      </c>
    </row>
    <row r="765" spans="14:22" ht="15" customHeight="1">
      <c r="N765" s="14"/>
      <c r="O765" s="14"/>
      <c r="S765" s="103" t="s">
        <v>12714</v>
      </c>
      <c r="T765" s="103" t="s">
        <v>13709</v>
      </c>
      <c r="U765" s="26">
        <v>1.1476718480000001</v>
      </c>
      <c r="V765" s="26">
        <v>-78.058111179999997</v>
      </c>
    </row>
    <row r="766" spans="14:22" ht="15" customHeight="1">
      <c r="N766" s="14"/>
      <c r="O766" s="14"/>
      <c r="S766" s="103" t="s">
        <v>12714</v>
      </c>
      <c r="T766" s="103" t="s">
        <v>13918</v>
      </c>
      <c r="U766" s="26">
        <v>1.897581156</v>
      </c>
      <c r="V766" s="26">
        <v>-78.381116300000002</v>
      </c>
    </row>
    <row r="767" spans="14:22" ht="15" customHeight="1">
      <c r="N767" s="14"/>
      <c r="O767" s="14"/>
      <c r="S767" s="103" t="s">
        <v>12714</v>
      </c>
      <c r="T767" s="103" t="s">
        <v>13919</v>
      </c>
      <c r="U767" s="26">
        <v>1.4305552619999999</v>
      </c>
      <c r="V767" s="26">
        <v>-77.691795589999998</v>
      </c>
    </row>
    <row r="768" spans="14:22" ht="15" customHeight="1">
      <c r="N768" s="14"/>
      <c r="O768" s="14"/>
      <c r="S768" s="103" t="s">
        <v>12714</v>
      </c>
      <c r="T768" s="103" t="s">
        <v>13920</v>
      </c>
      <c r="U768" s="26">
        <v>1.2881054089999999</v>
      </c>
      <c r="V768" s="26">
        <v>-77.456700679999997</v>
      </c>
    </row>
    <row r="769" spans="14:22" ht="15" customHeight="1">
      <c r="N769" s="14"/>
      <c r="O769" s="14"/>
      <c r="S769" s="103" t="s">
        <v>12714</v>
      </c>
      <c r="T769" s="103" t="s">
        <v>13711</v>
      </c>
      <c r="U769" s="26">
        <v>1.5297824849999999</v>
      </c>
      <c r="V769" s="26">
        <v>-77.020706630000006</v>
      </c>
    </row>
    <row r="770" spans="14:22" ht="15" customHeight="1">
      <c r="N770" s="14"/>
      <c r="O770" s="14"/>
      <c r="S770" s="103" t="s">
        <v>12714</v>
      </c>
      <c r="T770" s="103" t="s">
        <v>13921</v>
      </c>
      <c r="U770" s="26">
        <v>1.5421395819999999</v>
      </c>
      <c r="V770" s="26">
        <v>-77.218726930000003</v>
      </c>
    </row>
    <row r="771" spans="14:22" ht="15" customHeight="1">
      <c r="N771" s="14"/>
      <c r="O771" s="14"/>
      <c r="S771" s="103" t="s">
        <v>12714</v>
      </c>
      <c r="T771" s="103" t="s">
        <v>13058</v>
      </c>
      <c r="U771" s="26">
        <v>1.6815766270000001</v>
      </c>
      <c r="V771" s="26">
        <v>-76.975279790000002</v>
      </c>
    </row>
    <row r="772" spans="14:22" ht="15" customHeight="1">
      <c r="N772" s="14"/>
      <c r="O772" s="14"/>
      <c r="S772" s="103" t="s">
        <v>12714</v>
      </c>
      <c r="T772" s="103" t="s">
        <v>13922</v>
      </c>
      <c r="U772" s="26">
        <v>1.5368234940000001</v>
      </c>
      <c r="V772" s="26">
        <v>-77.101403250000004</v>
      </c>
    </row>
    <row r="773" spans="14:22" ht="15" customHeight="1">
      <c r="N773" s="14"/>
      <c r="O773" s="14"/>
      <c r="S773" s="103" t="s">
        <v>12714</v>
      </c>
      <c r="T773" s="103" t="s">
        <v>12896</v>
      </c>
      <c r="U773" s="26">
        <v>2.4944204110000001</v>
      </c>
      <c r="V773" s="26">
        <v>-77.982564609999997</v>
      </c>
    </row>
    <row r="774" spans="14:22" ht="15" customHeight="1">
      <c r="N774" s="14"/>
      <c r="O774" s="14"/>
      <c r="S774" s="103" t="s">
        <v>12714</v>
      </c>
      <c r="T774" s="103" t="s">
        <v>13923</v>
      </c>
      <c r="U774" s="26">
        <v>1.2851793760000001</v>
      </c>
      <c r="V774" s="26">
        <v>-77.744574400000005</v>
      </c>
    </row>
    <row r="775" spans="14:22" ht="15" customHeight="1">
      <c r="N775" s="14"/>
      <c r="O775" s="14"/>
      <c r="S775" s="103" t="s">
        <v>12714</v>
      </c>
      <c r="T775" s="103" t="s">
        <v>13924</v>
      </c>
      <c r="U775" s="26">
        <v>1.0452874750000001</v>
      </c>
      <c r="V775" s="26">
        <v>-77.71810954</v>
      </c>
    </row>
    <row r="776" spans="14:22" ht="15" customHeight="1">
      <c r="N776" s="14"/>
      <c r="O776" s="14"/>
      <c r="S776" s="103" t="s">
        <v>12714</v>
      </c>
      <c r="T776" s="103" t="s">
        <v>13925</v>
      </c>
      <c r="U776" s="26">
        <v>1.591661392</v>
      </c>
      <c r="V776" s="26">
        <v>-77.325253160000003</v>
      </c>
    </row>
    <row r="777" spans="14:22" ht="15" customHeight="1">
      <c r="N777" s="14"/>
      <c r="O777" s="14"/>
      <c r="S777" s="103" t="s">
        <v>12714</v>
      </c>
      <c r="T777" s="103" t="s">
        <v>13926</v>
      </c>
      <c r="U777" s="26">
        <v>1.0640781109999999</v>
      </c>
      <c r="V777" s="26">
        <v>-77.350634909999997</v>
      </c>
    </row>
    <row r="778" spans="14:22" ht="15" customHeight="1">
      <c r="N778" s="14"/>
      <c r="O778" s="14"/>
      <c r="S778" s="103" t="s">
        <v>12714</v>
      </c>
      <c r="T778" s="103" t="s">
        <v>13927</v>
      </c>
      <c r="U778" s="26">
        <v>1.5745506380000001</v>
      </c>
      <c r="V778" s="26">
        <v>-78.615409630000002</v>
      </c>
    </row>
    <row r="779" spans="14:22" ht="15" customHeight="1">
      <c r="N779" s="14"/>
      <c r="O779" s="14"/>
      <c r="S779" s="103" t="s">
        <v>12714</v>
      </c>
      <c r="T779" s="103" t="s">
        <v>13928</v>
      </c>
      <c r="U779" s="26">
        <v>1.1344405230000001</v>
      </c>
      <c r="V779" s="26">
        <v>-77.630732379999998</v>
      </c>
    </row>
    <row r="780" spans="14:22" ht="15" customHeight="1">
      <c r="N780" s="14"/>
      <c r="O780" s="14"/>
      <c r="S780" s="103" t="s">
        <v>12714</v>
      </c>
      <c r="T780" s="103" t="s">
        <v>13929</v>
      </c>
      <c r="U780" s="26">
        <v>1.1255479159999999</v>
      </c>
      <c r="V780" s="26">
        <v>-77.424675690000001</v>
      </c>
    </row>
    <row r="781" spans="14:22" ht="15" customHeight="1">
      <c r="N781" s="14"/>
      <c r="O781" s="14"/>
      <c r="S781" s="103" t="s">
        <v>12714</v>
      </c>
      <c r="T781" s="103" t="s">
        <v>13930</v>
      </c>
      <c r="U781" s="26">
        <v>8.1120418109999992</v>
      </c>
      <c r="V781" s="26">
        <v>-72.488626409999995</v>
      </c>
    </row>
    <row r="782" spans="14:22" ht="15" customHeight="1">
      <c r="N782" s="14"/>
      <c r="O782" s="14"/>
      <c r="S782" s="103" t="s">
        <v>12717</v>
      </c>
      <c r="T782" s="103" t="s">
        <v>13931</v>
      </c>
      <c r="U782" s="26">
        <v>8.0198344810000002</v>
      </c>
      <c r="V782" s="26">
        <v>-73.15850485</v>
      </c>
    </row>
    <row r="783" spans="14:22" ht="15" customHeight="1">
      <c r="N783" s="14"/>
      <c r="O783" s="14"/>
      <c r="S783" s="103" t="s">
        <v>12717</v>
      </c>
      <c r="T783" s="103" t="s">
        <v>13932</v>
      </c>
      <c r="U783" s="26">
        <v>7.5860481640000001</v>
      </c>
      <c r="V783" s="26">
        <v>-72.917053150000001</v>
      </c>
    </row>
    <row r="784" spans="14:22" ht="15" customHeight="1">
      <c r="N784" s="14"/>
      <c r="O784" s="14"/>
      <c r="S784" s="103" t="s">
        <v>12717</v>
      </c>
      <c r="T784" s="103" t="s">
        <v>13933</v>
      </c>
      <c r="U784" s="26">
        <v>7.6085093390000003</v>
      </c>
      <c r="V784" s="26">
        <v>-72.659519090000003</v>
      </c>
    </row>
    <row r="785" spans="14:22" ht="15" customHeight="1">
      <c r="N785" s="14"/>
      <c r="O785" s="14"/>
      <c r="S785" s="103" t="s">
        <v>12717</v>
      </c>
      <c r="T785" s="103" t="s">
        <v>13934</v>
      </c>
      <c r="U785" s="26">
        <v>8.0798022389999993</v>
      </c>
      <c r="V785" s="26">
        <v>-72.929199260000004</v>
      </c>
    </row>
    <row r="786" spans="14:22" ht="15" customHeight="1">
      <c r="N786" s="14"/>
      <c r="O786" s="14"/>
      <c r="S786" s="103" t="s">
        <v>12717</v>
      </c>
      <c r="T786" s="103" t="s">
        <v>13935</v>
      </c>
      <c r="U786" s="26">
        <v>7.2705600879999999</v>
      </c>
      <c r="V786" s="26">
        <v>-72.652121530000002</v>
      </c>
    </row>
    <row r="787" spans="14:22" ht="15" customHeight="1">
      <c r="N787" s="14"/>
      <c r="O787" s="14"/>
      <c r="S787" s="103" t="s">
        <v>12717</v>
      </c>
      <c r="T787" s="103" t="s">
        <v>13936</v>
      </c>
      <c r="U787" s="26">
        <v>7.6841888960000002</v>
      </c>
      <c r="V787" s="26">
        <v>-73.129394809999994</v>
      </c>
    </row>
    <row r="788" spans="14:22" ht="15" customHeight="1">
      <c r="N788" s="14"/>
      <c r="O788" s="14"/>
      <c r="S788" s="103" t="s">
        <v>12717</v>
      </c>
      <c r="T788" s="103" t="s">
        <v>13937</v>
      </c>
      <c r="U788" s="26">
        <v>7.5833531360000004</v>
      </c>
      <c r="V788" s="26">
        <v>-72.583909779999999</v>
      </c>
    </row>
    <row r="789" spans="14:22" ht="15" customHeight="1">
      <c r="N789" s="14"/>
      <c r="O789" s="14"/>
      <c r="S789" s="103" t="s">
        <v>12717</v>
      </c>
      <c r="T789" s="103" t="s">
        <v>13938</v>
      </c>
      <c r="U789" s="26">
        <v>7.0516167699999999</v>
      </c>
      <c r="V789" s="26">
        <v>-72.525447459999995</v>
      </c>
    </row>
    <row r="790" spans="14:22" ht="15" customHeight="1">
      <c r="N790" s="14"/>
      <c r="O790" s="14"/>
      <c r="S790" s="103" t="s">
        <v>12717</v>
      </c>
      <c r="T790" s="103" t="s">
        <v>13939</v>
      </c>
      <c r="U790" s="26">
        <v>8.8731598950000006</v>
      </c>
      <c r="V790" s="26">
        <v>-73.200077690000001</v>
      </c>
    </row>
    <row r="791" spans="14:22" ht="15" customHeight="1">
      <c r="N791" s="14"/>
      <c r="O791" s="14"/>
      <c r="S791" s="103" t="s">
        <v>12717</v>
      </c>
      <c r="T791" s="103" t="s">
        <v>13940</v>
      </c>
      <c r="U791" s="26">
        <v>7.5021823660000004</v>
      </c>
      <c r="V791" s="26">
        <v>-72.79703447</v>
      </c>
    </row>
    <row r="792" spans="14:22" ht="15" customHeight="1">
      <c r="N792" s="14"/>
      <c r="O792" s="14"/>
      <c r="S792" s="103" t="s">
        <v>12717</v>
      </c>
      <c r="T792" s="103" t="s">
        <v>13941</v>
      </c>
      <c r="U792" s="26">
        <v>7.746993206</v>
      </c>
      <c r="V792" s="26">
        <v>-72.672080719999997</v>
      </c>
    </row>
    <row r="793" spans="14:22" ht="15" customHeight="1">
      <c r="N793" s="14"/>
      <c r="O793" s="14"/>
      <c r="S793" s="103" t="s">
        <v>12717</v>
      </c>
      <c r="T793" s="103" t="s">
        <v>13942</v>
      </c>
      <c r="U793" s="26">
        <v>8.867990035</v>
      </c>
      <c r="V793" s="26">
        <v>-73.345859219999994</v>
      </c>
    </row>
    <row r="794" spans="14:22" ht="15" customHeight="1">
      <c r="N794" s="14"/>
      <c r="O794" s="14"/>
      <c r="S794" s="103" t="s">
        <v>12717</v>
      </c>
      <c r="T794" s="103" t="s">
        <v>13943</v>
      </c>
      <c r="U794" s="26">
        <v>8.6782636709999998</v>
      </c>
      <c r="V794" s="26">
        <v>-73.031759699999995</v>
      </c>
    </row>
    <row r="795" spans="14:22" ht="15" customHeight="1">
      <c r="N795" s="14"/>
      <c r="O795" s="14"/>
      <c r="S795" s="103" t="s">
        <v>12717</v>
      </c>
      <c r="T795" s="103" t="s">
        <v>13944</v>
      </c>
      <c r="U795" s="26">
        <v>8.0812000919999996</v>
      </c>
      <c r="V795" s="26">
        <v>-72.631521179999993</v>
      </c>
    </row>
    <row r="796" spans="14:22" ht="15" customHeight="1">
      <c r="N796" s="14"/>
      <c r="O796" s="14"/>
      <c r="S796" s="103" t="s">
        <v>12717</v>
      </c>
      <c r="T796" s="103" t="s">
        <v>13945</v>
      </c>
      <c r="U796" s="26">
        <v>7.9065229910000001</v>
      </c>
      <c r="V796" s="26">
        <v>-72.807055820000002</v>
      </c>
    </row>
    <row r="797" spans="14:22" ht="15" customHeight="1">
      <c r="N797" s="14"/>
      <c r="O797" s="14"/>
      <c r="S797" s="103" t="s">
        <v>12717</v>
      </c>
      <c r="T797" s="103" t="s">
        <v>13946</v>
      </c>
      <c r="U797" s="26">
        <v>8.3618319870000004</v>
      </c>
      <c r="V797" s="26">
        <v>-73.078263300000003</v>
      </c>
    </row>
    <row r="798" spans="14:22" ht="15" customHeight="1">
      <c r="N798" s="14"/>
      <c r="O798" s="14"/>
      <c r="S798" s="103" t="s">
        <v>12717</v>
      </c>
      <c r="T798" s="103" t="s">
        <v>13947</v>
      </c>
      <c r="U798" s="26">
        <v>7.4939557810000004</v>
      </c>
      <c r="V798" s="26">
        <v>-72.492699979999998</v>
      </c>
    </row>
    <row r="799" spans="14:22" ht="15" customHeight="1">
      <c r="N799" s="14"/>
      <c r="O799" s="14"/>
      <c r="S799" s="103" t="s">
        <v>12717</v>
      </c>
      <c r="T799" s="103" t="s">
        <v>13948</v>
      </c>
      <c r="U799" s="26">
        <v>7.2183724739999997</v>
      </c>
      <c r="V799" s="26">
        <v>-72.48281514</v>
      </c>
    </row>
    <row r="800" spans="14:22" ht="15" customHeight="1">
      <c r="N800" s="14"/>
      <c r="O800" s="14"/>
      <c r="S800" s="103" t="s">
        <v>12717</v>
      </c>
      <c r="T800" s="103" t="s">
        <v>13949</v>
      </c>
      <c r="U800" s="26">
        <v>7.6952335930000002</v>
      </c>
      <c r="V800" s="26">
        <v>-73.361396720000002</v>
      </c>
    </row>
    <row r="801" spans="14:22" ht="15" customHeight="1">
      <c r="N801" s="14"/>
      <c r="O801" s="14"/>
      <c r="S801" s="103" t="s">
        <v>12717</v>
      </c>
      <c r="T801" s="103" t="s">
        <v>13950</v>
      </c>
      <c r="U801" s="26">
        <v>8.2567578749999999</v>
      </c>
      <c r="V801" s="26">
        <v>-73.187893270000004</v>
      </c>
    </row>
    <row r="802" spans="14:22" ht="15" customHeight="1">
      <c r="N802" s="14"/>
      <c r="O802" s="14"/>
      <c r="S802" s="103" t="s">
        <v>12717</v>
      </c>
      <c r="T802" s="103" t="s">
        <v>13951</v>
      </c>
      <c r="U802" s="26">
        <v>7.7422910939999996</v>
      </c>
      <c r="V802" s="26">
        <v>-72.526807840000004</v>
      </c>
    </row>
    <row r="803" spans="14:22" ht="15" customHeight="1">
      <c r="N803" s="14"/>
      <c r="O803" s="14"/>
      <c r="S803" s="103" t="s">
        <v>12717</v>
      </c>
      <c r="T803" s="103" t="s">
        <v>13952</v>
      </c>
      <c r="U803" s="26">
        <v>7.9637127589999999</v>
      </c>
      <c r="V803" s="26">
        <v>-72.846702899999997</v>
      </c>
    </row>
    <row r="804" spans="14:22" ht="15" customHeight="1">
      <c r="N804" s="14"/>
      <c r="O804" s="14"/>
      <c r="S804" s="103" t="s">
        <v>12717</v>
      </c>
      <c r="T804" s="103" t="s">
        <v>13953</v>
      </c>
      <c r="U804" s="26">
        <v>7.3169499699999996</v>
      </c>
      <c r="V804" s="26">
        <v>-72.768345839999995</v>
      </c>
    </row>
    <row r="805" spans="14:22" ht="15" customHeight="1">
      <c r="N805" s="14"/>
      <c r="O805" s="14"/>
      <c r="S805" s="103" t="s">
        <v>12717</v>
      </c>
      <c r="T805" s="103" t="s">
        <v>13954</v>
      </c>
      <c r="U805" s="26">
        <v>8.2066375269999998</v>
      </c>
      <c r="V805" s="26">
        <v>-73.337650330000002</v>
      </c>
    </row>
    <row r="806" spans="14:22" ht="15" customHeight="1">
      <c r="N806" s="14"/>
      <c r="O806" s="14"/>
      <c r="S806" s="103" t="s">
        <v>12717</v>
      </c>
      <c r="T806" s="103" t="s">
        <v>13955</v>
      </c>
      <c r="U806" s="26">
        <v>7.3790576229999996</v>
      </c>
      <c r="V806" s="26">
        <v>-72.675903480000002</v>
      </c>
    </row>
    <row r="807" spans="14:22" ht="15" customHeight="1">
      <c r="N807" s="14"/>
      <c r="O807" s="14"/>
      <c r="S807" s="103" t="s">
        <v>12717</v>
      </c>
      <c r="T807" s="103" t="s">
        <v>13956</v>
      </c>
      <c r="U807" s="26">
        <v>7.4828788599999996</v>
      </c>
      <c r="V807" s="26">
        <v>-72.635154009999994</v>
      </c>
    </row>
    <row r="808" spans="14:22" ht="15" customHeight="1">
      <c r="N808" s="14"/>
      <c r="O808" s="14"/>
      <c r="S808" s="103" t="s">
        <v>12717</v>
      </c>
      <c r="T808" s="103" t="s">
        <v>13957</v>
      </c>
      <c r="U808" s="26">
        <v>8.3291386420000002</v>
      </c>
      <c r="V808" s="26">
        <v>-72.411190660000003</v>
      </c>
    </row>
    <row r="809" spans="14:22" ht="15" customHeight="1">
      <c r="N809" s="14"/>
      <c r="O809" s="14"/>
      <c r="S809" s="103" t="s">
        <v>12717</v>
      </c>
      <c r="T809" s="103" t="s">
        <v>13958</v>
      </c>
      <c r="U809" s="26">
        <v>7.5953559740000003</v>
      </c>
      <c r="V809" s="26">
        <v>-72.507566220000001</v>
      </c>
    </row>
    <row r="810" spans="14:22" ht="15" customHeight="1">
      <c r="N810" s="14"/>
      <c r="O810" s="14"/>
      <c r="S810" s="103" t="s">
        <v>12717</v>
      </c>
      <c r="T810" s="103" t="s">
        <v>13959</v>
      </c>
      <c r="U810" s="26">
        <v>7.7727478239999996</v>
      </c>
      <c r="V810" s="26">
        <v>-72.867699590000001</v>
      </c>
    </row>
    <row r="811" spans="14:22" ht="15" customHeight="1">
      <c r="N811" s="14"/>
      <c r="O811" s="14"/>
      <c r="S811" s="103" t="s">
        <v>12717</v>
      </c>
      <c r="T811" s="103" t="s">
        <v>13960</v>
      </c>
      <c r="U811" s="26">
        <v>8.4144414039999997</v>
      </c>
      <c r="V811" s="26">
        <v>-73.217603800000006</v>
      </c>
    </row>
    <row r="812" spans="14:22" ht="15" customHeight="1">
      <c r="N812" s="14"/>
      <c r="O812" s="14"/>
      <c r="S812" s="103" t="s">
        <v>12717</v>
      </c>
      <c r="T812" s="103" t="s">
        <v>13712</v>
      </c>
      <c r="U812" s="26">
        <v>7.8478721949999999</v>
      </c>
      <c r="V812" s="26">
        <v>-72.609712029999997</v>
      </c>
    </row>
    <row r="813" spans="14:22" ht="15" customHeight="1">
      <c r="N813" s="14"/>
      <c r="O813" s="14"/>
      <c r="S813" s="103" t="s">
        <v>12717</v>
      </c>
      <c r="T813" s="103" t="s">
        <v>13961</v>
      </c>
      <c r="U813" s="26">
        <v>7.8892344540000003</v>
      </c>
      <c r="V813" s="26">
        <v>-72.718254099999996</v>
      </c>
    </row>
    <row r="814" spans="14:22" ht="15" customHeight="1">
      <c r="N814" s="14"/>
      <c r="O814" s="14"/>
      <c r="S814" s="103" t="s">
        <v>12717</v>
      </c>
      <c r="T814" s="103" t="s">
        <v>13962</v>
      </c>
      <c r="U814" s="26">
        <v>8.2150807669999999</v>
      </c>
      <c r="V814" s="26">
        <v>-72.795809610000006</v>
      </c>
    </row>
    <row r="815" spans="14:22" ht="15" customHeight="1">
      <c r="N815" s="14"/>
      <c r="O815" s="14"/>
      <c r="S815" s="103" t="s">
        <v>12717</v>
      </c>
      <c r="T815" s="103" t="s">
        <v>13963</v>
      </c>
      <c r="U815" s="26">
        <v>7.1809918789999996</v>
      </c>
      <c r="V815" s="26">
        <v>-72.786178840000005</v>
      </c>
    </row>
    <row r="816" spans="14:22" ht="15" customHeight="1">
      <c r="N816" s="14"/>
      <c r="O816" s="14"/>
      <c r="S816" s="103" t="s">
        <v>12717</v>
      </c>
      <c r="T816" s="103" t="s">
        <v>13964</v>
      </c>
      <c r="U816" s="26">
        <v>8.7600137940000007</v>
      </c>
      <c r="V816" s="26">
        <v>-73.15714097</v>
      </c>
    </row>
    <row r="817" spans="14:22" ht="15" customHeight="1">
      <c r="N817" s="14"/>
      <c r="O817" s="14"/>
      <c r="S817" s="103" t="s">
        <v>12717</v>
      </c>
      <c r="T817" s="103" t="s">
        <v>13965</v>
      </c>
      <c r="U817" s="26">
        <v>8.713507237</v>
      </c>
      <c r="V817" s="26">
        <v>-72.799258550000005</v>
      </c>
    </row>
    <row r="818" spans="14:22" ht="15" customHeight="1">
      <c r="N818" s="14"/>
      <c r="O818" s="14"/>
      <c r="S818" s="103" t="s">
        <v>12717</v>
      </c>
      <c r="T818" s="103" t="s">
        <v>12918</v>
      </c>
      <c r="U818" s="26">
        <v>7.2258649610000001</v>
      </c>
      <c r="V818" s="26">
        <v>-72.305934179999994</v>
      </c>
    </row>
    <row r="819" spans="14:22" ht="15" customHeight="1">
      <c r="N819" s="14"/>
      <c r="O819" s="14"/>
      <c r="S819" s="103" t="s">
        <v>12717</v>
      </c>
      <c r="T819" s="103" t="s">
        <v>13966</v>
      </c>
      <c r="U819" s="26">
        <v>7.9362931730000001</v>
      </c>
      <c r="V819" s="26">
        <v>-72.987594180000002</v>
      </c>
    </row>
    <row r="820" spans="14:22" ht="15" customHeight="1">
      <c r="N820" s="14"/>
      <c r="O820" s="14"/>
      <c r="S820" s="103" t="s">
        <v>12717</v>
      </c>
      <c r="T820" s="103" t="s">
        <v>13967</v>
      </c>
      <c r="U820" s="26">
        <v>7.7186358630000003</v>
      </c>
      <c r="V820" s="26">
        <v>-72.483611760000002</v>
      </c>
    </row>
    <row r="821" spans="14:22" ht="15" customHeight="1">
      <c r="N821" s="14"/>
      <c r="O821" s="14"/>
      <c r="S821" s="103" t="s">
        <v>12720</v>
      </c>
      <c r="T821" s="103" t="s">
        <v>12709</v>
      </c>
      <c r="U821" s="26">
        <v>4.4995011280000003</v>
      </c>
      <c r="V821" s="26">
        <v>-75.72489985</v>
      </c>
    </row>
    <row r="822" spans="14:22" ht="15" customHeight="1">
      <c r="N822" s="14"/>
      <c r="O822" s="14"/>
      <c r="S822" s="103" t="s">
        <v>12720</v>
      </c>
      <c r="T822" s="103" t="s">
        <v>13100</v>
      </c>
      <c r="U822" s="26">
        <v>4.3666323819999997</v>
      </c>
      <c r="V822" s="26">
        <v>-75.744037340000006</v>
      </c>
    </row>
    <row r="823" spans="14:22" ht="15" customHeight="1">
      <c r="N823" s="14"/>
      <c r="O823" s="14"/>
      <c r="S823" s="103" t="s">
        <v>12720</v>
      </c>
      <c r="T823" s="103" t="s">
        <v>13968</v>
      </c>
      <c r="U823" s="26">
        <v>4.4678794279999998</v>
      </c>
      <c r="V823" s="26">
        <v>-75.656747190000004</v>
      </c>
    </row>
    <row r="824" spans="14:22" ht="15" customHeight="1">
      <c r="N824" s="14"/>
      <c r="O824" s="14"/>
      <c r="S824" s="103" t="s">
        <v>12720</v>
      </c>
      <c r="T824" s="103" t="s">
        <v>13969</v>
      </c>
      <c r="U824" s="26">
        <v>4.6048453440000001</v>
      </c>
      <c r="V824" s="26">
        <v>-75.666884490000001</v>
      </c>
    </row>
    <row r="825" spans="14:22" ht="15" customHeight="1">
      <c r="N825" s="14"/>
      <c r="O825" s="14"/>
      <c r="S825" s="103" t="s">
        <v>12720</v>
      </c>
      <c r="T825" s="103" t="s">
        <v>12685</v>
      </c>
      <c r="U825" s="26">
        <v>4.3959751760000003</v>
      </c>
      <c r="V825" s="26">
        <v>-75.651323079999997</v>
      </c>
    </row>
    <row r="826" spans="14:22" ht="15" customHeight="1">
      <c r="N826" s="14"/>
      <c r="O826" s="14"/>
      <c r="S826" s="103" t="s">
        <v>12720</v>
      </c>
      <c r="T826" s="103" t="s">
        <v>13970</v>
      </c>
      <c r="U826" s="26">
        <v>4.669325347</v>
      </c>
      <c r="V826" s="26">
        <v>-75.67146941</v>
      </c>
    </row>
    <row r="827" spans="14:22" ht="15" customHeight="1">
      <c r="N827" s="14"/>
      <c r="O827" s="14"/>
      <c r="S827" s="103" t="s">
        <v>12720</v>
      </c>
      <c r="T827" s="103" t="s">
        <v>13971</v>
      </c>
      <c r="U827" s="26">
        <v>4.1801077729999996</v>
      </c>
      <c r="V827" s="26">
        <v>-75.760566949999998</v>
      </c>
    </row>
    <row r="828" spans="14:22" ht="15" customHeight="1">
      <c r="N828" s="14"/>
      <c r="O828" s="14"/>
      <c r="S828" s="103" t="s">
        <v>12720</v>
      </c>
      <c r="T828" s="103" t="s">
        <v>13972</v>
      </c>
      <c r="U828" s="26">
        <v>4.4268848490000003</v>
      </c>
      <c r="V828" s="26">
        <v>-75.819273350000003</v>
      </c>
    </row>
    <row r="829" spans="14:22" ht="15" customHeight="1">
      <c r="N829" s="14"/>
      <c r="O829" s="14"/>
      <c r="S829" s="103" t="s">
        <v>12720</v>
      </c>
      <c r="T829" s="103" t="s">
        <v>13973</v>
      </c>
      <c r="U829" s="26">
        <v>4.521890945</v>
      </c>
      <c r="V829" s="26">
        <v>-75.818065939999997</v>
      </c>
    </row>
    <row r="830" spans="14:22" ht="15" customHeight="1">
      <c r="N830" s="14"/>
      <c r="O830" s="14"/>
      <c r="S830" s="103" t="s">
        <v>12720</v>
      </c>
      <c r="T830" s="103" t="s">
        <v>13974</v>
      </c>
      <c r="U830" s="26">
        <v>4.3039793399999997</v>
      </c>
      <c r="V830" s="26">
        <v>-75.68330417</v>
      </c>
    </row>
    <row r="831" spans="14:22" ht="15" customHeight="1">
      <c r="N831" s="14"/>
      <c r="O831" s="14"/>
      <c r="S831" s="103" t="s">
        <v>12720</v>
      </c>
      <c r="T831" s="103" t="s">
        <v>13975</v>
      </c>
      <c r="U831" s="26">
        <v>4.6102734969999997</v>
      </c>
      <c r="V831" s="26">
        <v>-75.792050869999997</v>
      </c>
    </row>
    <row r="832" spans="14:22" ht="15" customHeight="1">
      <c r="N832" s="14"/>
      <c r="O832" s="14"/>
      <c r="S832" s="103" t="s">
        <v>12720</v>
      </c>
      <c r="T832" s="103" t="s">
        <v>13976</v>
      </c>
      <c r="U832" s="26">
        <v>4.6113146540000001</v>
      </c>
      <c r="V832" s="26">
        <v>-75.530921120000002</v>
      </c>
    </row>
    <row r="833" spans="14:22" ht="15" customHeight="1">
      <c r="N833" s="14"/>
      <c r="O833" s="14"/>
      <c r="S833" s="103" t="s">
        <v>12723</v>
      </c>
      <c r="T833" s="103" t="s">
        <v>13977</v>
      </c>
      <c r="U833" s="26">
        <v>4.8036627730000001</v>
      </c>
      <c r="V833" s="26">
        <v>-75.795790929999995</v>
      </c>
    </row>
    <row r="834" spans="14:22" ht="15" customHeight="1">
      <c r="N834" s="14"/>
      <c r="O834" s="14"/>
      <c r="S834" s="103" t="s">
        <v>12723</v>
      </c>
      <c r="T834" s="103" t="s">
        <v>13978</v>
      </c>
      <c r="U834" s="26">
        <v>5.1396353570000004</v>
      </c>
      <c r="V834" s="26">
        <v>-75.953538710000004</v>
      </c>
    </row>
    <row r="835" spans="14:22" ht="15" customHeight="1">
      <c r="N835" s="14"/>
      <c r="O835" s="14"/>
      <c r="S835" s="103" t="s">
        <v>12723</v>
      </c>
      <c r="T835" s="103" t="s">
        <v>13413</v>
      </c>
      <c r="U835" s="26">
        <v>4.9183496760000001</v>
      </c>
      <c r="V835" s="26">
        <v>-75.942753859999996</v>
      </c>
    </row>
    <row r="836" spans="14:22" ht="15" customHeight="1">
      <c r="N836" s="14"/>
      <c r="O836" s="14"/>
      <c r="S836" s="103" t="s">
        <v>12723</v>
      </c>
      <c r="T836" s="103" t="s">
        <v>13979</v>
      </c>
      <c r="U836" s="26">
        <v>5.2003986959999997</v>
      </c>
      <c r="V836" s="26">
        <v>-75.867938929999994</v>
      </c>
    </row>
    <row r="837" spans="14:22" ht="15" customHeight="1">
      <c r="N837" s="14"/>
      <c r="O837" s="14"/>
      <c r="S837" s="103" t="s">
        <v>12723</v>
      </c>
      <c r="T837" s="103" t="s">
        <v>13980</v>
      </c>
      <c r="U837" s="26">
        <v>4.8420211440000003</v>
      </c>
      <c r="V837" s="26">
        <v>-75.669936550000003</v>
      </c>
    </row>
    <row r="838" spans="14:22" ht="15" customHeight="1">
      <c r="N838" s="14"/>
      <c r="O838" s="14"/>
      <c r="S838" s="103" t="s">
        <v>12723</v>
      </c>
      <c r="T838" s="103" t="s">
        <v>13981</v>
      </c>
      <c r="U838" s="26">
        <v>5.3202959659999998</v>
      </c>
      <c r="V838" s="26">
        <v>-75.804366590000001</v>
      </c>
    </row>
    <row r="839" spans="14:22" ht="15" customHeight="1">
      <c r="N839" s="14"/>
      <c r="O839" s="14"/>
      <c r="S839" s="103" t="s">
        <v>12723</v>
      </c>
      <c r="T839" s="103" t="s">
        <v>13982</v>
      </c>
      <c r="U839" s="26">
        <v>4.9881276789999998</v>
      </c>
      <c r="V839" s="26">
        <v>-76.008226780000001</v>
      </c>
    </row>
    <row r="840" spans="14:22" ht="15" customHeight="1">
      <c r="N840" s="14"/>
      <c r="O840" s="14"/>
      <c r="S840" s="103" t="s">
        <v>12723</v>
      </c>
      <c r="T840" s="103" t="s">
        <v>13983</v>
      </c>
      <c r="U840" s="26">
        <v>4.9047041870000001</v>
      </c>
      <c r="V840" s="26">
        <v>-75.852081620000007</v>
      </c>
    </row>
    <row r="841" spans="14:22" ht="15" customHeight="1">
      <c r="N841" s="14"/>
      <c r="O841" s="14"/>
      <c r="S841" s="103" t="s">
        <v>12723</v>
      </c>
      <c r="T841" s="103" t="s">
        <v>13984</v>
      </c>
      <c r="U841" s="26">
        <v>4.9429361849999998</v>
      </c>
      <c r="V841" s="26">
        <v>-75.753213900000006</v>
      </c>
    </row>
    <row r="842" spans="14:22" ht="15" customHeight="1">
      <c r="N842" s="14"/>
      <c r="O842" s="14"/>
      <c r="S842" s="103" t="s">
        <v>12723</v>
      </c>
      <c r="T842" s="103" t="s">
        <v>13985</v>
      </c>
      <c r="U842" s="26">
        <v>5.4140781410000001</v>
      </c>
      <c r="V842" s="26">
        <v>-75.961353869999996</v>
      </c>
    </row>
    <row r="843" spans="14:22" ht="15" customHeight="1">
      <c r="N843" s="14"/>
      <c r="O843" s="14"/>
      <c r="S843" s="103" t="s">
        <v>12723</v>
      </c>
      <c r="T843" s="103" t="s">
        <v>13986</v>
      </c>
      <c r="U843" s="26">
        <v>5.286295408</v>
      </c>
      <c r="V843" s="26">
        <v>-76.073594209999996</v>
      </c>
    </row>
    <row r="844" spans="14:22" ht="15" customHeight="1">
      <c r="N844" s="14"/>
      <c r="O844" s="14"/>
      <c r="S844" s="103" t="s">
        <v>12723</v>
      </c>
      <c r="T844" s="103" t="s">
        <v>13987</v>
      </c>
      <c r="U844" s="26">
        <v>5.3239068639999996</v>
      </c>
      <c r="V844" s="26">
        <v>-75.713396829999994</v>
      </c>
    </row>
    <row r="845" spans="14:22" ht="15" customHeight="1">
      <c r="N845" s="14"/>
      <c r="O845" s="14"/>
      <c r="S845" s="103" t="s">
        <v>12723</v>
      </c>
      <c r="T845" s="103" t="s">
        <v>13988</v>
      </c>
      <c r="U845" s="26">
        <v>4.8337898279999996</v>
      </c>
      <c r="V845" s="26">
        <v>-75.549501739999997</v>
      </c>
    </row>
    <row r="846" spans="14:22" ht="15" customHeight="1">
      <c r="N846" s="14"/>
      <c r="O846" s="14"/>
      <c r="S846" s="103" t="s">
        <v>12723</v>
      </c>
      <c r="T846" s="103" t="s">
        <v>13989</v>
      </c>
      <c r="U846" s="26">
        <v>5.0761003130000004</v>
      </c>
      <c r="V846" s="26">
        <v>-76.022869459999995</v>
      </c>
    </row>
    <row r="847" spans="14:22" ht="15" customHeight="1">
      <c r="N847" s="14"/>
      <c r="O847" s="14"/>
      <c r="S847" s="103" t="s">
        <v>12726</v>
      </c>
      <c r="T847" s="103" t="s">
        <v>13990</v>
      </c>
      <c r="U847" s="26">
        <v>7.155833544</v>
      </c>
      <c r="V847" s="26">
        <v>-73.111569970000005</v>
      </c>
    </row>
    <row r="848" spans="14:22" ht="15" customHeight="1">
      <c r="N848" s="14"/>
      <c r="O848" s="14"/>
      <c r="S848" s="103" t="s">
        <v>12726</v>
      </c>
      <c r="T848" s="103" t="s">
        <v>13991</v>
      </c>
      <c r="U848" s="26">
        <v>6.1822084759999996</v>
      </c>
      <c r="V848" s="26">
        <v>-73.530385409999994</v>
      </c>
    </row>
    <row r="849" spans="14:22" ht="15" customHeight="1">
      <c r="N849" s="14"/>
      <c r="O849" s="14"/>
      <c r="S849" s="103" t="s">
        <v>12726</v>
      </c>
      <c r="T849" s="103" t="s">
        <v>13379</v>
      </c>
      <c r="U849" s="26">
        <v>5.7881905189999996</v>
      </c>
      <c r="V849" s="26">
        <v>-73.792369289999996</v>
      </c>
    </row>
    <row r="850" spans="14:22" ht="15" customHeight="1">
      <c r="N850" s="14"/>
      <c r="O850" s="14"/>
      <c r="S850" s="103" t="s">
        <v>12726</v>
      </c>
      <c r="T850" s="103" t="s">
        <v>13992</v>
      </c>
      <c r="U850" s="26">
        <v>6.7167665850000002</v>
      </c>
      <c r="V850" s="26">
        <v>-73.011626969999995</v>
      </c>
    </row>
    <row r="851" spans="14:22" ht="15" customHeight="1">
      <c r="N851" s="14"/>
      <c r="O851" s="14"/>
      <c r="S851" s="103" t="s">
        <v>12726</v>
      </c>
      <c r="T851" s="103" t="s">
        <v>12713</v>
      </c>
      <c r="U851" s="26">
        <v>5.9556173269999997</v>
      </c>
      <c r="V851" s="26">
        <v>-73.623452290000003</v>
      </c>
    </row>
    <row r="852" spans="14:22" ht="15" customHeight="1">
      <c r="N852" s="14"/>
      <c r="O852" s="14"/>
      <c r="S852" s="103" t="s">
        <v>12726</v>
      </c>
      <c r="T852" s="103" t="s">
        <v>13993</v>
      </c>
      <c r="U852" s="26">
        <v>6.6470625429999997</v>
      </c>
      <c r="V852" s="26">
        <v>-73.215184660000006</v>
      </c>
    </row>
    <row r="853" spans="14:22" ht="15" customHeight="1">
      <c r="N853" s="14"/>
      <c r="O853" s="14"/>
      <c r="S853" s="103" t="s">
        <v>12726</v>
      </c>
      <c r="T853" s="103" t="s">
        <v>13994</v>
      </c>
      <c r="U853" s="26">
        <v>7.0540745579999999</v>
      </c>
      <c r="V853" s="26">
        <v>-73.782116459999997</v>
      </c>
    </row>
    <row r="854" spans="14:22" ht="15" customHeight="1">
      <c r="N854" s="14"/>
      <c r="O854" s="14"/>
      <c r="S854" s="103" t="s">
        <v>12726</v>
      </c>
      <c r="T854" s="103" t="s">
        <v>12725</v>
      </c>
      <c r="U854" s="26">
        <v>7.0332558860000001</v>
      </c>
      <c r="V854" s="26">
        <v>-73.378723879999995</v>
      </c>
    </row>
    <row r="855" spans="14:22" ht="15" customHeight="1">
      <c r="N855" s="14"/>
      <c r="O855" s="14"/>
      <c r="S855" s="103" t="s">
        <v>12726</v>
      </c>
      <c r="T855" s="103" t="s">
        <v>12646</v>
      </c>
      <c r="U855" s="26">
        <v>6.1817155860000002</v>
      </c>
      <c r="V855" s="26">
        <v>-73.920657030000001</v>
      </c>
    </row>
    <row r="856" spans="14:22" ht="15" customHeight="1">
      <c r="N856" s="14"/>
      <c r="O856" s="14"/>
      <c r="S856" s="103" t="s">
        <v>12726</v>
      </c>
      <c r="T856" s="103" t="s">
        <v>13609</v>
      </c>
      <c r="U856" s="26">
        <v>6.5625436730000004</v>
      </c>
      <c r="V856" s="26">
        <v>-73.250348919999993</v>
      </c>
    </row>
    <row r="857" spans="14:22" ht="15" customHeight="1">
      <c r="N857" s="14"/>
      <c r="O857" s="14"/>
      <c r="S857" s="103" t="s">
        <v>12726</v>
      </c>
      <c r="T857" s="103" t="s">
        <v>13995</v>
      </c>
      <c r="U857" s="26">
        <v>7.3315654429999997</v>
      </c>
      <c r="V857" s="26">
        <v>-72.95131825</v>
      </c>
    </row>
    <row r="858" spans="14:22" ht="15" customHeight="1">
      <c r="N858" s="14"/>
      <c r="O858" s="14"/>
      <c r="S858" s="103" t="s">
        <v>12726</v>
      </c>
      <c r="T858" s="103" t="s">
        <v>13996</v>
      </c>
      <c r="U858" s="26">
        <v>6.5202000949999999</v>
      </c>
      <c r="V858" s="26">
        <v>-72.674352029999994</v>
      </c>
    </row>
    <row r="859" spans="14:22" ht="15" customHeight="1">
      <c r="N859" s="14"/>
      <c r="O859" s="14"/>
      <c r="S859" s="103" t="s">
        <v>12726</v>
      </c>
      <c r="T859" s="103" t="s">
        <v>13997</v>
      </c>
      <c r="U859" s="26">
        <v>6.6596752739999996</v>
      </c>
      <c r="V859" s="26">
        <v>-72.569684339999995</v>
      </c>
    </row>
    <row r="860" spans="14:22" ht="15" customHeight="1">
      <c r="N860" s="14"/>
      <c r="O860" s="14"/>
      <c r="S860" s="103" t="s">
        <v>12726</v>
      </c>
      <c r="T860" s="103" t="s">
        <v>13998</v>
      </c>
      <c r="U860" s="26">
        <v>6.7524655329999996</v>
      </c>
      <c r="V860" s="26">
        <v>-72.929246289999995</v>
      </c>
    </row>
    <row r="861" spans="14:22" ht="15" customHeight="1">
      <c r="N861" s="14"/>
      <c r="O861" s="14"/>
      <c r="S861" s="103" t="s">
        <v>12726</v>
      </c>
      <c r="T861" s="103" t="s">
        <v>13999</v>
      </c>
      <c r="U861" s="26">
        <v>6.9039231729999999</v>
      </c>
      <c r="V861" s="26">
        <v>-72.645363239999995</v>
      </c>
    </row>
    <row r="862" spans="14:22" ht="15" customHeight="1">
      <c r="N862" s="14"/>
      <c r="O862" s="14"/>
      <c r="S862" s="103" t="s">
        <v>12726</v>
      </c>
      <c r="T862" s="103" t="s">
        <v>14000</v>
      </c>
      <c r="U862" s="26">
        <v>6.3509981900000003</v>
      </c>
      <c r="V862" s="26">
        <v>-73.061013819999999</v>
      </c>
    </row>
    <row r="863" spans="14:22" ht="15" customHeight="1">
      <c r="N863" s="14"/>
      <c r="O863" s="14"/>
      <c r="S863" s="103" t="s">
        <v>12726</v>
      </c>
      <c r="T863" s="103" t="s">
        <v>14001</v>
      </c>
      <c r="U863" s="26">
        <v>7.2829730010000002</v>
      </c>
      <c r="V863" s="26">
        <v>-72.978290569999999</v>
      </c>
    </row>
    <row r="864" spans="14:22" ht="15" customHeight="1">
      <c r="N864" s="14"/>
      <c r="O864" s="14"/>
      <c r="S864" s="103" t="s">
        <v>12726</v>
      </c>
      <c r="T864" s="103" t="s">
        <v>14002</v>
      </c>
      <c r="U864" s="26">
        <v>6.3616276410000001</v>
      </c>
      <c r="V864" s="26">
        <v>-73.401721440000003</v>
      </c>
    </row>
    <row r="865" spans="14:22" ht="15" customHeight="1">
      <c r="N865" s="14"/>
      <c r="O865" s="14"/>
      <c r="S865" s="103" t="s">
        <v>12726</v>
      </c>
      <c r="T865" s="103" t="s">
        <v>14003</v>
      </c>
      <c r="U865" s="26">
        <v>6.067944658</v>
      </c>
      <c r="V865" s="26">
        <v>-73.632391319999996</v>
      </c>
    </row>
    <row r="866" spans="14:22" ht="15" customHeight="1">
      <c r="N866" s="14"/>
      <c r="O866" s="14"/>
      <c r="S866" s="103" t="s">
        <v>12726</v>
      </c>
      <c r="T866" s="103" t="s">
        <v>14004</v>
      </c>
      <c r="U866" s="26">
        <v>6.4097296100000003</v>
      </c>
      <c r="V866" s="26">
        <v>-74.170304270000003</v>
      </c>
    </row>
    <row r="867" spans="14:22" ht="15" customHeight="1">
      <c r="N867" s="14"/>
      <c r="O867" s="14"/>
      <c r="S867" s="103" t="s">
        <v>12726</v>
      </c>
      <c r="T867" s="103" t="s">
        <v>12773</v>
      </c>
      <c r="U867" s="26">
        <v>6.7606233700000002</v>
      </c>
      <c r="V867" s="26">
        <v>-72.618157350000004</v>
      </c>
    </row>
    <row r="868" spans="14:22" ht="15" customHeight="1">
      <c r="N868" s="14"/>
      <c r="O868" s="14"/>
      <c r="S868" s="103" t="s">
        <v>12726</v>
      </c>
      <c r="T868" s="103" t="s">
        <v>14005</v>
      </c>
      <c r="U868" s="26">
        <v>6.3423144430000002</v>
      </c>
      <c r="V868" s="26">
        <v>-73.250140130000005</v>
      </c>
    </row>
    <row r="869" spans="14:22" ht="15" customHeight="1">
      <c r="N869" s="14"/>
      <c r="O869" s="14"/>
      <c r="S869" s="103" t="s">
        <v>12726</v>
      </c>
      <c r="T869" s="103" t="s">
        <v>14006</v>
      </c>
      <c r="U869" s="26">
        <v>6.3031166110000001</v>
      </c>
      <c r="V869" s="26">
        <v>-73.502115270000004</v>
      </c>
    </row>
    <row r="870" spans="14:22" ht="15" customHeight="1">
      <c r="N870" s="14"/>
      <c r="O870" s="14"/>
      <c r="S870" s="103" t="s">
        <v>12726</v>
      </c>
      <c r="T870" s="103" t="s">
        <v>14007</v>
      </c>
      <c r="U870" s="26">
        <v>6.2347357790000002</v>
      </c>
      <c r="V870" s="26">
        <v>-72.981768029999998</v>
      </c>
    </row>
    <row r="871" spans="14:22" ht="15" customHeight="1">
      <c r="N871" s="14"/>
      <c r="O871" s="14"/>
      <c r="S871" s="103" t="s">
        <v>12726</v>
      </c>
      <c r="T871" s="103" t="s">
        <v>14008</v>
      </c>
      <c r="U871" s="26">
        <v>6.6089664829999997</v>
      </c>
      <c r="V871" s="26">
        <v>-73.058978879999998</v>
      </c>
    </row>
    <row r="872" spans="14:22" ht="15" customHeight="1">
      <c r="N872" s="14"/>
      <c r="O872" s="14"/>
      <c r="S872" s="103" t="s">
        <v>12726</v>
      </c>
      <c r="T872" s="103" t="s">
        <v>14009</v>
      </c>
      <c r="U872" s="26">
        <v>6.6642600019999998</v>
      </c>
      <c r="V872" s="26">
        <v>-73.56475288</v>
      </c>
    </row>
    <row r="873" spans="14:22" ht="15" customHeight="1">
      <c r="N873" s="14"/>
      <c r="O873" s="14"/>
      <c r="S873" s="103" t="s">
        <v>12726</v>
      </c>
      <c r="T873" s="103" t="s">
        <v>14010</v>
      </c>
      <c r="U873" s="26">
        <v>6.236115743</v>
      </c>
      <c r="V873" s="26">
        <v>-73.497760499999998</v>
      </c>
    </row>
    <row r="874" spans="14:22" ht="15" customHeight="1">
      <c r="N874" s="14"/>
      <c r="O874" s="14"/>
      <c r="S874" s="103" t="s">
        <v>12726</v>
      </c>
      <c r="T874" s="103" t="s">
        <v>13018</v>
      </c>
      <c r="U874" s="26">
        <v>6.1233896909999999</v>
      </c>
      <c r="V874" s="26">
        <v>-74.000403969999994</v>
      </c>
    </row>
    <row r="875" spans="14:22" ht="15" customHeight="1">
      <c r="N875" s="14"/>
      <c r="O875" s="14"/>
      <c r="S875" s="103" t="s">
        <v>12726</v>
      </c>
      <c r="T875" s="103" t="s">
        <v>14011</v>
      </c>
      <c r="U875" s="26">
        <v>7.5242847209999999</v>
      </c>
      <c r="V875" s="26">
        <v>-73.181581919999999</v>
      </c>
    </row>
    <row r="876" spans="14:22" ht="15" customHeight="1">
      <c r="N876" s="14"/>
      <c r="O876" s="14"/>
      <c r="S876" s="103" t="s">
        <v>12726</v>
      </c>
      <c r="T876" s="103" t="s">
        <v>14012</v>
      </c>
      <c r="U876" s="26">
        <v>6.0790612240000002</v>
      </c>
      <c r="V876" s="26">
        <v>-73.062066650000006</v>
      </c>
    </row>
    <row r="877" spans="14:22" ht="15" customHeight="1">
      <c r="N877" s="14"/>
      <c r="O877" s="14"/>
      <c r="S877" s="103" t="s">
        <v>12726</v>
      </c>
      <c r="T877" s="103" t="s">
        <v>14013</v>
      </c>
      <c r="U877" s="26">
        <v>6.6582411500000003</v>
      </c>
      <c r="V877" s="26">
        <v>-72.680279389999995</v>
      </c>
    </row>
    <row r="878" spans="14:22" ht="15" customHeight="1">
      <c r="N878" s="14"/>
      <c r="O878" s="14"/>
      <c r="S878" s="103" t="s">
        <v>12726</v>
      </c>
      <c r="T878" s="103" t="s">
        <v>14014</v>
      </c>
      <c r="U878" s="26">
        <v>5.801106291</v>
      </c>
      <c r="V878" s="26">
        <v>-73.955249309999999</v>
      </c>
    </row>
    <row r="879" spans="14:22" ht="15" customHeight="1">
      <c r="N879" s="14"/>
      <c r="O879" s="14"/>
      <c r="S879" s="103" t="s">
        <v>12726</v>
      </c>
      <c r="T879" s="103" t="s">
        <v>14015</v>
      </c>
      <c r="U879" s="26">
        <v>7.0797045980000002</v>
      </c>
      <c r="V879" s="26">
        <v>-73.067992500000003</v>
      </c>
    </row>
    <row r="880" spans="14:22" ht="15" customHeight="1">
      <c r="N880" s="14"/>
      <c r="O880" s="14"/>
      <c r="S880" s="103" t="s">
        <v>12726</v>
      </c>
      <c r="T880" s="103" t="s">
        <v>14016</v>
      </c>
      <c r="U880" s="26">
        <v>6.6718109940000003</v>
      </c>
      <c r="V880" s="26">
        <v>-73.324671240000001</v>
      </c>
    </row>
    <row r="881" spans="14:22" ht="15" customHeight="1">
      <c r="N881" s="14"/>
      <c r="O881" s="14"/>
      <c r="S881" s="103" t="s">
        <v>12726</v>
      </c>
      <c r="T881" s="103" t="s">
        <v>14017</v>
      </c>
      <c r="U881" s="26">
        <v>5.9243835579999997</v>
      </c>
      <c r="V881" s="26">
        <v>-73.319399340000004</v>
      </c>
    </row>
    <row r="882" spans="14:22" ht="15" customHeight="1">
      <c r="N882" s="14"/>
      <c r="O882" s="14"/>
      <c r="S882" s="103" t="s">
        <v>12726</v>
      </c>
      <c r="T882" s="103" t="s">
        <v>14018</v>
      </c>
      <c r="U882" s="26">
        <v>6.9767341270000003</v>
      </c>
      <c r="V882" s="26">
        <v>-73.205267000000006</v>
      </c>
    </row>
    <row r="883" spans="14:22" ht="15" customHeight="1">
      <c r="N883" s="14"/>
      <c r="O883" s="14"/>
      <c r="S883" s="103" t="s">
        <v>12726</v>
      </c>
      <c r="T883" s="103" t="s">
        <v>14019</v>
      </c>
      <c r="U883" s="26">
        <v>6.9434341000000002</v>
      </c>
      <c r="V883" s="26">
        <v>-72.823698730000004</v>
      </c>
    </row>
    <row r="884" spans="14:22" ht="15" customHeight="1">
      <c r="N884" s="14"/>
      <c r="O884" s="14"/>
      <c r="S884" s="103" t="s">
        <v>12726</v>
      </c>
      <c r="T884" s="103" t="s">
        <v>12803</v>
      </c>
      <c r="U884" s="26">
        <v>6.2332782480000004</v>
      </c>
      <c r="V884" s="26">
        <v>-73.40977445</v>
      </c>
    </row>
    <row r="885" spans="14:22" ht="15" customHeight="1">
      <c r="N885" s="14"/>
      <c r="O885" s="14"/>
      <c r="S885" s="103" t="s">
        <v>12726</v>
      </c>
      <c r="T885" s="103" t="s">
        <v>14020</v>
      </c>
      <c r="U885" s="26">
        <v>6.3192998649999996</v>
      </c>
      <c r="V885" s="26">
        <v>-73.331152750000001</v>
      </c>
    </row>
    <row r="886" spans="14:22" ht="15" customHeight="1">
      <c r="N886" s="14"/>
      <c r="O886" s="14"/>
      <c r="S886" s="103" t="s">
        <v>12726</v>
      </c>
      <c r="T886" s="103" t="s">
        <v>14021</v>
      </c>
      <c r="U886" s="26">
        <v>5.9448948440000002</v>
      </c>
      <c r="V886" s="26">
        <v>-73.721736710000002</v>
      </c>
    </row>
    <row r="887" spans="14:22" ht="15" customHeight="1">
      <c r="N887" s="14"/>
      <c r="O887" s="14"/>
      <c r="S887" s="103" t="s">
        <v>12726</v>
      </c>
      <c r="T887" s="103" t="s">
        <v>14022</v>
      </c>
      <c r="U887" s="26">
        <v>6.0465614800000003</v>
      </c>
      <c r="V887" s="26">
        <v>-73.578478540000006</v>
      </c>
    </row>
    <row r="888" spans="14:22" ht="15" customHeight="1">
      <c r="N888" s="14"/>
      <c r="O888" s="14"/>
      <c r="S888" s="103" t="s">
        <v>12726</v>
      </c>
      <c r="T888" s="103" t="s">
        <v>14023</v>
      </c>
      <c r="U888" s="26">
        <v>6.5598782990000002</v>
      </c>
      <c r="V888" s="26">
        <v>-73.361788410000003</v>
      </c>
    </row>
    <row r="889" spans="14:22" ht="15" customHeight="1">
      <c r="N889" s="14"/>
      <c r="O889" s="14"/>
      <c r="S889" s="103" t="s">
        <v>12726</v>
      </c>
      <c r="T889" s="103" t="s">
        <v>14024</v>
      </c>
      <c r="U889" s="26">
        <v>5.8727058960000003</v>
      </c>
      <c r="V889" s="26">
        <v>-73.789974189999995</v>
      </c>
    </row>
    <row r="890" spans="14:22" ht="15" customHeight="1">
      <c r="N890" s="14"/>
      <c r="O890" s="14"/>
      <c r="S890" s="103" t="s">
        <v>12726</v>
      </c>
      <c r="T890" s="103" t="s">
        <v>14025</v>
      </c>
      <c r="U890" s="26">
        <v>6.7108148459999999</v>
      </c>
      <c r="V890" s="26">
        <v>-73.121123600000004</v>
      </c>
    </row>
    <row r="891" spans="14:22" ht="15" customHeight="1">
      <c r="N891" s="14"/>
      <c r="O891" s="14"/>
      <c r="S891" s="103" t="s">
        <v>12726</v>
      </c>
      <c r="T891" s="103" t="s">
        <v>14026</v>
      </c>
      <c r="U891" s="26">
        <v>5.8957243410000002</v>
      </c>
      <c r="V891" s="26">
        <v>-74.046765750000006</v>
      </c>
    </row>
    <row r="892" spans="14:22" ht="15" customHeight="1">
      <c r="N892" s="14"/>
      <c r="O892" s="14"/>
      <c r="S892" s="103" t="s">
        <v>12726</v>
      </c>
      <c r="T892" s="103" t="s">
        <v>14027</v>
      </c>
      <c r="U892" s="26">
        <v>6.3852348140000004</v>
      </c>
      <c r="V892" s="26">
        <v>-73.787608989999995</v>
      </c>
    </row>
    <row r="893" spans="14:22" ht="15" customHeight="1">
      <c r="N893" s="14"/>
      <c r="O893" s="14"/>
      <c r="S893" s="103" t="s">
        <v>12726</v>
      </c>
      <c r="T893" s="103" t="s">
        <v>13525</v>
      </c>
      <c r="U893" s="26">
        <v>6.2173743699999999</v>
      </c>
      <c r="V893" s="26">
        <v>-73.629771950000006</v>
      </c>
    </row>
    <row r="894" spans="14:22" ht="15" customHeight="1">
      <c r="N894" s="14"/>
      <c r="O894" s="14"/>
      <c r="S894" s="103" t="s">
        <v>12726</v>
      </c>
      <c r="T894" s="103" t="s">
        <v>14028</v>
      </c>
      <c r="U894" s="26">
        <v>7.204060063</v>
      </c>
      <c r="V894" s="26">
        <v>-73.291380970000006</v>
      </c>
    </row>
    <row r="895" spans="14:22" ht="15" customHeight="1">
      <c r="N895" s="14"/>
      <c r="O895" s="14"/>
      <c r="S895" s="103" t="s">
        <v>12726</v>
      </c>
      <c r="T895" s="103" t="s">
        <v>14029</v>
      </c>
      <c r="U895" s="26">
        <v>6.8121629339999998</v>
      </c>
      <c r="V895" s="26">
        <v>-73.107850859999999</v>
      </c>
    </row>
    <row r="896" spans="14:22" ht="15" customHeight="1">
      <c r="N896" s="14"/>
      <c r="O896" s="14"/>
      <c r="S896" s="103" t="s">
        <v>12726</v>
      </c>
      <c r="T896" s="103" t="s">
        <v>14030</v>
      </c>
      <c r="U896" s="26">
        <v>6.5137453030000003</v>
      </c>
      <c r="V896" s="26">
        <v>-72.585364920000004</v>
      </c>
    </row>
    <row r="897" spans="14:22" ht="15" customHeight="1">
      <c r="N897" s="14"/>
      <c r="O897" s="14"/>
      <c r="S897" s="103" t="s">
        <v>12726</v>
      </c>
      <c r="T897" s="103" t="s">
        <v>14031</v>
      </c>
      <c r="U897" s="26">
        <v>6.7202223490000002</v>
      </c>
      <c r="V897" s="26">
        <v>-72.738410909999999</v>
      </c>
    </row>
    <row r="898" spans="14:22" ht="15" customHeight="1">
      <c r="N898" s="14"/>
      <c r="O898" s="14"/>
      <c r="S898" s="103" t="s">
        <v>12726</v>
      </c>
      <c r="T898" s="103" t="s">
        <v>14032</v>
      </c>
      <c r="U898" s="26">
        <v>7.348778319</v>
      </c>
      <c r="V898" s="26">
        <v>-73.054389970000003</v>
      </c>
    </row>
    <row r="899" spans="14:22" ht="15" customHeight="1">
      <c r="N899" s="14"/>
      <c r="O899" s="14"/>
      <c r="S899" s="103" t="s">
        <v>12726</v>
      </c>
      <c r="T899" s="103" t="s">
        <v>14033</v>
      </c>
      <c r="U899" s="26">
        <v>6.4925323150000001</v>
      </c>
      <c r="V899" s="26">
        <v>-72.958347720000006</v>
      </c>
    </row>
    <row r="900" spans="14:22" ht="15" customHeight="1">
      <c r="N900" s="14"/>
      <c r="O900" s="14"/>
      <c r="S900" s="103" t="s">
        <v>12726</v>
      </c>
      <c r="T900" s="103" t="s">
        <v>14034</v>
      </c>
      <c r="U900" s="26">
        <v>6.6432905590000004</v>
      </c>
      <c r="V900" s="26">
        <v>-72.819162739999996</v>
      </c>
    </row>
    <row r="901" spans="14:22" ht="15" customHeight="1">
      <c r="N901" s="14"/>
      <c r="O901" s="14"/>
      <c r="S901" s="103" t="s">
        <v>12726</v>
      </c>
      <c r="T901" s="103" t="s">
        <v>14035</v>
      </c>
      <c r="U901" s="26">
        <v>6.3553688580000003</v>
      </c>
      <c r="V901" s="26">
        <v>-73.122118330000006</v>
      </c>
    </row>
    <row r="902" spans="14:22" ht="15" customHeight="1">
      <c r="N902" s="14"/>
      <c r="O902" s="14"/>
      <c r="S902" s="103" t="s">
        <v>12726</v>
      </c>
      <c r="T902" s="103" t="s">
        <v>14036</v>
      </c>
      <c r="U902" s="26">
        <v>6.2255962159999996</v>
      </c>
      <c r="V902" s="26">
        <v>-73.279615149999998</v>
      </c>
    </row>
    <row r="903" spans="14:22" ht="15" customHeight="1">
      <c r="N903" s="14"/>
      <c r="O903" s="14"/>
      <c r="S903" s="103" t="s">
        <v>12726</v>
      </c>
      <c r="T903" s="103" t="s">
        <v>14037</v>
      </c>
      <c r="U903" s="26">
        <v>6.3351945479999996</v>
      </c>
      <c r="V903" s="26">
        <v>-72.812058379999996</v>
      </c>
    </row>
    <row r="904" spans="14:22" ht="15" customHeight="1">
      <c r="N904" s="14"/>
      <c r="O904" s="14"/>
      <c r="S904" s="103" t="s">
        <v>12726</v>
      </c>
      <c r="T904" s="103" t="s">
        <v>14038</v>
      </c>
      <c r="U904" s="26">
        <v>6.5258769640000001</v>
      </c>
      <c r="V904" s="26">
        <v>-73.282473370000005</v>
      </c>
    </row>
    <row r="905" spans="14:22" ht="15" customHeight="1">
      <c r="N905" s="14"/>
      <c r="O905" s="14"/>
      <c r="S905" s="103" t="s">
        <v>12726</v>
      </c>
      <c r="T905" s="103" t="s">
        <v>14039</v>
      </c>
      <c r="U905" s="26">
        <v>6.391750107</v>
      </c>
      <c r="V905" s="26">
        <v>-73.282731740000003</v>
      </c>
    </row>
    <row r="906" spans="14:22" ht="15" customHeight="1">
      <c r="N906" s="14"/>
      <c r="O906" s="14"/>
      <c r="S906" s="103" t="s">
        <v>12726</v>
      </c>
      <c r="T906" s="103" t="s">
        <v>14040</v>
      </c>
      <c r="U906" s="26">
        <v>6.4166311309999999</v>
      </c>
      <c r="V906" s="26">
        <v>-73.171482319999996</v>
      </c>
    </row>
    <row r="907" spans="14:22" ht="15" customHeight="1">
      <c r="N907" s="14"/>
      <c r="O907" s="14"/>
      <c r="S907" s="103" t="s">
        <v>12726</v>
      </c>
      <c r="T907" s="103" t="s">
        <v>14041</v>
      </c>
      <c r="U907" s="26">
        <v>6.9708210399999997</v>
      </c>
      <c r="V907" s="26">
        <v>-73.014811960000003</v>
      </c>
    </row>
    <row r="908" spans="14:22" ht="15" customHeight="1">
      <c r="N908" s="14"/>
      <c r="O908" s="14"/>
      <c r="S908" s="103" t="s">
        <v>12726</v>
      </c>
      <c r="T908" s="103" t="s">
        <v>14042</v>
      </c>
      <c r="U908" s="26">
        <v>6.5138926259999996</v>
      </c>
      <c r="V908" s="26">
        <v>-73.175709859999998</v>
      </c>
    </row>
    <row r="909" spans="14:22" ht="15" customHeight="1">
      <c r="N909" s="14"/>
      <c r="O909" s="14"/>
      <c r="S909" s="103" t="s">
        <v>12726</v>
      </c>
      <c r="T909" s="103" t="s">
        <v>14043</v>
      </c>
      <c r="U909" s="26">
        <v>5.8311299060000001</v>
      </c>
      <c r="V909" s="26">
        <v>-73.678418149999999</v>
      </c>
    </row>
    <row r="910" spans="14:22" ht="15" customHeight="1">
      <c r="N910" s="14"/>
      <c r="O910" s="14"/>
      <c r="S910" s="103" t="s">
        <v>12726</v>
      </c>
      <c r="T910" s="103" t="s">
        <v>14044</v>
      </c>
      <c r="U910" s="26">
        <v>6.685278856</v>
      </c>
      <c r="V910" s="26">
        <v>-73.957612560000001</v>
      </c>
    </row>
    <row r="911" spans="14:22" ht="15" customHeight="1">
      <c r="N911" s="14"/>
      <c r="O911" s="14"/>
      <c r="S911" s="103" t="s">
        <v>12726</v>
      </c>
      <c r="T911" s="103" t="s">
        <v>14045</v>
      </c>
      <c r="U911" s="26">
        <v>7.3981982569999998</v>
      </c>
      <c r="V911" s="26">
        <v>-73.835469599999996</v>
      </c>
    </row>
    <row r="912" spans="14:22" ht="15" customHeight="1">
      <c r="N912" s="14"/>
      <c r="O912" s="14"/>
      <c r="S912" s="103" t="s">
        <v>12726</v>
      </c>
      <c r="T912" s="103" t="s">
        <v>12864</v>
      </c>
      <c r="U912" s="26">
        <v>7.4742260849999997</v>
      </c>
      <c r="V912" s="26">
        <v>-73.372464170000001</v>
      </c>
    </row>
    <row r="913" spans="14:22" ht="15" customHeight="1">
      <c r="N913" s="14"/>
      <c r="O913" s="14"/>
      <c r="S913" s="103" t="s">
        <v>12726</v>
      </c>
      <c r="T913" s="103" t="s">
        <v>14046</v>
      </c>
      <c r="U913" s="26">
        <v>7.4065421999999996</v>
      </c>
      <c r="V913" s="26">
        <v>-73.571318070000004</v>
      </c>
    </row>
    <row r="914" spans="14:22" ht="15" customHeight="1">
      <c r="N914" s="14"/>
      <c r="O914" s="14"/>
      <c r="S914" s="103" t="s">
        <v>12726</v>
      </c>
      <c r="T914" s="103" t="s">
        <v>14047</v>
      </c>
      <c r="U914" s="26">
        <v>6.7964830630000002</v>
      </c>
      <c r="V914" s="26">
        <v>-72.816132019999998</v>
      </c>
    </row>
    <row r="915" spans="14:22" ht="15" customHeight="1">
      <c r="N915" s="14"/>
      <c r="O915" s="14"/>
      <c r="S915" s="103" t="s">
        <v>12726</v>
      </c>
      <c r="T915" s="103" t="s">
        <v>14048</v>
      </c>
      <c r="U915" s="26">
        <v>6.0765253550000002</v>
      </c>
      <c r="V915" s="26">
        <v>-73.552953020000004</v>
      </c>
    </row>
    <row r="916" spans="14:22" ht="15" customHeight="1">
      <c r="N916" s="14"/>
      <c r="O916" s="14"/>
      <c r="S916" s="103" t="s">
        <v>12726</v>
      </c>
      <c r="T916" s="103" t="s">
        <v>14049</v>
      </c>
      <c r="U916" s="26">
        <v>6.5507787649999996</v>
      </c>
      <c r="V916" s="26">
        <v>-73.118879109999995</v>
      </c>
    </row>
    <row r="917" spans="14:22" ht="15" customHeight="1">
      <c r="N917" s="14"/>
      <c r="O917" s="14"/>
      <c r="S917" s="103" t="s">
        <v>12726</v>
      </c>
      <c r="T917" s="103" t="s">
        <v>14050</v>
      </c>
      <c r="U917" s="26">
        <v>6.4598798229999996</v>
      </c>
      <c r="V917" s="26">
        <v>-72.854718829999996</v>
      </c>
    </row>
    <row r="918" spans="14:22" ht="15" customHeight="1">
      <c r="N918" s="14"/>
      <c r="O918" s="14"/>
      <c r="S918" s="103" t="s">
        <v>12726</v>
      </c>
      <c r="T918" s="103" t="s">
        <v>14051</v>
      </c>
      <c r="U918" s="26">
        <v>6.6294001849999997</v>
      </c>
      <c r="V918" s="26">
        <v>-72.739764230000006</v>
      </c>
    </row>
    <row r="919" spans="14:22" ht="15" customHeight="1">
      <c r="N919" s="14"/>
      <c r="O919" s="14"/>
      <c r="S919" s="103" t="s">
        <v>12726</v>
      </c>
      <c r="T919" s="103" t="s">
        <v>14052</v>
      </c>
      <c r="U919" s="26">
        <v>6.568121541</v>
      </c>
      <c r="V919" s="26">
        <v>-72.643224970000006</v>
      </c>
    </row>
    <row r="920" spans="14:22" ht="15" customHeight="1">
      <c r="N920" s="14"/>
      <c r="O920" s="14"/>
      <c r="S920" s="103" t="s">
        <v>12726</v>
      </c>
      <c r="T920" s="103" t="s">
        <v>14053</v>
      </c>
      <c r="U920" s="26">
        <v>6.8942923460000003</v>
      </c>
      <c r="V920" s="26">
        <v>-73.539003339999994</v>
      </c>
    </row>
    <row r="921" spans="14:22" ht="15" customHeight="1">
      <c r="N921" s="14"/>
      <c r="O921" s="14"/>
      <c r="S921" s="103" t="s">
        <v>12726</v>
      </c>
      <c r="T921" s="103" t="s">
        <v>12896</v>
      </c>
      <c r="U921" s="26">
        <v>6.9880847109999999</v>
      </c>
      <c r="V921" s="26">
        <v>-72.896089329999995</v>
      </c>
    </row>
    <row r="922" spans="14:22" ht="15" customHeight="1">
      <c r="N922" s="14"/>
      <c r="O922" s="14"/>
      <c r="S922" s="103" t="s">
        <v>12726</v>
      </c>
      <c r="T922" s="103" t="s">
        <v>14054</v>
      </c>
      <c r="U922" s="26">
        <v>6.4089073399999998</v>
      </c>
      <c r="V922" s="26">
        <v>-73.582066089999998</v>
      </c>
    </row>
    <row r="923" spans="14:22" ht="15" customHeight="1">
      <c r="N923" s="14"/>
      <c r="O923" s="14"/>
      <c r="S923" s="103" t="s">
        <v>12726</v>
      </c>
      <c r="T923" s="103" t="s">
        <v>14055</v>
      </c>
      <c r="U923" s="26">
        <v>6.4942315510000004</v>
      </c>
      <c r="V923" s="26">
        <v>-73.459109920000003</v>
      </c>
    </row>
    <row r="924" spans="14:22" ht="15" customHeight="1">
      <c r="N924" s="14"/>
      <c r="O924" s="14"/>
      <c r="S924" s="103" t="s">
        <v>12726</v>
      </c>
      <c r="T924" s="103" t="s">
        <v>14056</v>
      </c>
      <c r="U924" s="26">
        <v>6.462088241</v>
      </c>
      <c r="V924" s="26">
        <v>-73.244360009999994</v>
      </c>
    </row>
    <row r="925" spans="14:22" ht="15" customHeight="1">
      <c r="N925" s="14"/>
      <c r="O925" s="14"/>
      <c r="S925" s="103" t="s">
        <v>12726</v>
      </c>
      <c r="T925" s="103" t="s">
        <v>14057</v>
      </c>
      <c r="U925" s="26">
        <v>6.1014997390000003</v>
      </c>
      <c r="V925" s="26">
        <v>-73.36225795</v>
      </c>
    </row>
    <row r="926" spans="14:22" ht="15" customHeight="1">
      <c r="N926" s="14"/>
      <c r="O926" s="14"/>
      <c r="S926" s="103" t="s">
        <v>12726</v>
      </c>
      <c r="T926" s="103" t="s">
        <v>12729</v>
      </c>
      <c r="U926" s="26">
        <v>5.9832037339999999</v>
      </c>
      <c r="V926" s="26">
        <v>-73.959362350000006</v>
      </c>
    </row>
    <row r="927" spans="14:22" ht="15" customHeight="1">
      <c r="N927" s="14"/>
      <c r="O927" s="14"/>
      <c r="S927" s="103" t="s">
        <v>12726</v>
      </c>
      <c r="T927" s="103" t="s">
        <v>14058</v>
      </c>
      <c r="U927" s="26">
        <v>7.4754020629999998</v>
      </c>
      <c r="V927" s="26">
        <v>-72.987799659999993</v>
      </c>
    </row>
    <row r="928" spans="14:22" ht="15" customHeight="1">
      <c r="N928" s="14"/>
      <c r="O928" s="14"/>
      <c r="S928" s="103" t="s">
        <v>12726</v>
      </c>
      <c r="T928" s="103" t="s">
        <v>14059</v>
      </c>
      <c r="U928" s="26">
        <v>7.1708910990000003</v>
      </c>
      <c r="V928" s="26">
        <v>-72.939704430000006</v>
      </c>
    </row>
    <row r="929" spans="14:22" ht="15" customHeight="1">
      <c r="N929" s="14"/>
      <c r="O929" s="14"/>
      <c r="S929" s="103" t="s">
        <v>12726</v>
      </c>
      <c r="T929" s="103" t="s">
        <v>14060</v>
      </c>
      <c r="U929" s="26">
        <v>6.4345789189999998</v>
      </c>
      <c r="V929" s="26">
        <v>-73.109971709999996</v>
      </c>
    </row>
    <row r="930" spans="14:22" ht="15" customHeight="1">
      <c r="N930" s="14"/>
      <c r="O930" s="14"/>
      <c r="S930" s="103" t="s">
        <v>12726</v>
      </c>
      <c r="T930" s="103" t="s">
        <v>14061</v>
      </c>
      <c r="U930" s="26">
        <v>6.0074104300000002</v>
      </c>
      <c r="V930" s="26">
        <v>-73.690572560000007</v>
      </c>
    </row>
    <row r="931" spans="14:22" ht="15" customHeight="1">
      <c r="N931" s="14"/>
      <c r="O931" s="14"/>
      <c r="S931" s="103" t="s">
        <v>12726</v>
      </c>
      <c r="T931" s="103" t="s">
        <v>14062</v>
      </c>
      <c r="U931" s="26">
        <v>7.322219563</v>
      </c>
      <c r="V931" s="26">
        <v>-72.881569010000007</v>
      </c>
    </row>
    <row r="932" spans="14:22" ht="15" customHeight="1">
      <c r="N932" s="14"/>
      <c r="O932" s="14"/>
      <c r="S932" s="103" t="s">
        <v>12726</v>
      </c>
      <c r="T932" s="103" t="s">
        <v>13078</v>
      </c>
      <c r="U932" s="26">
        <v>6.6858673260000003</v>
      </c>
      <c r="V932" s="26">
        <v>-73.163969159999994</v>
      </c>
    </row>
    <row r="933" spans="14:22" ht="15" customHeight="1">
      <c r="N933" s="14"/>
      <c r="O933" s="14"/>
      <c r="S933" s="103" t="s">
        <v>12726</v>
      </c>
      <c r="T933" s="103" t="s">
        <v>14063</v>
      </c>
      <c r="U933" s="26">
        <v>6.8137255659999996</v>
      </c>
      <c r="V933" s="26">
        <v>-73.309750440000002</v>
      </c>
    </row>
    <row r="934" spans="14:22" ht="15" customHeight="1">
      <c r="N934" s="14"/>
      <c r="O934" s="14"/>
      <c r="S934" s="103" t="s">
        <v>12729</v>
      </c>
      <c r="T934" s="103" t="s">
        <v>14064</v>
      </c>
      <c r="U934" s="26">
        <v>9.3166739280000002</v>
      </c>
      <c r="V934" s="26">
        <v>-75.431749670000002</v>
      </c>
    </row>
    <row r="935" spans="14:22" ht="15" customHeight="1">
      <c r="N935" s="14"/>
      <c r="O935" s="14"/>
      <c r="S935" s="103" t="s">
        <v>12729</v>
      </c>
      <c r="T935" s="103" t="s">
        <v>13100</v>
      </c>
      <c r="U935" s="26">
        <v>9.3149722819999994</v>
      </c>
      <c r="V935" s="26">
        <v>-74.980140570000003</v>
      </c>
    </row>
    <row r="936" spans="14:22" ht="15" customHeight="1">
      <c r="N936" s="14"/>
      <c r="O936" s="14"/>
      <c r="S936" s="103" t="s">
        <v>12729</v>
      </c>
      <c r="T936" s="103" t="s">
        <v>14065</v>
      </c>
      <c r="U936" s="26">
        <v>8.7923115989999996</v>
      </c>
      <c r="V936" s="26">
        <v>-75.131910629999993</v>
      </c>
    </row>
    <row r="937" spans="14:22" ht="15" customHeight="1">
      <c r="N937" s="14"/>
      <c r="O937" s="14"/>
      <c r="S937" s="103" t="s">
        <v>12729</v>
      </c>
      <c r="T937" s="103" t="s">
        <v>14066</v>
      </c>
      <c r="U937" s="26">
        <v>9.4940434269999994</v>
      </c>
      <c r="V937" s="26">
        <v>-75.34528693</v>
      </c>
    </row>
    <row r="938" spans="14:22" ht="15" customHeight="1">
      <c r="N938" s="14"/>
      <c r="O938" s="14"/>
      <c r="S938" s="103" t="s">
        <v>12729</v>
      </c>
      <c r="T938" s="103" t="s">
        <v>14067</v>
      </c>
      <c r="U938" s="26">
        <v>9.1606242830000006</v>
      </c>
      <c r="V938" s="26">
        <v>-75.238581780000004</v>
      </c>
    </row>
    <row r="939" spans="14:22" ht="15" customHeight="1">
      <c r="N939" s="14"/>
      <c r="O939" s="14"/>
      <c r="S939" s="103" t="s">
        <v>12729</v>
      </c>
      <c r="T939" s="103" t="s">
        <v>14068</v>
      </c>
      <c r="U939" s="26">
        <v>9.3944498020000005</v>
      </c>
      <c r="V939" s="26">
        <v>-75.657491500000006</v>
      </c>
    </row>
    <row r="940" spans="14:22" ht="15" customHeight="1">
      <c r="N940" s="14"/>
      <c r="O940" s="14"/>
      <c r="S940" s="103" t="s">
        <v>12729</v>
      </c>
      <c r="T940" s="103" t="s">
        <v>14069</v>
      </c>
      <c r="U940" s="26">
        <v>9.5695845980000005</v>
      </c>
      <c r="V940" s="26">
        <v>-75.324209080000003</v>
      </c>
    </row>
    <row r="941" spans="14:22" ht="15" customHeight="1">
      <c r="N941" s="14"/>
      <c r="O941" s="14"/>
      <c r="S941" s="103" t="s">
        <v>12729</v>
      </c>
      <c r="T941" s="103" t="s">
        <v>14070</v>
      </c>
      <c r="U941" s="26">
        <v>9.036231591</v>
      </c>
      <c r="V941" s="26">
        <v>-75.145750379999996</v>
      </c>
    </row>
    <row r="942" spans="14:22" ht="15" customHeight="1">
      <c r="N942" s="14"/>
      <c r="O942" s="14"/>
      <c r="S942" s="103" t="s">
        <v>12729</v>
      </c>
      <c r="T942" s="103" t="s">
        <v>14071</v>
      </c>
      <c r="U942" s="26">
        <v>9.1351690960000003</v>
      </c>
      <c r="V942" s="26">
        <v>-74.981347060000004</v>
      </c>
    </row>
    <row r="943" spans="14:22" ht="15" customHeight="1">
      <c r="N943" s="14"/>
      <c r="O943" s="14"/>
      <c r="S943" s="103" t="s">
        <v>12729</v>
      </c>
      <c r="T943" s="103" t="s">
        <v>14072</v>
      </c>
      <c r="U943" s="26">
        <v>8.3378285230000007</v>
      </c>
      <c r="V943" s="26">
        <v>-74.687349260000005</v>
      </c>
    </row>
    <row r="944" spans="14:22" ht="15" customHeight="1">
      <c r="N944" s="14"/>
      <c r="O944" s="14"/>
      <c r="S944" s="103" t="s">
        <v>12729</v>
      </c>
      <c r="T944" s="103" t="s">
        <v>12827</v>
      </c>
      <c r="U944" s="26">
        <v>8.8119977990000002</v>
      </c>
      <c r="V944" s="26">
        <v>-75.283222120000005</v>
      </c>
    </row>
    <row r="945" spans="14:22" ht="15" customHeight="1">
      <c r="N945" s="14"/>
      <c r="O945" s="14"/>
      <c r="S945" s="103" t="s">
        <v>12729</v>
      </c>
      <c r="T945" s="103" t="s">
        <v>14073</v>
      </c>
      <c r="U945" s="26">
        <v>9.4223801169999994</v>
      </c>
      <c r="V945" s="26">
        <v>-75.213021909999995</v>
      </c>
    </row>
    <row r="946" spans="14:22" ht="15" customHeight="1">
      <c r="N946" s="14"/>
      <c r="O946" s="14"/>
      <c r="S946" s="103" t="s">
        <v>12729</v>
      </c>
      <c r="T946" s="103" t="s">
        <v>14074</v>
      </c>
      <c r="U946" s="26">
        <v>8.5461481339999992</v>
      </c>
      <c r="V946" s="26">
        <v>-74.710378829999996</v>
      </c>
    </row>
    <row r="947" spans="14:22" ht="15" customHeight="1">
      <c r="N947" s="14"/>
      <c r="O947" s="14"/>
      <c r="S947" s="103" t="s">
        <v>12729</v>
      </c>
      <c r="T947" s="103" t="s">
        <v>14075</v>
      </c>
      <c r="U947" s="26">
        <v>9.3924966849999993</v>
      </c>
      <c r="V947" s="26">
        <v>-75.327187440000003</v>
      </c>
    </row>
    <row r="948" spans="14:22" ht="15" customHeight="1">
      <c r="N948" s="14"/>
      <c r="O948" s="14"/>
      <c r="S948" s="103" t="s">
        <v>12729</v>
      </c>
      <c r="T948" s="103" t="s">
        <v>14076</v>
      </c>
      <c r="U948" s="26">
        <v>9.5496552710000007</v>
      </c>
      <c r="V948" s="26">
        <v>-75.188559159999997</v>
      </c>
    </row>
    <row r="949" spans="14:22" ht="15" customHeight="1">
      <c r="N949" s="14"/>
      <c r="O949" s="14"/>
      <c r="S949" s="103" t="s">
        <v>12729</v>
      </c>
      <c r="T949" s="103" t="s">
        <v>14077</v>
      </c>
      <c r="U949" s="26">
        <v>9.3349402930000007</v>
      </c>
      <c r="V949" s="26">
        <v>-75.561990269999995</v>
      </c>
    </row>
    <row r="950" spans="14:22" ht="15" customHeight="1">
      <c r="N950" s="14"/>
      <c r="O950" s="14"/>
      <c r="S950" s="103" t="s">
        <v>12729</v>
      </c>
      <c r="T950" s="103" t="s">
        <v>14078</v>
      </c>
      <c r="U950" s="26">
        <v>9.1651886489999992</v>
      </c>
      <c r="V950" s="26">
        <v>-75.360274219999994</v>
      </c>
    </row>
    <row r="951" spans="14:22" ht="15" customHeight="1">
      <c r="N951" s="14"/>
      <c r="O951" s="14"/>
      <c r="S951" s="103" t="s">
        <v>12729</v>
      </c>
      <c r="T951" s="103" t="s">
        <v>14079</v>
      </c>
      <c r="U951" s="26">
        <v>8.8356349190000003</v>
      </c>
      <c r="V951" s="26">
        <v>-74.964693980000007</v>
      </c>
    </row>
    <row r="952" spans="14:22" ht="15" customHeight="1">
      <c r="N952" s="14"/>
      <c r="O952" s="14"/>
      <c r="S952" s="103" t="s">
        <v>12729</v>
      </c>
      <c r="T952" s="103" t="s">
        <v>14080</v>
      </c>
      <c r="U952" s="26">
        <v>9.2920190710000004</v>
      </c>
      <c r="V952" s="26">
        <v>-75.213635789999998</v>
      </c>
    </row>
    <row r="953" spans="14:22" ht="15" customHeight="1">
      <c r="N953" s="14"/>
      <c r="O953" s="14"/>
      <c r="S953" s="103" t="s">
        <v>12729</v>
      </c>
      <c r="T953" s="103" t="s">
        <v>14081</v>
      </c>
      <c r="U953" s="26">
        <v>8.5892201020000005</v>
      </c>
      <c r="V953" s="26">
        <v>-75.172499549999998</v>
      </c>
    </row>
    <row r="954" spans="14:22" ht="15" customHeight="1">
      <c r="N954" s="14"/>
      <c r="O954" s="14"/>
      <c r="S954" s="103" t="s">
        <v>12729</v>
      </c>
      <c r="T954" s="103" t="s">
        <v>14082</v>
      </c>
      <c r="U954" s="26">
        <v>9.8145995359999993</v>
      </c>
      <c r="V954" s="26">
        <v>-75.505229189999994</v>
      </c>
    </row>
    <row r="955" spans="14:22" ht="15" customHeight="1">
      <c r="N955" s="14"/>
      <c r="O955" s="14"/>
      <c r="S955" s="103" t="s">
        <v>12729</v>
      </c>
      <c r="T955" s="103" t="s">
        <v>14083</v>
      </c>
      <c r="U955" s="26">
        <v>9.3968356380000007</v>
      </c>
      <c r="V955" s="26">
        <v>-75.037418149999993</v>
      </c>
    </row>
    <row r="956" spans="14:22" ht="15" customHeight="1">
      <c r="N956" s="14"/>
      <c r="O956" s="14"/>
      <c r="S956" s="103" t="s">
        <v>12729</v>
      </c>
      <c r="T956" s="103" t="s">
        <v>14084</v>
      </c>
      <c r="U956" s="26">
        <v>9.2562990470000006</v>
      </c>
      <c r="V956" s="26">
        <v>-75.093970889999994</v>
      </c>
    </row>
    <row r="957" spans="14:22" ht="15" customHeight="1">
      <c r="N957" s="14"/>
      <c r="O957" s="14"/>
      <c r="S957" s="103" t="s">
        <v>12729</v>
      </c>
      <c r="T957" s="103" t="s">
        <v>12729</v>
      </c>
      <c r="U957" s="26">
        <v>8.8143334769999999</v>
      </c>
      <c r="V957" s="26">
        <v>-74.747531309999999</v>
      </c>
    </row>
    <row r="958" spans="14:22" ht="15" customHeight="1">
      <c r="N958" s="14"/>
      <c r="O958" s="14"/>
      <c r="S958" s="103" t="s">
        <v>12729</v>
      </c>
      <c r="T958" s="103" t="s">
        <v>14085</v>
      </c>
      <c r="U958" s="26">
        <v>9.5338105669999997</v>
      </c>
      <c r="V958" s="26">
        <v>-75.535434690000002</v>
      </c>
    </row>
    <row r="959" spans="14:22" ht="15" customHeight="1">
      <c r="N959" s="14"/>
      <c r="O959" s="14"/>
      <c r="S959" s="103" t="s">
        <v>12729</v>
      </c>
      <c r="T959" s="103" t="s">
        <v>14086</v>
      </c>
      <c r="U959" s="26">
        <v>9.4902977160000006</v>
      </c>
      <c r="V959" s="26">
        <v>-75.444511149999997</v>
      </c>
    </row>
    <row r="960" spans="14:22" ht="15" customHeight="1">
      <c r="N960" s="14"/>
      <c r="O960" s="14"/>
      <c r="S960" s="103" t="s">
        <v>12732</v>
      </c>
      <c r="T960" s="103" t="s">
        <v>14087</v>
      </c>
      <c r="U960" s="26">
        <v>4.4519214270000003</v>
      </c>
      <c r="V960" s="26">
        <v>-75.252590999999995</v>
      </c>
    </row>
    <row r="961" spans="14:22" ht="15" customHeight="1">
      <c r="N961" s="14"/>
      <c r="O961" s="14"/>
      <c r="S961" s="103" t="s">
        <v>12732</v>
      </c>
      <c r="T961" s="103" t="s">
        <v>14088</v>
      </c>
      <c r="U961" s="26">
        <v>3.390015064</v>
      </c>
      <c r="V961" s="26">
        <v>-74.940782330000005</v>
      </c>
    </row>
    <row r="962" spans="14:22" ht="15" customHeight="1">
      <c r="N962" s="14"/>
      <c r="O962" s="14"/>
      <c r="S962" s="103" t="s">
        <v>12732</v>
      </c>
      <c r="T962" s="103" t="s">
        <v>14089</v>
      </c>
      <c r="U962" s="26">
        <v>4.5826257840000002</v>
      </c>
      <c r="V962" s="26">
        <v>-74.986306859999999</v>
      </c>
    </row>
    <row r="963" spans="14:22" ht="15" customHeight="1">
      <c r="N963" s="14"/>
      <c r="O963" s="14"/>
      <c r="S963" s="103" t="s">
        <v>12732</v>
      </c>
      <c r="T963" s="103" t="s">
        <v>14090</v>
      </c>
      <c r="U963" s="26">
        <v>4.8033652460000003</v>
      </c>
      <c r="V963" s="26">
        <v>-74.809986760000001</v>
      </c>
    </row>
    <row r="964" spans="14:22" ht="15" customHeight="1">
      <c r="N964" s="14"/>
      <c r="O964" s="14"/>
      <c r="S964" s="103" t="s">
        <v>12732</v>
      </c>
      <c r="T964" s="103" t="s">
        <v>14091</v>
      </c>
      <c r="U964" s="26">
        <v>4.6233904539999999</v>
      </c>
      <c r="V964" s="26">
        <v>-75.201654230000003</v>
      </c>
    </row>
    <row r="965" spans="14:22" ht="15" customHeight="1">
      <c r="N965" s="14"/>
      <c r="O965" s="14"/>
      <c r="S965" s="103" t="s">
        <v>12732</v>
      </c>
      <c r="T965" s="103" t="s">
        <v>14092</v>
      </c>
      <c r="U965" s="26">
        <v>5.0067589559999996</v>
      </c>
      <c r="V965" s="26">
        <v>-74.847500949999997</v>
      </c>
    </row>
    <row r="966" spans="14:22" ht="15" customHeight="1">
      <c r="N966" s="14"/>
      <c r="O966" s="14"/>
      <c r="S966" s="103" t="s">
        <v>12732</v>
      </c>
      <c r="T966" s="103" t="s">
        <v>14093</v>
      </c>
      <c r="U966" s="26">
        <v>3.37749064</v>
      </c>
      <c r="V966" s="26">
        <v>-75.613732569999996</v>
      </c>
    </row>
    <row r="967" spans="14:22" ht="15" customHeight="1">
      <c r="N967" s="14"/>
      <c r="O967" s="14"/>
      <c r="S967" s="103" t="s">
        <v>12732</v>
      </c>
      <c r="T967" s="103" t="s">
        <v>14094</v>
      </c>
      <c r="U967" s="26">
        <v>4.4069712829999999</v>
      </c>
      <c r="V967" s="26">
        <v>-75.497459180000007</v>
      </c>
    </row>
    <row r="968" spans="14:22" ht="15" customHeight="1">
      <c r="N968" s="14"/>
      <c r="O968" s="14"/>
      <c r="S968" s="103" t="s">
        <v>12732</v>
      </c>
      <c r="T968" s="103" t="s">
        <v>14095</v>
      </c>
      <c r="U968" s="26">
        <v>4.1234167949999998</v>
      </c>
      <c r="V968" s="26">
        <v>-74.747002460000004</v>
      </c>
    </row>
    <row r="969" spans="14:22" ht="15" customHeight="1">
      <c r="N969" s="14"/>
      <c r="O969" s="14"/>
      <c r="S969" s="103" t="s">
        <v>12732</v>
      </c>
      <c r="T969" s="103" t="s">
        <v>14096</v>
      </c>
      <c r="U969" s="26">
        <v>5.0070039480000004</v>
      </c>
      <c r="V969" s="26">
        <v>-75.194577030000005</v>
      </c>
    </row>
    <row r="970" spans="14:22" ht="15" customHeight="1">
      <c r="N970" s="14"/>
      <c r="O970" s="14"/>
      <c r="S970" s="103" t="s">
        <v>12732</v>
      </c>
      <c r="T970" s="103" t="s">
        <v>14097</v>
      </c>
      <c r="U970" s="26">
        <v>3.7436930839999998</v>
      </c>
      <c r="V970" s="26">
        <v>-75.58986634</v>
      </c>
    </row>
    <row r="971" spans="14:22" ht="15" customHeight="1">
      <c r="N971" s="14"/>
      <c r="O971" s="14"/>
      <c r="S971" s="103" t="s">
        <v>12732</v>
      </c>
      <c r="T971" s="103" t="s">
        <v>14098</v>
      </c>
      <c r="U971" s="26">
        <v>4.3156038670000001</v>
      </c>
      <c r="V971" s="26">
        <v>-74.914702559999995</v>
      </c>
    </row>
    <row r="972" spans="14:22" ht="15" customHeight="1">
      <c r="N972" s="14"/>
      <c r="O972" s="14"/>
      <c r="S972" s="103" t="s">
        <v>12732</v>
      </c>
      <c r="T972" s="103" t="s">
        <v>14099</v>
      </c>
      <c r="U972" s="26">
        <v>3.7754902709999998</v>
      </c>
      <c r="V972" s="26">
        <v>-75.147202129999997</v>
      </c>
    </row>
    <row r="973" spans="14:22" ht="15" customHeight="1">
      <c r="N973" s="14"/>
      <c r="O973" s="14"/>
      <c r="S973" s="103" t="s">
        <v>12732</v>
      </c>
      <c r="T973" s="103" t="s">
        <v>14100</v>
      </c>
      <c r="U973" s="26">
        <v>3.98252395</v>
      </c>
      <c r="V973" s="26">
        <v>-74.689369080000006</v>
      </c>
    </row>
    <row r="974" spans="14:22" ht="15" customHeight="1">
      <c r="N974" s="14"/>
      <c r="O974" s="14"/>
      <c r="S974" s="103" t="s">
        <v>12732</v>
      </c>
      <c r="T974" s="103" t="s">
        <v>14101</v>
      </c>
      <c r="U974" s="26">
        <v>3.5978632739999998</v>
      </c>
      <c r="V974" s="26">
        <v>-74.802566740000003</v>
      </c>
    </row>
    <row r="975" spans="14:22" ht="15" customHeight="1">
      <c r="N975" s="14"/>
      <c r="O975" s="14"/>
      <c r="S975" s="103" t="s">
        <v>12732</v>
      </c>
      <c r="T975" s="103" t="s">
        <v>14102</v>
      </c>
      <c r="U975" s="26">
        <v>4.1664769689999996</v>
      </c>
      <c r="V975" s="26">
        <v>-74.893529409999999</v>
      </c>
    </row>
    <row r="976" spans="14:22" ht="15" customHeight="1">
      <c r="N976" s="14"/>
      <c r="O976" s="14"/>
      <c r="S976" s="103" t="s">
        <v>12732</v>
      </c>
      <c r="T976" s="103" t="s">
        <v>14103</v>
      </c>
      <c r="U976" s="26">
        <v>5.0792565979999997</v>
      </c>
      <c r="V976" s="26">
        <v>-74.957033719999998</v>
      </c>
    </row>
    <row r="977" spans="14:22" ht="15" customHeight="1">
      <c r="N977" s="14"/>
      <c r="O977" s="14"/>
      <c r="S977" s="103" t="s">
        <v>12732</v>
      </c>
      <c r="T977" s="103" t="s">
        <v>14104</v>
      </c>
      <c r="U977" s="26">
        <v>4.2428132569999999</v>
      </c>
      <c r="V977" s="26">
        <v>-74.837086380000002</v>
      </c>
    </row>
    <row r="978" spans="14:22" ht="15" customHeight="1">
      <c r="N978" s="14"/>
      <c r="O978" s="14"/>
      <c r="S978" s="103" t="s">
        <v>12732</v>
      </c>
      <c r="T978" s="103" t="s">
        <v>14105</v>
      </c>
      <c r="U978" s="26">
        <v>5.1866948119999998</v>
      </c>
      <c r="V978" s="26">
        <v>-75.052289950000002</v>
      </c>
    </row>
    <row r="979" spans="14:22" ht="15" customHeight="1">
      <c r="N979" s="14"/>
      <c r="O979" s="14"/>
      <c r="S979" s="103" t="s">
        <v>12732</v>
      </c>
      <c r="T979" s="103" t="s">
        <v>14106</v>
      </c>
      <c r="U979" s="26">
        <v>4.0765013410000002</v>
      </c>
      <c r="V979" s="26">
        <v>-74.976572869999998</v>
      </c>
    </row>
    <row r="980" spans="14:22" ht="15" customHeight="1">
      <c r="N980" s="14"/>
      <c r="O980" s="14"/>
      <c r="S980" s="103" t="s">
        <v>12732</v>
      </c>
      <c r="T980" s="103" t="s">
        <v>14107</v>
      </c>
      <c r="U980" s="26">
        <v>5.0685537829999996</v>
      </c>
      <c r="V980" s="26">
        <v>-75.243229589999999</v>
      </c>
    </row>
    <row r="981" spans="14:22" ht="15" customHeight="1">
      <c r="N981" s="14"/>
      <c r="O981" s="14"/>
      <c r="S981" s="103" t="s">
        <v>12732</v>
      </c>
      <c r="T981" s="103" t="s">
        <v>14108</v>
      </c>
      <c r="U981" s="26">
        <v>5.179416561</v>
      </c>
      <c r="V981" s="26">
        <v>-74.783030940000003</v>
      </c>
    </row>
    <row r="982" spans="14:22" ht="15" customHeight="1">
      <c r="N982" s="14"/>
      <c r="O982" s="14"/>
      <c r="S982" s="103" t="s">
        <v>12732</v>
      </c>
      <c r="T982" s="103" t="s">
        <v>14109</v>
      </c>
      <c r="U982" s="26">
        <v>4.1332763689999998</v>
      </c>
      <c r="V982" s="26">
        <v>-74.539642569999998</v>
      </c>
    </row>
    <row r="983" spans="14:22" ht="15" customHeight="1">
      <c r="N983" s="14"/>
      <c r="O983" s="14"/>
      <c r="S983" s="103" t="s">
        <v>12732</v>
      </c>
      <c r="T983" s="103" t="s">
        <v>14110</v>
      </c>
      <c r="U983" s="26">
        <v>4.8660345920000001</v>
      </c>
      <c r="V983" s="26">
        <v>-74.923371779999997</v>
      </c>
    </row>
    <row r="984" spans="14:22" ht="15" customHeight="1">
      <c r="N984" s="14"/>
      <c r="O984" s="14"/>
      <c r="S984" s="103" t="s">
        <v>12732</v>
      </c>
      <c r="T984" s="103" t="s">
        <v>14111</v>
      </c>
      <c r="U984" s="26">
        <v>4.8779367550000003</v>
      </c>
      <c r="V984" s="26">
        <v>-75.047630760000004</v>
      </c>
    </row>
    <row r="985" spans="14:22" ht="15" customHeight="1">
      <c r="N985" s="14"/>
      <c r="O985" s="14"/>
      <c r="S985" s="103" t="s">
        <v>12732</v>
      </c>
      <c r="T985" s="103" t="s">
        <v>14112</v>
      </c>
      <c r="U985" s="26">
        <v>5.2353225930000002</v>
      </c>
      <c r="V985" s="26">
        <v>-74.906680890000004</v>
      </c>
    </row>
    <row r="986" spans="14:22" ht="15" customHeight="1">
      <c r="N986" s="14"/>
      <c r="O986" s="14"/>
      <c r="S986" s="103" t="s">
        <v>12732</v>
      </c>
      <c r="T986" s="103" t="s">
        <v>14113</v>
      </c>
      <c r="U986" s="26">
        <v>4.1932154979999998</v>
      </c>
      <c r="V986" s="26">
        <v>-74.605174969999993</v>
      </c>
    </row>
    <row r="987" spans="14:22" ht="15" customHeight="1">
      <c r="N987" s="14"/>
      <c r="O987" s="14"/>
      <c r="S987" s="103" t="s">
        <v>12732</v>
      </c>
      <c r="T987" s="103" t="s">
        <v>14114</v>
      </c>
      <c r="U987" s="26">
        <v>4.8267344679999997</v>
      </c>
      <c r="V987" s="26">
        <v>-75.219939870000005</v>
      </c>
    </row>
    <row r="988" spans="14:22" ht="15" customHeight="1">
      <c r="N988" s="14"/>
      <c r="O988" s="14"/>
      <c r="S988" s="103" t="s">
        <v>12732</v>
      </c>
      <c r="T988" s="103" t="s">
        <v>14115</v>
      </c>
      <c r="U988" s="26">
        <v>3.540518203</v>
      </c>
      <c r="V988" s="26">
        <v>-75.122009989999995</v>
      </c>
    </row>
    <row r="989" spans="14:22" ht="15" customHeight="1">
      <c r="N989" s="14"/>
      <c r="O989" s="14"/>
      <c r="S989" s="103" t="s">
        <v>12732</v>
      </c>
      <c r="T989" s="103" t="s">
        <v>14116</v>
      </c>
      <c r="U989" s="26">
        <v>3.9377939620000002</v>
      </c>
      <c r="V989" s="26">
        <v>-75.278243140000001</v>
      </c>
    </row>
    <row r="990" spans="14:22" ht="15" customHeight="1">
      <c r="N990" s="14"/>
      <c r="O990" s="14"/>
      <c r="S990" s="103" t="s">
        <v>12732</v>
      </c>
      <c r="T990" s="103" t="s">
        <v>14117</v>
      </c>
      <c r="U990" s="26">
        <v>5.0940357369999996</v>
      </c>
      <c r="V990" s="26">
        <v>-75.0184505</v>
      </c>
    </row>
    <row r="991" spans="14:22" ht="15" customHeight="1">
      <c r="N991" s="14"/>
      <c r="O991" s="14"/>
      <c r="S991" s="103" t="s">
        <v>12732</v>
      </c>
      <c r="T991" s="103" t="s">
        <v>14118</v>
      </c>
      <c r="U991" s="26">
        <v>4.4337644459999996</v>
      </c>
      <c r="V991" s="26">
        <v>-74.998799379999994</v>
      </c>
    </row>
    <row r="992" spans="14:22" ht="15" customHeight="1">
      <c r="N992" s="14"/>
      <c r="O992" s="14"/>
      <c r="S992" s="103" t="s">
        <v>12732</v>
      </c>
      <c r="T992" s="103" t="s">
        <v>14119</v>
      </c>
      <c r="U992" s="26">
        <v>3.09897343</v>
      </c>
      <c r="V992" s="26">
        <v>-75.816844130000007</v>
      </c>
    </row>
    <row r="993" spans="14:22" ht="15" customHeight="1">
      <c r="N993" s="14"/>
      <c r="O993" s="14"/>
      <c r="S993" s="103" t="s">
        <v>12732</v>
      </c>
      <c r="T993" s="103" t="s">
        <v>14120</v>
      </c>
      <c r="U993" s="26">
        <v>3.7291666490000002</v>
      </c>
      <c r="V993" s="26">
        <v>-74.872477059999994</v>
      </c>
    </row>
    <row r="994" spans="14:22" ht="15" customHeight="1">
      <c r="N994" s="14"/>
      <c r="O994" s="14"/>
      <c r="S994" s="103" t="s">
        <v>12732</v>
      </c>
      <c r="T994" s="103" t="s">
        <v>14121</v>
      </c>
      <c r="U994" s="26">
        <v>3.854281614</v>
      </c>
      <c r="V994" s="26">
        <v>-74.874511549999994</v>
      </c>
    </row>
    <row r="995" spans="14:22" ht="15" customHeight="1">
      <c r="N995" s="14"/>
      <c r="O995" s="14"/>
      <c r="S995" s="103" t="s">
        <v>12732</v>
      </c>
      <c r="T995" s="103" t="s">
        <v>14122</v>
      </c>
      <c r="U995" s="26">
        <v>3.4680775480000001</v>
      </c>
      <c r="V995" s="26">
        <v>-75.854811029999993</v>
      </c>
    </row>
    <row r="996" spans="14:22" ht="15" customHeight="1">
      <c r="N996" s="14"/>
      <c r="O996" s="14"/>
      <c r="S996" s="103" t="s">
        <v>12732</v>
      </c>
      <c r="T996" s="103" t="s">
        <v>14123</v>
      </c>
      <c r="U996" s="26">
        <v>4.0978611809999999</v>
      </c>
      <c r="V996" s="26">
        <v>-75.594280269999999</v>
      </c>
    </row>
    <row r="997" spans="14:22" ht="15" customHeight="1">
      <c r="N997" s="14"/>
      <c r="O997" s="14"/>
      <c r="S997" s="103" t="s">
        <v>12732</v>
      </c>
      <c r="T997" s="103" t="s">
        <v>14124</v>
      </c>
      <c r="U997" s="26">
        <v>4.216730954</v>
      </c>
      <c r="V997" s="26">
        <v>-75.347583639999996</v>
      </c>
    </row>
    <row r="998" spans="14:22" ht="15" customHeight="1">
      <c r="N998" s="14"/>
      <c r="O998" s="14"/>
      <c r="S998" s="103" t="s">
        <v>12732</v>
      </c>
      <c r="T998" s="103" t="s">
        <v>14125</v>
      </c>
      <c r="U998" s="26">
        <v>3.912542787</v>
      </c>
      <c r="V998" s="26">
        <v>-75.018597619999994</v>
      </c>
    </row>
    <row r="999" spans="14:22" ht="15" customHeight="1">
      <c r="N999" s="14"/>
      <c r="O999" s="14"/>
      <c r="S999" s="103" t="s">
        <v>12732</v>
      </c>
      <c r="T999" s="103" t="s">
        <v>14126</v>
      </c>
      <c r="U999" s="26">
        <v>3.926088268</v>
      </c>
      <c r="V999" s="26">
        <v>-75.509910039999994</v>
      </c>
    </row>
    <row r="1000" spans="14:22" ht="15" customHeight="1">
      <c r="N1000" s="14"/>
      <c r="O1000" s="14"/>
      <c r="S1000" s="103" t="s">
        <v>12732</v>
      </c>
      <c r="T1000" s="103" t="s">
        <v>12884</v>
      </c>
      <c r="U1000" s="26">
        <v>4.0572716839999998</v>
      </c>
      <c r="V1000" s="26">
        <v>-75.163208060000002</v>
      </c>
    </row>
    <row r="1001" spans="14:22" ht="15" customHeight="1">
      <c r="N1001" s="14"/>
      <c r="O1001" s="14"/>
      <c r="S1001" s="103" t="s">
        <v>12732</v>
      </c>
      <c r="T1001" s="103" t="s">
        <v>14127</v>
      </c>
      <c r="U1001" s="26">
        <v>4.7408276220000003</v>
      </c>
      <c r="V1001" s="26">
        <v>-75.200699459999996</v>
      </c>
    </row>
    <row r="1002" spans="14:22" ht="15" customHeight="1">
      <c r="N1002" s="14"/>
      <c r="O1002" s="14"/>
      <c r="S1002" s="103" t="s">
        <v>12732</v>
      </c>
      <c r="T1002" s="103" t="s">
        <v>13472</v>
      </c>
      <c r="U1002" s="26">
        <v>3.969210629</v>
      </c>
      <c r="V1002" s="26">
        <v>-74.844487380000004</v>
      </c>
    </row>
    <row r="1003" spans="14:22" ht="15" customHeight="1">
      <c r="N1003" s="14"/>
      <c r="O1003" s="14"/>
      <c r="S1003" s="103" t="s">
        <v>12732</v>
      </c>
      <c r="T1003" s="103" t="s">
        <v>14128</v>
      </c>
      <c r="U1003" s="26">
        <v>4.1821256470000003</v>
      </c>
      <c r="V1003" s="26">
        <v>-75.171482370000007</v>
      </c>
    </row>
    <row r="1004" spans="14:22" ht="15" customHeight="1">
      <c r="N1004" s="14"/>
      <c r="O1004" s="14"/>
      <c r="S1004" s="103" t="s">
        <v>12732</v>
      </c>
      <c r="T1004" s="103" t="s">
        <v>14129</v>
      </c>
      <c r="U1004" s="26">
        <v>4.7098817200000003</v>
      </c>
      <c r="V1004" s="26">
        <v>-74.920898859999994</v>
      </c>
    </row>
    <row r="1005" spans="14:22" ht="15" customHeight="1">
      <c r="N1005" s="14"/>
      <c r="O1005" s="14"/>
      <c r="S1005" s="103" t="s">
        <v>12732</v>
      </c>
      <c r="T1005" s="103" t="s">
        <v>14130</v>
      </c>
      <c r="U1005" s="26">
        <v>4.9657534610000003</v>
      </c>
      <c r="V1005" s="26">
        <v>-75.155929689999994</v>
      </c>
    </row>
    <row r="1006" spans="14:22" ht="15" customHeight="1">
      <c r="N1006" s="14"/>
      <c r="O1006" s="14"/>
      <c r="S1006" s="103" t="s">
        <v>12732</v>
      </c>
      <c r="T1006" s="103" t="s">
        <v>14131</v>
      </c>
      <c r="U1006" s="26">
        <v>3.8543840970000001</v>
      </c>
      <c r="V1006" s="26">
        <v>-74.618966229999998</v>
      </c>
    </row>
    <row r="1007" spans="14:22" ht="15" customHeight="1">
      <c r="N1007" s="14"/>
      <c r="O1007" s="14"/>
      <c r="S1007" s="103" t="s">
        <v>12735</v>
      </c>
      <c r="T1007" s="103" t="s">
        <v>14132</v>
      </c>
      <c r="U1007" s="26">
        <v>3.3990437230000001</v>
      </c>
      <c r="V1007" s="26">
        <v>-76.576492590000001</v>
      </c>
    </row>
    <row r="1008" spans="14:22" ht="15" customHeight="1">
      <c r="N1008" s="14"/>
      <c r="O1008" s="14"/>
      <c r="S1008" s="103" t="s">
        <v>12735</v>
      </c>
      <c r="T1008" s="103" t="s">
        <v>14133</v>
      </c>
      <c r="U1008" s="26">
        <v>4.6788971000000004</v>
      </c>
      <c r="V1008" s="26">
        <v>-75.782979319999995</v>
      </c>
    </row>
    <row r="1009" spans="14:22" ht="15" customHeight="1">
      <c r="N1009" s="14"/>
      <c r="O1009" s="14"/>
      <c r="S1009" s="103" t="s">
        <v>12735</v>
      </c>
      <c r="T1009" s="103" t="s">
        <v>14134</v>
      </c>
      <c r="U1009" s="26">
        <v>4.1533142280000002</v>
      </c>
      <c r="V1009" s="26">
        <v>-76.160633410000003</v>
      </c>
    </row>
    <row r="1010" spans="14:22" ht="15" customHeight="1">
      <c r="N1010" s="14"/>
      <c r="O1010" s="14"/>
      <c r="S1010" s="103" t="s">
        <v>12735</v>
      </c>
      <c r="T1010" s="103" t="s">
        <v>14135</v>
      </c>
      <c r="U1010" s="26">
        <v>4.795927292</v>
      </c>
      <c r="V1010" s="26">
        <v>-76.029630490000002</v>
      </c>
    </row>
    <row r="1011" spans="14:22" ht="15" customHeight="1">
      <c r="N1011" s="14"/>
      <c r="O1011" s="14"/>
      <c r="S1011" s="103" t="s">
        <v>12735</v>
      </c>
      <c r="T1011" s="103" t="s">
        <v>12705</v>
      </c>
      <c r="U1011" s="26">
        <v>4.7042878640000003</v>
      </c>
      <c r="V1011" s="26">
        <v>-76.141649990000005</v>
      </c>
    </row>
    <row r="1012" spans="14:22" ht="15" customHeight="1">
      <c r="N1012" s="14"/>
      <c r="O1012" s="14"/>
      <c r="S1012" s="103" t="s">
        <v>12735</v>
      </c>
      <c r="T1012" s="103" t="s">
        <v>12646</v>
      </c>
      <c r="U1012" s="26">
        <v>4.3931188609999996</v>
      </c>
      <c r="V1012" s="26">
        <v>-76.349820390000005</v>
      </c>
    </row>
    <row r="1013" spans="14:22" ht="15" customHeight="1">
      <c r="N1013" s="14"/>
      <c r="O1013" s="14"/>
      <c r="S1013" s="103" t="s">
        <v>12735</v>
      </c>
      <c r="T1013" s="103" t="s">
        <v>14136</v>
      </c>
      <c r="U1013" s="26">
        <v>3.4933407660000002</v>
      </c>
      <c r="V1013" s="26">
        <v>-77.118728320000002</v>
      </c>
    </row>
    <row r="1014" spans="14:22" ht="15" customHeight="1">
      <c r="N1014" s="14"/>
      <c r="O1014" s="14"/>
      <c r="S1014" s="103" t="s">
        <v>12735</v>
      </c>
      <c r="T1014" s="103" t="s">
        <v>14137</v>
      </c>
      <c r="U1014" s="26">
        <v>3.819854318</v>
      </c>
      <c r="V1014" s="26">
        <v>-75.983124189999998</v>
      </c>
    </row>
    <row r="1015" spans="14:22" ht="15" customHeight="1">
      <c r="N1015" s="14"/>
      <c r="O1015" s="14"/>
      <c r="S1015" s="103" t="s">
        <v>12735</v>
      </c>
      <c r="T1015" s="103" t="s">
        <v>14138</v>
      </c>
      <c r="U1015" s="26">
        <v>4.1968529910000001</v>
      </c>
      <c r="V1015" s="26">
        <v>-76.089610300000004</v>
      </c>
    </row>
    <row r="1016" spans="14:22" ht="15" customHeight="1">
      <c r="N1016" s="14"/>
      <c r="O1016" s="14"/>
      <c r="S1016" s="103" t="s">
        <v>12735</v>
      </c>
      <c r="T1016" s="103" t="s">
        <v>14139</v>
      </c>
      <c r="U1016" s="26">
        <v>4.3089979730000003</v>
      </c>
      <c r="V1016" s="26">
        <v>-75.836725670000007</v>
      </c>
    </row>
    <row r="1017" spans="14:22" ht="15" customHeight="1">
      <c r="N1017" s="14"/>
      <c r="O1017" s="14"/>
      <c r="S1017" s="103" t="s">
        <v>12735</v>
      </c>
      <c r="T1017" s="103" t="s">
        <v>14140</v>
      </c>
      <c r="U1017" s="26">
        <v>3.9232716189999999</v>
      </c>
      <c r="V1017" s="26">
        <v>-76.642604840000004</v>
      </c>
    </row>
    <row r="1018" spans="14:22" ht="15" customHeight="1">
      <c r="N1018" s="14"/>
      <c r="O1018" s="14"/>
      <c r="S1018" s="103" t="s">
        <v>12735</v>
      </c>
      <c r="T1018" s="103" t="s">
        <v>12951</v>
      </c>
      <c r="U1018" s="26">
        <v>3.382091564</v>
      </c>
      <c r="V1018" s="26">
        <v>-76.383176629999994</v>
      </c>
    </row>
    <row r="1019" spans="14:22" ht="15" customHeight="1">
      <c r="N1019" s="14"/>
      <c r="O1019" s="14"/>
      <c r="S1019" s="103" t="s">
        <v>12735</v>
      </c>
      <c r="T1019" s="103" t="s">
        <v>14141</v>
      </c>
      <c r="U1019" s="26">
        <v>4.7068471599999997</v>
      </c>
      <c r="V1019" s="26">
        <v>-75.917908460000007</v>
      </c>
    </row>
    <row r="1020" spans="14:22" ht="15" customHeight="1">
      <c r="N1020" s="14"/>
      <c r="O1020" s="14"/>
      <c r="S1020" s="103" t="s">
        <v>12735</v>
      </c>
      <c r="T1020" s="103" t="s">
        <v>14142</v>
      </c>
      <c r="U1020" s="26">
        <v>3.6498222180000002</v>
      </c>
      <c r="V1020" s="26">
        <v>-76.720393470000005</v>
      </c>
    </row>
    <row r="1021" spans="14:22" ht="15" customHeight="1">
      <c r="N1021" s="14"/>
      <c r="O1021" s="14"/>
      <c r="S1021" s="103" t="s">
        <v>12735</v>
      </c>
      <c r="T1021" s="103" t="s">
        <v>14143</v>
      </c>
      <c r="U1021" s="26">
        <v>4.9175628729999996</v>
      </c>
      <c r="V1021" s="26">
        <v>-76.066010009999999</v>
      </c>
    </row>
    <row r="1022" spans="14:22" ht="15" customHeight="1">
      <c r="N1022" s="14"/>
      <c r="O1022" s="14"/>
      <c r="S1022" s="103" t="s">
        <v>12735</v>
      </c>
      <c r="T1022" s="103" t="s">
        <v>14144</v>
      </c>
      <c r="U1022" s="26">
        <v>4.7560637010000004</v>
      </c>
      <c r="V1022" s="26">
        <v>-76.215028259999997</v>
      </c>
    </row>
    <row r="1023" spans="14:22" ht="15" customHeight="1">
      <c r="N1023" s="14"/>
      <c r="O1023" s="14"/>
      <c r="S1023" s="103" t="s">
        <v>12735</v>
      </c>
      <c r="T1023" s="103" t="s">
        <v>14145</v>
      </c>
      <c r="U1023" s="26">
        <v>3.6560728729999998</v>
      </c>
      <c r="V1023" s="26">
        <v>-76.308417840000004</v>
      </c>
    </row>
    <row r="1024" spans="14:22" ht="15" customHeight="1">
      <c r="N1024" s="14"/>
      <c r="O1024" s="14"/>
      <c r="S1024" s="103" t="s">
        <v>12735</v>
      </c>
      <c r="T1024" s="103" t="s">
        <v>14146</v>
      </c>
      <c r="U1024" s="26">
        <v>4.5399797289999997</v>
      </c>
      <c r="V1024" s="26">
        <v>-76.287627009999994</v>
      </c>
    </row>
    <row r="1025" spans="14:22" ht="15" customHeight="1">
      <c r="N1025" s="14"/>
      <c r="O1025" s="14"/>
      <c r="S1025" s="103" t="s">
        <v>12735</v>
      </c>
      <c r="T1025" s="103" t="s">
        <v>14147</v>
      </c>
      <c r="U1025" s="26">
        <v>3.3041042950000001</v>
      </c>
      <c r="V1025" s="26">
        <v>-76.164773069999995</v>
      </c>
    </row>
    <row r="1026" spans="14:22" ht="15" customHeight="1">
      <c r="N1026" s="14"/>
      <c r="O1026" s="14"/>
      <c r="S1026" s="103" t="s">
        <v>12735</v>
      </c>
      <c r="T1026" s="103" t="s">
        <v>14148</v>
      </c>
      <c r="U1026" s="26">
        <v>3.7441044099999998</v>
      </c>
      <c r="V1026" s="26">
        <v>-76.190820040000006</v>
      </c>
    </row>
    <row r="1027" spans="14:22" ht="15" customHeight="1">
      <c r="N1027" s="14"/>
      <c r="O1027" s="14"/>
      <c r="S1027" s="103" t="s">
        <v>12735</v>
      </c>
      <c r="T1027" s="103" t="s">
        <v>14149</v>
      </c>
      <c r="U1027" s="26">
        <v>3.7594149909999999</v>
      </c>
      <c r="V1027" s="26">
        <v>-76.345182769999994</v>
      </c>
    </row>
    <row r="1028" spans="14:22" ht="15" customHeight="1">
      <c r="N1028" s="14"/>
      <c r="O1028" s="14"/>
      <c r="S1028" s="103" t="s">
        <v>12735</v>
      </c>
      <c r="T1028" s="103" t="s">
        <v>14150</v>
      </c>
      <c r="U1028" s="26">
        <v>3.2138923890000002</v>
      </c>
      <c r="V1028" s="26">
        <v>-76.627604180000006</v>
      </c>
    </row>
    <row r="1029" spans="14:22" ht="15" customHeight="1">
      <c r="N1029" s="14"/>
      <c r="O1029" s="14"/>
      <c r="S1029" s="103" t="s">
        <v>12735</v>
      </c>
      <c r="T1029" s="103" t="s">
        <v>14151</v>
      </c>
      <c r="U1029" s="26">
        <v>3.694303106</v>
      </c>
      <c r="V1029" s="26">
        <v>-76.58989905</v>
      </c>
    </row>
    <row r="1030" spans="14:22" ht="15" customHeight="1">
      <c r="N1030" s="14"/>
      <c r="O1030" s="14"/>
      <c r="S1030" s="103" t="s">
        <v>12735</v>
      </c>
      <c r="T1030" s="103" t="s">
        <v>12827</v>
      </c>
      <c r="U1030" s="26">
        <v>4.5379373909999998</v>
      </c>
      <c r="V1030" s="26">
        <v>-76.103289829999994</v>
      </c>
    </row>
    <row r="1031" spans="14:22" ht="15" customHeight="1">
      <c r="N1031" s="14"/>
      <c r="O1031" s="14"/>
      <c r="S1031" s="103" t="s">
        <v>12735</v>
      </c>
      <c r="T1031" s="103" t="s">
        <v>13174</v>
      </c>
      <c r="U1031" s="26">
        <v>4.4835111420000002</v>
      </c>
      <c r="V1031" s="26">
        <v>-75.966773029999999</v>
      </c>
    </row>
    <row r="1032" spans="14:22" ht="15" customHeight="1">
      <c r="N1032" s="14"/>
      <c r="O1032" s="14"/>
      <c r="S1032" s="103" t="s">
        <v>12735</v>
      </c>
      <c r="T1032" s="103" t="s">
        <v>14152</v>
      </c>
      <c r="U1032" s="26">
        <v>4.597588666</v>
      </c>
      <c r="V1032" s="26">
        <v>-75.949199699999994</v>
      </c>
    </row>
    <row r="1033" spans="14:22" ht="15" customHeight="1">
      <c r="N1033" s="14"/>
      <c r="O1033" s="14"/>
      <c r="S1033" s="103" t="s">
        <v>12735</v>
      </c>
      <c r="T1033" s="103" t="s">
        <v>14153</v>
      </c>
      <c r="U1033" s="26">
        <v>3.5583928760000001</v>
      </c>
      <c r="V1033" s="26">
        <v>-76.227799719999993</v>
      </c>
    </row>
    <row r="1034" spans="14:22" ht="15" customHeight="1">
      <c r="N1034" s="14"/>
      <c r="O1034" s="14"/>
      <c r="S1034" s="103" t="s">
        <v>12735</v>
      </c>
      <c r="T1034" s="103" t="s">
        <v>14154</v>
      </c>
      <c r="U1034" s="26">
        <v>3.4206366500000001</v>
      </c>
      <c r="V1034" s="26">
        <v>-76.178418410000006</v>
      </c>
    </row>
    <row r="1035" spans="14:22" ht="15" customHeight="1">
      <c r="N1035" s="14"/>
      <c r="O1035" s="14"/>
      <c r="S1035" s="103" t="s">
        <v>12735</v>
      </c>
      <c r="T1035" s="103" t="s">
        <v>13872</v>
      </c>
      <c r="U1035" s="26">
        <v>3.8064949729999999</v>
      </c>
      <c r="V1035" s="26">
        <v>-76.534898530000007</v>
      </c>
    </row>
    <row r="1036" spans="14:22" ht="15" customHeight="1">
      <c r="N1036" s="14"/>
      <c r="O1036" s="14"/>
      <c r="S1036" s="103" t="s">
        <v>12735</v>
      </c>
      <c r="T1036" s="103" t="s">
        <v>14155</v>
      </c>
      <c r="U1036" s="26">
        <v>4.1095002980000004</v>
      </c>
      <c r="V1036" s="26">
        <v>-76.371054430000001</v>
      </c>
    </row>
    <row r="1037" spans="14:22" ht="15" customHeight="1">
      <c r="N1037" s="14"/>
      <c r="O1037" s="14"/>
      <c r="S1037" s="103" t="s">
        <v>12735</v>
      </c>
      <c r="T1037" s="103" t="s">
        <v>14156</v>
      </c>
      <c r="U1037" s="26">
        <v>4.4435718480000004</v>
      </c>
      <c r="V1037" s="26">
        <v>-76.168242489999997</v>
      </c>
    </row>
    <row r="1038" spans="14:22" ht="15" customHeight="1">
      <c r="N1038" s="14"/>
      <c r="O1038" s="14"/>
      <c r="S1038" s="103" t="s">
        <v>12735</v>
      </c>
      <c r="T1038" s="103" t="s">
        <v>14083</v>
      </c>
      <c r="U1038" s="26">
        <v>3.9814324399999999</v>
      </c>
      <c r="V1038" s="26">
        <v>-76.208361679999996</v>
      </c>
    </row>
    <row r="1039" spans="14:22" ht="15" customHeight="1">
      <c r="N1039" s="14"/>
      <c r="O1039" s="14"/>
      <c r="S1039" s="103" t="s">
        <v>12735</v>
      </c>
      <c r="T1039" s="103" t="s">
        <v>14157</v>
      </c>
      <c r="U1039" s="26">
        <v>4.1934119189999999</v>
      </c>
      <c r="V1039" s="26">
        <v>-75.888181630000005</v>
      </c>
    </row>
    <row r="1040" spans="14:22" ht="15" customHeight="1">
      <c r="N1040" s="14"/>
      <c r="O1040" s="14"/>
      <c r="S1040" s="103" t="s">
        <v>12735</v>
      </c>
      <c r="T1040" s="103" t="s">
        <v>14158</v>
      </c>
      <c r="U1040" s="26">
        <v>4.6384212790000001</v>
      </c>
      <c r="V1040" s="26">
        <v>-76.081061759999997</v>
      </c>
    </row>
    <row r="1041" spans="14:22" ht="15" customHeight="1">
      <c r="N1041" s="14"/>
      <c r="O1041" s="14"/>
      <c r="S1041" s="103" t="s">
        <v>12735</v>
      </c>
      <c r="T1041" s="103" t="s">
        <v>14159</v>
      </c>
      <c r="U1041" s="26">
        <v>4.2332681159999996</v>
      </c>
      <c r="V1041" s="26">
        <v>-76.342926989999995</v>
      </c>
    </row>
    <row r="1042" spans="14:22">
      <c r="S1042" s="103" t="s">
        <v>12735</v>
      </c>
      <c r="T1042" s="103" t="s">
        <v>14160</v>
      </c>
      <c r="U1042" s="26">
        <v>4.0284079699999999</v>
      </c>
      <c r="V1042" s="26">
        <v>-76.032503790000007</v>
      </c>
    </row>
    <row r="1043" spans="14:22">
      <c r="S1043" s="103" t="s">
        <v>12735</v>
      </c>
      <c r="T1043" s="103" t="s">
        <v>14161</v>
      </c>
      <c r="U1043" s="26">
        <v>4.707718947</v>
      </c>
      <c r="V1043" s="26">
        <v>-75.778359030000004</v>
      </c>
    </row>
    <row r="1044" spans="14:22">
      <c r="S1044" s="103" t="s">
        <v>12735</v>
      </c>
      <c r="T1044" s="103" t="s">
        <v>14162</v>
      </c>
      <c r="U1044" s="26">
        <v>4.6442426409999999</v>
      </c>
      <c r="V1044" s="26">
        <v>-76.25924483</v>
      </c>
    </row>
    <row r="1045" spans="14:22">
      <c r="S1045" s="103" t="s">
        <v>12735</v>
      </c>
      <c r="T1045" s="103" t="s">
        <v>14163</v>
      </c>
      <c r="U1045" s="26">
        <v>3.7436588899999999</v>
      </c>
      <c r="V1045" s="26">
        <v>-76.47064718</v>
      </c>
    </row>
    <row r="1046" spans="14:22">
      <c r="S1046" s="103" t="s">
        <v>12735</v>
      </c>
      <c r="T1046" s="103" t="s">
        <v>14164</v>
      </c>
      <c r="U1046" s="26">
        <v>3.9041303539999999</v>
      </c>
      <c r="V1046" s="26">
        <v>-76.390804349999996</v>
      </c>
    </row>
    <row r="1047" spans="14:22">
      <c r="S1047" s="103" t="s">
        <v>12735</v>
      </c>
      <c r="T1047" s="103" t="s">
        <v>14165</v>
      </c>
      <c r="U1047" s="26">
        <v>3.5959136690000002</v>
      </c>
      <c r="V1047" s="26">
        <v>-76.510987900000003</v>
      </c>
    </row>
    <row r="1048" spans="14:22">
      <c r="S1048" s="103" t="s">
        <v>12735</v>
      </c>
      <c r="T1048" s="103" t="s">
        <v>14166</v>
      </c>
      <c r="U1048" s="26">
        <v>4.3535987499999997</v>
      </c>
      <c r="V1048" s="26">
        <v>-76.050653359999998</v>
      </c>
    </row>
    <row r="1049" spans="14:22">
      <c r="S1049" s="103" t="s">
        <v>12738</v>
      </c>
      <c r="T1049" s="103" t="s">
        <v>12738</v>
      </c>
      <c r="U1049" s="26">
        <v>6.7962808250000002</v>
      </c>
      <c r="V1049" s="26">
        <v>-70.509211530000002</v>
      </c>
    </row>
    <row r="1050" spans="14:22">
      <c r="S1050" s="103" t="s">
        <v>12738</v>
      </c>
      <c r="T1050" s="103" t="s">
        <v>14167</v>
      </c>
      <c r="U1050" s="26">
        <v>6.7993383940000003</v>
      </c>
      <c r="V1050" s="26">
        <v>-71.298274289999995</v>
      </c>
    </row>
    <row r="1051" spans="14:22">
      <c r="S1051" s="103" t="s">
        <v>12738</v>
      </c>
      <c r="T1051" s="103" t="s">
        <v>14168</v>
      </c>
      <c r="U1051" s="26">
        <v>6.39654349</v>
      </c>
      <c r="V1051" s="26">
        <v>-70.073811969999994</v>
      </c>
    </row>
    <row r="1052" spans="14:22">
      <c r="S1052" s="103" t="s">
        <v>12738</v>
      </c>
      <c r="T1052" s="103" t="s">
        <v>14169</v>
      </c>
      <c r="U1052" s="26">
        <v>6.7509072339999996</v>
      </c>
      <c r="V1052" s="26">
        <v>-71.791242409999995</v>
      </c>
    </row>
    <row r="1053" spans="14:22">
      <c r="S1053" s="103" t="s">
        <v>12738</v>
      </c>
      <c r="T1053" s="103" t="s">
        <v>14170</v>
      </c>
      <c r="U1053" s="26">
        <v>6.4117618289999996</v>
      </c>
      <c r="V1053" s="26">
        <v>-70.966789640000002</v>
      </c>
    </row>
    <row r="1054" spans="14:22">
      <c r="S1054" s="103" t="s">
        <v>12738</v>
      </c>
      <c r="T1054" s="103" t="s">
        <v>14171</v>
      </c>
      <c r="U1054" s="26">
        <v>6.9069417140000002</v>
      </c>
      <c r="V1054" s="26">
        <v>-71.850707569999997</v>
      </c>
    </row>
    <row r="1055" spans="14:22">
      <c r="S1055" s="103" t="s">
        <v>12738</v>
      </c>
      <c r="T1055" s="103" t="s">
        <v>14172</v>
      </c>
      <c r="U1055" s="26">
        <v>6.3906504789999996</v>
      </c>
      <c r="V1055" s="26">
        <v>-71.791786470000005</v>
      </c>
    </row>
    <row r="1056" spans="14:22">
      <c r="S1056" s="103" t="s">
        <v>12741</v>
      </c>
      <c r="T1056" s="103" t="s">
        <v>14173</v>
      </c>
      <c r="U1056" s="26">
        <v>5.242744761</v>
      </c>
      <c r="V1056" s="26">
        <v>-72.258028569999993</v>
      </c>
    </row>
    <row r="1057" spans="19:22">
      <c r="S1057" s="103" t="s">
        <v>12741</v>
      </c>
      <c r="T1057" s="103" t="s">
        <v>14174</v>
      </c>
      <c r="U1057" s="26">
        <v>5.126121886</v>
      </c>
      <c r="V1057" s="26">
        <v>-72.548210170000004</v>
      </c>
    </row>
    <row r="1058" spans="19:22">
      <c r="S1058" s="103" t="s">
        <v>12741</v>
      </c>
      <c r="T1058" s="103" t="s">
        <v>14175</v>
      </c>
      <c r="U1058" s="26">
        <v>5.2284534039999997</v>
      </c>
      <c r="V1058" s="26">
        <v>-72.864968039999994</v>
      </c>
    </row>
    <row r="1059" spans="19:22">
      <c r="S1059" s="103" t="s">
        <v>12741</v>
      </c>
      <c r="T1059" s="103" t="s">
        <v>14176</v>
      </c>
      <c r="U1059" s="26">
        <v>6.03948032</v>
      </c>
      <c r="V1059" s="26">
        <v>-71.524457519999999</v>
      </c>
    </row>
    <row r="1060" spans="19:22">
      <c r="S1060" s="103" t="s">
        <v>12741</v>
      </c>
      <c r="T1060" s="103" t="s">
        <v>14177</v>
      </c>
      <c r="U1060" s="26">
        <v>6.178282373</v>
      </c>
      <c r="V1060" s="26">
        <v>-72.346933770000007</v>
      </c>
    </row>
    <row r="1061" spans="19:22">
      <c r="S1061" s="103" t="s">
        <v>12741</v>
      </c>
      <c r="T1061" s="103" t="s">
        <v>14178</v>
      </c>
      <c r="U1061" s="26">
        <v>4.6757694880000003</v>
      </c>
      <c r="V1061" s="26">
        <v>-72.212802730000007</v>
      </c>
    </row>
    <row r="1062" spans="19:22">
      <c r="S1062" s="103" t="s">
        <v>12741</v>
      </c>
      <c r="T1062" s="103" t="s">
        <v>14179</v>
      </c>
      <c r="U1062" s="26">
        <v>4.8413086420000004</v>
      </c>
      <c r="V1062" s="26">
        <v>-72.8473434</v>
      </c>
    </row>
    <row r="1063" spans="19:22">
      <c r="S1063" s="103" t="s">
        <v>12741</v>
      </c>
      <c r="T1063" s="103" t="s">
        <v>14180</v>
      </c>
      <c r="U1063" s="26">
        <v>5.5291812350000002</v>
      </c>
      <c r="V1063" s="26">
        <v>-72.092519370000005</v>
      </c>
    </row>
    <row r="1064" spans="19:22">
      <c r="S1064" s="103" t="s">
        <v>12741</v>
      </c>
      <c r="T1064" s="103" t="s">
        <v>14181</v>
      </c>
      <c r="U1064" s="26">
        <v>4.9151391330000003</v>
      </c>
      <c r="V1064" s="26">
        <v>-71.598739660000007</v>
      </c>
    </row>
    <row r="1065" spans="19:22">
      <c r="S1065" s="103" t="s">
        <v>12741</v>
      </c>
      <c r="T1065" s="103" t="s">
        <v>14182</v>
      </c>
      <c r="U1065" s="26">
        <v>5.7799152810000001</v>
      </c>
      <c r="V1065" s="26">
        <v>-70.869470370000002</v>
      </c>
    </row>
    <row r="1066" spans="19:22">
      <c r="S1066" s="103" t="s">
        <v>12741</v>
      </c>
      <c r="T1066" s="103" t="s">
        <v>14183</v>
      </c>
      <c r="U1066" s="26">
        <v>5.6631949529999996</v>
      </c>
      <c r="V1066" s="26">
        <v>-71.925808059999994</v>
      </c>
    </row>
    <row r="1067" spans="19:22">
      <c r="S1067" s="103" t="s">
        <v>12741</v>
      </c>
      <c r="T1067" s="103" t="s">
        <v>14184</v>
      </c>
      <c r="U1067" s="26">
        <v>5.2630685069999998</v>
      </c>
      <c r="V1067" s="26">
        <v>-72.770818309999996</v>
      </c>
    </row>
    <row r="1068" spans="19:22">
      <c r="S1068" s="103" t="s">
        <v>12741</v>
      </c>
      <c r="T1068" s="103" t="s">
        <v>12866</v>
      </c>
      <c r="U1068" s="26">
        <v>4.8111901100000001</v>
      </c>
      <c r="V1068" s="26">
        <v>-72.995806549999998</v>
      </c>
    </row>
    <row r="1069" spans="19:22">
      <c r="S1069" s="103" t="s">
        <v>12741</v>
      </c>
      <c r="T1069" s="103" t="s">
        <v>14185</v>
      </c>
      <c r="U1069" s="26">
        <v>6.0499064349999996</v>
      </c>
      <c r="V1069" s="26">
        <v>-72.210761629999993</v>
      </c>
    </row>
    <row r="1070" spans="19:22">
      <c r="S1070" s="103" t="s">
        <v>12741</v>
      </c>
      <c r="T1070" s="103" t="s">
        <v>14186</v>
      </c>
      <c r="U1070" s="26">
        <v>5.2749556650000002</v>
      </c>
      <c r="V1070" s="26">
        <v>-71.817492759999993</v>
      </c>
    </row>
    <row r="1071" spans="19:22">
      <c r="S1071" s="103" t="s">
        <v>12741</v>
      </c>
      <c r="T1071" s="103" t="s">
        <v>14187</v>
      </c>
      <c r="U1071" s="26">
        <v>5.8789274239999996</v>
      </c>
      <c r="V1071" s="26">
        <v>-72.20067822</v>
      </c>
    </row>
    <row r="1072" spans="19:22">
      <c r="S1072" s="103" t="s">
        <v>12741</v>
      </c>
      <c r="T1072" s="103" t="s">
        <v>14188</v>
      </c>
      <c r="U1072" s="26">
        <v>4.6974636910000003</v>
      </c>
      <c r="V1072" s="26">
        <v>-72.629224359999995</v>
      </c>
    </row>
    <row r="1073" spans="19:22">
      <c r="S1073" s="103" t="s">
        <v>12741</v>
      </c>
      <c r="T1073" s="103" t="s">
        <v>14189</v>
      </c>
      <c r="U1073" s="26">
        <v>5.3545270909999996</v>
      </c>
      <c r="V1073" s="26">
        <v>-71.254795189999996</v>
      </c>
    </row>
    <row r="1074" spans="19:22">
      <c r="S1074" s="103" t="s">
        <v>12741</v>
      </c>
      <c r="T1074" s="103" t="s">
        <v>13078</v>
      </c>
      <c r="U1074" s="26">
        <v>4.5283077189999998</v>
      </c>
      <c r="V1074" s="26">
        <v>-72.823142809999993</v>
      </c>
    </row>
    <row r="1075" spans="19:22">
      <c r="S1075" s="103" t="s">
        <v>12743</v>
      </c>
      <c r="T1075" s="103" t="s">
        <v>14190</v>
      </c>
      <c r="U1075" s="26">
        <v>1.2607091500000001</v>
      </c>
      <c r="V1075" s="26">
        <v>-76.66584349</v>
      </c>
    </row>
    <row r="1076" spans="19:22">
      <c r="S1076" s="103" t="s">
        <v>12743</v>
      </c>
      <c r="T1076" s="103" t="s">
        <v>13883</v>
      </c>
      <c r="U1076" s="26">
        <v>1.2048158760000001</v>
      </c>
      <c r="V1076" s="26">
        <v>-76.973768050000004</v>
      </c>
    </row>
    <row r="1077" spans="19:22">
      <c r="S1077" s="103" t="s">
        <v>12743</v>
      </c>
      <c r="T1077" s="103" t="s">
        <v>14191</v>
      </c>
      <c r="U1077" s="26">
        <v>0.67375632299999999</v>
      </c>
      <c r="V1077" s="26">
        <v>-76.94313923</v>
      </c>
    </row>
    <row r="1078" spans="19:22">
      <c r="S1078" s="103" t="s">
        <v>12743</v>
      </c>
      <c r="T1078" s="103" t="s">
        <v>14192</v>
      </c>
      <c r="U1078" s="26">
        <v>0.43388453900000001</v>
      </c>
      <c r="V1078" s="26">
        <v>-76.521582030000005</v>
      </c>
    </row>
    <row r="1079" spans="19:22">
      <c r="S1079" s="103" t="s">
        <v>12743</v>
      </c>
      <c r="T1079" s="103" t="s">
        <v>14193</v>
      </c>
      <c r="U1079" s="26">
        <v>0.70416860999999997</v>
      </c>
      <c r="V1079" s="26">
        <v>-76.498644150000004</v>
      </c>
    </row>
    <row r="1080" spans="19:22">
      <c r="S1080" s="103" t="s">
        <v>12743</v>
      </c>
      <c r="T1080" s="103" t="s">
        <v>14194</v>
      </c>
      <c r="U1080" s="26">
        <v>0.74643221500000001</v>
      </c>
      <c r="V1080" s="26">
        <v>-75.880229790000001</v>
      </c>
    </row>
    <row r="1081" spans="19:22">
      <c r="S1081" s="103" t="s">
        <v>12743</v>
      </c>
      <c r="T1081" s="103" t="s">
        <v>14195</v>
      </c>
      <c r="U1081" s="26">
        <v>5.9471969999999999E-2</v>
      </c>
      <c r="V1081" s="26">
        <v>-75.064793269999996</v>
      </c>
    </row>
    <row r="1082" spans="19:22">
      <c r="S1082" s="103" t="s">
        <v>12743</v>
      </c>
      <c r="T1082" s="103" t="s">
        <v>14196</v>
      </c>
      <c r="U1082" s="26">
        <v>1.228746922</v>
      </c>
      <c r="V1082" s="26">
        <v>-76.913075849999998</v>
      </c>
    </row>
    <row r="1083" spans="19:22">
      <c r="S1083" s="103" t="s">
        <v>12743</v>
      </c>
      <c r="T1083" s="103" t="s">
        <v>12876</v>
      </c>
      <c r="U1083" s="26">
        <v>1.136071096</v>
      </c>
      <c r="V1083" s="26">
        <v>-76.847266610000005</v>
      </c>
    </row>
    <row r="1084" spans="19:22">
      <c r="S1084" s="103" t="s">
        <v>12743</v>
      </c>
      <c r="T1084" s="103" t="s">
        <v>14052</v>
      </c>
      <c r="U1084" s="26">
        <v>0.27244904800000003</v>
      </c>
      <c r="V1084" s="26">
        <v>-76.845104590000005</v>
      </c>
    </row>
    <row r="1085" spans="19:22">
      <c r="S1085" s="103" t="s">
        <v>12743</v>
      </c>
      <c r="T1085" s="103" t="s">
        <v>13961</v>
      </c>
      <c r="U1085" s="26">
        <v>1.036021482</v>
      </c>
      <c r="V1085" s="26">
        <v>-76.977516840000007</v>
      </c>
    </row>
    <row r="1086" spans="19:22">
      <c r="S1086" s="103" t="s">
        <v>12743</v>
      </c>
      <c r="T1086" s="103" t="s">
        <v>14197</v>
      </c>
      <c r="U1086" s="26">
        <v>0.42012589</v>
      </c>
      <c r="V1086" s="26">
        <v>-76.770670260000003</v>
      </c>
    </row>
    <row r="1087" spans="19:22">
      <c r="S1087" s="103" t="s">
        <v>12743</v>
      </c>
      <c r="T1087" s="103" t="s">
        <v>14198</v>
      </c>
      <c r="U1087" s="26">
        <v>0.91114951499999997</v>
      </c>
      <c r="V1087" s="26">
        <v>-76.744954469999996</v>
      </c>
    </row>
    <row r="1088" spans="19:22" ht="30">
      <c r="S1088" s="103" t="s">
        <v>14199</v>
      </c>
      <c r="T1088" s="103" t="s">
        <v>14047</v>
      </c>
      <c r="U1088" s="26">
        <v>12.54311512</v>
      </c>
      <c r="V1088" s="26">
        <v>-81.71762382</v>
      </c>
    </row>
    <row r="1089" spans="19:22" ht="30">
      <c r="S1089" s="103" t="s">
        <v>14199</v>
      </c>
      <c r="T1089" s="103" t="s">
        <v>13915</v>
      </c>
      <c r="U1089" s="26">
        <v>13.351109599999999</v>
      </c>
      <c r="V1089" s="26">
        <v>-81.373885490000006</v>
      </c>
    </row>
    <row r="1090" spans="19:22">
      <c r="S1090" s="103" t="s">
        <v>12749</v>
      </c>
      <c r="T1090" s="103" t="s">
        <v>14200</v>
      </c>
      <c r="U1090" s="26">
        <v>-3.5300587839999999</v>
      </c>
      <c r="V1090" s="26">
        <v>-70.045136909999997</v>
      </c>
    </row>
    <row r="1091" spans="19:22">
      <c r="S1091" s="103" t="s">
        <v>12749</v>
      </c>
      <c r="T1091" s="103" t="s">
        <v>14201</v>
      </c>
      <c r="U1091" s="26">
        <v>-1.997234795</v>
      </c>
      <c r="V1091" s="26">
        <v>-72.723615659999993</v>
      </c>
    </row>
    <row r="1092" spans="19:22">
      <c r="S1092" s="103" t="s">
        <v>12749</v>
      </c>
      <c r="T1092" s="103" t="s">
        <v>14202</v>
      </c>
      <c r="U1092" s="26">
        <v>-1.509799605</v>
      </c>
      <c r="V1092" s="26">
        <v>-72.444429659999997</v>
      </c>
    </row>
    <row r="1093" spans="19:22">
      <c r="S1093" s="103" t="s">
        <v>12749</v>
      </c>
      <c r="T1093" s="103" t="s">
        <v>14203</v>
      </c>
      <c r="U1093" s="26">
        <v>-1.550256503</v>
      </c>
      <c r="V1093" s="26">
        <v>-69.946028150000004</v>
      </c>
    </row>
    <row r="1094" spans="19:22">
      <c r="S1094" s="103" t="s">
        <v>12749</v>
      </c>
      <c r="T1094" s="103" t="s">
        <v>13174</v>
      </c>
      <c r="U1094" s="26">
        <v>-0.12501638100000001</v>
      </c>
      <c r="V1094" s="26">
        <v>-71.104878049999996</v>
      </c>
    </row>
    <row r="1095" spans="19:22">
      <c r="S1095" s="103" t="s">
        <v>12749</v>
      </c>
      <c r="T1095" s="103" t="s">
        <v>14204</v>
      </c>
      <c r="U1095" s="26">
        <v>-0.68703755300000002</v>
      </c>
      <c r="V1095" s="26">
        <v>-71.185504600000002</v>
      </c>
    </row>
    <row r="1096" spans="19:22">
      <c r="S1096" s="103" t="s">
        <v>12749</v>
      </c>
      <c r="T1096" s="103" t="s">
        <v>14205</v>
      </c>
      <c r="U1096" s="26">
        <v>-0.95214507299999995</v>
      </c>
      <c r="V1096" s="26">
        <v>-73.757227479999997</v>
      </c>
    </row>
    <row r="1097" spans="19:22">
      <c r="S1097" s="103" t="s">
        <v>12749</v>
      </c>
      <c r="T1097" s="103" t="s">
        <v>14206</v>
      </c>
      <c r="U1097" s="26">
        <v>-1.9108540599999999</v>
      </c>
      <c r="V1097" s="26">
        <v>-71.148404900000003</v>
      </c>
    </row>
    <row r="1098" spans="19:22">
      <c r="S1098" s="103" t="s">
        <v>12749</v>
      </c>
      <c r="T1098" s="103" t="s">
        <v>14207</v>
      </c>
      <c r="U1098" s="26">
        <v>-3.6313232219999998</v>
      </c>
      <c r="V1098" s="26">
        <v>-70.471990390000002</v>
      </c>
    </row>
    <row r="1099" spans="19:22">
      <c r="S1099" s="103" t="s">
        <v>12749</v>
      </c>
      <c r="T1099" s="103" t="s">
        <v>13957</v>
      </c>
      <c r="U1099" s="26">
        <v>-1.1010326239999999</v>
      </c>
      <c r="V1099" s="26">
        <v>-71.938933579999997</v>
      </c>
    </row>
    <row r="1100" spans="19:22">
      <c r="S1100" s="103" t="s">
        <v>12749</v>
      </c>
      <c r="T1100" s="103" t="s">
        <v>14208</v>
      </c>
      <c r="U1100" s="26">
        <v>-2.4517942640000001</v>
      </c>
      <c r="V1100" s="26">
        <v>-70.006515350000001</v>
      </c>
    </row>
    <row r="1101" spans="19:22">
      <c r="S1101" s="103" t="s">
        <v>12752</v>
      </c>
      <c r="T1101" s="103" t="s">
        <v>14209</v>
      </c>
      <c r="U1101" s="26">
        <v>3.516363079</v>
      </c>
      <c r="V1101" s="26">
        <v>-68.008347279999995</v>
      </c>
    </row>
    <row r="1102" spans="19:22">
      <c r="S1102" s="103" t="s">
        <v>12752</v>
      </c>
      <c r="T1102" s="103" t="s">
        <v>14210</v>
      </c>
      <c r="U1102" s="26">
        <v>3.1405584540000002</v>
      </c>
      <c r="V1102" s="26">
        <v>-69.697134230000003</v>
      </c>
    </row>
    <row r="1103" spans="19:22">
      <c r="S1103" s="103" t="s">
        <v>12752</v>
      </c>
      <c r="T1103" s="103" t="s">
        <v>14211</v>
      </c>
      <c r="U1103" s="26">
        <v>2.3121797819999999</v>
      </c>
      <c r="V1103" s="26">
        <v>-67.520605689999996</v>
      </c>
    </row>
    <row r="1104" spans="19:22">
      <c r="S1104" s="103" t="s">
        <v>12752</v>
      </c>
      <c r="T1104" s="103" t="s">
        <v>12971</v>
      </c>
      <c r="U1104" s="26">
        <v>2.5828295419999998</v>
      </c>
      <c r="V1104" s="26">
        <v>-68.257990329999998</v>
      </c>
    </row>
    <row r="1105" spans="19:22">
      <c r="S1105" s="103" t="s">
        <v>12752</v>
      </c>
      <c r="T1105" s="103" t="s">
        <v>14212</v>
      </c>
      <c r="U1105" s="26">
        <v>1.4045402730000001</v>
      </c>
      <c r="V1105" s="26">
        <v>-67.001518000000004</v>
      </c>
    </row>
    <row r="1106" spans="19:22">
      <c r="S1106" s="103" t="s">
        <v>12752</v>
      </c>
      <c r="T1106" s="103" t="s">
        <v>14213</v>
      </c>
      <c r="U1106" s="26">
        <v>3.38616245</v>
      </c>
      <c r="V1106" s="26">
        <v>-67.585079980000003</v>
      </c>
    </row>
    <row r="1107" spans="19:22">
      <c r="S1107" s="103" t="s">
        <v>12752</v>
      </c>
      <c r="T1107" s="103" t="s">
        <v>14214</v>
      </c>
      <c r="U1107" s="26">
        <v>1.9810552939999999</v>
      </c>
      <c r="V1107" s="26">
        <v>-69.114400360000005</v>
      </c>
    </row>
    <row r="1108" spans="19:22">
      <c r="S1108" s="103" t="s">
        <v>12752</v>
      </c>
      <c r="T1108" s="103" t="s">
        <v>14215</v>
      </c>
      <c r="U1108" s="26">
        <v>2.4214448059999998</v>
      </c>
      <c r="V1108" s="26">
        <v>-69.84001585</v>
      </c>
    </row>
    <row r="1109" spans="19:22">
      <c r="S1109" s="103" t="s">
        <v>12755</v>
      </c>
      <c r="T1109" s="103" t="s">
        <v>14216</v>
      </c>
      <c r="U1109" s="26">
        <v>2.484286091</v>
      </c>
      <c r="V1109" s="26">
        <v>-71.919169929999995</v>
      </c>
    </row>
    <row r="1110" spans="19:22">
      <c r="S1110" s="103" t="s">
        <v>12755</v>
      </c>
      <c r="T1110" s="103" t="s">
        <v>13005</v>
      </c>
      <c r="U1110" s="26">
        <v>1.613634284</v>
      </c>
      <c r="V1110" s="26">
        <v>-73.034263899999999</v>
      </c>
    </row>
    <row r="1111" spans="19:22">
      <c r="S1111" s="103" t="s">
        <v>12755</v>
      </c>
      <c r="T1111" s="103" t="s">
        <v>14217</v>
      </c>
      <c r="U1111" s="26">
        <v>2.1434473619999999</v>
      </c>
      <c r="V1111" s="26">
        <v>-72.243648690000001</v>
      </c>
    </row>
    <row r="1112" spans="19:22">
      <c r="S1112" s="103" t="s">
        <v>12755</v>
      </c>
      <c r="T1112" s="103" t="s">
        <v>13184</v>
      </c>
      <c r="U1112" s="26">
        <v>1.3639749320000001</v>
      </c>
      <c r="V1112" s="26">
        <v>-72.018109510000002</v>
      </c>
    </row>
    <row r="1113" spans="19:22">
      <c r="S1113" s="103" t="s">
        <v>12758</v>
      </c>
      <c r="T1113" s="103" t="s">
        <v>14218</v>
      </c>
      <c r="U1113" s="26">
        <v>1.0614823099999999</v>
      </c>
      <c r="V1113" s="26">
        <v>-70.466884010000001</v>
      </c>
    </row>
    <row r="1114" spans="19:22">
      <c r="S1114" s="103" t="s">
        <v>12758</v>
      </c>
      <c r="T1114" s="103" t="s">
        <v>14219</v>
      </c>
      <c r="U1114" s="26">
        <v>1.052762314</v>
      </c>
      <c r="V1114" s="26">
        <v>-71.330930350000003</v>
      </c>
    </row>
    <row r="1115" spans="19:22">
      <c r="S1115" s="103" t="s">
        <v>12758</v>
      </c>
      <c r="T1115" s="103" t="s">
        <v>14220</v>
      </c>
      <c r="U1115" s="26">
        <v>-8.3436399999999994E-3</v>
      </c>
      <c r="V1115" s="26">
        <v>-70.543306099999995</v>
      </c>
    </row>
    <row r="1116" spans="19:22">
      <c r="S1116" s="103" t="s">
        <v>12758</v>
      </c>
      <c r="T1116" s="103" t="s">
        <v>14221</v>
      </c>
      <c r="U1116" s="26">
        <v>-0.71982220900000005</v>
      </c>
      <c r="V1116" s="26">
        <v>-69.907762020000007</v>
      </c>
    </row>
    <row r="1117" spans="19:22">
      <c r="S1117" s="103" t="s">
        <v>12758</v>
      </c>
      <c r="T1117" s="103" t="s">
        <v>14222</v>
      </c>
      <c r="U1117" s="26">
        <v>1.569312273</v>
      </c>
      <c r="V1117" s="26">
        <v>-70.911663149999995</v>
      </c>
    </row>
    <row r="1118" spans="19:22">
      <c r="S1118" s="103" t="s">
        <v>12758</v>
      </c>
      <c r="T1118" s="103" t="s">
        <v>14223</v>
      </c>
      <c r="U1118" s="26">
        <v>0.83331224100000001</v>
      </c>
      <c r="V1118" s="26">
        <v>-69.618677539999993</v>
      </c>
    </row>
    <row r="1119" spans="19:22">
      <c r="S1119" s="103" t="s">
        <v>12761</v>
      </c>
      <c r="T1119" s="103" t="s">
        <v>14224</v>
      </c>
      <c r="U1119" s="26">
        <v>5.8365296689999999</v>
      </c>
      <c r="V1119" s="26">
        <v>-68.141222339999999</v>
      </c>
    </row>
    <row r="1120" spans="19:22">
      <c r="S1120" s="103" t="s">
        <v>12761</v>
      </c>
      <c r="T1120" s="103" t="s">
        <v>14225</v>
      </c>
      <c r="U1120" s="26">
        <v>5.5175936070000002</v>
      </c>
      <c r="V1120" s="26">
        <v>-69.620440540000004</v>
      </c>
    </row>
    <row r="1121" spans="19:22">
      <c r="S1121" s="103" t="s">
        <v>12761</v>
      </c>
      <c r="T1121" s="103" t="s">
        <v>14226</v>
      </c>
      <c r="U1121" s="26">
        <v>4.9685810119999996</v>
      </c>
      <c r="V1121" s="26">
        <v>-70.659970970000003</v>
      </c>
    </row>
    <row r="1122" spans="19:22">
      <c r="S1122" s="103" t="s">
        <v>12761</v>
      </c>
      <c r="T1122" s="103" t="s">
        <v>14227</v>
      </c>
      <c r="U1122" s="26">
        <v>4.2624547460000004</v>
      </c>
      <c r="V1122" s="26">
        <v>-69.521404840000002</v>
      </c>
    </row>
  </sheetData>
  <sortState xmlns:xlrd2="http://schemas.microsoft.com/office/spreadsheetml/2017/richdata2" ref="A2:L1041">
    <sortCondition ref="L2:L1041"/>
  </sortState>
  <conditionalFormatting sqref="T2:T1122">
    <cfRule type="duplicateValues" dxfId="43" priority="1"/>
  </conditionalFormatting>
  <pageMargins left="0.75" right="0.75" top="1" bottom="1" header="0.511811023622047" footer="0.511811023622047"/>
  <pageSetup paperSize="9" orientation="portrait" horizontalDpi="300" verticalDpi="300"/>
  <tableParts count="8">
    <tablePart r:id="rId1"/>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5EF2-5645-491B-94A2-C40C0DA7E64F}">
  <sheetPr>
    <tabColor theme="0" tint="-0.249977111117893"/>
  </sheetPr>
  <dimension ref="A1:T35"/>
  <sheetViews>
    <sheetView topLeftCell="A11" workbookViewId="0">
      <selection activeCell="E2" sqref="E2:E8"/>
    </sheetView>
  </sheetViews>
  <sheetFormatPr defaultColWidth="9.140625" defaultRowHeight="15"/>
  <cols>
    <col min="2" max="2" width="36.5703125" bestFit="1" customWidth="1"/>
    <col min="4" max="4" width="18.28515625" bestFit="1" customWidth="1"/>
    <col min="5" max="5" width="28.140625" bestFit="1" customWidth="1"/>
    <col min="7" max="7" width="26" bestFit="1" customWidth="1"/>
    <col min="8" max="8" width="30.85546875" bestFit="1" customWidth="1"/>
    <col min="10" max="11" width="36.5703125" bestFit="1" customWidth="1"/>
    <col min="13" max="13" width="36.5703125" bestFit="1" customWidth="1"/>
    <col min="14" max="14" width="32.7109375" bestFit="1" customWidth="1"/>
    <col min="16" max="16" width="31.28515625" bestFit="1" customWidth="1"/>
    <col min="17" max="17" width="28.140625" bestFit="1" customWidth="1"/>
    <col min="19" max="19" width="34.42578125" bestFit="1" customWidth="1"/>
    <col min="20" max="20" width="32.140625" bestFit="1" customWidth="1"/>
  </cols>
  <sheetData>
    <row r="1" spans="1:20">
      <c r="A1" s="53" t="s">
        <v>12566</v>
      </c>
      <c r="B1" s="54" t="s">
        <v>14228</v>
      </c>
      <c r="C1" s="14"/>
      <c r="D1" s="17" t="s">
        <v>14229</v>
      </c>
      <c r="E1" s="18" t="s">
        <v>14230</v>
      </c>
      <c r="F1" s="14"/>
      <c r="G1" s="17" t="s">
        <v>14231</v>
      </c>
      <c r="H1" s="18" t="s">
        <v>14230</v>
      </c>
      <c r="I1" s="14"/>
      <c r="J1" s="38" t="s">
        <v>14232</v>
      </c>
      <c r="K1" s="33" t="s">
        <v>14230</v>
      </c>
      <c r="L1" s="14"/>
      <c r="M1" s="38" t="s">
        <v>14233</v>
      </c>
      <c r="N1" s="18" t="s">
        <v>14230</v>
      </c>
      <c r="O1" s="14"/>
      <c r="P1" s="17" t="s">
        <v>14234</v>
      </c>
      <c r="Q1" s="18" t="s">
        <v>14230</v>
      </c>
      <c r="R1" s="14"/>
      <c r="S1" s="19" t="s">
        <v>14235</v>
      </c>
      <c r="T1" s="20" t="s">
        <v>14230</v>
      </c>
    </row>
    <row r="2" spans="1:20">
      <c r="A2" s="49" t="s">
        <v>14236</v>
      </c>
      <c r="B2" s="51" t="s">
        <v>14229</v>
      </c>
      <c r="C2" s="14"/>
      <c r="D2" s="13" t="s">
        <v>14237</v>
      </c>
      <c r="E2" s="21" t="s">
        <v>14238</v>
      </c>
      <c r="F2" s="14"/>
      <c r="G2" s="13" t="s">
        <v>14239</v>
      </c>
      <c r="H2" s="21" t="s">
        <v>14240</v>
      </c>
      <c r="I2" s="14"/>
      <c r="J2" s="39" t="s">
        <v>14241</v>
      </c>
      <c r="K2" s="34" t="s">
        <v>14242</v>
      </c>
      <c r="L2" s="14"/>
      <c r="M2" s="39" t="s">
        <v>14243</v>
      </c>
      <c r="N2" s="21" t="s">
        <v>14244</v>
      </c>
      <c r="O2" s="14"/>
      <c r="P2" s="13" t="s">
        <v>14245</v>
      </c>
      <c r="Q2" s="21" t="s">
        <v>14246</v>
      </c>
      <c r="R2" s="14"/>
      <c r="S2" s="22" t="s">
        <v>14247</v>
      </c>
      <c r="T2" s="21" t="s">
        <v>14248</v>
      </c>
    </row>
    <row r="3" spans="1:20">
      <c r="A3" s="50" t="s">
        <v>14249</v>
      </c>
      <c r="B3" s="52" t="s">
        <v>14250</v>
      </c>
      <c r="C3" s="14"/>
      <c r="D3" s="24" t="s">
        <v>14251</v>
      </c>
      <c r="E3" s="23" t="s">
        <v>14252</v>
      </c>
      <c r="F3" s="14"/>
      <c r="G3" s="24" t="s">
        <v>14253</v>
      </c>
      <c r="H3" s="23" t="s">
        <v>14254</v>
      </c>
      <c r="I3" s="14"/>
      <c r="J3" s="40" t="s">
        <v>14255</v>
      </c>
      <c r="K3" s="35" t="s">
        <v>14256</v>
      </c>
      <c r="L3" s="14"/>
      <c r="M3" s="40" t="s">
        <v>14257</v>
      </c>
      <c r="N3" s="23" t="s">
        <v>14258</v>
      </c>
      <c r="O3" s="14"/>
      <c r="P3" s="24" t="s">
        <v>14259</v>
      </c>
      <c r="Q3" s="23" t="s">
        <v>14260</v>
      </c>
      <c r="R3" s="14"/>
      <c r="S3" s="25" t="s">
        <v>14261</v>
      </c>
      <c r="T3" s="23" t="s">
        <v>14262</v>
      </c>
    </row>
    <row r="4" spans="1:20">
      <c r="A4" s="49" t="s">
        <v>14263</v>
      </c>
      <c r="B4" s="51" t="s">
        <v>14264</v>
      </c>
      <c r="C4" s="14"/>
      <c r="D4" s="13" t="s">
        <v>14265</v>
      </c>
      <c r="E4" s="21" t="s">
        <v>14266</v>
      </c>
      <c r="F4" s="14"/>
      <c r="G4" s="13" t="s">
        <v>14267</v>
      </c>
      <c r="H4" s="21" t="s">
        <v>14268</v>
      </c>
      <c r="I4" s="14"/>
      <c r="J4" s="39" t="s">
        <v>14269</v>
      </c>
      <c r="K4" s="34" t="s">
        <v>14270</v>
      </c>
      <c r="L4" s="14"/>
      <c r="M4" s="39" t="s">
        <v>14271</v>
      </c>
      <c r="N4" s="21" t="s">
        <v>14272</v>
      </c>
      <c r="O4" s="14"/>
      <c r="P4" s="13" t="s">
        <v>14273</v>
      </c>
      <c r="Q4" s="21" t="s">
        <v>14274</v>
      </c>
      <c r="R4" s="14"/>
      <c r="S4" s="22" t="s">
        <v>14275</v>
      </c>
      <c r="T4" s="21" t="s">
        <v>14276</v>
      </c>
    </row>
    <row r="5" spans="1:20">
      <c r="A5" s="50" t="s">
        <v>14277</v>
      </c>
      <c r="B5" s="52" t="s">
        <v>14231</v>
      </c>
      <c r="C5" s="14"/>
      <c r="D5" s="24" t="s">
        <v>14278</v>
      </c>
      <c r="E5" s="23" t="s">
        <v>14279</v>
      </c>
      <c r="F5" s="14"/>
      <c r="G5" s="24" t="s">
        <v>14280</v>
      </c>
      <c r="H5" s="23" t="s">
        <v>14281</v>
      </c>
      <c r="I5" s="14"/>
      <c r="J5" s="40" t="s">
        <v>14282</v>
      </c>
      <c r="K5" s="35" t="s">
        <v>14283</v>
      </c>
      <c r="L5" s="14"/>
      <c r="M5" s="40" t="s">
        <v>14284</v>
      </c>
      <c r="N5" s="23" t="s">
        <v>14285</v>
      </c>
      <c r="O5" s="14"/>
      <c r="P5" s="24" t="s">
        <v>14286</v>
      </c>
      <c r="Q5" s="23" t="s">
        <v>14287</v>
      </c>
      <c r="R5" s="14"/>
      <c r="S5" s="25" t="s">
        <v>14288</v>
      </c>
      <c r="T5" s="23" t="s">
        <v>14289</v>
      </c>
    </row>
    <row r="6" spans="1:20">
      <c r="A6" s="49" t="s">
        <v>14290</v>
      </c>
      <c r="B6" s="51" t="s">
        <v>14291</v>
      </c>
      <c r="C6" s="14"/>
      <c r="D6" s="13" t="s">
        <v>14292</v>
      </c>
      <c r="E6" s="21" t="s">
        <v>14293</v>
      </c>
      <c r="F6" s="14"/>
      <c r="G6" s="13" t="s">
        <v>14294</v>
      </c>
      <c r="H6" s="21" t="s">
        <v>14295</v>
      </c>
      <c r="I6" s="14"/>
      <c r="J6" s="39" t="s">
        <v>14296</v>
      </c>
      <c r="K6" s="34" t="s">
        <v>14297</v>
      </c>
      <c r="L6" s="14"/>
      <c r="M6" s="39" t="s">
        <v>14298</v>
      </c>
      <c r="N6" s="21" t="s">
        <v>14299</v>
      </c>
      <c r="O6" s="14"/>
      <c r="P6" s="13" t="s">
        <v>14300</v>
      </c>
      <c r="Q6" s="21" t="s">
        <v>14301</v>
      </c>
      <c r="R6" s="14"/>
      <c r="S6" s="22" t="s">
        <v>14302</v>
      </c>
      <c r="T6" s="21" t="s">
        <v>14303</v>
      </c>
    </row>
    <row r="7" spans="1:20">
      <c r="A7" s="50" t="s">
        <v>14304</v>
      </c>
      <c r="B7" s="52" t="s">
        <v>14305</v>
      </c>
      <c r="C7" s="14"/>
      <c r="D7" s="24" t="s">
        <v>14306</v>
      </c>
      <c r="E7" s="23" t="s">
        <v>14307</v>
      </c>
      <c r="F7" s="14"/>
      <c r="G7" s="24" t="s">
        <v>14308</v>
      </c>
      <c r="H7" s="23" t="s">
        <v>14309</v>
      </c>
      <c r="I7" s="14"/>
      <c r="J7" s="36"/>
      <c r="K7" s="36"/>
      <c r="L7" s="14"/>
      <c r="M7" s="40" t="s">
        <v>14310</v>
      </c>
      <c r="N7" s="23" t="s">
        <v>14311</v>
      </c>
      <c r="O7" s="14"/>
      <c r="P7" s="14"/>
      <c r="Q7" s="14"/>
      <c r="R7" s="14"/>
      <c r="S7" s="25" t="s">
        <v>14312</v>
      </c>
      <c r="T7" s="23" t="s">
        <v>14313</v>
      </c>
    </row>
    <row r="8" spans="1:20" ht="30">
      <c r="A8" s="49" t="s">
        <v>14314</v>
      </c>
      <c r="B8" s="51" t="s">
        <v>14315</v>
      </c>
      <c r="C8" s="14"/>
      <c r="D8" s="13" t="s">
        <v>14316</v>
      </c>
      <c r="E8" s="21" t="s">
        <v>14317</v>
      </c>
      <c r="F8" s="14"/>
      <c r="G8" s="13" t="s">
        <v>14318</v>
      </c>
      <c r="H8" s="21" t="s">
        <v>14319</v>
      </c>
      <c r="I8" s="14"/>
      <c r="J8" s="38" t="s">
        <v>14320</v>
      </c>
      <c r="K8" s="33" t="s">
        <v>14230</v>
      </c>
      <c r="L8" s="14"/>
      <c r="M8" s="39" t="s">
        <v>14321</v>
      </c>
      <c r="N8" s="21" t="s">
        <v>14322</v>
      </c>
      <c r="O8" s="14"/>
      <c r="P8" s="17" t="s">
        <v>14323</v>
      </c>
      <c r="Q8" s="18" t="s">
        <v>14230</v>
      </c>
      <c r="R8" s="14"/>
      <c r="S8" s="22" t="s">
        <v>14324</v>
      </c>
      <c r="T8" s="21" t="s">
        <v>14325</v>
      </c>
    </row>
    <row r="9" spans="1:20" ht="30">
      <c r="A9" s="50" t="s">
        <v>14326</v>
      </c>
      <c r="B9" s="52" t="s">
        <v>14320</v>
      </c>
      <c r="C9" s="14"/>
      <c r="D9" s="14"/>
      <c r="E9" s="14"/>
      <c r="F9" s="14"/>
      <c r="G9" s="24" t="s">
        <v>14327</v>
      </c>
      <c r="H9" s="23" t="s">
        <v>14328</v>
      </c>
      <c r="I9" s="14"/>
      <c r="J9" s="39" t="s">
        <v>14329</v>
      </c>
      <c r="K9" s="34" t="s">
        <v>14330</v>
      </c>
      <c r="L9" s="14"/>
      <c r="M9" s="40" t="s">
        <v>14331</v>
      </c>
      <c r="N9" s="23" t="s">
        <v>14332</v>
      </c>
      <c r="O9" s="14"/>
      <c r="P9" s="13" t="s">
        <v>14333</v>
      </c>
      <c r="Q9" s="21" t="s">
        <v>14334</v>
      </c>
      <c r="R9" s="14"/>
      <c r="S9" s="25" t="s">
        <v>14335</v>
      </c>
      <c r="T9" s="23" t="s">
        <v>14336</v>
      </c>
    </row>
    <row r="10" spans="1:20">
      <c r="A10" s="49" t="s">
        <v>14337</v>
      </c>
      <c r="B10" s="51" t="s">
        <v>14338</v>
      </c>
      <c r="C10" s="14"/>
      <c r="D10" s="17" t="s">
        <v>14250</v>
      </c>
      <c r="E10" s="18" t="s">
        <v>14230</v>
      </c>
      <c r="F10" s="14"/>
      <c r="G10" s="13" t="s">
        <v>14339</v>
      </c>
      <c r="H10" s="21" t="s">
        <v>14340</v>
      </c>
      <c r="I10" s="14"/>
      <c r="J10" s="40" t="s">
        <v>14341</v>
      </c>
      <c r="K10" s="35" t="s">
        <v>14342</v>
      </c>
      <c r="L10" s="14"/>
      <c r="M10" s="39" t="s">
        <v>14343</v>
      </c>
      <c r="N10" s="21" t="s">
        <v>14344</v>
      </c>
      <c r="O10" s="14"/>
      <c r="P10" s="24" t="s">
        <v>14345</v>
      </c>
      <c r="Q10" s="23" t="s">
        <v>14346</v>
      </c>
      <c r="R10" s="14"/>
      <c r="S10" s="22" t="s">
        <v>14347</v>
      </c>
      <c r="T10" s="21" t="s">
        <v>14348</v>
      </c>
    </row>
    <row r="11" spans="1:20">
      <c r="A11" s="50" t="s">
        <v>14349</v>
      </c>
      <c r="B11" s="52" t="s">
        <v>14350</v>
      </c>
      <c r="C11" s="14"/>
      <c r="D11" s="13" t="s">
        <v>14351</v>
      </c>
      <c r="E11" s="21" t="s">
        <v>14352</v>
      </c>
      <c r="F11" s="14"/>
      <c r="G11" s="24" t="s">
        <v>14353</v>
      </c>
      <c r="H11" s="23" t="s">
        <v>14354</v>
      </c>
      <c r="I11" s="14"/>
      <c r="J11" s="39" t="s">
        <v>14355</v>
      </c>
      <c r="K11" s="34" t="s">
        <v>14356</v>
      </c>
      <c r="L11" s="14"/>
      <c r="M11" s="40" t="s">
        <v>14357</v>
      </c>
      <c r="N11" s="23" t="s">
        <v>14358</v>
      </c>
      <c r="O11" s="14"/>
      <c r="P11" s="13" t="s">
        <v>14359</v>
      </c>
      <c r="Q11" s="21" t="s">
        <v>14360</v>
      </c>
      <c r="R11" s="14"/>
      <c r="S11" s="25" t="s">
        <v>14361</v>
      </c>
      <c r="T11" s="23" t="s">
        <v>14362</v>
      </c>
    </row>
    <row r="12" spans="1:20" ht="30">
      <c r="A12" s="49" t="s">
        <v>14363</v>
      </c>
      <c r="B12" s="51" t="s">
        <v>14364</v>
      </c>
      <c r="C12" s="14"/>
      <c r="D12" s="24" t="s">
        <v>14365</v>
      </c>
      <c r="E12" s="23" t="s">
        <v>14366</v>
      </c>
      <c r="F12" s="14"/>
      <c r="G12" s="26"/>
      <c r="H12" s="26"/>
      <c r="I12" s="14"/>
      <c r="J12" s="40" t="s">
        <v>14367</v>
      </c>
      <c r="K12" s="35" t="s">
        <v>14368</v>
      </c>
      <c r="L12" s="14"/>
      <c r="M12" s="36"/>
      <c r="N12" s="14"/>
      <c r="O12" s="14"/>
      <c r="P12" s="24" t="s">
        <v>14369</v>
      </c>
      <c r="Q12" s="23" t="s">
        <v>14370</v>
      </c>
      <c r="R12" s="14"/>
      <c r="S12" s="27" t="s">
        <v>14371</v>
      </c>
      <c r="T12" s="21" t="s">
        <v>14372</v>
      </c>
    </row>
    <row r="13" spans="1:20" ht="30">
      <c r="A13" s="50" t="s">
        <v>14373</v>
      </c>
      <c r="B13" s="52" t="s">
        <v>14374</v>
      </c>
      <c r="C13" s="14"/>
      <c r="D13" s="13" t="s">
        <v>14375</v>
      </c>
      <c r="E13" s="21" t="s">
        <v>14376</v>
      </c>
      <c r="F13" s="14"/>
      <c r="G13" s="17" t="s">
        <v>14377</v>
      </c>
      <c r="H13" s="18" t="s">
        <v>14230</v>
      </c>
      <c r="I13" s="14"/>
      <c r="J13" s="39" t="s">
        <v>14378</v>
      </c>
      <c r="K13" s="34" t="s">
        <v>14379</v>
      </c>
      <c r="L13" s="14"/>
      <c r="M13" s="38" t="s">
        <v>14364</v>
      </c>
      <c r="N13" s="18" t="s">
        <v>14230</v>
      </c>
      <c r="O13" s="14"/>
      <c r="P13" s="13" t="s">
        <v>14380</v>
      </c>
      <c r="Q13" s="21" t="s">
        <v>14381</v>
      </c>
      <c r="R13" s="14"/>
      <c r="S13" s="28" t="s">
        <v>14382</v>
      </c>
      <c r="T13" s="23" t="s">
        <v>14383</v>
      </c>
    </row>
    <row r="14" spans="1:20">
      <c r="A14" s="49" t="s">
        <v>14384</v>
      </c>
      <c r="B14" s="51" t="s">
        <v>14234</v>
      </c>
      <c r="C14" s="14"/>
      <c r="D14" s="24" t="s">
        <v>14385</v>
      </c>
      <c r="E14" s="23" t="s">
        <v>14386</v>
      </c>
      <c r="F14" s="14"/>
      <c r="G14" s="13" t="s">
        <v>14387</v>
      </c>
      <c r="H14" s="21" t="s">
        <v>14388</v>
      </c>
      <c r="I14" s="14"/>
      <c r="J14" s="40" t="s">
        <v>14389</v>
      </c>
      <c r="K14" s="35" t="s">
        <v>14390</v>
      </c>
      <c r="L14" s="14"/>
      <c r="M14" s="39" t="s">
        <v>14391</v>
      </c>
      <c r="N14" s="21" t="s">
        <v>14392</v>
      </c>
      <c r="O14" s="14"/>
      <c r="P14" s="24" t="s">
        <v>14393</v>
      </c>
      <c r="Q14" s="23" t="s">
        <v>14394</v>
      </c>
      <c r="R14" s="14"/>
      <c r="S14" s="14"/>
      <c r="T14" s="14"/>
    </row>
    <row r="15" spans="1:20">
      <c r="A15" s="50" t="s">
        <v>14395</v>
      </c>
      <c r="B15" s="52" t="s">
        <v>14323</v>
      </c>
      <c r="C15" s="14"/>
      <c r="D15" s="13" t="s">
        <v>14396</v>
      </c>
      <c r="E15" s="21" t="s">
        <v>14397</v>
      </c>
      <c r="F15" s="14"/>
      <c r="G15" s="24" t="s">
        <v>14398</v>
      </c>
      <c r="H15" s="23" t="s">
        <v>14399</v>
      </c>
      <c r="I15" s="14"/>
      <c r="J15" s="39" t="s">
        <v>14400</v>
      </c>
      <c r="K15" s="34" t="s">
        <v>14401</v>
      </c>
      <c r="L15" s="14"/>
      <c r="M15" s="40" t="s">
        <v>14402</v>
      </c>
      <c r="N15" s="23" t="s">
        <v>14403</v>
      </c>
      <c r="O15" s="14"/>
      <c r="P15" s="13" t="s">
        <v>14404</v>
      </c>
      <c r="Q15" s="21" t="s">
        <v>14405</v>
      </c>
      <c r="R15" s="14"/>
      <c r="S15" s="19" t="s">
        <v>14406</v>
      </c>
      <c r="T15" s="20" t="s">
        <v>14230</v>
      </c>
    </row>
    <row r="16" spans="1:20">
      <c r="A16" s="49" t="s">
        <v>14407</v>
      </c>
      <c r="B16" s="51" t="s">
        <v>14408</v>
      </c>
      <c r="C16" s="14"/>
      <c r="D16" s="24" t="s">
        <v>14409</v>
      </c>
      <c r="E16" s="23" t="s">
        <v>14410</v>
      </c>
      <c r="F16" s="14"/>
      <c r="G16" s="13" t="s">
        <v>14411</v>
      </c>
      <c r="H16" s="21" t="s">
        <v>14412</v>
      </c>
      <c r="I16" s="14"/>
      <c r="J16" s="40" t="s">
        <v>14413</v>
      </c>
      <c r="K16" s="35" t="s">
        <v>14414</v>
      </c>
      <c r="L16" s="14"/>
      <c r="M16" s="39" t="s">
        <v>14415</v>
      </c>
      <c r="N16" s="21" t="s">
        <v>14416</v>
      </c>
      <c r="O16" s="14"/>
      <c r="P16" s="24" t="s">
        <v>14417</v>
      </c>
      <c r="Q16" s="23" t="s">
        <v>14418</v>
      </c>
      <c r="R16" s="14"/>
      <c r="S16" s="22" t="s">
        <v>14419</v>
      </c>
      <c r="T16" s="21" t="s">
        <v>14420</v>
      </c>
    </row>
    <row r="17" spans="1:20">
      <c r="A17" s="50" t="s">
        <v>14421</v>
      </c>
      <c r="B17" s="52" t="s">
        <v>14422</v>
      </c>
      <c r="C17" s="14"/>
      <c r="D17" s="13" t="s">
        <v>14423</v>
      </c>
      <c r="E17" s="21" t="s">
        <v>14424</v>
      </c>
      <c r="F17" s="14"/>
      <c r="G17" s="24" t="s">
        <v>14425</v>
      </c>
      <c r="H17" s="23" t="s">
        <v>14426</v>
      </c>
      <c r="I17" s="14"/>
      <c r="J17" s="39" t="s">
        <v>14427</v>
      </c>
      <c r="K17" s="34" t="s">
        <v>14428</v>
      </c>
      <c r="L17" s="14"/>
      <c r="M17" s="40" t="s">
        <v>14429</v>
      </c>
      <c r="N17" s="23" t="s">
        <v>14430</v>
      </c>
      <c r="O17" s="14"/>
      <c r="P17" s="13" t="s">
        <v>14431</v>
      </c>
      <c r="Q17" s="21" t="s">
        <v>14432</v>
      </c>
      <c r="R17" s="14"/>
      <c r="S17" s="25" t="s">
        <v>14433</v>
      </c>
      <c r="T17" s="23" t="s">
        <v>14434</v>
      </c>
    </row>
    <row r="18" spans="1:20">
      <c r="A18" s="55" t="s">
        <v>14435</v>
      </c>
      <c r="B18" s="56" t="s">
        <v>14406</v>
      </c>
      <c r="C18" s="14"/>
      <c r="D18" s="24" t="s">
        <v>14436</v>
      </c>
      <c r="E18" s="23" t="s">
        <v>14437</v>
      </c>
      <c r="F18" s="14"/>
      <c r="G18" s="13" t="s">
        <v>14438</v>
      </c>
      <c r="H18" s="21" t="s">
        <v>14439</v>
      </c>
      <c r="I18" s="14"/>
      <c r="J18" s="40" t="s">
        <v>14440</v>
      </c>
      <c r="K18" s="35" t="s">
        <v>14441</v>
      </c>
      <c r="L18" s="14"/>
      <c r="M18" s="39" t="s">
        <v>14442</v>
      </c>
      <c r="N18" s="21" t="s">
        <v>14443</v>
      </c>
      <c r="O18" s="14"/>
      <c r="P18" s="24" t="s">
        <v>14444</v>
      </c>
      <c r="Q18" s="23" t="s">
        <v>14445</v>
      </c>
      <c r="R18" s="14"/>
      <c r="S18" s="22" t="s">
        <v>14446</v>
      </c>
      <c r="T18" s="21" t="s">
        <v>14447</v>
      </c>
    </row>
    <row r="19" spans="1:20">
      <c r="A19" s="14"/>
      <c r="B19" s="36"/>
      <c r="C19" s="14"/>
      <c r="D19" s="14"/>
      <c r="E19" s="14"/>
      <c r="F19" s="14"/>
      <c r="G19" s="24" t="s">
        <v>14448</v>
      </c>
      <c r="H19" s="23" t="s">
        <v>14449</v>
      </c>
      <c r="I19" s="14"/>
      <c r="J19" s="39" t="s">
        <v>14450</v>
      </c>
      <c r="K19" s="34" t="s">
        <v>14451</v>
      </c>
      <c r="L19" s="14"/>
      <c r="M19" s="40" t="s">
        <v>14452</v>
      </c>
      <c r="N19" s="23" t="s">
        <v>14453</v>
      </c>
      <c r="O19" s="14"/>
      <c r="P19" s="14"/>
      <c r="Q19" s="14"/>
      <c r="R19" s="14"/>
      <c r="S19" s="25" t="s">
        <v>14454</v>
      </c>
      <c r="T19" s="23" t="s">
        <v>14455</v>
      </c>
    </row>
    <row r="20" spans="1:20">
      <c r="A20" s="14"/>
      <c r="B20" s="36"/>
      <c r="C20" s="14"/>
      <c r="D20" s="19" t="s">
        <v>14264</v>
      </c>
      <c r="E20" s="20" t="s">
        <v>14230</v>
      </c>
      <c r="F20" s="14"/>
      <c r="G20" s="13" t="s">
        <v>14456</v>
      </c>
      <c r="H20" s="21" t="s">
        <v>14457</v>
      </c>
      <c r="I20" s="14"/>
      <c r="J20" s="40" t="s">
        <v>14458</v>
      </c>
      <c r="K20" s="35" t="s">
        <v>14459</v>
      </c>
      <c r="L20" s="14"/>
      <c r="M20" s="39" t="s">
        <v>14460</v>
      </c>
      <c r="N20" s="21" t="s">
        <v>14461</v>
      </c>
      <c r="O20" s="14"/>
      <c r="P20" s="17" t="s">
        <v>14408</v>
      </c>
      <c r="Q20" s="18" t="s">
        <v>14230</v>
      </c>
      <c r="R20" s="14"/>
      <c r="S20" s="22" t="s">
        <v>14462</v>
      </c>
      <c r="T20" s="21" t="s">
        <v>14463</v>
      </c>
    </row>
    <row r="21" spans="1:20">
      <c r="A21" s="14"/>
      <c r="B21" s="36"/>
      <c r="C21" s="14"/>
      <c r="D21" s="22" t="s">
        <v>14464</v>
      </c>
      <c r="E21" s="29" t="s">
        <v>12256</v>
      </c>
      <c r="F21" s="14"/>
      <c r="G21" s="24" t="s">
        <v>14465</v>
      </c>
      <c r="H21" s="23" t="s">
        <v>14466</v>
      </c>
      <c r="I21" s="14"/>
      <c r="J21" s="36"/>
      <c r="K21" s="36"/>
      <c r="L21" s="14"/>
      <c r="M21" s="40" t="s">
        <v>14467</v>
      </c>
      <c r="N21" s="23" t="s">
        <v>14468</v>
      </c>
      <c r="O21" s="14"/>
      <c r="P21" s="13" t="s">
        <v>14469</v>
      </c>
      <c r="Q21" s="21" t="s">
        <v>14470</v>
      </c>
      <c r="R21" s="14"/>
      <c r="S21" s="25" t="s">
        <v>14471</v>
      </c>
      <c r="T21" s="23" t="s">
        <v>14472</v>
      </c>
    </row>
    <row r="22" spans="1:20" ht="30">
      <c r="A22" s="14"/>
      <c r="B22" s="37"/>
      <c r="C22" s="14"/>
      <c r="D22" s="25" t="s">
        <v>14473</v>
      </c>
      <c r="E22" s="30" t="s">
        <v>14474</v>
      </c>
      <c r="F22" s="14"/>
      <c r="G22" s="13" t="s">
        <v>14475</v>
      </c>
      <c r="H22" s="21" t="s">
        <v>14476</v>
      </c>
      <c r="I22" s="14"/>
      <c r="J22" s="38" t="s">
        <v>14477</v>
      </c>
      <c r="K22" s="33" t="s">
        <v>14230</v>
      </c>
      <c r="L22" s="14"/>
      <c r="M22" s="39" t="s">
        <v>14478</v>
      </c>
      <c r="N22" s="21" t="s">
        <v>14479</v>
      </c>
      <c r="O22" s="14"/>
      <c r="P22" s="24" t="s">
        <v>14480</v>
      </c>
      <c r="Q22" s="23" t="s">
        <v>14481</v>
      </c>
      <c r="R22" s="14"/>
      <c r="S22" s="22" t="s">
        <v>14482</v>
      </c>
      <c r="T22" s="21" t="s">
        <v>14483</v>
      </c>
    </row>
    <row r="23" spans="1:20">
      <c r="A23" s="14"/>
      <c r="B23" s="36"/>
      <c r="C23" s="14"/>
      <c r="D23" s="22" t="s">
        <v>14484</v>
      </c>
      <c r="E23" s="29" t="s">
        <v>14485</v>
      </c>
      <c r="F23" s="14"/>
      <c r="G23" s="14"/>
      <c r="H23" s="14"/>
      <c r="I23" s="14"/>
      <c r="J23" s="39" t="s">
        <v>14486</v>
      </c>
      <c r="K23" s="34" t="s">
        <v>14297</v>
      </c>
      <c r="L23" s="14"/>
      <c r="M23" s="40" t="s">
        <v>14487</v>
      </c>
      <c r="N23" s="23" t="s">
        <v>14488</v>
      </c>
      <c r="O23" s="14"/>
      <c r="P23" s="13" t="s">
        <v>14489</v>
      </c>
      <c r="Q23" s="21" t="s">
        <v>14490</v>
      </c>
      <c r="R23" s="14"/>
      <c r="S23" s="25" t="s">
        <v>14491</v>
      </c>
      <c r="T23" s="23" t="s">
        <v>14492</v>
      </c>
    </row>
    <row r="24" spans="1:20">
      <c r="A24" s="14"/>
      <c r="B24" s="36"/>
      <c r="C24" s="14"/>
      <c r="D24" s="25" t="s">
        <v>14493</v>
      </c>
      <c r="E24" s="31" t="s">
        <v>14494</v>
      </c>
      <c r="F24" s="14"/>
      <c r="G24" s="17" t="s">
        <v>14495</v>
      </c>
      <c r="H24" s="18" t="s">
        <v>14230</v>
      </c>
      <c r="I24" s="14"/>
      <c r="J24" s="40" t="s">
        <v>14496</v>
      </c>
      <c r="K24" s="35" t="s">
        <v>14497</v>
      </c>
      <c r="L24" s="14"/>
      <c r="M24" s="36"/>
      <c r="N24" s="14"/>
      <c r="O24" s="14"/>
      <c r="P24" s="24" t="s">
        <v>14498</v>
      </c>
      <c r="Q24" s="23" t="s">
        <v>14499</v>
      </c>
      <c r="R24" s="14"/>
      <c r="S24" s="22" t="s">
        <v>14500</v>
      </c>
      <c r="T24" s="21" t="s">
        <v>14501</v>
      </c>
    </row>
    <row r="25" spans="1:20">
      <c r="A25" s="14"/>
      <c r="B25" s="36"/>
      <c r="C25" s="14"/>
      <c r="D25" s="22" t="s">
        <v>14502</v>
      </c>
      <c r="E25" s="29" t="s">
        <v>14503</v>
      </c>
      <c r="F25" s="14"/>
      <c r="G25" s="13" t="s">
        <v>14504</v>
      </c>
      <c r="H25" s="21" t="s">
        <v>14505</v>
      </c>
      <c r="I25" s="14"/>
      <c r="J25" s="39" t="s">
        <v>14506</v>
      </c>
      <c r="K25" s="34" t="s">
        <v>14507</v>
      </c>
      <c r="L25" s="14"/>
      <c r="M25" s="38" t="s">
        <v>14508</v>
      </c>
      <c r="N25" s="18" t="s">
        <v>14230</v>
      </c>
      <c r="O25" s="14"/>
      <c r="P25" s="13" t="s">
        <v>14509</v>
      </c>
      <c r="Q25" s="21" t="s">
        <v>14510</v>
      </c>
      <c r="R25" s="14"/>
      <c r="S25" s="25" t="s">
        <v>14511</v>
      </c>
      <c r="T25" s="23" t="s">
        <v>14512</v>
      </c>
    </row>
    <row r="26" spans="1:20">
      <c r="A26" s="14"/>
      <c r="B26" s="36"/>
      <c r="C26" s="14"/>
      <c r="D26" s="25" t="s">
        <v>14513</v>
      </c>
      <c r="E26" s="30" t="s">
        <v>14514</v>
      </c>
      <c r="F26" s="14"/>
      <c r="G26" s="24" t="s">
        <v>14515</v>
      </c>
      <c r="H26" s="23" t="s">
        <v>14516</v>
      </c>
      <c r="I26" s="14"/>
      <c r="J26" s="40" t="s">
        <v>14517</v>
      </c>
      <c r="K26" s="35" t="s">
        <v>14518</v>
      </c>
      <c r="L26" s="14"/>
      <c r="M26" s="39" t="s">
        <v>14519</v>
      </c>
      <c r="N26" s="21" t="s">
        <v>14520</v>
      </c>
      <c r="O26" s="14"/>
      <c r="P26" s="24" t="s">
        <v>14521</v>
      </c>
      <c r="Q26" s="23" t="s">
        <v>14522</v>
      </c>
      <c r="R26" s="14"/>
      <c r="S26" s="22" t="s">
        <v>14523</v>
      </c>
      <c r="T26" s="21" t="s">
        <v>14524</v>
      </c>
    </row>
    <row r="27" spans="1:20">
      <c r="A27" s="14"/>
      <c r="B27" s="36"/>
      <c r="C27" s="14"/>
      <c r="D27" s="22" t="s">
        <v>14525</v>
      </c>
      <c r="E27" s="29" t="s">
        <v>14526</v>
      </c>
      <c r="F27" s="14"/>
      <c r="G27" s="13" t="s">
        <v>14527</v>
      </c>
      <c r="H27" s="21" t="s">
        <v>14528</v>
      </c>
      <c r="I27" s="14"/>
      <c r="J27" s="39" t="s">
        <v>14529</v>
      </c>
      <c r="K27" s="34" t="s">
        <v>14530</v>
      </c>
      <c r="L27" s="14"/>
      <c r="M27" s="40" t="s">
        <v>14531</v>
      </c>
      <c r="N27" s="23" t="s">
        <v>14532</v>
      </c>
      <c r="O27" s="14"/>
      <c r="P27" s="13" t="s">
        <v>14533</v>
      </c>
      <c r="Q27" s="21" t="s">
        <v>14534</v>
      </c>
      <c r="R27" s="14"/>
      <c r="S27" s="25" t="s">
        <v>14535</v>
      </c>
      <c r="T27" s="23" t="s">
        <v>14536</v>
      </c>
    </row>
    <row r="28" spans="1:20" ht="30">
      <c r="A28" s="14"/>
      <c r="B28" s="36"/>
      <c r="C28" s="14"/>
      <c r="D28" s="25" t="s">
        <v>14537</v>
      </c>
      <c r="E28" s="30" t="s">
        <v>14538</v>
      </c>
      <c r="F28" s="14"/>
      <c r="G28" s="24" t="s">
        <v>14539</v>
      </c>
      <c r="H28" s="23" t="s">
        <v>14540</v>
      </c>
      <c r="I28" s="14"/>
      <c r="J28" s="40" t="s">
        <v>14541</v>
      </c>
      <c r="K28" s="35" t="s">
        <v>14542</v>
      </c>
      <c r="L28" s="14"/>
      <c r="M28" s="39" t="s">
        <v>14543</v>
      </c>
      <c r="N28" s="21" t="s">
        <v>14544</v>
      </c>
      <c r="O28" s="14"/>
      <c r="P28" s="24" t="s">
        <v>14545</v>
      </c>
      <c r="Q28" s="23" t="s">
        <v>14546</v>
      </c>
      <c r="R28" s="14"/>
      <c r="S28" s="22" t="s">
        <v>14547</v>
      </c>
      <c r="T28" s="21" t="s">
        <v>14548</v>
      </c>
    </row>
    <row r="29" spans="1:20">
      <c r="A29" s="14"/>
      <c r="B29" s="36"/>
      <c r="C29" s="14"/>
      <c r="D29" s="22" t="s">
        <v>14549</v>
      </c>
      <c r="E29" s="29" t="s">
        <v>14550</v>
      </c>
      <c r="F29" s="14"/>
      <c r="G29" s="13" t="s">
        <v>14551</v>
      </c>
      <c r="H29" s="21" t="s">
        <v>14552</v>
      </c>
      <c r="I29" s="14"/>
      <c r="J29" s="39" t="s">
        <v>14553</v>
      </c>
      <c r="K29" s="34" t="s">
        <v>14554</v>
      </c>
      <c r="L29" s="14"/>
      <c r="M29" s="40" t="s">
        <v>14555</v>
      </c>
      <c r="N29" s="23" t="s">
        <v>14556</v>
      </c>
      <c r="O29" s="14"/>
      <c r="P29" s="13" t="s">
        <v>14557</v>
      </c>
      <c r="Q29" s="21" t="s">
        <v>14558</v>
      </c>
      <c r="R29" s="14"/>
      <c r="S29" s="25" t="s">
        <v>14559</v>
      </c>
      <c r="T29" s="23" t="s">
        <v>14560</v>
      </c>
    </row>
    <row r="30" spans="1:20">
      <c r="A30" s="14"/>
      <c r="B30" s="36"/>
      <c r="C30" s="14"/>
      <c r="D30" s="25" t="s">
        <v>14561</v>
      </c>
      <c r="E30" s="30" t="s">
        <v>14562</v>
      </c>
      <c r="F30" s="14"/>
      <c r="G30" s="24" t="s">
        <v>14563</v>
      </c>
      <c r="H30" s="23" t="s">
        <v>14564</v>
      </c>
      <c r="I30" s="14"/>
      <c r="J30" s="40" t="s">
        <v>14565</v>
      </c>
      <c r="K30" s="35" t="s">
        <v>14566</v>
      </c>
      <c r="L30" s="14"/>
      <c r="M30" s="39" t="s">
        <v>14567</v>
      </c>
      <c r="N30" s="21" t="s">
        <v>14568</v>
      </c>
      <c r="O30" s="14"/>
      <c r="P30" s="24" t="s">
        <v>14569</v>
      </c>
      <c r="Q30" s="23" t="s">
        <v>14570</v>
      </c>
      <c r="R30" s="14"/>
      <c r="S30" s="22" t="s">
        <v>14571</v>
      </c>
      <c r="T30" s="21" t="s">
        <v>14572</v>
      </c>
    </row>
    <row r="31" spans="1:20">
      <c r="A31" s="14"/>
      <c r="B31" s="36"/>
      <c r="C31" s="14"/>
      <c r="D31" s="22" t="s">
        <v>14573</v>
      </c>
      <c r="E31" s="29" t="s">
        <v>14574</v>
      </c>
      <c r="F31" s="14"/>
      <c r="G31" s="13" t="s">
        <v>14575</v>
      </c>
      <c r="H31" s="21" t="s">
        <v>14576</v>
      </c>
      <c r="I31" s="14"/>
      <c r="J31" s="36"/>
      <c r="K31" s="36"/>
      <c r="L31" s="14"/>
      <c r="M31" s="40" t="s">
        <v>14577</v>
      </c>
      <c r="N31" s="23" t="s">
        <v>14578</v>
      </c>
      <c r="O31" s="14"/>
      <c r="P31" s="13" t="s">
        <v>14579</v>
      </c>
      <c r="Q31" s="21" t="s">
        <v>14580</v>
      </c>
      <c r="R31" s="14"/>
      <c r="S31" s="25" t="s">
        <v>14581</v>
      </c>
      <c r="T31" s="23" t="s">
        <v>14582</v>
      </c>
    </row>
    <row r="32" spans="1:20">
      <c r="A32" s="14"/>
      <c r="B32" s="36"/>
      <c r="C32" s="14"/>
      <c r="D32" s="25" t="s">
        <v>14583</v>
      </c>
      <c r="E32" s="30" t="s">
        <v>14584</v>
      </c>
      <c r="F32" s="14"/>
      <c r="G32" s="24" t="s">
        <v>14585</v>
      </c>
      <c r="H32" s="23" t="s">
        <v>14586</v>
      </c>
      <c r="I32" s="14"/>
      <c r="J32" s="36"/>
      <c r="K32" s="36"/>
      <c r="L32" s="14"/>
      <c r="M32" s="39" t="s">
        <v>14587</v>
      </c>
      <c r="N32" s="21" t="s">
        <v>14588</v>
      </c>
      <c r="O32" s="14"/>
      <c r="P32" s="24" t="s">
        <v>14589</v>
      </c>
      <c r="Q32" s="23" t="s">
        <v>14590</v>
      </c>
      <c r="R32" s="14"/>
      <c r="S32" s="22" t="s">
        <v>14591</v>
      </c>
      <c r="T32" s="21" t="s">
        <v>14592</v>
      </c>
    </row>
    <row r="33" spans="1:20">
      <c r="A33" s="14"/>
      <c r="B33" s="36"/>
      <c r="C33" s="14"/>
      <c r="D33" s="22" t="s">
        <v>14593</v>
      </c>
      <c r="E33" s="32" t="s">
        <v>14594</v>
      </c>
      <c r="F33" s="14"/>
      <c r="G33" s="14"/>
      <c r="H33" s="14"/>
      <c r="I33" s="14"/>
      <c r="J33" s="36"/>
      <c r="K33" s="36"/>
      <c r="L33" s="14"/>
      <c r="M33" s="40" t="s">
        <v>14595</v>
      </c>
      <c r="N33" s="23" t="s">
        <v>14319</v>
      </c>
      <c r="O33" s="14"/>
      <c r="P33" s="14"/>
      <c r="Q33" s="14"/>
      <c r="R33" s="14"/>
      <c r="S33" s="25" t="s">
        <v>14596</v>
      </c>
      <c r="T33" s="23" t="s">
        <v>14597</v>
      </c>
    </row>
    <row r="34" spans="1:20">
      <c r="A34" s="14"/>
      <c r="B34" s="36"/>
      <c r="C34" s="14"/>
      <c r="D34" s="14"/>
      <c r="E34" s="14"/>
      <c r="F34" s="14"/>
      <c r="G34" s="14"/>
      <c r="H34" s="14"/>
      <c r="I34" s="14"/>
      <c r="J34" s="36"/>
      <c r="K34" s="36"/>
      <c r="L34" s="14"/>
      <c r="M34" s="39" t="s">
        <v>14598</v>
      </c>
      <c r="N34" s="21" t="s">
        <v>14599</v>
      </c>
      <c r="O34" s="14"/>
      <c r="P34" s="14"/>
      <c r="Q34" s="14"/>
      <c r="R34" s="14"/>
      <c r="S34" s="22" t="s">
        <v>14600</v>
      </c>
      <c r="T34" s="21" t="s">
        <v>14601</v>
      </c>
    </row>
    <row r="35" spans="1:20">
      <c r="A35" s="14"/>
      <c r="B35" s="36"/>
      <c r="C35" s="14"/>
      <c r="D35" s="14"/>
      <c r="E35" s="14"/>
      <c r="F35" s="14"/>
      <c r="G35" s="14"/>
      <c r="H35" s="14"/>
      <c r="I35" s="14"/>
      <c r="J35" s="36"/>
      <c r="K35" s="36"/>
      <c r="L35" s="14"/>
      <c r="M35" s="40" t="s">
        <v>14602</v>
      </c>
      <c r="N35" s="23" t="s">
        <v>14428</v>
      </c>
      <c r="O35" s="14"/>
      <c r="P35" s="14"/>
      <c r="Q35" s="14"/>
      <c r="R35" s="14"/>
      <c r="S35" s="14"/>
      <c r="T35" s="1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9877b87-f71f-4942-b17a-e15a10dd7a41" xsi:nil="true"/>
    <lcf76f155ced4ddcb4097134ff3c332f xmlns="be5d4351-0349-48e1-a768-ca41645e5ad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F0A8498AF27A844AAA1C5723B1D83A3" ma:contentTypeVersion="12" ma:contentTypeDescription="Crear nuevo documento." ma:contentTypeScope="" ma:versionID="77881e69026713915486e183f64a8ca9">
  <xsd:schema xmlns:xsd="http://www.w3.org/2001/XMLSchema" xmlns:xs="http://www.w3.org/2001/XMLSchema" xmlns:p="http://schemas.microsoft.com/office/2006/metadata/properties" xmlns:ns2="be5d4351-0349-48e1-a768-ca41645e5ade" xmlns:ns3="d9877b87-f71f-4942-b17a-e15a10dd7a41" targetNamespace="http://schemas.microsoft.com/office/2006/metadata/properties" ma:root="true" ma:fieldsID="c3f2a0549ddabcde7a916723f8106b72" ns2:_="" ns3:_="">
    <xsd:import namespace="be5d4351-0349-48e1-a768-ca41645e5ade"/>
    <xsd:import namespace="d9877b87-f71f-4942-b17a-e15a10dd7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5d4351-0349-48e1-a768-ca41645e5a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068974-5b92-4f84-9f7a-5b28e50c742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9877b87-f71f-4942-b17a-e15a10dd7a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de8505a-958c-4a26-a7e4-2c4f52b26fcb}" ma:internalName="TaxCatchAll" ma:showField="CatchAllData" ma:web="d9877b87-f71f-4942-b17a-e15a10dd7a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1995F-8D31-4A5C-9BD3-0952A316024C}"/>
</file>

<file path=customXml/itemProps2.xml><?xml version="1.0" encoding="utf-8"?>
<ds:datastoreItem xmlns:ds="http://schemas.openxmlformats.org/officeDocument/2006/customXml" ds:itemID="{9A3689EE-954A-4FD9-BEA1-FE2BB7B32782}"/>
</file>

<file path=customXml/itemProps3.xml><?xml version="1.0" encoding="utf-8"?>
<ds:datastoreItem xmlns:ds="http://schemas.openxmlformats.org/officeDocument/2006/customXml" ds:itemID="{4057BF0A-3673-4958-B917-213AAE23D5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2026-04-22T15:19:01Z</dcterms:created>
  <dcterms:modified xsi:type="dcterms:W3CDTF">2026-09-02T18:55:11Z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0x0101002F0A8498AF27A844AAA1C5723B1D83A3</vt:lpwstr>
  </property>
  <property fmtid="{D5CDD505-2E9C-101B-9397-08002B2CF9AE}" pid="3" name="MediaServiceImageTags">
    <vt:lpwstr/>
  </property>
</Properties>
</file>